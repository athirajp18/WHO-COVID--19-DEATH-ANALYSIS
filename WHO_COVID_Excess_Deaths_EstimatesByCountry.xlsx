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cdc58517540a34b/Desktop/entri/Mini Project/"/>
    </mc:Choice>
  </mc:AlternateContent>
  <xr:revisionPtr revIDLastSave="196" documentId="11_F25DC773A252ABDACC104849C99C61665BDE58E7" xr6:coauthVersionLast="47" xr6:coauthVersionMax="47" xr10:uidLastSave="{A8A241EE-AABD-49C7-8E64-BEC6B753D3D6}"/>
  <bookViews>
    <workbookView xWindow="-108" yWindow="-108" windowWidth="23256" windowHeight="13896" xr2:uid="{00000000-000D-0000-FFFF-FFFF00000000}"/>
  </bookViews>
  <sheets>
    <sheet name="Deaths by year and month" sheetId="1" r:id="rId1"/>
    <sheet name="Dashboard" sheetId="4" r:id="rId2"/>
  </sheets>
  <definedNames>
    <definedName name="_xlnm._FilterDatabase" localSheetId="0" hidden="1">'Deaths by year and month'!$A$1:$L$4657</definedName>
    <definedName name="Slicer_Country2">#N/A</definedName>
    <definedName name="Slicer_yea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3" i="1"/>
  <c r="M12" i="1" s="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8" i="1"/>
  <c r="M107" i="1" s="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5" i="1"/>
  <c r="M214" i="1" s="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2" i="1"/>
</calcChain>
</file>

<file path=xl/sharedStrings.xml><?xml version="1.0" encoding="utf-8"?>
<sst xmlns="http://schemas.openxmlformats.org/spreadsheetml/2006/main" count="14018" uniqueCount="418">
  <si>
    <t>iso3</t>
  </si>
  <si>
    <t>year</t>
  </si>
  <si>
    <t>type</t>
  </si>
  <si>
    <t>expected.mean</t>
  </si>
  <si>
    <t>acm.mean</t>
  </si>
  <si>
    <t>excess.mean*</t>
  </si>
  <si>
    <t>Afghanistan</t>
  </si>
  <si>
    <t>AFG</t>
  </si>
  <si>
    <t>predicted</t>
  </si>
  <si>
    <t>Angola</t>
  </si>
  <si>
    <t>AGO</t>
  </si>
  <si>
    <t>Albania</t>
  </si>
  <si>
    <t>ALB</t>
  </si>
  <si>
    <t>reported</t>
  </si>
  <si>
    <t>Andorra</t>
  </si>
  <si>
    <t>AND</t>
  </si>
  <si>
    <t>United Arab Emirates</t>
  </si>
  <si>
    <t>ARE</t>
  </si>
  <si>
    <t>Argentina</t>
  </si>
  <si>
    <t>ARG</t>
  </si>
  <si>
    <t>Armenia</t>
  </si>
  <si>
    <t>ARM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</si>
  <si>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</si>
  <si>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</si>
  <si>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</si>
  <si>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</si>
  <si>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</si>
  <si>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</si>
  <si>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</si>
  <si>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</si>
  <si>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</si>
  <si>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</si>
  <si>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</si>
  <si>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</si>
  <si>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</si>
  <si>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</si>
  <si>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</si>
  <si>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</si>
  <si>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</si>
  <si>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</si>
  <si>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</si>
  <si>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</si>
  <si>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</si>
  <si>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</si>
  <si>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t>
  </si>
  <si>
    <t>BHS</t>
  </si>
  <si>
    <t>Bosnia and Herzegovina</t>
  </si>
  <si>
    <t>BIH</t>
  </si>
  <si>
    <t>Belarus</t>
  </si>
  <si>
    <t>BLR</t>
  </si>
  <si>
    <t>Belize</t>
  </si>
  <si>
    <t>BLZ</t>
  </si>
  <si>
    <t>Bolivia (Plurinational State of)</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</si>
  <si>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</si>
  <si>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</si>
  <si>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</si>
  <si>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</si>
  <si>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</si>
  <si>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</si>
  <si>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</si>
  <si>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</si>
  <si>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</si>
  <si>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</si>
  <si>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</si>
  <si>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</si>
  <si>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</si>
  <si>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</si>
  <si>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</si>
  <si>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</si>
  <si>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</si>
  <si>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</si>
  <si>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</si>
  <si>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</si>
  <si>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</si>
  <si>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CÃ´te d'Ivoire</t>
  </si>
  <si>
    <t>CIV</t>
  </si>
  <si>
    <t>Cameroon</t>
  </si>
  <si>
    <t>CMR</t>
  </si>
  <si>
    <t>Democratic Republic of the Congo</t>
  </si>
  <si>
    <t>COD</t>
  </si>
  <si>
    <t>Congo</t>
  </si>
  <si>
    <t>COG</t>
  </si>
  <si>
    <t>Cook Islands</t>
  </si>
  <si>
    <t>COK</t>
  </si>
  <si>
    <t>Colombia</t>
  </si>
  <si>
    <t>COL</t>
  </si>
  <si>
    <t>Comoros</t>
  </si>
  <si>
    <t>COM</t>
  </si>
  <si>
    <t>Cabo Verde</t>
  </si>
  <si>
    <t>CPV</t>
  </si>
  <si>
    <t>Costa Rica</t>
  </si>
  <si>
    <t>CRI</t>
  </si>
  <si>
    <t>Cuba</t>
  </si>
  <si>
    <t>CUB</t>
  </si>
  <si>
    <t>Cyprus</t>
  </si>
  <si>
    <t>CYP</t>
  </si>
  <si>
    <t>Czechia</t>
  </si>
  <si>
    <t>CZE</t>
  </si>
  <si>
    <t>Germany</t>
  </si>
  <si>
    <t>DEU</t>
  </si>
  <si>
    <t>Djibouti</t>
  </si>
  <si>
    <t>DJI</t>
  </si>
  <si>
    <t>Dominica</t>
  </si>
  <si>
    <t>DMA</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</si>
  <si>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</si>
  <si>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</si>
  <si>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</si>
  <si>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</si>
  <si>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</si>
  <si>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</si>
  <si>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</si>
  <si>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</si>
  <si>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</si>
  <si>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</si>
  <si>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</si>
  <si>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</si>
  <si>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</si>
  <si>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</si>
  <si>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</si>
  <si>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</si>
  <si>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</si>
  <si>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</si>
  <si>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</si>
  <si>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</si>
  <si>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</si>
  <si>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</si>
  <si>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</si>
  <si>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</si>
  <si>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Micronesia (Federated States of)</t>
  </si>
  <si>
    <t>FSM</t>
  </si>
  <si>
    <t>Gabon</t>
  </si>
  <si>
    <t>GAB</t>
  </si>
  <si>
    <t>The United Kingdom</t>
  </si>
  <si>
    <t>GBR</t>
  </si>
  <si>
    <t>Georgia</t>
  </si>
  <si>
    <t>GEO</t>
  </si>
  <si>
    <t>Ghana</t>
  </si>
  <si>
    <t>GHA</t>
  </si>
  <si>
    <t>Guinea</t>
  </si>
  <si>
    <t>GIN</t>
  </si>
  <si>
    <t>Gambia</t>
  </si>
  <si>
    <t>GMB</t>
  </si>
  <si>
    <t>Guinea-Bissau</t>
  </si>
  <si>
    <t>GNB</t>
  </si>
  <si>
    <t>Equatorial Guinea</t>
  </si>
  <si>
    <t>GNQ</t>
  </si>
  <si>
    <t>Greece</t>
  </si>
  <si>
    <t>GRC</t>
  </si>
  <si>
    <t>Grenada</t>
  </si>
  <si>
    <t>GRD</t>
  </si>
  <si>
    <t>Guatemala</t>
  </si>
  <si>
    <t>GTM</t>
  </si>
  <si>
    <t>Guyana</t>
  </si>
  <si>
    <t>GUY</t>
  </si>
  <si>
    <t>Honduras</t>
  </si>
  <si>
    <t>HND</t>
  </si>
  <si>
    <t>Croatia</t>
  </si>
  <si>
    <t>HRV</t>
  </si>
  <si>
    <t>Haiti</t>
  </si>
  <si>
    <t>HTI</t>
  </si>
  <si>
    <t>Hungary</t>
  </si>
  <si>
    <t>HUN</t>
  </si>
  <si>
    <t>Indonesia</t>
  </si>
  <si>
    <t>IDN</t>
  </si>
  <si>
    <t>India</t>
  </si>
  <si>
    <t>IND</t>
  </si>
  <si>
    <t>Ireland</t>
  </si>
  <si>
    <t>IRL</t>
  </si>
  <si>
    <t>Iran (Islamic Republic of)</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</si>
  <si>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</si>
  <si>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</si>
  <si>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</si>
  <si>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</si>
  <si>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</si>
  <si>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</si>
  <si>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</si>
  <si>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</si>
  <si>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</si>
  <si>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</si>
  <si>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</si>
  <si>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</si>
  <si>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</si>
  <si>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</si>
  <si>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</si>
  <si>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</si>
  <si>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</si>
  <si>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</si>
  <si>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</si>
  <si>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</si>
  <si>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</si>
  <si>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</si>
  <si>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</si>
  <si>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</si>
  <si>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</si>
  <si>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</si>
  <si>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</si>
  <si>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</si>
  <si>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</si>
  <si>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</si>
  <si>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</si>
  <si>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</si>
  <si>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</si>
  <si>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</si>
  <si>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</si>
  <si>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</si>
  <si>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</si>
  <si>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</si>
  <si>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</si>
  <si>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</si>
  <si>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</si>
  <si>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Sri Lanka</t>
  </si>
  <si>
    <t>LKA</t>
  </si>
  <si>
    <t>Lesotho</t>
  </si>
  <si>
    <t>LSO</t>
  </si>
  <si>
    <t>Lithuania</t>
  </si>
  <si>
    <t>LTU</t>
  </si>
  <si>
    <t>Luxembourg</t>
  </si>
  <si>
    <t>LUX</t>
  </si>
  <si>
    <t>Latvia</t>
  </si>
  <si>
    <t>LVA</t>
  </si>
  <si>
    <t>Morocco</t>
  </si>
  <si>
    <t>MAR</t>
  </si>
  <si>
    <t>Monaco</t>
  </si>
  <si>
    <t>MCO</t>
  </si>
  <si>
    <t>Republic of 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</si>
  <si>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</si>
  <si>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</si>
  <si>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</si>
  <si>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</si>
  <si>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</si>
  <si>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</si>
  <si>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</si>
  <si>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</si>
  <si>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</si>
  <si>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</si>
  <si>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</si>
  <si>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</si>
  <si>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</si>
  <si>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</si>
  <si>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</si>
  <si>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</si>
  <si>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</si>
  <si>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</si>
  <si>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</si>
  <si>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</si>
  <si>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</si>
  <si>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Mozambique</t>
  </si>
  <si>
    <t>MOZ</t>
  </si>
  <si>
    <t>Mauritania</t>
  </si>
  <si>
    <t>MRT</t>
  </si>
  <si>
    <t>Mauritius</t>
  </si>
  <si>
    <t>MUS</t>
  </si>
  <si>
    <t>Malawi</t>
  </si>
  <si>
    <t>MWI</t>
  </si>
  <si>
    <t>Malaysia</t>
  </si>
  <si>
    <t>MYS</t>
  </si>
  <si>
    <t>Namibia</t>
  </si>
  <si>
    <t>NAM</t>
  </si>
  <si>
    <t>Niger</t>
  </si>
  <si>
    <t>NER</t>
  </si>
  <si>
    <t>Nigeria</t>
  </si>
  <si>
    <t>NGA</t>
  </si>
  <si>
    <t>Nicaragua</t>
  </si>
  <si>
    <t>NIC</t>
  </si>
  <si>
    <t>Niue</t>
  </si>
  <si>
    <t>NIU</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</si>
  <si>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</si>
  <si>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</si>
  <si>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</si>
  <si>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</si>
  <si>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</si>
  <si>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</si>
  <si>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</si>
  <si>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</si>
  <si>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</si>
  <si>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</si>
  <si>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</si>
  <si>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</si>
  <si>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</si>
  <si>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</si>
  <si>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</si>
  <si>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</si>
  <si>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</si>
  <si>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</si>
  <si>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</si>
  <si>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</si>
  <si>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</si>
  <si>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</si>
  <si>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</si>
  <si>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</si>
  <si>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</si>
  <si>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</si>
  <si>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Democratic People's Republic of Korea</t>
  </si>
  <si>
    <t>PRK</t>
  </si>
  <si>
    <t>Portugal</t>
  </si>
  <si>
    <t>PRT</t>
  </si>
  <si>
    <t>Paraguay</t>
  </si>
  <si>
    <t>PRY</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</si>
  <si>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</si>
  <si>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</si>
  <si>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</si>
  <si>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</si>
  <si>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</si>
  <si>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</si>
  <si>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</si>
  <si>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</si>
  <si>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</si>
  <si>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</si>
  <si>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</si>
  <si>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</si>
  <si>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</si>
  <si>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</si>
  <si>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</si>
  <si>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</si>
  <si>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</si>
  <si>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</si>
  <si>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</si>
  <si>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</si>
  <si>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</si>
  <si>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</si>
  <si>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</si>
  <si>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</si>
  <si>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</si>
  <si>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</si>
  <si>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</si>
  <si>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</si>
  <si>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</si>
  <si>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</si>
  <si>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</si>
  <si>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</si>
  <si>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</si>
  <si>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</si>
  <si>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Slovakia</t>
  </si>
  <si>
    <t>SVK</t>
  </si>
  <si>
    <t>Slovenia</t>
  </si>
  <si>
    <t>SVN</t>
  </si>
  <si>
    <t>Sweden</t>
  </si>
  <si>
    <t>SWE</t>
  </si>
  <si>
    <t>Eswatini</t>
  </si>
  <si>
    <t>SWZ</t>
  </si>
  <si>
    <t>Seychelles</t>
  </si>
  <si>
    <t>SYC</t>
  </si>
  <si>
    <t>Syrian Arab Republic</t>
  </si>
  <si>
    <t>SYR</t>
  </si>
  <si>
    <t>Chad</t>
  </si>
  <si>
    <t>TCD</t>
  </si>
  <si>
    <t>Togo</t>
  </si>
  <si>
    <t>TGO</t>
  </si>
  <si>
    <t>Thailand</t>
  </si>
  <si>
    <t>THA</t>
  </si>
  <si>
    <t>Tajikistan</t>
  </si>
  <si>
    <t>TJK</t>
  </si>
  <si>
    <t>Turkmenistan</t>
  </si>
  <si>
    <t>TKM</t>
  </si>
  <si>
    <t>Timor-Leste</t>
  </si>
  <si>
    <t>TLS</t>
  </si>
  <si>
    <t>Tonga</t>
  </si>
  <si>
    <t>TON</t>
  </si>
  <si>
    <t>Trinidad and Tobago</t>
  </si>
  <si>
    <t>TTO</t>
  </si>
  <si>
    <t>Tunisia</t>
  </si>
  <si>
    <t>TUN</t>
  </si>
  <si>
    <t>TÃ¼rkiye</t>
  </si>
  <si>
    <t>TUR</t>
  </si>
  <si>
    <t>Tuvalu</t>
  </si>
  <si>
    <t>TUV</t>
  </si>
  <si>
    <t>United Republic of Tanzania</t>
  </si>
  <si>
    <t>TZA</t>
  </si>
  <si>
    <t>Uganda</t>
  </si>
  <si>
    <t>UGA</t>
  </si>
  <si>
    <t>Ukraine</t>
  </si>
  <si>
    <t>UKR</t>
  </si>
  <si>
    <t>Uruguay</t>
  </si>
  <si>
    <t>URY</t>
  </si>
  <si>
    <t>United States of America</t>
  </si>
  <si>
    <t>USA</t>
  </si>
  <si>
    <t>Uzbekistan</t>
  </si>
  <si>
    <t>UZB</t>
  </si>
  <si>
    <t>Saint Vincent and the Grenadines</t>
  </si>
  <si>
    <t>VCT</t>
  </si>
  <si>
    <t>Venezuela (Bolivarian Republic of)</t>
  </si>
  <si>
    <t>VEN</t>
  </si>
  <si>
    <t>Viet Nam</t>
  </si>
  <si>
    <t>VNM</t>
  </si>
  <si>
    <t>Vanuatu</t>
  </si>
  <si>
    <t>VUT</t>
  </si>
  <si>
    <t>Samoa</t>
  </si>
  <si>
    <t>WSM</t>
  </si>
  <si>
    <t>Yemen</t>
  </si>
  <si>
    <t>YEM</t>
  </si>
  <si>
    <t>South Africa</t>
  </si>
  <si>
    <t>ZAF</t>
  </si>
  <si>
    <t>Zambia</t>
  </si>
  <si>
    <t>ZMB</t>
  </si>
  <si>
    <t>Zimbabwe</t>
  </si>
  <si>
    <t>ZWE</t>
  </si>
  <si>
    <t>Country</t>
  </si>
  <si>
    <t>month</t>
  </si>
  <si>
    <t>cumul.excess.mean*</t>
  </si>
  <si>
    <t>cumul.excess.low*</t>
  </si>
  <si>
    <t>cumul.excess.high*</t>
  </si>
  <si>
    <t>Month Names</t>
  </si>
  <si>
    <t>Month and Year</t>
  </si>
  <si>
    <t>Row Labels</t>
  </si>
  <si>
    <t>Grand Total</t>
  </si>
  <si>
    <t>Sum of acm.mean</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</si>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</sst>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xf numFmtId="49" fontId="1" fillId="0" borderId="1" xfId="0" applyNumberFormat="1" applyFont="1" applyBorder="1" applyAlignment="1">
      <alignment horizontal="center"/>
    </xf>
    <xf numFmtId="49" fontId="0" fillId="0" borderId="1" xfId="0" applyNumberFormat="1" applyBorder="1"/>
    <xf numFmtId="0" fontId="0" fillId="0" borderId="0" xfId="0" pivotButton="1"/>
    <xf numFmtId="49" fontId="1" fillId="0" borderId="1" xfId="0" applyNumberFormat="1" applyFont="1" applyBorder="1" applyAlignment="1">
      <alignment horizontal="left"/>
    </xf>
    <xf numFmtId="1" fontId="1" fillId="0" borderId="1" xfId="0" applyNumberFormat="1" applyFont="1" applyBorder="1" applyAlignment="1">
      <alignment horizontal="center"/>
    </xf>
    <xf numFmtId="0" fontId="1" fillId="0" borderId="1" xfId="0" applyFont="1" applyBorder="1" applyAlignment="1">
      <alignment horizontal="center"/>
    </xf>
    <xf numFmtId="1" fontId="0" fillId="0" borderId="1" xfId="0" applyNumberFormat="1" applyBorder="1"/>
    <xf numFmtId="0" fontId="0" fillId="0" borderId="1" xfId="0" applyBorder="1"/>
    <xf numFmtId="1" fontId="0" fillId="0" borderId="0" xfId="0" applyNumberFormat="1"/>
    <xf numFmtId="0" fontId="0" fillId="2" borderId="1" xfId="0" applyFill="1" applyBorder="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[WHO_COVID_Excess_Deaths_EstimatesByCountry.xlsx]Dashboard!PivotTable2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Dashboard!$B$10</c:f>
              <c:strCache>
                <c:ptCount val="1"/>
                <c:pt idx="0">
                  <c:v>Total</c:v>
                </c:pt>
              </c:strCache>
            </c:strRef>
          </c:tx>
          <c:spPr>
            <a:ln w="28575" cap="rnd">
              <a:solidFill>
                <a:schemeClr val="accent1"/>
              </a:solidFill>
              <a:round/>
            </a:ln>
            <a:effectLst/>
          </c:spPr>
          <c:marker>
            <c:symbol val="none"/>
          </c:marker>
          <c:cat>
            <c:strRef>
              <c:f>Dashboard!$A$11:$A$23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Dashboard!$B$11:$B$23</c:f>
              <c:numCache>
                <c:formatCode>General</c:formatCode>
                <c:ptCount val="12"/>
                <c:pt idx="0">
                  <c:v>11120406.010699997</c:v>
                </c:pt>
                <c:pt idx="1">
                  <c:v>9890542.7057000045</c:v>
                </c:pt>
                <c:pt idx="2">
                  <c:v>9805507.7097000033</c:v>
                </c:pt>
                <c:pt idx="3">
                  <c:v>9823119.0686999932</c:v>
                </c:pt>
                <c:pt idx="4">
                  <c:v>10843799.357700005</c:v>
                </c:pt>
                <c:pt idx="5">
                  <c:v>10886881.202699997</c:v>
                </c:pt>
                <c:pt idx="6">
                  <c:v>10694978.1577</c:v>
                </c:pt>
                <c:pt idx="7">
                  <c:v>10533059.098700002</c:v>
                </c:pt>
                <c:pt idx="8">
                  <c:v>10235450.817700002</c:v>
                </c:pt>
                <c:pt idx="9">
                  <c:v>10539024.060199998</c:v>
                </c:pt>
                <c:pt idx="10">
                  <c:v>10888979.976799995</c:v>
                </c:pt>
                <c:pt idx="11">
                  <c:v>11402821.672799997</c:v>
                </c:pt>
              </c:numCache>
            </c:numRef>
          </c:val>
          <c:smooth val="0"/>
          <c:extLst>
            <c:ext xmlns:c16="http://schemas.microsoft.com/office/drawing/2014/chart" uri="{C3380CC4-5D6E-409C-BE32-E72D297353CC}">
              <c16:uniqueId val="{00000000-A430-4A03-B362-C1CFE21675C5}"/>
            </c:ext>
          </c:extLst>
        </c:ser>
        <c:dLbls>
          <c:showLegendKey val="0"/>
          <c:showVal val="0"/>
          <c:showCatName val="0"/>
          <c:showSerName val="0"/>
          <c:showPercent val="0"/>
          <c:showBubbleSize val="0"/>
        </c:dLbls>
        <c:smooth val="0"/>
        <c:axId val="1136995215"/>
        <c:axId val="1137005775"/>
      </c:lineChart>
      <c:catAx>
        <c:axId val="11369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05775"/>
        <c:crosses val="autoZero"/>
        <c:auto val="1"/>
        <c:lblAlgn val="ctr"/>
        <c:lblOffset val="100"/>
        <c:noMultiLvlLbl val="0"/>
      </c:catAx>
      <c:valAx>
        <c:axId val="113700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99521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[WHO_COVID_Excess_Deaths_EstimatesByCountry.xlsx]Dashboard!PivotTable3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Dashboard!$B$27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1C-4996-AE82-325FE96A61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1C-4996-AE82-325FE96A61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1C-4996-AE82-325FE96A61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1C-4996-AE82-325FE96A61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1C-4996-AE82-325FE96A61A7}"/>
              </c:ext>
            </c:extLst>
          </c:dPt>
          <c:cat>
            <c:strRef>
              <c:f>Dashboard!$A$28:$A$33</c:f>
              <c:strCache>
                <c:ptCount val="5"/>
                <c:pt idx="0">
                  <c:v>China</c:v>
                </c:pt>
                <c:pt idx="1">
                  <c:v>India</c:v>
                </c:pt>
                <c:pt idx="2">
                  <c:v>Indonesia</c:v>
                </c:pt>
                <c:pt idx="3">
                  <c:v>Russian Federation</c:v>
                </c:pt>
                <c:pt idx="4">
                  <c:v>United States of America</c:v>
                </c:pt>
              </c:strCache>
            </c:strRef>
          </c:cat>
          <c:val>
            <c:numRef>
              <c:f>Dashboard!$B$28:$B$33</c:f>
              <c:numCache>
                <c:formatCode>General</c:formatCode>
                <c:ptCount val="5"/>
                <c:pt idx="0">
                  <c:v>20126156.000399992</c:v>
                </c:pt>
                <c:pt idx="1">
                  <c:v>23253902.666699998</c:v>
                </c:pt>
                <c:pt idx="2">
                  <c:v>4801542.1339999987</c:v>
                </c:pt>
                <c:pt idx="3">
                  <c:v>4580180</c:v>
                </c:pt>
                <c:pt idx="4">
                  <c:v>6861924</c:v>
                </c:pt>
              </c:numCache>
            </c:numRef>
          </c:val>
          <c:extLst>
            <c:ext xmlns:c16="http://schemas.microsoft.com/office/drawing/2014/chart" uri="{C3380CC4-5D6E-409C-BE32-E72D297353CC}">
              <c16:uniqueId val="{00000000-0C20-4031-B31E-291492D461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[WHO_COVID_Excess_Deaths_EstimatesByCountry.xlsx]Dashboard!PivotTable4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Dashboard!$B$36</c:f>
              <c:strCache>
                <c:ptCount val="1"/>
                <c:pt idx="0">
                  <c:v>Total</c:v>
                </c:pt>
              </c:strCache>
            </c:strRef>
          </c:tx>
          <c:spPr>
            <a:solidFill>
              <a:schemeClr val="accent1"/>
            </a:solidFill>
            <a:ln>
              <a:noFill/>
            </a:ln>
            <a:effectLst/>
          </c:spPr>
          <c:invertIfNegative val="0"/>
          <c:cat>
            <c:strRef>
              <c:f>Dashboard!$A$37:$A$47</c:f>
              <c:strCache>
                <c:ptCount val="10"/>
                <c:pt idx="0">
                  <c:v>Brazil</c:v>
                </c:pt>
                <c:pt idx="1">
                  <c:v>China</c:v>
                </c:pt>
                <c:pt idx="2">
                  <c:v>India</c:v>
                </c:pt>
                <c:pt idx="3">
                  <c:v>Indonesia</c:v>
                </c:pt>
                <c:pt idx="4">
                  <c:v>Japan</c:v>
                </c:pt>
                <c:pt idx="5">
                  <c:v>Mexico</c:v>
                </c:pt>
                <c:pt idx="6">
                  <c:v>Nigeria</c:v>
                </c:pt>
                <c:pt idx="7">
                  <c:v>Pakistan</c:v>
                </c:pt>
                <c:pt idx="8">
                  <c:v>Russian Federation</c:v>
                </c:pt>
                <c:pt idx="9">
                  <c:v>United States of America</c:v>
                </c:pt>
              </c:strCache>
            </c:strRef>
          </c:cat>
          <c:val>
            <c:numRef>
              <c:f>Dashboard!$B$37:$B$47</c:f>
              <c:numCache>
                <c:formatCode>General</c:formatCode>
                <c:ptCount val="10"/>
                <c:pt idx="0">
                  <c:v>3412446</c:v>
                </c:pt>
                <c:pt idx="1">
                  <c:v>20126156.000399992</c:v>
                </c:pt>
                <c:pt idx="2">
                  <c:v>23253902.666699998</c:v>
                </c:pt>
                <c:pt idx="3">
                  <c:v>4801542.1339999987</c:v>
                </c:pt>
                <c:pt idx="4">
                  <c:v>2836833</c:v>
                </c:pt>
                <c:pt idx="5">
                  <c:v>2173366</c:v>
                </c:pt>
                <c:pt idx="6">
                  <c:v>3350447.4539999999</c:v>
                </c:pt>
                <c:pt idx="7">
                  <c:v>3614918.3679999998</c:v>
                </c:pt>
                <c:pt idx="8">
                  <c:v>4580180</c:v>
                </c:pt>
                <c:pt idx="9">
                  <c:v>6861924</c:v>
                </c:pt>
              </c:numCache>
            </c:numRef>
          </c:val>
          <c:extLst>
            <c:ext xmlns:c16="http://schemas.microsoft.com/office/drawing/2014/chart" uri="{C3380CC4-5D6E-409C-BE32-E72D297353CC}">
              <c16:uniqueId val="{00000000-4932-483A-841E-01D85F9A595A}"/>
            </c:ext>
          </c:extLst>
        </c:ser>
        <c:dLbls>
          <c:showLegendKey val="0"/>
          <c:showVal val="0"/>
          <c:showCatName val="0"/>
          <c:showSerName val="0"/>
          <c:showPercent val="0"/>
          <c:showBubbleSize val="0"/>
        </c:dLbls>
        <c:gapWidth val="150"/>
        <c:overlap val="100"/>
        <c:axId val="1015162543"/>
        <c:axId val="1015163503"/>
      </c:barChart>
      <c:catAx>
        <c:axId val="101516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63503"/>
        <c:crosses val="autoZero"/>
        <c:auto val="1"/>
        <c:lblAlgn val="ctr"/>
        <c:lblOffset val="100"/>
        <c:noMultiLvlLbl val="0"/>
      </c:catAx>
      <c:valAx>
        <c:axId val="101516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6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[WHO_COVID_Excess_Deaths_EstimatesByCountry.xlsx]Dashboard!PivotTable1</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Dashboard!$A$4:$A$6</c:f>
              <c:strCache>
                <c:ptCount val="2"/>
                <c:pt idx="0">
                  <c:v>2020</c:v>
                </c:pt>
                <c:pt idx="1">
                  <c:v>2021</c:v>
                </c:pt>
              </c:strCache>
            </c:strRef>
          </c:cat>
          <c:val>
            <c:numRef>
              <c:f>Dashboard!$B$4:$B$6</c:f>
              <c:numCache>
                <c:formatCode>General</c:formatCode>
                <c:ptCount val="2"/>
                <c:pt idx="0">
                  <c:v>60153077.57699994</c:v>
                </c:pt>
                <c:pt idx="1">
                  <c:v>66511492.262099952</c:v>
                </c:pt>
              </c:numCache>
            </c:numRef>
          </c:val>
          <c:extLst>
            <c:ext xmlns:c16="http://schemas.microsoft.com/office/drawing/2014/chart" uri="{C3380CC4-5D6E-409C-BE32-E72D297353CC}">
              <c16:uniqueId val="{00000000-69A6-47AF-AF6C-895B69B1F2F6}"/>
            </c:ext>
          </c:extLst>
        </c:ser>
        <c:dLbls>
          <c:showLegendKey val="0"/>
          <c:showVal val="0"/>
          <c:showCatName val="0"/>
          <c:showSerName val="0"/>
          <c:showPercent val="0"/>
          <c:showBubbleSize val="0"/>
        </c:dLbls>
        <c:gapWidth val="219"/>
        <c:overlap val="-27"/>
        <c:axId val="1092084383"/>
        <c:axId val="1092085823"/>
      </c:barChart>
      <c:catAx>
        <c:axId val="109208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085823"/>
        <c:crosses val="autoZero"/>
        <c:auto val="1"/>
        <c:lblAlgn val="ctr"/>
        <c:lblOffset val="100"/>
        <c:noMultiLvlLbl val="0"/>
      </c:catAx>
      <c:valAx>
        <c:axId val="109208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08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297180</xdr:colOff>
      <xdr:row>0</xdr:row>
      <xdr:rowOff>0</xdr:rowOff>
    </xdr:from>
    <xdr:to>
      <xdr:col>17</xdr:col>
      <xdr:colOff>601980</xdr:colOff>
      <xdr:row>15</xdr:row>
      <xdr:rowOff>0</xdr:rowOff>
    </xdr:to>
    <xdr:graphicFrame macro="">
      <xdr:nvGraphicFramePr>
        <xdr:cNvPr id="3" name="Chart 2">
          <a:extLst>
            <a:ext uri="{FF2B5EF4-FFF2-40B4-BE49-F238E27FC236}">
              <a16:creationId xmlns:a16="http://schemas.microsoft.com/office/drawing/2014/main" id="{5815F074-106A-D062-35A8-1B37A5A16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14</xdr:row>
      <xdr:rowOff>179070</xdr:rowOff>
    </xdr:from>
    <xdr:to>
      <xdr:col>10</xdr:col>
      <xdr:colOff>312420</xdr:colOff>
      <xdr:row>29</xdr:row>
      <xdr:rowOff>179070</xdr:rowOff>
    </xdr:to>
    <xdr:graphicFrame macro="">
      <xdr:nvGraphicFramePr>
        <xdr:cNvPr id="4" name="Chart 3">
          <a:extLst>
            <a:ext uri="{FF2B5EF4-FFF2-40B4-BE49-F238E27FC236}">
              <a16:creationId xmlns:a16="http://schemas.microsoft.com/office/drawing/2014/main" id="{57A2AAD6-08F2-03F7-A1E4-8C5AAF133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312420</xdr:colOff>
      <xdr:row>14</xdr:row>
      <xdr:rowOff>179070</xdr:rowOff>
    </xdr:from>
    <xdr:to>
      <xdr:col>18</xdr:col>
      <xdr:colOff>7620</xdr:colOff>
      <xdr:row>29</xdr:row>
      <xdr:rowOff>179070</xdr:rowOff>
    </xdr:to>
    <xdr:graphicFrame macro="">
      <xdr:nvGraphicFramePr>
        <xdr:cNvPr id="5" name="Chart 4">
          <a:extLst>
            <a:ext uri="{FF2B5EF4-FFF2-40B4-BE49-F238E27FC236}">
              <a16:creationId xmlns:a16="http://schemas.microsoft.com/office/drawing/2014/main" id="{2119CF7B-37FF-B89A-C5AC-441DAE1CE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xdr:colOff>
      <xdr:row>0</xdr:row>
      <xdr:rowOff>0</xdr:rowOff>
    </xdr:from>
    <xdr:to>
      <xdr:col>10</xdr:col>
      <xdr:colOff>312420</xdr:colOff>
      <xdr:row>15</xdr:row>
      <xdr:rowOff>0</xdr:rowOff>
    </xdr:to>
    <xdr:graphicFrame macro="">
      <xdr:nvGraphicFramePr>
        <xdr:cNvPr id="6" name="Chart 5">
          <a:extLst>
            <a:ext uri="{FF2B5EF4-FFF2-40B4-BE49-F238E27FC236}">
              <a16:creationId xmlns:a16="http://schemas.microsoft.com/office/drawing/2014/main" id="{277FFE6E-0467-860D-1A5B-26A9C328F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320040</xdr:colOff>
      <xdr:row>16</xdr:row>
      <xdr:rowOff>15240</xdr:rowOff>
    </xdr:from>
    <xdr:to>
      <xdr:col>21</xdr:col>
      <xdr:colOff>320040</xdr:colOff>
      <xdr:row>29</xdr:row>
      <xdr:rowOff>104775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8D6CE31F-592D-FDC8-4542-C443AC09112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62460" y="2941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327660</xdr:colOff>
      <xdr:row>2</xdr:row>
      <xdr:rowOff>114300</xdr:rowOff>
    </xdr:from>
    <xdr:to>
      <xdr:col>21</xdr:col>
      <xdr:colOff>327660</xdr:colOff>
      <xdr:row>16</xdr:row>
      <xdr:rowOff>20955</xdr:rowOff>
    </xdr:to>
    <mc:AlternateContent xmlns:mc="http://schemas.openxmlformats.org/markup-compatibility/2006" xmlns:a14="http://schemas.microsoft.com/office/drawing/2010/main">
      <mc:Choice Requires="a14">
        <xdr:graphicFrame macro="">
          <xdr:nvGraphicFramePr>
            <xdr:cNvPr id="10" name="Country2">
              <a:extLst>
                <a:ext uri="{FF2B5EF4-FFF2-40B4-BE49-F238E27FC236}">
                  <a16:creationId xmlns:a16="http://schemas.microsoft.com/office/drawing/2014/main" id="{5FCA026B-9B6C-A593-0B43-3F0F5B7AC676}"/>
                </a:ext>
              </a:extLst>
            </xdr:cNvPr>
            <xdr:cNvGraphicFramePr/>
          </xdr:nvGraphicFramePr>
          <xdr:xfrm>
            <a:off x="0" y="0"/>
            <a:ext cx="0" cy="0"/>
          </xdr:xfrm>
          <a:graphic>
            <a:graphicData uri="http://schemas.microsoft.com/office/drawing/2010/slicer">
              <sle:slicer xmlns:sle="http://schemas.microsoft.com/office/drawing/2010/slicer" name="Country2"/>
            </a:graphicData>
          </a:graphic>
        </xdr:graphicFrame>
      </mc:Choice>
      <mc:Fallback xmlns="">
        <xdr:sp macro="" textlink="">
          <xdr:nvSpPr>
            <xdr:cNvPr id="0" name=""/>
            <xdr:cNvSpPr>
              <a:spLocks noTextEdit="1"/>
            </xdr:cNvSpPr>
          </xdr:nvSpPr>
          <xdr:spPr>
            <a:xfrm>
              <a:off x="1207008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8.945609027774" createdVersion="8" refreshedVersion="8" minRefreshableVersion="3" recordCount="4658" xr:uid="{E80741BA-7F6B-4B32-B219-3F8D6E98D775}">
  <cacheSource type="worksheet">
    <worksheetSource ref="A1:N1048576" sheet="Deaths by year and month"/>
  </cacheSource>
  <cacheFields count="14">
    <cacheField name="Country" numFmtId="0">
      <sharedItems containsBlank="1" count="195">
        <s v="Afghanistan"/>
        <m/>
        <s v="Angola"/>
        <s v="Albania"/>
        <s v="Andorra"/>
        <s v="United Arab Emirates"/>
        <s v="Argentina"/>
        <s v="Armenia"/>
        <s v="Antigua and Barbuda"/>
        <s v="Australia"/>
        <s v="Austria"/>
        <s v="Azerbaijan"/>
        <s v="Burundi"/>
        <s v="Belgium"/>
        <s v="Benin"/>
        <s v="Burkina Faso"/>
        <s v="Bangladesh"/>
        <s v="Bulgaria"/>
        <s v="Bahrain"/>
        <s v="Bahamas"/>
        <s v="Bosnia and Herzegovina"/>
        <s v="Belarus"/>
        <s v="Belize"/>
        <s v="Bolivia (Plurinational State of)"/>
        <s v="Brazil"/>
        <s v="Barbados"/>
        <s v="Brunei Darussalam"/>
        <s v="Bhutan"/>
        <s v="Botswana"/>
        <s v="Central African Republic"/>
        <s v="Canada"/>
        <s v="Switzerland"/>
        <s v="Chile"/>
        <s v="China"/>
        <s v="CÃ´te d'Ivoire"/>
        <s v="Cameroon"/>
        <s v="Democratic Republic of the Congo"/>
        <s v="Congo"/>
        <s v="Cook Islands"/>
        <s v="Colombia"/>
        <s v="Comoros"/>
        <s v="Cabo Verde"/>
        <s v="Costa Rica"/>
        <s v="Cuba"/>
        <s v="Cyprus"/>
        <s v="Czechia"/>
        <s v="Germany"/>
        <s v="Djibouti"/>
        <s v="Dominica"/>
        <s v="Denmark"/>
        <s v="Dominican Republic"/>
        <s v="Algeria"/>
        <s v="Ecuador"/>
        <s v="Egypt"/>
        <s v="Eritrea"/>
        <s v="Spain"/>
        <s v="Estonia"/>
        <s v="Ethiopia"/>
        <s v="Finland"/>
        <s v="Fiji"/>
        <s v="France"/>
        <s v="Micronesia (Federated States of)"/>
        <s v="Gabon"/>
        <s v="The United Kingdom"/>
        <s v="Georgia"/>
        <s v="Ghana"/>
        <s v="Guinea"/>
        <s v="Gambia"/>
        <s v="Guinea-Bissau"/>
        <s v="Equatorial Guinea"/>
        <s v="Greece"/>
        <s v="Grenada"/>
        <s v="Guatemala"/>
        <s v="Guyana"/>
        <s v="Honduras"/>
        <s v="Croatia"/>
        <s v="Haiti"/>
        <s v="Hungary"/>
        <s v="Indonesia"/>
        <s v="India"/>
        <s v="Ireland"/>
        <s v="Iran (Islamic Republic of)"/>
        <s v="Iraq"/>
        <s v="Iceland"/>
        <s v="Israel"/>
        <s v="Italy"/>
        <s v="Jamaica"/>
        <s v="Jordan"/>
        <s v="Japan"/>
        <s v="Kazakhstan"/>
        <s v="Kenya"/>
        <s v="Kyrgyzstan"/>
        <s v="Cambodia"/>
        <s v="Kiribati"/>
        <s v="Saint Kitts and Nevis"/>
        <s v="Republic of Korea"/>
        <s v="Kuwait"/>
        <s v="Lao People's Democratic Republic"/>
        <s v="Lebanon"/>
        <s v="Liberia"/>
        <s v="Libya"/>
        <s v="Saint Lucia"/>
        <s v="Sri Lanka"/>
        <s v="Lesotho"/>
        <s v="Lithuania"/>
        <s v="Luxembourg"/>
        <s v="Latvia"/>
        <s v="Morocco"/>
        <s v="Monaco"/>
        <s v="Republic of Moldova"/>
        <s v="Madagascar"/>
        <s v="Maldives"/>
        <s v="Mexico"/>
        <s v="Marshall Islands"/>
        <s v="North Macedonia"/>
        <s v="Mali"/>
        <s v="Malta"/>
        <s v="Myanmar"/>
        <s v="Montenegro"/>
        <s v="Mongolia"/>
        <s v="Mozambique"/>
        <s v="Mauritania"/>
        <s v="Mauritius"/>
        <s v="Malawi"/>
        <s v="Malaysia"/>
        <s v="Namibia"/>
        <s v="Niger"/>
        <s v="Nigeria"/>
        <s v="Nicaragua"/>
        <s v="Niue"/>
        <s v="Netherlands"/>
        <s v="Norway"/>
        <s v="Nepal"/>
        <s v="Nauru"/>
        <s v="New Zealand"/>
        <s v="Oman"/>
        <s v="Pakistan"/>
        <s v="Panama"/>
        <s v="Peru"/>
        <s v="Philippines"/>
        <s v="Palau"/>
        <s v="Papua New Guinea"/>
        <s v="Poland"/>
        <s v="Democratic People's Republic of Korea"/>
        <s v="Portugal"/>
        <s v="Paraguay"/>
        <s v="Qatar"/>
        <s v="Romania"/>
        <s v="Russian Federation"/>
        <s v="Rwanda"/>
        <s v="Saudi Arabia"/>
        <s v="Sudan"/>
        <s v="Senegal"/>
        <s v="Singapore"/>
        <s v="Solomon Islands"/>
        <s v="Sierra Leone"/>
        <s v="El Salvador"/>
        <s v="San Marino"/>
        <s v="Somalia"/>
        <s v="Serbia"/>
        <s v="South Sudan"/>
        <s v="Sao Tome and Principe"/>
        <s v="Suriname"/>
        <s v="Slovakia"/>
        <s v="Slovenia"/>
        <s v="Sweden"/>
        <s v="Eswatini"/>
        <s v="Seychelles"/>
        <s v="Syrian Arab Republic"/>
        <s v="Chad"/>
        <s v="Togo"/>
        <s v="Thailand"/>
        <s v="Tajikistan"/>
        <s v="Turkmenistan"/>
        <s v="Timor-Leste"/>
        <s v="Tonga"/>
        <s v="Trinidad and Tobago"/>
        <s v="Tunisia"/>
        <s v="TÃ¼rkiye"/>
        <s v="Tuvalu"/>
        <s v="United Republic of Tanzania"/>
        <s v="Uganda"/>
        <s v="Ukraine"/>
        <s v="Uruguay"/>
        <s v="United States of America"/>
        <s v="Uzbekistan"/>
        <s v="Saint Vincent and the Grenadines"/>
        <s v="Venezuela (Bolivarian Republic of)"/>
        <s v="Viet Nam"/>
        <s v="Vanuatu"/>
        <s v="Samoa"/>
        <s v="Yemen"/>
        <s v="South Africa"/>
        <s v="Zambia"/>
        <s v="Zimbabwe"/>
      </sharedItems>
    </cacheField>
    <cacheField name="iso3" numFmtId="0">
      <sharedItems containsBlank="1"/>
    </cacheField>
    <cacheField name="year" numFmtId="0">
      <sharedItems containsString="0" containsBlank="1" containsNumber="1" containsInteger="1" minValue="2020" maxValue="2021" count="3">
        <n v="2020"/>
        <n v="2021"/>
        <m/>
      </sharedItems>
    </cacheField>
    <cacheField name="month" numFmtId="0">
      <sharedItems containsString="0" containsBlank="1" containsNumber="1" containsInteger="1" minValue="1" maxValue="12" count="13">
        <n v="1"/>
        <n v="2"/>
        <n v="3"/>
        <n v="4"/>
        <n v="5"/>
        <n v="6"/>
        <n v="7"/>
        <n v="8"/>
        <n v="9"/>
        <n v="10"/>
        <n v="11"/>
        <n v="12"/>
        <m/>
      </sharedItems>
    </cacheField>
    <cacheField name="Month Names" numFmtId="0">
      <sharedItems containsBlank="1" count="13">
        <s v="January"/>
        <s v="February"/>
        <s v="March"/>
        <s v="April"/>
        <s v="May"/>
        <s v="June"/>
        <s v="July"/>
        <s v="August"/>
        <s v="September"/>
        <s v="October"/>
        <s v="November"/>
        <s v="December"/>
        <m/>
      </sharedItems>
    </cacheField>
    <cacheField name="type" numFmtId="0">
      <sharedItems containsBlank="1"/>
    </cacheField>
    <cacheField name="expected.mean" numFmtId="0">
      <sharedItems containsString="0" containsBlank="1" containsNumber="1" minValue="1.0081884109999999" maxValue="919738.23239999998"/>
    </cacheField>
    <cacheField name="acm.mean" numFmtId="0">
      <sharedItems containsString="0" containsBlank="1" containsNumber="1" minValue="0.96599999999999997" maxValue="2051527.24"/>
    </cacheField>
    <cacheField name="excess.mean*" numFmtId="0">
      <sharedItems containsString="0" containsBlank="1" containsNumber="1" minValue="-254675.96179999999" maxValue="1303368.3489999999"/>
    </cacheField>
    <cacheField name="cumul.excess.mean*" numFmtId="0">
      <sharedItems containsString="0" containsBlank="1" containsNumber="1" minValue="-382911.97090000001" maxValue="4734515.5120000001"/>
    </cacheField>
    <cacheField name="cumul.excess.low*" numFmtId="0">
      <sharedItems containsString="0" containsBlank="1" containsNumber="1" minValue="-590699.24650000001" maxValue="3585556.24"/>
    </cacheField>
    <cacheField name="cumul.excess.high*" numFmtId="0">
      <sharedItems containsString="0" containsBlank="1" containsNumber="1" minValue="-273060.8946" maxValue="6479562.9079999998"/>
    </cacheField>
    <cacheField name="Country2" numFmtId="0">
      <sharedItems containsBlank="1" containsMixedTypes="1" containsNumber="1" containsInteger="1" minValue="0" maxValue="0" count="196">
        <s v="Afghanistan"/>
        <s v="Angola"/>
        <s v="Albania"/>
        <s v="Andorra"/>
        <s v="United Arab Emirates"/>
        <s v="Argentina"/>
        <s v="Armenia"/>
        <s v="Antigua and Barbuda"/>
        <s v="Australia"/>
        <s v="Austria"/>
        <s v="Azerbaijan"/>
        <s v="Burundi"/>
        <s v="Belgium"/>
        <s v="Benin"/>
        <s v="Burkina Faso"/>
        <s v="Bangladesh"/>
        <s v="Bulgaria"/>
        <s v="Bahrain"/>
        <s v="Bahamas"/>
        <s v="Bosnia and Herzegovina"/>
        <s v="Belarus"/>
        <s v="Belize"/>
        <s v="Bolivia (Plurinational State of)"/>
        <s v="Brazil"/>
        <s v="Barbados"/>
        <s v="Brunei Darussalam"/>
        <s v="Bhutan"/>
        <s v="Botswana"/>
        <s v="Central African Republic"/>
        <s v="Canada"/>
        <s v="Switzerland"/>
        <s v="Chile"/>
        <s v="China"/>
        <s v="CÃ´te d'Ivoire"/>
        <s v="Cameroon"/>
        <s v="Democratic Republic of the Congo"/>
        <s v="Congo"/>
        <s v="Cook Islands"/>
        <s v="Colombia"/>
        <s v="Comoros"/>
        <s v="Cabo Verde"/>
        <s v="Costa Rica"/>
        <s v="Cuba"/>
        <s v="Cyprus"/>
        <s v="Czechia"/>
        <s v="Germany"/>
        <s v="Djibouti"/>
        <s v="Dominica"/>
        <s v="Denmark"/>
        <s v="Dominican Republic"/>
        <s v="Algeria"/>
        <s v="Ecuador"/>
        <s v="Egypt"/>
        <s v="Eritrea"/>
        <s v="Spain"/>
        <s v="Estonia"/>
        <s v="Ethiopia"/>
        <s v="Finland"/>
        <s v="Fiji"/>
        <s v="France"/>
        <s v="Micronesia (Federated States of)"/>
        <s v="Gabon"/>
        <s v="The United Kingdom"/>
        <s v="Georgia"/>
        <s v="Ghana"/>
        <s v="Guinea"/>
        <s v="Gambia"/>
        <s v="Guinea-Bissau"/>
        <s v="Equatorial Guinea"/>
        <s v="Greece"/>
        <s v="Grenada"/>
        <s v="Guatemala"/>
        <s v="Guyana"/>
        <s v="Honduras"/>
        <s v="Croatia"/>
        <s v="Haiti"/>
        <s v="Hungary"/>
        <s v="Indonesia"/>
        <s v="India"/>
        <s v="Ireland"/>
        <s v="Iran (Islamic Republic of)"/>
        <s v="Iraq"/>
        <s v="Iceland"/>
        <s v="Israel"/>
        <s v="Italy"/>
        <s v="Jamaica"/>
        <s v="Jordan"/>
        <s v="Japan"/>
        <s v="Kazakhstan"/>
        <s v="Kenya"/>
        <s v="Kyrgyzstan"/>
        <s v="Cambodia"/>
        <s v="Kiribati"/>
        <s v="Saint Kitts and Nevis"/>
        <s v="Republic of Korea"/>
        <s v="Kuwait"/>
        <s v="Lao People's Democratic Republic"/>
        <s v="Lebanon"/>
        <s v="Liberia"/>
        <s v="Libya"/>
        <s v="Saint Lucia"/>
        <s v="Sri Lanka"/>
        <s v="Lesotho"/>
        <s v="Lithuania"/>
        <s v="Luxembourg"/>
        <s v="Latvia"/>
        <s v="Morocco"/>
        <s v="Monaco"/>
        <s v="Republic of Moldova"/>
        <s v="Madagascar"/>
        <s v="Maldives"/>
        <s v="Mexico"/>
        <s v="Marshall Islands"/>
        <s v="North Macedonia"/>
        <s v="Mali"/>
        <s v="Malta"/>
        <s v="Myanmar"/>
        <s v="Montenegro"/>
        <s v="Mongolia"/>
        <s v="Mozambique"/>
        <s v="Mauritania"/>
        <s v="Mauritius"/>
        <s v="Malawi"/>
        <s v="Malaysia"/>
        <s v="Namibia"/>
        <s v="Niger"/>
        <s v="Nigeria"/>
        <s v="Nicaragua"/>
        <s v="Niue"/>
        <s v="Netherlands"/>
        <s v="Norway"/>
        <s v="Nepal"/>
        <s v="Nauru"/>
        <s v="New Zealand"/>
        <s v="Oman"/>
        <s v="Pakistan"/>
        <s v="Panama"/>
        <s v="Peru"/>
        <s v="Philippines"/>
        <s v="Palau"/>
        <s v="Papua New Guinea"/>
        <s v="Poland"/>
        <s v="Democratic People's Republic of Korea"/>
        <s v="Portugal"/>
        <s v="Paraguay"/>
        <s v="Qatar"/>
        <s v="Romania"/>
        <s v="Russian Federation"/>
        <s v="Rwanda"/>
        <s v="Saudi Arabia"/>
        <s v="Sudan"/>
        <s v="Senegal"/>
        <s v="Singapore"/>
        <s v="Solomon Islands"/>
        <s v="Sierra Leone"/>
        <s v="El Salvador"/>
        <s v="San Marino"/>
        <s v="Somalia"/>
        <s v="Serbia"/>
        <s v="South Sudan"/>
        <s v="Sao Tome and Principe"/>
        <s v="Suriname"/>
        <s v="Slovakia"/>
        <s v="Slovenia"/>
        <s v="Sweden"/>
        <s v="Eswatini"/>
        <s v="Seychelles"/>
        <s v="Syrian Arab Republic"/>
        <s v="Chad"/>
        <s v="Togo"/>
        <s v="Thailand"/>
        <s v="Tajikistan"/>
        <s v="Turkmenistan"/>
        <s v="Timor-Leste"/>
        <s v="Tonga"/>
        <s v="Trinidad and Tobago"/>
        <s v="Tunisia"/>
        <s v="TÃ¼rkiye"/>
        <s v="Tuvalu"/>
        <s v="United Republic of Tanzania"/>
        <s v="Uganda"/>
        <s v="Ukraine"/>
        <s v="Uruguay"/>
        <s v="United States of America"/>
        <s v="Uzbekistan"/>
        <s v="Saint Vincent and the Grenadines"/>
        <s v="Venezuela (Bolivarian Republic of)"/>
        <s v="Viet Nam"/>
        <s v="Vanuatu"/>
        <s v="Samoa"/>
        <s v="Yemen"/>
        <s v="South Africa"/>
        <s v="Zambia"/>
        <s v="Zimbabwe"/>
        <n v="0"/>
        <m/>
      </sharedItems>
    </cacheField>
    <cacheField name="Month and Year" numFmtId="0">
      <sharedItems containsBlank="1"/>
    </cacheField>
  </cacheFields>
  <extLst>
    <ext xmlns:x14="http://schemas.microsoft.com/office/spreadsheetml/2009/9/main" uri="{725AE2AE-9491-48be-B2B4-4EB974FC3084}">
      <x14:pivotCacheDefinition pivotCacheId="813010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58">
  <r>
    <x v="0"/>
    <s v="AFG"/>
    <x v="0"/>
    <x v="0"/>
    <x v="0"/>
    <s v="predicted"/>
    <n v="23088.21545"/>
    <n v="23425.106"/>
    <n v="336.89054900000002"/>
    <n v="336.89054900000002"/>
    <n v="-5112.7112379999999"/>
    <n v="7461.8176039999998"/>
    <x v="0"/>
    <s v="Jan-2020"/>
  </r>
  <r>
    <x v="0"/>
    <s v="AFG"/>
    <x v="0"/>
    <x v="1"/>
    <x v="1"/>
    <s v="predicted"/>
    <n v="22412.029750000002"/>
    <n v="22461.347000000002"/>
    <n v="49.317245890000002"/>
    <n v="386.20779490000001"/>
    <n v="-7457.7148459999999"/>
    <n v="9907.2320230000005"/>
    <x v="0"/>
    <s v="Feb-2020"/>
  </r>
  <r>
    <x v="0"/>
    <s v="AFG"/>
    <x v="0"/>
    <x v="2"/>
    <x v="2"/>
    <s v="predicted"/>
    <n v="21921.163120000001"/>
    <n v="20938.806"/>
    <n v="-982.35712190000004"/>
    <n v="-596.14932699999997"/>
    <n v="-10256.391949999999"/>
    <n v="10302.902319999999"/>
    <x v="0"/>
    <s v="Mar-2020"/>
  </r>
  <r>
    <x v="0"/>
    <s v="AFG"/>
    <x v="0"/>
    <x v="3"/>
    <x v="3"/>
    <s v="predicted"/>
    <n v="21207.45767"/>
    <n v="20136.824000000001"/>
    <n v="-1070.6336679999999"/>
    <n v="-1666.782995"/>
    <n v="-13095.632240000001"/>
    <n v="10995.879269999999"/>
    <x v="0"/>
    <s v="Apr-2020"/>
  </r>
  <r>
    <x v="0"/>
    <s v="AFG"/>
    <x v="0"/>
    <x v="4"/>
    <x v="4"/>
    <s v="predicted"/>
    <n v="20485.264650000001"/>
    <n v="21559.31"/>
    <n v="1074.0453540000001"/>
    <n v="-592.73764110000002"/>
    <n v="-13314.82445"/>
    <n v="14423.64327"/>
    <x v="0"/>
    <s v="May-2020"/>
  </r>
  <r>
    <x v="0"/>
    <s v="AFG"/>
    <x v="0"/>
    <x v="5"/>
    <x v="5"/>
    <s v="predicted"/>
    <n v="19873.239310000001"/>
    <n v="23752.624"/>
    <n v="3879.3846899999999"/>
    <n v="3286.6470490000002"/>
    <n v="-10646.009120000001"/>
    <n v="18775.610710000001"/>
    <x v="0"/>
    <s v="Jun-2020"/>
  </r>
  <r>
    <x v="0"/>
    <s v="AFG"/>
    <x v="0"/>
    <x v="6"/>
    <x v="6"/>
    <s v="predicted"/>
    <n v="19623.200349999999"/>
    <n v="24604.503000000001"/>
    <n v="4981.3026529999997"/>
    <n v="8267.9497019999999"/>
    <n v="-7218.7751490000001"/>
    <n v="26140.865160000001"/>
    <x v="0"/>
    <s v="Jul-2020"/>
  </r>
  <r>
    <x v="0"/>
    <s v="AFG"/>
    <x v="0"/>
    <x v="7"/>
    <x v="7"/>
    <s v="predicted"/>
    <n v="19776.864269999998"/>
    <n v="23194.142"/>
    <n v="3417.2777329999999"/>
    <n v="11685.227430000001"/>
    <n v="-4423.9713359999996"/>
    <n v="30663.573079999998"/>
    <x v="0"/>
    <s v="Aug-2020"/>
  </r>
  <r>
    <x v="0"/>
    <s v="AFG"/>
    <x v="0"/>
    <x v="8"/>
    <x v="8"/>
    <s v="predicted"/>
    <n v="20539.985260000001"/>
    <n v="23147.289000000001"/>
    <n v="2607.3037420000001"/>
    <n v="14292.53118"/>
    <n v="-3241.6800450000001"/>
    <n v="34629.55126"/>
    <x v="0"/>
    <s v="Sep-2020"/>
  </r>
  <r>
    <x v="0"/>
    <s v="AFG"/>
    <x v="0"/>
    <x v="9"/>
    <x v="9"/>
    <s v="predicted"/>
    <n v="21380.608789999998"/>
    <n v="24526.018"/>
    <n v="3145.4092099999998"/>
    <n v="17437.94039"/>
    <n v="-1574.1003430000001"/>
    <n v="38156.698960000002"/>
    <x v="0"/>
    <s v="Oct-2020"/>
  </r>
  <r>
    <x v="1"/>
    <s v="AFG"/>
    <x v="0"/>
    <x v="10"/>
    <x v="10"/>
    <s v="predicted"/>
    <n v="22260.33713"/>
    <n v="27087.067999999999"/>
    <n v="4826.7308659999999"/>
    <n v="22264.671249999999"/>
    <n v="1965.1710029999999"/>
    <n v="45444.600050000001"/>
    <x v="0"/>
    <s v="Nov-2020"/>
  </r>
  <r>
    <x v="0"/>
    <s v="AFG"/>
    <x v="0"/>
    <x v="11"/>
    <x v="11"/>
    <s v="predicted"/>
    <n v="22982.159220000001"/>
    <n v="27671.437000000002"/>
    <n v="4689.2777820000001"/>
    <n v="26953.94903"/>
    <n v="4791.7814019999996"/>
    <n v="51031.422579999999"/>
    <x v="0"/>
    <s v="Dec-2020"/>
  </r>
  <r>
    <x v="0"/>
    <s v="AFG"/>
    <x v="1"/>
    <x v="0"/>
    <x v="0"/>
    <s v="predicted"/>
    <n v="23144.65741"/>
    <n v="25547.51"/>
    <n v="2402.85259"/>
    <n v="29356.801619999998"/>
    <n v="6036.2447679999996"/>
    <n v="54005.940499999997"/>
    <x v="0"/>
    <s v="Jan-2021"/>
  </r>
  <r>
    <x v="0"/>
    <s v="AFG"/>
    <x v="1"/>
    <x v="1"/>
    <x v="1"/>
    <s v="predicted"/>
    <n v="22441.710340000001"/>
    <n v="23130.017"/>
    <n v="688.30665820000002"/>
    <n v="30045.10828"/>
    <n v="7230.4647889999997"/>
    <n v="55260.722529999999"/>
    <x v="0"/>
    <s v="Feb-2021"/>
  </r>
  <r>
    <x v="0"/>
    <s v="AFG"/>
    <x v="1"/>
    <x v="2"/>
    <x v="2"/>
    <s v="predicted"/>
    <n v="21945.565620000001"/>
    <n v="22786.219000000001"/>
    <n v="840.65338450000002"/>
    <n v="30885.76167"/>
    <n v="5632.479824"/>
    <n v="58317.715400000001"/>
    <x v="0"/>
    <s v="Mar-2021"/>
  </r>
  <r>
    <x v="0"/>
    <s v="AFG"/>
    <x v="1"/>
    <x v="3"/>
    <x v="3"/>
    <s v="predicted"/>
    <n v="21261.34043"/>
    <n v="23741.436000000002"/>
    <n v="2480.095566"/>
    <n v="33365.857230000001"/>
    <n v="8310.910425"/>
    <n v="62380.467810000002"/>
    <x v="0"/>
    <s v="Apr-2021"/>
  </r>
  <r>
    <x v="0"/>
    <s v="AFG"/>
    <x v="1"/>
    <x v="4"/>
    <x v="4"/>
    <s v="predicted"/>
    <n v="20523.80601"/>
    <n v="23868.54"/>
    <n v="3344.7339919999999"/>
    <n v="36710.591229999998"/>
    <n v="10643.3534"/>
    <n v="66496.159780000002"/>
    <x v="0"/>
    <s v="May-2021"/>
  </r>
  <r>
    <x v="0"/>
    <s v="AFG"/>
    <x v="1"/>
    <x v="5"/>
    <x v="5"/>
    <s v="predicted"/>
    <n v="19904.227599999998"/>
    <n v="26549.474999999999"/>
    <n v="6645.2473970000001"/>
    <n v="43355.838620000002"/>
    <n v="16068.99193"/>
    <n v="73034.018660000002"/>
    <x v="0"/>
    <s v="Jun-2021"/>
  </r>
  <r>
    <x v="0"/>
    <s v="AFG"/>
    <x v="1"/>
    <x v="6"/>
    <x v="6"/>
    <s v="predicted"/>
    <n v="19663.612580000001"/>
    <n v="26299.375"/>
    <n v="6635.7624169999999"/>
    <n v="49991.601040000001"/>
    <n v="21577.098020000001"/>
    <n v="80787.939190000005"/>
    <x v="0"/>
    <s v="Jul-2021"/>
  </r>
  <r>
    <x v="0"/>
    <s v="AFG"/>
    <x v="1"/>
    <x v="7"/>
    <x v="7"/>
    <s v="predicted"/>
    <n v="19806.613160000001"/>
    <n v="24792.77"/>
    <n v="4986.1568390000002"/>
    <n v="54977.757879999997"/>
    <n v="24181.549060000001"/>
    <n v="86926.426949999994"/>
    <x v="0"/>
    <s v="Aug-2021"/>
  </r>
  <r>
    <x v="0"/>
    <s v="AFG"/>
    <x v="1"/>
    <x v="8"/>
    <x v="8"/>
    <s v="predicted"/>
    <n v="20580.3027"/>
    <n v="23498.807000000001"/>
    <n v="2918.5043000000001"/>
    <n v="57896.262179999998"/>
    <n v="26556.036390000001"/>
    <n v="89831.689559999999"/>
    <x v="0"/>
    <s v="Sep-2021"/>
  </r>
  <r>
    <x v="0"/>
    <s v="AFG"/>
    <x v="1"/>
    <x v="9"/>
    <x v="9"/>
    <s v="predicted"/>
    <n v="21424.839039999999"/>
    <n v="24277.236000000001"/>
    <n v="2852.3969569999999"/>
    <n v="60748.659140000003"/>
    <n v="28955.848549999999"/>
    <n v="94716.647849999994"/>
    <x v="0"/>
    <s v="Oct-2021"/>
  </r>
  <r>
    <x v="0"/>
    <s v="AFG"/>
    <x v="1"/>
    <x v="10"/>
    <x v="10"/>
    <s v="predicted"/>
    <n v="22307.619050000001"/>
    <n v="24971.85"/>
    <n v="2664.2309540000001"/>
    <n v="63412.890090000001"/>
    <n v="31434.79391"/>
    <n v="98062.497390000004"/>
    <x v="0"/>
    <s v="Nov-2021"/>
  </r>
  <r>
    <x v="0"/>
    <s v="AFG"/>
    <x v="1"/>
    <x v="11"/>
    <x v="11"/>
    <s v="predicted"/>
    <n v="23023.985089999998"/>
    <n v="25344.453000000001"/>
    <n v="2320.4679070000002"/>
    <n v="65733.357999999993"/>
    <n v="32745.83654"/>
    <n v="100857.976"/>
    <x v="0"/>
    <s v="Dec-2021"/>
  </r>
  <r>
    <x v="2"/>
    <s v="AGO"/>
    <x v="0"/>
    <x v="0"/>
    <x v="0"/>
    <s v="predicted"/>
    <n v="18968.181670000002"/>
    <n v="19760.13"/>
    <n v="791.94832899999994"/>
    <n v="791.94832899999994"/>
    <n v="-3697.9636340000002"/>
    <n v="6907.017691"/>
    <x v="1"/>
    <s v="Jan-2020"/>
  </r>
  <r>
    <x v="2"/>
    <s v="AGO"/>
    <x v="0"/>
    <x v="1"/>
    <x v="1"/>
    <s v="predicted"/>
    <n v="18943.522260000002"/>
    <n v="19103.297999999999"/>
    <n v="159.7757368"/>
    <n v="951.72406579999995"/>
    <n v="-5887.336902"/>
    <n v="8538.3601620000009"/>
    <x v="1"/>
    <s v="Feb-2020"/>
  </r>
  <r>
    <x v="2"/>
    <s v="AGO"/>
    <x v="0"/>
    <x v="2"/>
    <x v="2"/>
    <s v="predicted"/>
    <n v="18952.891589999999"/>
    <n v="18856.845000000001"/>
    <n v="-96.046593310000006"/>
    <n v="855.67747250000002"/>
    <n v="-7394.6800999999996"/>
    <n v="10173.415080000001"/>
    <x v="1"/>
    <s v="Mar-2020"/>
  </r>
  <r>
    <x v="2"/>
    <s v="AGO"/>
    <x v="0"/>
    <x v="3"/>
    <x v="3"/>
    <s v="predicted"/>
    <n v="19003.802110000001"/>
    <n v="17034.315999999999"/>
    <n v="-1969.4861069999999"/>
    <n v="-1113.808634"/>
    <n v="-10920.513000000001"/>
    <n v="9040.7291810000006"/>
    <x v="1"/>
    <s v="Apr-2020"/>
  </r>
  <r>
    <x v="2"/>
    <s v="AGO"/>
    <x v="0"/>
    <x v="4"/>
    <x v="4"/>
    <s v="predicted"/>
    <n v="19188.076679999998"/>
    <n v="18029.684000000001"/>
    <n v="-1158.3926759999999"/>
    <n v="-2272.2013109999998"/>
    <n v="-12734.5334"/>
    <n v="8897.4246949999997"/>
    <x v="1"/>
    <s v="May-2020"/>
  </r>
  <r>
    <x v="2"/>
    <s v="AGO"/>
    <x v="0"/>
    <x v="5"/>
    <x v="5"/>
    <s v="predicted"/>
    <n v="19477.233189999999"/>
    <n v="18642.27"/>
    <n v="-834.96318529999996"/>
    <n v="-3107.1644959999999"/>
    <n v="-14436.03494"/>
    <n v="9150.850434"/>
    <x v="1"/>
    <s v="Jun-2020"/>
  </r>
  <r>
    <x v="2"/>
    <s v="AGO"/>
    <x v="0"/>
    <x v="6"/>
    <x v="6"/>
    <s v="predicted"/>
    <n v="19503.284019999999"/>
    <n v="19481.235000000001"/>
    <n v="-22.049015319999999"/>
    <n v="-3129.2135109999999"/>
    <n v="-14921.153350000001"/>
    <n v="10081.955830000001"/>
    <x v="1"/>
    <s v="Jul-2020"/>
  </r>
  <r>
    <x v="2"/>
    <s v="AGO"/>
    <x v="0"/>
    <x v="7"/>
    <x v="7"/>
    <s v="predicted"/>
    <n v="19271.41329"/>
    <n v="20032.907999999999"/>
    <n v="761.49471159999996"/>
    <n v="-2367.7187990000002"/>
    <n v="-15475.71796"/>
    <n v="11499.758980000001"/>
    <x v="1"/>
    <s v="Aug-2020"/>
  </r>
  <r>
    <x v="2"/>
    <s v="AGO"/>
    <x v="0"/>
    <x v="8"/>
    <x v="8"/>
    <s v="predicted"/>
    <n v="19038.045559999999"/>
    <n v="20154.358"/>
    <n v="1116.3124419999999"/>
    <n v="-1251.4063570000001"/>
    <n v="-15460.894619999999"/>
    <n v="14307.46609"/>
    <x v="1"/>
    <s v="Sep-2020"/>
  </r>
  <r>
    <x v="2"/>
    <s v="AGO"/>
    <x v="0"/>
    <x v="9"/>
    <x v="9"/>
    <s v="predicted"/>
    <n v="18912.078130000002"/>
    <n v="19511.513999999999"/>
    <n v="599.43586949999997"/>
    <n v="-651.97048789999997"/>
    <n v="-15325.24605"/>
    <n v="15496.928910000001"/>
    <x v="1"/>
    <s v="Oct-2020"/>
  </r>
  <r>
    <x v="2"/>
    <s v="AGO"/>
    <x v="0"/>
    <x v="10"/>
    <x v="10"/>
    <s v="predicted"/>
    <n v="18962.21154"/>
    <n v="19622.353999999999"/>
    <n v="660.14245540000002"/>
    <n v="8.1719675380000005"/>
    <n v="-16579.66099"/>
    <n v="16730.694729999999"/>
    <x v="1"/>
    <s v="Nov-2020"/>
  </r>
  <r>
    <x v="2"/>
    <s v="AGO"/>
    <x v="0"/>
    <x v="11"/>
    <x v="11"/>
    <s v="predicted"/>
    <n v="18979.363799999999"/>
    <n v="19524.361000000001"/>
    <n v="544.99719679999998"/>
    <n v="553.16916430000003"/>
    <n v="-16951.75591"/>
    <n v="17781.72667"/>
    <x v="1"/>
    <s v="Dec-2020"/>
  </r>
  <r>
    <x v="2"/>
    <s v="AGO"/>
    <x v="1"/>
    <x v="0"/>
    <x v="0"/>
    <s v="predicted"/>
    <n v="19003.876550000001"/>
    <n v="19878.105"/>
    <n v="874.2284502"/>
    <n v="1427.3976150000001"/>
    <n v="-17227.649969999999"/>
    <n v="20181.489280000002"/>
    <x v="1"/>
    <s v="Jan-2021"/>
  </r>
  <r>
    <x v="2"/>
    <s v="AGO"/>
    <x v="1"/>
    <x v="1"/>
    <x v="1"/>
    <s v="predicted"/>
    <n v="18982.35886"/>
    <n v="19903.300999999999"/>
    <n v="920.9421423"/>
    <n v="2348.3397570000002"/>
    <n v="-17995.48315"/>
    <n v="22300.94342"/>
    <x v="1"/>
    <s v="Feb-2021"/>
  </r>
  <r>
    <x v="2"/>
    <s v="AGO"/>
    <x v="1"/>
    <x v="2"/>
    <x v="2"/>
    <s v="predicted"/>
    <n v="18993.109079999998"/>
    <n v="19569.185000000001"/>
    <n v="576.07592139999997"/>
    <n v="2924.4156779999998"/>
    <n v="-18432.07144"/>
    <n v="23611.42859"/>
    <x v="1"/>
    <s v="Mar-2021"/>
  </r>
  <r>
    <x v="2"/>
    <s v="AGO"/>
    <x v="1"/>
    <x v="3"/>
    <x v="3"/>
    <s v="predicted"/>
    <n v="19036.792519999999"/>
    <n v="19225.095000000001"/>
    <n v="188.3024795"/>
    <n v="3112.7181580000001"/>
    <n v="-17879.398840000002"/>
    <n v="24881.135050000001"/>
    <x v="1"/>
    <s v="Apr-2021"/>
  </r>
  <r>
    <x v="2"/>
    <s v="AGO"/>
    <x v="1"/>
    <x v="4"/>
    <x v="4"/>
    <s v="predicted"/>
    <n v="19234.691510000001"/>
    <n v="20462.498"/>
    <n v="1227.8064859999999"/>
    <n v="4340.5246440000001"/>
    <n v="-17467.013749999998"/>
    <n v="28184.9251"/>
    <x v="1"/>
    <s v="May-2021"/>
  </r>
  <r>
    <x v="2"/>
    <s v="AGO"/>
    <x v="1"/>
    <x v="5"/>
    <x v="5"/>
    <s v="predicted"/>
    <n v="19518.212589999999"/>
    <n v="20144.879000000001"/>
    <n v="626.66640710000001"/>
    <n v="4967.1910509999998"/>
    <n v="-17393.24236"/>
    <n v="29160.663089999998"/>
    <x v="1"/>
    <s v="Jun-2021"/>
  </r>
  <r>
    <x v="2"/>
    <s v="AGO"/>
    <x v="1"/>
    <x v="6"/>
    <x v="6"/>
    <s v="predicted"/>
    <n v="19533.677360000001"/>
    <n v="20434.847000000002"/>
    <n v="901.16964140000005"/>
    <n v="5868.3606929999996"/>
    <n v="-17598.361290000001"/>
    <n v="30465.46371"/>
    <x v="1"/>
    <s v="Jul-2021"/>
  </r>
  <r>
    <x v="2"/>
    <s v="AGO"/>
    <x v="1"/>
    <x v="7"/>
    <x v="7"/>
    <s v="predicted"/>
    <n v="19316.289519999998"/>
    <n v="20532.435000000001"/>
    <n v="1216.1454839999999"/>
    <n v="7084.5061759999999"/>
    <n v="-15845.270469999999"/>
    <n v="31723.811020000001"/>
    <x v="1"/>
    <s v="Aug-2021"/>
  </r>
  <r>
    <x v="2"/>
    <s v="AGO"/>
    <x v="1"/>
    <x v="8"/>
    <x v="8"/>
    <s v="predicted"/>
    <n v="19070.648860000001"/>
    <n v="20327.224999999999"/>
    <n v="1256.5761399999999"/>
    <n v="8341.0823170000003"/>
    <n v="-16657.353190000002"/>
    <n v="33193.818630000002"/>
    <x v="1"/>
    <s v="Sep-2021"/>
  </r>
  <r>
    <x v="2"/>
    <s v="AGO"/>
    <x v="1"/>
    <x v="9"/>
    <x v="9"/>
    <s v="predicted"/>
    <n v="18942.398580000001"/>
    <n v="19600.074000000001"/>
    <n v="657.67541510000001"/>
    <n v="8998.757732"/>
    <n v="-16235.20883"/>
    <n v="34939.079270000002"/>
    <x v="1"/>
    <s v="Oct-2021"/>
  </r>
  <r>
    <x v="2"/>
    <s v="AGO"/>
    <x v="1"/>
    <x v="10"/>
    <x v="10"/>
    <s v="predicted"/>
    <n v="18997.66647"/>
    <n v="19462.207999999999"/>
    <n v="464.54153159999998"/>
    <n v="9463.2992630000008"/>
    <n v="-16229.0625"/>
    <n v="36958.492120000003"/>
    <x v="1"/>
    <s v="Nov-2021"/>
  </r>
  <r>
    <x v="2"/>
    <s v="AGO"/>
    <x v="1"/>
    <x v="11"/>
    <x v="11"/>
    <s v="predicted"/>
    <n v="19015.364399999999"/>
    <n v="20547.68"/>
    <n v="1532.315603"/>
    <n v="10995.614869999999"/>
    <n v="-16157.390880000001"/>
    <n v="37400.010869999998"/>
    <x v="1"/>
    <s v="Dec-2021"/>
  </r>
  <r>
    <x v="3"/>
    <s v="ALB"/>
    <x v="0"/>
    <x v="0"/>
    <x v="0"/>
    <s v="reported"/>
    <n v="2143.314249"/>
    <n v="2187"/>
    <n v="43.685750949999999"/>
    <n v="43.685750949999999"/>
    <n v="-88.286810610000003"/>
    <n v="169.19856580000001"/>
    <x v="2"/>
    <s v="Jan-2020"/>
  </r>
  <r>
    <x v="3"/>
    <s v="ALB"/>
    <x v="0"/>
    <x v="1"/>
    <x v="1"/>
    <s v="reported"/>
    <n v="2029.587219"/>
    <n v="2018"/>
    <n v="-11.58721858"/>
    <n v="32.098532370000001"/>
    <n v="-152.07310219999999"/>
    <n v="223.04410329999999"/>
    <x v="2"/>
    <s v="Feb-2020"/>
  </r>
  <r>
    <x v="3"/>
    <s v="ALB"/>
    <x v="0"/>
    <x v="2"/>
    <x v="2"/>
    <s v="reported"/>
    <n v="1909.877577"/>
    <n v="1993"/>
    <n v="83.122422529999994"/>
    <n v="115.2209549"/>
    <n v="-109.1953855"/>
    <n v="361.68447379999998"/>
    <x v="2"/>
    <s v="Mar-2020"/>
  </r>
  <r>
    <x v="3"/>
    <s v="ALB"/>
    <x v="0"/>
    <x v="3"/>
    <x v="3"/>
    <s v="reported"/>
    <n v="1745.4713879999999"/>
    <n v="1804"/>
    <n v="58.528611509999998"/>
    <n v="173.74956639999999"/>
    <n v="-77.935471919999998"/>
    <n v="440.75409250000001"/>
    <x v="2"/>
    <s v="Apr-2020"/>
  </r>
  <r>
    <x v="3"/>
    <s v="ALB"/>
    <x v="0"/>
    <x v="4"/>
    <x v="4"/>
    <s v="reported"/>
    <n v="1657.4053530000001"/>
    <n v="1803"/>
    <n v="145.59464700000001"/>
    <n v="319.3442134"/>
    <n v="43.902038959999999"/>
    <n v="609.56212619999997"/>
    <x v="2"/>
    <s v="May-2020"/>
  </r>
  <r>
    <x v="3"/>
    <s v="ALB"/>
    <x v="0"/>
    <x v="5"/>
    <x v="5"/>
    <s v="reported"/>
    <n v="1634.302743"/>
    <n v="1779"/>
    <n v="144.69725750000001"/>
    <n v="464.04147089999998"/>
    <n v="158.19421750000001"/>
    <n v="796.52759200000003"/>
    <x v="2"/>
    <s v="Jun-2020"/>
  </r>
  <r>
    <x v="3"/>
    <s v="ALB"/>
    <x v="0"/>
    <x v="6"/>
    <x v="6"/>
    <s v="reported"/>
    <n v="1706.421951"/>
    <n v="2166"/>
    <n v="459.57804900000002"/>
    <n v="923.6195199"/>
    <n v="586.93947230000003"/>
    <n v="1257.208875"/>
    <x v="2"/>
    <s v="Jul-2020"/>
  </r>
  <r>
    <x v="3"/>
    <s v="ALB"/>
    <x v="0"/>
    <x v="7"/>
    <x v="7"/>
    <s v="reported"/>
    <n v="1653.377514"/>
    <n v="2476"/>
    <n v="822.62248620000003"/>
    <n v="1746.2420059999999"/>
    <n v="1388.6852980000001"/>
    <n v="2090.5431560000002"/>
    <x v="2"/>
    <s v="Aug-2020"/>
  </r>
  <r>
    <x v="3"/>
    <s v="ALB"/>
    <x v="0"/>
    <x v="8"/>
    <x v="8"/>
    <s v="reported"/>
    <n v="1551.887025"/>
    <n v="1982"/>
    <n v="430.11297480000002"/>
    <n v="2176.354981"/>
    <n v="1805.6143770000001"/>
    <n v="2523.0196329999999"/>
    <x v="2"/>
    <s v="Sep-2020"/>
  </r>
  <r>
    <x v="3"/>
    <s v="ALB"/>
    <x v="0"/>
    <x v="9"/>
    <x v="9"/>
    <s v="reported"/>
    <n v="1609.6677689999999"/>
    <n v="2403"/>
    <n v="793.33223129999999"/>
    <n v="2969.6872119999998"/>
    <n v="2581.7640200000001"/>
    <n v="3348.755678"/>
    <x v="2"/>
    <s v="Oct-2020"/>
  </r>
  <r>
    <x v="3"/>
    <s v="ALB"/>
    <x v="0"/>
    <x v="10"/>
    <x v="10"/>
    <s v="reported"/>
    <n v="1814.92733"/>
    <n v="3854"/>
    <n v="2039.07267"/>
    <n v="5008.7598820000003"/>
    <n v="4590.5896339999999"/>
    <n v="5413.5404410000001"/>
    <x v="2"/>
    <s v="Nov-2020"/>
  </r>
  <r>
    <x v="3"/>
    <s v="ALB"/>
    <x v="0"/>
    <x v="11"/>
    <x v="11"/>
    <s v="reported"/>
    <n v="2133.0612759999999"/>
    <n v="3140"/>
    <n v="1006.938724"/>
    <n v="6015.6986059999999"/>
    <n v="5555.4405349999997"/>
    <n v="6457.7163389999996"/>
    <x v="2"/>
    <s v="Dec-2020"/>
  </r>
  <r>
    <x v="3"/>
    <s v="ALB"/>
    <x v="1"/>
    <x v="0"/>
    <x v="0"/>
    <s v="reported"/>
    <n v="2134.4341960000002"/>
    <n v="3002"/>
    <n v="867.48247100000003"/>
    <n v="6883.1810770000002"/>
    <n v="6411.5989890000001"/>
    <n v="7337.7680810000002"/>
    <x v="2"/>
    <s v="Jan-2021"/>
  </r>
  <r>
    <x v="3"/>
    <s v="ALB"/>
    <x v="1"/>
    <x v="1"/>
    <x v="1"/>
    <s v="reported"/>
    <n v="2028.1151070000001"/>
    <n v="3773"/>
    <n v="1744.8015600000001"/>
    <n v="8627.9826369999992"/>
    <n v="8122.8045339999999"/>
    <n v="9110.0929840000008"/>
    <x v="2"/>
    <s v="Feb-2021"/>
  </r>
  <r>
    <x v="3"/>
    <s v="ALB"/>
    <x v="1"/>
    <x v="2"/>
    <x v="2"/>
    <s v="reported"/>
    <n v="1900.440769"/>
    <n v="3447"/>
    <n v="1546.475897"/>
    <n v="10174.45853"/>
    <n v="9642.9397000000008"/>
    <n v="10683.751459999999"/>
    <x v="2"/>
    <s v="Mar-2021"/>
  </r>
  <r>
    <x v="3"/>
    <s v="ALB"/>
    <x v="1"/>
    <x v="3"/>
    <x v="3"/>
    <s v="reported"/>
    <n v="1733.9102889999999"/>
    <n v="2419"/>
    <n v="685.00637759999995"/>
    <n v="10859.464910000001"/>
    <n v="10330.14759"/>
    <n v="11423.159970000001"/>
    <x v="2"/>
    <s v="Apr-2021"/>
  </r>
  <r>
    <x v="3"/>
    <s v="ALB"/>
    <x v="1"/>
    <x v="4"/>
    <x v="4"/>
    <s v="reported"/>
    <n v="1643.4405750000001"/>
    <n v="1874"/>
    <n v="230.47609130000001"/>
    <n v="11089.941000000001"/>
    <n v="10540.42398"/>
    <n v="11651.40718"/>
    <x v="2"/>
    <s v="May-2021"/>
  </r>
  <r>
    <x v="3"/>
    <s v="ALB"/>
    <x v="1"/>
    <x v="5"/>
    <x v="5"/>
    <s v="reported"/>
    <n v="1627.7176649999999"/>
    <n v="1822"/>
    <n v="194.1990021"/>
    <n v="11284.140009999999"/>
    <n v="10707.302890000001"/>
    <n v="11858.465249999999"/>
    <x v="2"/>
    <s v="Jun-2021"/>
  </r>
  <r>
    <x v="3"/>
    <s v="ALB"/>
    <x v="1"/>
    <x v="6"/>
    <x v="6"/>
    <s v="reported"/>
    <n v="1699.863216"/>
    <n v="1820"/>
    <n v="120.0534509"/>
    <n v="11404.19346"/>
    <n v="10802.338449999999"/>
    <n v="11971.9378"/>
    <x v="2"/>
    <s v="Jul-2021"/>
  </r>
  <r>
    <x v="3"/>
    <s v="ALB"/>
    <x v="1"/>
    <x v="7"/>
    <x v="7"/>
    <s v="reported"/>
    <n v="1654.552514"/>
    <n v="2080"/>
    <n v="425.36415249999999"/>
    <n v="11829.55761"/>
    <n v="11244.57836"/>
    <n v="12429.277609999999"/>
    <x v="2"/>
    <s v="Aug-2021"/>
  </r>
  <r>
    <x v="3"/>
    <s v="ALB"/>
    <x v="1"/>
    <x v="8"/>
    <x v="8"/>
    <s v="reported"/>
    <n v="1536.9213520000001"/>
    <n v="2506"/>
    <n v="968.99531469999999"/>
    <n v="12798.55292"/>
    <n v="12175.520200000001"/>
    <n v="13420.99977"/>
    <x v="2"/>
    <s v="Sep-2021"/>
  </r>
  <r>
    <x v="3"/>
    <s v="ALB"/>
    <x v="1"/>
    <x v="9"/>
    <x v="9"/>
    <s v="reported"/>
    <n v="1601.2627729999999"/>
    <n v="2559"/>
    <n v="957.65389379999999"/>
    <n v="13756.206819999999"/>
    <n v="13149.71775"/>
    <n v="14389.38845"/>
    <x v="2"/>
    <s v="Oct-2021"/>
  </r>
  <r>
    <x v="3"/>
    <s v="ALB"/>
    <x v="1"/>
    <x v="10"/>
    <x v="10"/>
    <s v="reported"/>
    <n v="1805.4319370000001"/>
    <n v="2506"/>
    <n v="700.4847297"/>
    <n v="14456.69155"/>
    <n v="13835.943799999999"/>
    <n v="15124.13917"/>
    <x v="2"/>
    <s v="Nov-2021"/>
  </r>
  <r>
    <x v="3"/>
    <s v="ALB"/>
    <x v="1"/>
    <x v="11"/>
    <x v="11"/>
    <s v="reported"/>
    <n v="2126.7685689999998"/>
    <n v="2772"/>
    <n v="645.14809730000002"/>
    <n v="15101.83964"/>
    <n v="14443.25453"/>
    <n v="15780.70377"/>
    <x v="2"/>
    <s v="Dec-2021"/>
  </r>
  <r>
    <x v="4"/>
    <s v="AND"/>
    <x v="0"/>
    <x v="0"/>
    <x v="0"/>
    <s v="reported"/>
    <n v="54.716486340000003"/>
    <n v="63"/>
    <n v="8.2835136610000006"/>
    <n v="8.2835136610000006"/>
    <n v="0.38211694000000002"/>
    <n v="16.029479429999999"/>
    <x v="3"/>
    <s v="Jan-2020"/>
  </r>
  <r>
    <x v="4"/>
    <s v="AND"/>
    <x v="0"/>
    <x v="1"/>
    <x v="1"/>
    <s v="reported"/>
    <n v="54.399549290000003"/>
    <n v="68"/>
    <n v="13.60045071"/>
    <n v="21.883964370000001"/>
    <n v="9.8338377159999997"/>
    <n v="32.371862470000003"/>
    <x v="3"/>
    <s v="Feb-2020"/>
  </r>
  <r>
    <x v="4"/>
    <s v="AND"/>
    <x v="0"/>
    <x v="2"/>
    <x v="2"/>
    <s v="reported"/>
    <n v="52.160500640000002"/>
    <n v="74"/>
    <n v="21.839499360000001"/>
    <n v="43.723463729999999"/>
    <n v="28.841292939999999"/>
    <n v="57.656414390000002"/>
    <x v="3"/>
    <s v="Mar-2020"/>
  </r>
  <r>
    <x v="4"/>
    <s v="AND"/>
    <x v="0"/>
    <x v="3"/>
    <x v="3"/>
    <s v="reported"/>
    <n v="48.444327100000002"/>
    <n v="111"/>
    <n v="62.555672899999998"/>
    <n v="106.2791366"/>
    <n v="89.959809890000002"/>
    <n v="121.8913599"/>
    <x v="3"/>
    <s v="Apr-2020"/>
  </r>
  <r>
    <x v="4"/>
    <s v="AND"/>
    <x v="0"/>
    <x v="4"/>
    <x v="4"/>
    <s v="reported"/>
    <n v="45.787039530000001"/>
    <n v="66"/>
    <n v="20.212960469999999"/>
    <n v="126.4920971"/>
    <n v="107.5764259"/>
    <n v="143.2918142"/>
    <x v="3"/>
    <s v="May-2020"/>
  </r>
  <r>
    <x v="4"/>
    <s v="AND"/>
    <x v="0"/>
    <x v="5"/>
    <x v="5"/>
    <s v="reported"/>
    <n v="45.60769243"/>
    <n v="48"/>
    <n v="2.392307572"/>
    <n v="128.8844047"/>
    <n v="107.6524241"/>
    <n v="147.86221829999999"/>
    <x v="3"/>
    <s v="Jun-2020"/>
  </r>
  <r>
    <x v="4"/>
    <s v="AND"/>
    <x v="0"/>
    <x v="6"/>
    <x v="6"/>
    <s v="reported"/>
    <n v="46.167561059999997"/>
    <n v="53"/>
    <n v="6.8324389419999996"/>
    <n v="135.7168436"/>
    <n v="112.4100631"/>
    <n v="156.5156661"/>
    <x v="3"/>
    <s v="Jul-2020"/>
  </r>
  <r>
    <x v="4"/>
    <s v="AND"/>
    <x v="0"/>
    <x v="7"/>
    <x v="7"/>
    <s v="reported"/>
    <n v="46.856673710000003"/>
    <n v="35"/>
    <n v="-11.856673710000001"/>
    <n v="123.8601699"/>
    <n v="99.301367999999997"/>
    <n v="145.35299520000001"/>
    <x v="3"/>
    <s v="Aug-2020"/>
  </r>
  <r>
    <x v="4"/>
    <s v="AND"/>
    <x v="0"/>
    <x v="8"/>
    <x v="8"/>
    <s v="reported"/>
    <n v="48.37472271"/>
    <n v="50"/>
    <n v="1.625277286"/>
    <n v="125.4854472"/>
    <n v="100.62894470000001"/>
    <n v="148.15684630000001"/>
    <x v="3"/>
    <s v="Sep-2020"/>
  </r>
  <r>
    <x v="4"/>
    <s v="AND"/>
    <x v="0"/>
    <x v="9"/>
    <x v="9"/>
    <s v="reported"/>
    <n v="50.564009050000003"/>
    <n v="94"/>
    <n v="43.435990949999997"/>
    <n v="168.92143809999999"/>
    <n v="143.77126730000001"/>
    <n v="194.3157372"/>
    <x v="3"/>
    <s v="Oct-2020"/>
  </r>
  <r>
    <x v="4"/>
    <s v="AND"/>
    <x v="0"/>
    <x v="10"/>
    <x v="10"/>
    <s v="reported"/>
    <n v="53.423045700000003"/>
    <n v="35"/>
    <n v="-18.423045699999999"/>
    <n v="150.4983924"/>
    <n v="122.4215707"/>
    <n v="178.37949939999999"/>
    <x v="3"/>
    <s v="Nov-2020"/>
  </r>
  <r>
    <x v="4"/>
    <s v="AND"/>
    <x v="0"/>
    <x v="11"/>
    <x v="11"/>
    <s v="reported"/>
    <n v="55.476805570000003"/>
    <n v="76"/>
    <n v="20.52319443"/>
    <n v="171.02158689999999"/>
    <n v="141.11911470000001"/>
    <n v="199.008533"/>
    <x v="3"/>
    <s v="Dec-2020"/>
  </r>
  <r>
    <x v="4"/>
    <s v="AND"/>
    <x v="1"/>
    <x v="0"/>
    <x v="0"/>
    <s v="reported"/>
    <n v="56.021232789999999"/>
    <n v="96"/>
    <n v="39.978767210000001"/>
    <n v="211.00035410000001"/>
    <n v="180.78364569999999"/>
    <n v="241.7824162"/>
    <x v="3"/>
    <s v="Jan-2021"/>
  </r>
  <r>
    <x v="4"/>
    <s v="AND"/>
    <x v="1"/>
    <x v="1"/>
    <x v="1"/>
    <s v="reported"/>
    <n v="55.966918640000003"/>
    <n v="66"/>
    <n v="10.033081360000001"/>
    <n v="221.0334355"/>
    <n v="186.88019170000001"/>
    <n v="253.21359659999999"/>
    <x v="3"/>
    <s v="Feb-2021"/>
  </r>
  <r>
    <x v="4"/>
    <s v="AND"/>
    <x v="1"/>
    <x v="2"/>
    <x v="2"/>
    <s v="reported"/>
    <n v="53.508940119999998"/>
    <n v="48"/>
    <n v="-5.5089401220000003"/>
    <n v="215.52449530000001"/>
    <n v="179.67749660000001"/>
    <n v="248.93551400000001"/>
    <x v="3"/>
    <s v="Mar-2021"/>
  </r>
  <r>
    <x v="4"/>
    <s v="AND"/>
    <x v="1"/>
    <x v="3"/>
    <x v="3"/>
    <s v="reported"/>
    <n v="49.523580019999997"/>
    <n v="79"/>
    <n v="29.476419979999999"/>
    <n v="245.0009153"/>
    <n v="209.497863"/>
    <n v="280.38590210000001"/>
    <x v="3"/>
    <s v="Apr-2021"/>
  </r>
  <r>
    <x v="4"/>
    <s v="AND"/>
    <x v="1"/>
    <x v="4"/>
    <x v="4"/>
    <s v="reported"/>
    <n v="47.487346619999997"/>
    <n v="59"/>
    <n v="11.51265338"/>
    <n v="256.51356870000001"/>
    <n v="218.9125386"/>
    <n v="294.36948940000002"/>
    <x v="3"/>
    <s v="May-2021"/>
  </r>
  <r>
    <x v="4"/>
    <s v="AND"/>
    <x v="1"/>
    <x v="5"/>
    <x v="5"/>
    <s v="reported"/>
    <n v="46.942772050000002"/>
    <n v="35"/>
    <n v="-11.94277205"/>
    <n v="244.57079659999999"/>
    <n v="204.73496499999999"/>
    <n v="281.52300930000001"/>
    <x v="3"/>
    <s v="Jun-2021"/>
  </r>
  <r>
    <x v="4"/>
    <s v="AND"/>
    <x v="1"/>
    <x v="6"/>
    <x v="6"/>
    <s v="reported"/>
    <n v="46.80605542"/>
    <n v="53"/>
    <n v="6.1939445800000001"/>
    <n v="250.7647412"/>
    <n v="210.47944010000001"/>
    <n v="289.43139480000002"/>
    <x v="3"/>
    <s v="Jul-2021"/>
  </r>
  <r>
    <x v="4"/>
    <s v="AND"/>
    <x v="1"/>
    <x v="7"/>
    <x v="7"/>
    <s v="reported"/>
    <n v="47.915627860000001"/>
    <n v="52"/>
    <n v="4.0843721410000002"/>
    <n v="254.84911339999999"/>
    <n v="213.66176279999999"/>
    <n v="294.97979759999998"/>
    <x v="3"/>
    <s v="Aug-2021"/>
  </r>
  <r>
    <x v="4"/>
    <s v="AND"/>
    <x v="1"/>
    <x v="8"/>
    <x v="8"/>
    <s v="reported"/>
    <n v="49.491608579999998"/>
    <n v="48"/>
    <n v="-1.491608579"/>
    <n v="253.35750479999999"/>
    <n v="211.28701319999999"/>
    <n v="294.47893979999998"/>
    <x v="3"/>
    <s v="Sep-2021"/>
  </r>
  <r>
    <x v="4"/>
    <s v="AND"/>
    <x v="1"/>
    <x v="9"/>
    <x v="9"/>
    <s v="reported"/>
    <n v="51.724913430000001"/>
    <n v="50"/>
    <n v="-1.7249134260000001"/>
    <n v="251.6325914"/>
    <n v="209.17405059999999"/>
    <n v="293.39931159999998"/>
    <x v="3"/>
    <s v="Oct-2021"/>
  </r>
  <r>
    <x v="4"/>
    <s v="AND"/>
    <x v="1"/>
    <x v="10"/>
    <x v="10"/>
    <s v="reported"/>
    <n v="54.861708780000001"/>
    <n v="48"/>
    <n v="-6.8617087760000004"/>
    <n v="244.77088259999999"/>
    <n v="201.02534689999999"/>
    <n v="287.21453289999999"/>
    <x v="3"/>
    <s v="Nov-2021"/>
  </r>
  <r>
    <x v="4"/>
    <s v="AND"/>
    <x v="1"/>
    <x v="11"/>
    <x v="11"/>
    <s v="reported"/>
    <n v="57.332767220000001"/>
    <n v="78"/>
    <n v="20.667232779999999"/>
    <n v="265.43811540000002"/>
    <n v="221.60140630000001"/>
    <n v="310.20867500000003"/>
    <x v="3"/>
    <s v="Dec-2021"/>
  </r>
  <r>
    <x v="5"/>
    <s v="ARE"/>
    <x v="0"/>
    <x v="0"/>
    <x v="0"/>
    <s v="reported"/>
    <n v="1567.2159710000001"/>
    <n v="1467"/>
    <n v="-100.5460389"/>
    <n v="-100.5460389"/>
    <n v="-155.21814660000001"/>
    <n v="-44.127053400000001"/>
    <x v="4"/>
    <s v="Jan-2020"/>
  </r>
  <r>
    <x v="5"/>
    <s v="ARE"/>
    <x v="0"/>
    <x v="1"/>
    <x v="1"/>
    <s v="reported"/>
    <n v="1564.5836099999999"/>
    <n v="1318"/>
    <n v="-246.91367790000001"/>
    <n v="-347.45971680000002"/>
    <n v="-437.06414840000002"/>
    <n v="-258.11775740000002"/>
    <x v="4"/>
    <s v="Feb-2020"/>
  </r>
  <r>
    <x v="5"/>
    <s v="ARE"/>
    <x v="0"/>
    <x v="2"/>
    <x v="2"/>
    <s v="reported"/>
    <n v="1524.6677480000001"/>
    <n v="1289"/>
    <n v="-235.99781569999999"/>
    <n v="-583.45753249999996"/>
    <n v="-696.14903760000004"/>
    <n v="-472.44898180000001"/>
    <x v="4"/>
    <s v="Mar-2020"/>
  </r>
  <r>
    <x v="5"/>
    <s v="ARE"/>
    <x v="0"/>
    <x v="3"/>
    <x v="3"/>
    <s v="reported"/>
    <n v="1471.0386209999999"/>
    <n v="2107"/>
    <n v="635.63131169999997"/>
    <n v="52.173779260000003"/>
    <n v="-75.192936709999998"/>
    <n v="180.9062462"/>
    <x v="4"/>
    <s v="Apr-2020"/>
  </r>
  <r>
    <x v="5"/>
    <s v="ARE"/>
    <x v="0"/>
    <x v="4"/>
    <x v="4"/>
    <s v="reported"/>
    <n v="1439.4179690000001"/>
    <n v="3164"/>
    <n v="1724.2519629999999"/>
    <n v="1776.4257419999999"/>
    <n v="1623.3005410000001"/>
    <n v="1924.379486"/>
    <x v="4"/>
    <s v="May-2020"/>
  </r>
  <r>
    <x v="5"/>
    <s v="ARE"/>
    <x v="0"/>
    <x v="5"/>
    <x v="5"/>
    <s v="reported"/>
    <n v="1433.9082000000001"/>
    <n v="2101"/>
    <n v="666.76173240000003"/>
    <n v="2443.1874750000002"/>
    <n v="2280.1718209999999"/>
    <n v="2600.339966"/>
    <x v="4"/>
    <s v="Jun-2020"/>
  </r>
  <r>
    <x v="5"/>
    <s v="ARE"/>
    <x v="0"/>
    <x v="6"/>
    <x v="6"/>
    <s v="reported"/>
    <n v="1433.922444"/>
    <n v="1548"/>
    <n v="113.7474883"/>
    <n v="2556.9349630000002"/>
    <n v="2384.6087120000002"/>
    <n v="2732.3035839999998"/>
    <x v="4"/>
    <s v="Jul-2020"/>
  </r>
  <r>
    <x v="5"/>
    <s v="ARE"/>
    <x v="0"/>
    <x v="7"/>
    <x v="7"/>
    <s v="reported"/>
    <n v="1432.8196069999999"/>
    <n v="1491"/>
    <n v="57.850325009999999"/>
    <n v="2614.785288"/>
    <n v="2430.145888"/>
    <n v="2796.8206319999999"/>
    <x v="4"/>
    <s v="Aug-2020"/>
  </r>
  <r>
    <x v="5"/>
    <s v="ARE"/>
    <x v="0"/>
    <x v="8"/>
    <x v="8"/>
    <s v="reported"/>
    <n v="1444.530336"/>
    <n v="1429"/>
    <n v="-15.86040354"/>
    <n v="2598.924884"/>
    <n v="2392.5080579999999"/>
    <n v="2789.9077130000001"/>
    <x v="4"/>
    <s v="Sep-2020"/>
  </r>
  <r>
    <x v="1"/>
    <s v="ARE"/>
    <x v="0"/>
    <x v="9"/>
    <x v="9"/>
    <s v="reported"/>
    <n v="1475.768994"/>
    <n v="1425"/>
    <n v="-51.099061900000002"/>
    <n v="2547.8258230000001"/>
    <n v="2334.9842840000001"/>
    <n v="2752.9480039999999"/>
    <x v="4"/>
    <s v="Oct-2020"/>
  </r>
  <r>
    <x v="5"/>
    <s v="ARE"/>
    <x v="0"/>
    <x v="10"/>
    <x v="10"/>
    <s v="reported"/>
    <n v="1536.5302469999999"/>
    <n v="1617"/>
    <n v="80.139685060000005"/>
    <n v="2627.9655080000002"/>
    <n v="2411.075405"/>
    <n v="2842.420451"/>
    <x v="4"/>
    <s v="Nov-2020"/>
  </r>
  <r>
    <x v="5"/>
    <s v="ARE"/>
    <x v="0"/>
    <x v="11"/>
    <x v="11"/>
    <s v="reported"/>
    <n v="1581.0885499999999"/>
    <n v="1548"/>
    <n v="-33.418617769999997"/>
    <n v="2594.5468900000001"/>
    <n v="2363.2635340000002"/>
    <n v="2838.8612899999998"/>
    <x v="4"/>
    <s v="Dec-2020"/>
  </r>
  <r>
    <x v="5"/>
    <s v="ARE"/>
    <x v="1"/>
    <x v="0"/>
    <x v="0"/>
    <s v="predicted"/>
    <n v="1584.760824"/>
    <n v="1673.9169999999999"/>
    <n v="89.156175809999993"/>
    <n v="2683.703066"/>
    <n v="2182.4522619999998"/>
    <n v="3271.543741"/>
    <x v="4"/>
    <s v="Jan-2021"/>
  </r>
  <r>
    <x v="5"/>
    <s v="ARE"/>
    <x v="1"/>
    <x v="1"/>
    <x v="1"/>
    <s v="predicted"/>
    <n v="1580.6815799999999"/>
    <n v="1719.375"/>
    <n v="138.6934196"/>
    <n v="2822.3964850000002"/>
    <n v="2083.0079569999998"/>
    <n v="3627.581502"/>
    <x v="4"/>
    <s v="Feb-2021"/>
  </r>
  <r>
    <x v="5"/>
    <s v="ARE"/>
    <x v="1"/>
    <x v="2"/>
    <x v="2"/>
    <s v="predicted"/>
    <n v="1538.968028"/>
    <n v="1685.845"/>
    <n v="146.87697170000001"/>
    <n v="2969.2734569999998"/>
    <n v="2041.635219"/>
    <n v="4052.2518340000001"/>
    <x v="4"/>
    <s v="Mar-2021"/>
  </r>
  <r>
    <x v="5"/>
    <s v="ARE"/>
    <x v="1"/>
    <x v="3"/>
    <x v="3"/>
    <s v="predicted"/>
    <n v="1482.0765060000001"/>
    <n v="1589.5170000000001"/>
    <n v="107.4404943"/>
    <n v="3076.7139510000002"/>
    <n v="2003.7382170000001"/>
    <n v="4315.2616200000002"/>
    <x v="4"/>
    <s v="Apr-2021"/>
  </r>
  <r>
    <x v="5"/>
    <s v="ARE"/>
    <x v="1"/>
    <x v="4"/>
    <x v="4"/>
    <s v="predicted"/>
    <n v="1453.3074859999999"/>
    <n v="1626.192"/>
    <n v="172.88451449999999"/>
    <n v="3249.5984659999999"/>
    <n v="2004.200842"/>
    <n v="4602.4495420000003"/>
    <x v="4"/>
    <s v="May-2021"/>
  </r>
  <r>
    <x v="5"/>
    <s v="ARE"/>
    <x v="1"/>
    <x v="5"/>
    <x v="5"/>
    <s v="predicted"/>
    <n v="1448.4344639999999"/>
    <n v="1716.1949999999999"/>
    <n v="267.76053589999998"/>
    <n v="3517.3590020000001"/>
    <n v="2197.6985119999999"/>
    <n v="5042.0547640000004"/>
    <x v="4"/>
    <s v="Jun-2021"/>
  </r>
  <r>
    <x v="5"/>
    <s v="ARE"/>
    <x v="1"/>
    <x v="6"/>
    <x v="6"/>
    <s v="predicted"/>
    <n v="1445.2866180000001"/>
    <n v="1775.0050000000001"/>
    <n v="329.71838209999999"/>
    <n v="3847.0773840000002"/>
    <n v="2309.264831"/>
    <n v="5546.2747440000003"/>
    <x v="4"/>
    <s v="Jul-2021"/>
  </r>
  <r>
    <x v="5"/>
    <s v="ARE"/>
    <x v="1"/>
    <x v="7"/>
    <x v="7"/>
    <s v="predicted"/>
    <n v="1448.0820719999999"/>
    <n v="1749.268"/>
    <n v="301.18592849999999"/>
    <n v="4148.263312"/>
    <n v="2517.455379"/>
    <n v="6012.8974909999997"/>
    <x v="4"/>
    <s v="Aug-2021"/>
  </r>
  <r>
    <x v="5"/>
    <s v="ARE"/>
    <x v="1"/>
    <x v="8"/>
    <x v="8"/>
    <s v="predicted"/>
    <n v="1459.152018"/>
    <n v="1694.1010000000001"/>
    <n v="234.94898230000001"/>
    <n v="4383.2122939999999"/>
    <n v="2667.1718030000002"/>
    <n v="6373.1995370000004"/>
    <x v="4"/>
    <s v="Sep-2021"/>
  </r>
  <r>
    <x v="5"/>
    <s v="ARE"/>
    <x v="1"/>
    <x v="9"/>
    <x v="9"/>
    <s v="predicted"/>
    <n v="1489.5186610000001"/>
    <n v="1658.538"/>
    <n v="169.0193395"/>
    <n v="4552.2316339999998"/>
    <n v="2720.620038"/>
    <n v="6704.6797269999997"/>
    <x v="4"/>
    <s v="Oct-2021"/>
  </r>
  <r>
    <x v="5"/>
    <s v="ARE"/>
    <x v="1"/>
    <x v="10"/>
    <x v="10"/>
    <s v="predicted"/>
    <n v="1547.4082249999999"/>
    <n v="1672.5029999999999"/>
    <n v="125.0947747"/>
    <n v="4677.3264090000002"/>
    <n v="2730.091363"/>
    <n v="7039.8444730000001"/>
    <x v="4"/>
    <s v="Nov-2021"/>
  </r>
  <r>
    <x v="5"/>
    <s v="ARE"/>
    <x v="1"/>
    <x v="11"/>
    <x v="11"/>
    <s v="predicted"/>
    <n v="1601.749722"/>
    <n v="1769.453"/>
    <n v="167.70327800000001"/>
    <n v="4845.0296870000002"/>
    <n v="2723.3779450000002"/>
    <n v="7340.1832949999998"/>
    <x v="4"/>
    <s v="Dec-2021"/>
  </r>
  <r>
    <x v="6"/>
    <s v="ARG"/>
    <x v="0"/>
    <x v="0"/>
    <x v="0"/>
    <s v="reported"/>
    <n v="26281.688249999999"/>
    <n v="25840"/>
    <n v="-442.18825120000002"/>
    <n v="-442.18825120000002"/>
    <n v="-1319.5794719999999"/>
    <n v="453.8651352"/>
    <x v="5"/>
    <s v="Jan-2020"/>
  </r>
  <r>
    <x v="6"/>
    <s v="ARG"/>
    <x v="0"/>
    <x v="1"/>
    <x v="1"/>
    <s v="reported"/>
    <n v="24622.631450000001"/>
    <n v="24375"/>
    <n v="-248.1314544"/>
    <n v="-690.31970560000002"/>
    <n v="-1981.1798570000001"/>
    <n v="605.08862280000005"/>
    <x v="5"/>
    <s v="Feb-2020"/>
  </r>
  <r>
    <x v="6"/>
    <s v="ARG"/>
    <x v="0"/>
    <x v="2"/>
    <x v="2"/>
    <s v="reported"/>
    <n v="25466.99639"/>
    <n v="26042"/>
    <n v="574.50361410000005"/>
    <n v="-115.8160915"/>
    <n v="-1818.4647689999999"/>
    <n v="1598.158034"/>
    <x v="5"/>
    <s v="Mar-2020"/>
  </r>
  <r>
    <x v="6"/>
    <s v="ARG"/>
    <x v="0"/>
    <x v="3"/>
    <x v="3"/>
    <s v="reported"/>
    <n v="26382.97596"/>
    <n v="24911"/>
    <n v="-1472.475958"/>
    <n v="-1588.29205"/>
    <n v="-3920.5939990000002"/>
    <n v="512.48719860000006"/>
    <x v="5"/>
    <s v="Apr-2020"/>
  </r>
  <r>
    <x v="6"/>
    <s v="ARG"/>
    <x v="0"/>
    <x v="4"/>
    <x v="4"/>
    <s v="reported"/>
    <n v="29399.198110000001"/>
    <n v="26897"/>
    <n v="-2502.6981099999998"/>
    <n v="-4090.9901589999999"/>
    <n v="-6733.5651790000002"/>
    <n v="-1682.2116510000001"/>
    <x v="5"/>
    <s v="May-2020"/>
  </r>
  <r>
    <x v="6"/>
    <s v="ARG"/>
    <x v="0"/>
    <x v="5"/>
    <x v="5"/>
    <s v="reported"/>
    <n v="33103.32071"/>
    <n v="28335"/>
    <n v="-4768.8207069999999"/>
    <n v="-8859.8108670000001"/>
    <n v="-11949.85391"/>
    <n v="-6017.6251940000002"/>
    <x v="5"/>
    <s v="Jun-2020"/>
  </r>
  <r>
    <x v="6"/>
    <s v="ARG"/>
    <x v="0"/>
    <x v="6"/>
    <x v="6"/>
    <s v="reported"/>
    <n v="34286.263509999997"/>
    <n v="35310"/>
    <n v="1023.236488"/>
    <n v="-7836.5743789999997"/>
    <n v="-11217.02679"/>
    <n v="-4521.8156429999999"/>
    <x v="5"/>
    <s v="Jul-2020"/>
  </r>
  <r>
    <x v="6"/>
    <s v="ARG"/>
    <x v="0"/>
    <x v="7"/>
    <x v="7"/>
    <s v="reported"/>
    <n v="32029.507860000002"/>
    <n v="37192"/>
    <n v="5161.9921400000003"/>
    <n v="-2674.5822389999998"/>
    <n v="-6406.1665650000004"/>
    <n v="901.07412599999998"/>
    <x v="5"/>
    <s v="Aug-2020"/>
  </r>
  <r>
    <x v="6"/>
    <s v="ARG"/>
    <x v="0"/>
    <x v="8"/>
    <x v="8"/>
    <s v="reported"/>
    <n v="29500.967670000002"/>
    <n v="40513"/>
    <n v="11011.53233"/>
    <n v="8336.9500939999998"/>
    <n v="4787.7001630000004"/>
    <n v="12094.36807"/>
    <x v="5"/>
    <s v="Sep-2020"/>
  </r>
  <r>
    <x v="6"/>
    <s v="ARG"/>
    <x v="0"/>
    <x v="9"/>
    <x v="9"/>
    <s v="reported"/>
    <n v="27835.194449999999"/>
    <n v="40911"/>
    <n v="13075.305549999999"/>
    <n v="21412.255639999999"/>
    <n v="17411.92844"/>
    <n v="25468.700580000001"/>
    <x v="5"/>
    <s v="Oct-2020"/>
  </r>
  <r>
    <x v="6"/>
    <s v="ARG"/>
    <x v="0"/>
    <x v="10"/>
    <x v="10"/>
    <s v="reported"/>
    <n v="26236.259129999999"/>
    <n v="34865"/>
    <n v="8628.2408670000004"/>
    <n v="30040.496510000001"/>
    <n v="25847.300139999999"/>
    <n v="34262.997739999999"/>
    <x v="5"/>
    <s v="Nov-2020"/>
  </r>
  <r>
    <x v="6"/>
    <s v="ARG"/>
    <x v="0"/>
    <x v="11"/>
    <x v="11"/>
    <s v="reported"/>
    <n v="26242.038690000001"/>
    <n v="32043"/>
    <n v="5800.4613120000004"/>
    <n v="35840.957820000003"/>
    <n v="31428.46211"/>
    <n v="40196.930039999999"/>
    <x v="5"/>
    <s v="Dec-2020"/>
  </r>
  <r>
    <x v="6"/>
    <s v="ARG"/>
    <x v="1"/>
    <x v="0"/>
    <x v="0"/>
    <s v="reported"/>
    <n v="26274.98965"/>
    <n v="34698"/>
    <n v="8420.4270159999996"/>
    <n v="44261.384839999999"/>
    <n v="39656.80098"/>
    <n v="48819.667909999996"/>
    <x v="5"/>
    <s v="Jan-2021"/>
  </r>
  <r>
    <x v="6"/>
    <s v="ARG"/>
    <x v="1"/>
    <x v="1"/>
    <x v="1"/>
    <s v="reported"/>
    <n v="24625.846949999999"/>
    <n v="29482"/>
    <n v="4853.5697190000001"/>
    <n v="49114.954550000002"/>
    <n v="44281.076910000003"/>
    <n v="53760.042399999998"/>
    <x v="5"/>
    <s v="Feb-2021"/>
  </r>
  <r>
    <x v="6"/>
    <s v="ARG"/>
    <x v="1"/>
    <x v="2"/>
    <x v="2"/>
    <s v="reported"/>
    <n v="25490.500980000001"/>
    <n v="32055"/>
    <n v="6561.9156919999996"/>
    <n v="55676.87025"/>
    <n v="50884.218260000001"/>
    <n v="60643.995340000001"/>
    <x v="5"/>
    <s v="Mar-2021"/>
  </r>
  <r>
    <x v="6"/>
    <s v="ARG"/>
    <x v="1"/>
    <x v="3"/>
    <x v="3"/>
    <s v="reported"/>
    <n v="26360.356019999999"/>
    <n v="40056"/>
    <n v="13693.060649999999"/>
    <n v="69369.930890000003"/>
    <n v="64380.147060000003"/>
    <n v="74511.180850000004"/>
    <x v="5"/>
    <s v="Apr-2021"/>
  </r>
  <r>
    <x v="6"/>
    <s v="ARG"/>
    <x v="1"/>
    <x v="4"/>
    <x v="4"/>
    <s v="reported"/>
    <n v="29388.781800000001"/>
    <n v="51612"/>
    <n v="22220.634870000002"/>
    <n v="91590.565759999998"/>
    <n v="86482.729330000002"/>
    <n v="96920.543109999999"/>
    <x v="5"/>
    <s v="May-2021"/>
  </r>
  <r>
    <x v="6"/>
    <s v="ARG"/>
    <x v="1"/>
    <x v="5"/>
    <x v="5"/>
    <s v="reported"/>
    <n v="33132.621350000001"/>
    <n v="51214"/>
    <n v="18078.795310000001"/>
    <n v="109669.36109999999"/>
    <n v="104626.9724"/>
    <n v="115306.9847"/>
    <x v="5"/>
    <s v="Jun-2021"/>
  </r>
  <r>
    <x v="6"/>
    <s v="ARG"/>
    <x v="1"/>
    <x v="6"/>
    <x v="6"/>
    <s v="reported"/>
    <n v="34295.672550000003"/>
    <n v="44006"/>
    <n v="9707.7441120000003"/>
    <n v="119377.10520000001"/>
    <n v="113918.1113"/>
    <n v="125390.0013"/>
    <x v="5"/>
    <s v="Jul-2021"/>
  </r>
  <r>
    <x v="6"/>
    <s v="ARG"/>
    <x v="1"/>
    <x v="7"/>
    <x v="7"/>
    <s v="reported"/>
    <n v="32003.498739999999"/>
    <n v="37125"/>
    <n v="5118.9179240000003"/>
    <n v="124496.02310000001"/>
    <n v="118708.273"/>
    <n v="130780.78320000001"/>
    <x v="5"/>
    <s v="Aug-2021"/>
  </r>
  <r>
    <x v="6"/>
    <s v="ARG"/>
    <x v="1"/>
    <x v="8"/>
    <x v="8"/>
    <s v="reported"/>
    <n v="29505.54883"/>
    <n v="29428"/>
    <n v="-80.132168300000004"/>
    <n v="124415.8909"/>
    <n v="118795.0028"/>
    <n v="130750.93730000001"/>
    <x v="5"/>
    <s v="Sep-2021"/>
  </r>
  <r>
    <x v="6"/>
    <s v="ARG"/>
    <x v="1"/>
    <x v="9"/>
    <x v="9"/>
    <s v="reported"/>
    <n v="27831.091649999998"/>
    <n v="28978"/>
    <n v="1144.325012"/>
    <n v="125560.216"/>
    <n v="119625.47560000001"/>
    <n v="132340.49919999999"/>
    <x v="5"/>
    <s v="Oct-2021"/>
  </r>
  <r>
    <x v="6"/>
    <s v="ARG"/>
    <x v="1"/>
    <x v="10"/>
    <x v="10"/>
    <s v="reported"/>
    <n v="26216.807789999999"/>
    <n v="27041"/>
    <n v="821.60887430000002"/>
    <n v="126381.8248"/>
    <n v="120315.2164"/>
    <n v="133233.69039999999"/>
    <x v="5"/>
    <s v="Nov-2021"/>
  </r>
  <r>
    <x v="6"/>
    <s v="ARG"/>
    <x v="1"/>
    <x v="11"/>
    <x v="11"/>
    <s v="reported"/>
    <n v="26265.360830000001"/>
    <n v="26546"/>
    <n v="278.05583460000003"/>
    <n v="126659.88069999999"/>
    <n v="120085.80590000001"/>
    <n v="133331.01730000001"/>
    <x v="5"/>
    <s v="Dec-2021"/>
  </r>
  <r>
    <x v="7"/>
    <s v="ARM"/>
    <x v="0"/>
    <x v="0"/>
    <x v="0"/>
    <s v="reported"/>
    <n v="2411.454577"/>
    <n v="2567"/>
    <n v="153.9620894"/>
    <n v="153.9620894"/>
    <n v="25.609962110000001"/>
    <n v="269.06524919999998"/>
    <x v="6"/>
    <s v="Jan-2020"/>
  </r>
  <r>
    <x v="7"/>
    <s v="ARM"/>
    <x v="0"/>
    <x v="1"/>
    <x v="1"/>
    <s v="reported"/>
    <n v="2297.1447109999999"/>
    <n v="2434"/>
    <n v="135.2719558"/>
    <n v="289.23404520000003"/>
    <n v="102.66462199999999"/>
    <n v="467.44373899999999"/>
    <x v="6"/>
    <s v="Feb-2020"/>
  </r>
  <r>
    <x v="7"/>
    <s v="ARM"/>
    <x v="0"/>
    <x v="2"/>
    <x v="2"/>
    <s v="reported"/>
    <n v="2233.5727310000002"/>
    <n v="2288"/>
    <n v="52.843935969999997"/>
    <n v="342.07798120000001"/>
    <n v="113.5701961"/>
    <n v="562.6435358"/>
    <x v="6"/>
    <s v="Mar-2020"/>
  </r>
  <r>
    <x v="7"/>
    <s v="ARM"/>
    <x v="0"/>
    <x v="3"/>
    <x v="3"/>
    <s v="reported"/>
    <n v="2116.4973879999998"/>
    <n v="2156"/>
    <n v="37.919278660000003"/>
    <n v="379.99725990000002"/>
    <n v="132.068231"/>
    <n v="631.7760528"/>
    <x v="6"/>
    <s v="Apr-2020"/>
  </r>
  <r>
    <x v="7"/>
    <s v="ARM"/>
    <x v="0"/>
    <x v="4"/>
    <x v="4"/>
    <s v="reported"/>
    <n v="2067.5980960000002"/>
    <n v="2103"/>
    <n v="33.818570989999998"/>
    <n v="413.81583089999998"/>
    <n v="119.2895979"/>
    <n v="697.79304909999996"/>
    <x v="6"/>
    <s v="May-2020"/>
  </r>
  <r>
    <x v="7"/>
    <s v="ARM"/>
    <x v="0"/>
    <x v="5"/>
    <x v="5"/>
    <s v="reported"/>
    <n v="1985.373572"/>
    <n v="2869"/>
    <n v="882.04309490000003"/>
    <n v="1295.8589260000001"/>
    <n v="1002.599472"/>
    <n v="1598.076505"/>
    <x v="6"/>
    <s v="Jun-2020"/>
  </r>
  <r>
    <x v="7"/>
    <s v="ARM"/>
    <x v="0"/>
    <x v="6"/>
    <x v="6"/>
    <s v="reported"/>
    <n v="1990.075621"/>
    <n v="2719"/>
    <n v="727.34104579999996"/>
    <n v="2023.1999719999999"/>
    <n v="1699.850218"/>
    <n v="2346.90119"/>
    <x v="6"/>
    <s v="Jul-2020"/>
  </r>
  <r>
    <x v="7"/>
    <s v="ARM"/>
    <x v="0"/>
    <x v="7"/>
    <x v="7"/>
    <s v="reported"/>
    <n v="1903.7221400000001"/>
    <n v="2106"/>
    <n v="200.69452699999999"/>
    <n v="2223.894499"/>
    <n v="1892.700057"/>
    <n v="2561.2866020000001"/>
    <x v="6"/>
    <s v="Aug-2020"/>
  </r>
  <r>
    <x v="7"/>
    <s v="ARM"/>
    <x v="0"/>
    <x v="8"/>
    <x v="8"/>
    <s v="reported"/>
    <n v="1770.104394"/>
    <n v="2042"/>
    <n v="270.31227280000002"/>
    <n v="2494.2067710000001"/>
    <n v="2155.6124380000001"/>
    <n v="2858.277908"/>
    <x v="6"/>
    <s v="Sep-2020"/>
  </r>
  <r>
    <x v="7"/>
    <s v="ARM"/>
    <x v="0"/>
    <x v="9"/>
    <x v="9"/>
    <s v="reported"/>
    <n v="1943.025488"/>
    <n v="3632"/>
    <n v="1687.3911780000001"/>
    <n v="4181.5979500000003"/>
    <n v="3806.7711119999999"/>
    <n v="4588.898835"/>
    <x v="6"/>
    <s v="Oct-2020"/>
  </r>
  <r>
    <x v="7"/>
    <s v="ARM"/>
    <x v="0"/>
    <x v="10"/>
    <x v="10"/>
    <s v="reported"/>
    <n v="2192.6957769999999"/>
    <n v="6060"/>
    <n v="3865.7208900000001"/>
    <n v="8047.3188389999996"/>
    <n v="7602.026202"/>
    <n v="8455.6636030000009"/>
    <x v="6"/>
    <s v="Nov-2020"/>
  </r>
  <r>
    <x v="7"/>
    <s v="ARM"/>
    <x v="0"/>
    <x v="11"/>
    <x v="11"/>
    <s v="reported"/>
    <n v="2357.131801"/>
    <n v="4395"/>
    <n v="2036.284866"/>
    <n v="10083.603709999999"/>
    <n v="9622.4804559999993"/>
    <n v="10505.06494"/>
    <x v="6"/>
    <s v="Dec-2020"/>
  </r>
  <r>
    <x v="7"/>
    <s v="ARM"/>
    <x v="1"/>
    <x v="0"/>
    <x v="0"/>
    <s v="reported"/>
    <n v="2354.8833169999998"/>
    <n v="3013"/>
    <n v="656.1166829"/>
    <n v="10739.72039"/>
    <n v="10253.145"/>
    <n v="11191.41754"/>
    <x v="6"/>
    <s v="Jan-2021"/>
  </r>
  <r>
    <x v="7"/>
    <s v="ARM"/>
    <x v="1"/>
    <x v="1"/>
    <x v="1"/>
    <s v="reported"/>
    <n v="2246.8645799999999"/>
    <n v="2418"/>
    <n v="169.1354201"/>
    <n v="10908.855809999999"/>
    <n v="10412.37938"/>
    <n v="11390.7716"/>
    <x v="6"/>
    <s v="Feb-2021"/>
  </r>
  <r>
    <x v="7"/>
    <s v="ARM"/>
    <x v="1"/>
    <x v="2"/>
    <x v="2"/>
    <s v="reported"/>
    <n v="2185.3268739999999"/>
    <n v="2836"/>
    <n v="648.67312600000002"/>
    <n v="11557.52893"/>
    <n v="11043.62725"/>
    <n v="12069.574710000001"/>
    <x v="6"/>
    <s v="Mar-2021"/>
  </r>
  <r>
    <x v="7"/>
    <s v="ARM"/>
    <x v="1"/>
    <x v="3"/>
    <x v="3"/>
    <s v="reported"/>
    <n v="2070.2531199999999"/>
    <n v="3361"/>
    <n v="1288.7468799999999"/>
    <n v="12846.275809999999"/>
    <n v="12303.37429"/>
    <n v="13368.80285"/>
    <x v="6"/>
    <s v="Apr-2021"/>
  </r>
  <r>
    <x v="7"/>
    <s v="ARM"/>
    <x v="1"/>
    <x v="4"/>
    <x v="4"/>
    <s v="reported"/>
    <n v="2019.7154190000001"/>
    <n v="2633"/>
    <n v="611.28458139999998"/>
    <n v="13457.5604"/>
    <n v="12875.94629"/>
    <n v="14003.10497"/>
    <x v="6"/>
    <s v="May-2021"/>
  </r>
  <r>
    <x v="7"/>
    <s v="ARM"/>
    <x v="1"/>
    <x v="5"/>
    <x v="5"/>
    <s v="reported"/>
    <n v="1940.3899699999999"/>
    <n v="2290"/>
    <n v="347.61003019999998"/>
    <n v="13805.17043"/>
    <n v="13221.09273"/>
    <n v="14373.282579999999"/>
    <x v="6"/>
    <s v="Jun-2021"/>
  </r>
  <r>
    <x v="7"/>
    <s v="ARM"/>
    <x v="1"/>
    <x v="6"/>
    <x v="6"/>
    <s v="reported"/>
    <n v="1943.683397"/>
    <n v="2247"/>
    <n v="301.31660319999997"/>
    <n v="14106.48703"/>
    <n v="13516.00704"/>
    <n v="14694.215459999999"/>
    <x v="6"/>
    <s v="Jul-2021"/>
  </r>
  <r>
    <x v="7"/>
    <s v="ARM"/>
    <x v="1"/>
    <x v="7"/>
    <x v="7"/>
    <s v="reported"/>
    <n v="1858.3157060000001"/>
    <n v="2241"/>
    <n v="380.6842944"/>
    <n v="14487.171319999999"/>
    <n v="13860.786"/>
    <n v="15072.72803"/>
    <x v="6"/>
    <s v="Aug-2021"/>
  </r>
  <r>
    <x v="7"/>
    <s v="ARM"/>
    <x v="1"/>
    <x v="8"/>
    <x v="8"/>
    <s v="reported"/>
    <n v="1732.3130490000001"/>
    <n v="2559"/>
    <n v="824.68695109999999"/>
    <n v="15311.85828"/>
    <n v="14682.506149999999"/>
    <n v="15897.661599999999"/>
    <x v="6"/>
    <s v="Sep-2021"/>
  </r>
  <r>
    <x v="7"/>
    <s v="ARM"/>
    <x v="1"/>
    <x v="9"/>
    <x v="9"/>
    <s v="reported"/>
    <n v="1898.463861"/>
    <n v="3462"/>
    <n v="1561.536139"/>
    <n v="16873.394410000001"/>
    <n v="16225.13674"/>
    <n v="17467.329010000001"/>
    <x v="6"/>
    <s v="Oct-2021"/>
  </r>
  <r>
    <x v="7"/>
    <s v="ARM"/>
    <x v="1"/>
    <x v="10"/>
    <x v="10"/>
    <s v="reported"/>
    <n v="2145.7654349999998"/>
    <n v="4577"/>
    <n v="2429.2345650000002"/>
    <n v="19302.628980000001"/>
    <n v="18649.16965"/>
    <n v="19898.83959"/>
    <x v="6"/>
    <s v="Nov-2021"/>
  </r>
  <r>
    <x v="7"/>
    <s v="ARM"/>
    <x v="1"/>
    <x v="11"/>
    <x v="11"/>
    <s v="reported"/>
    <n v="2301.9248910000001"/>
    <n v="3001"/>
    <n v="697.07510920000004"/>
    <n v="19999.704089999999"/>
    <n v="19338.73515"/>
    <n v="20640.45982"/>
    <x v="6"/>
    <s v="Dec-2021"/>
  </r>
  <r>
    <x v="8"/>
    <s v="ATG"/>
    <x v="0"/>
    <x v="0"/>
    <x v="0"/>
    <s v="reported"/>
    <n v="51.956512760000003"/>
    <n v="50"/>
    <n v="-2.0398460890000001"/>
    <n v="-2.0398460890000001"/>
    <n v="-7.467067085"/>
    <n v="2.8203044689999999"/>
    <x v="7"/>
    <s v="Jan-2020"/>
  </r>
  <r>
    <x v="8"/>
    <s v="ATG"/>
    <x v="0"/>
    <x v="1"/>
    <x v="1"/>
    <s v="reported"/>
    <n v="52.188398130000003"/>
    <n v="47"/>
    <n v="-5.2717314589999997"/>
    <n v="-7.3115775479999998"/>
    <n v="-15.15379379"/>
    <n v="0.223145657"/>
    <x v="7"/>
    <s v="Feb-2020"/>
  </r>
  <r>
    <x v="8"/>
    <s v="ATG"/>
    <x v="0"/>
    <x v="2"/>
    <x v="2"/>
    <s v="reported"/>
    <n v="52.30279985"/>
    <n v="60"/>
    <n v="7.6138668190000001"/>
    <n v="0.30228927100000003"/>
    <n v="-9.2746829290000008"/>
    <n v="9.7054573630000007"/>
    <x v="7"/>
    <s v="Mar-2020"/>
  </r>
  <r>
    <x v="8"/>
    <s v="ATG"/>
    <x v="0"/>
    <x v="3"/>
    <x v="3"/>
    <s v="reported"/>
    <n v="52.458269530000003"/>
    <n v="49"/>
    <n v="-3.5416028609999999"/>
    <n v="-3.2393135900000001"/>
    <n v="-13.811321830000001"/>
    <n v="7.8415522019999999"/>
    <x v="7"/>
    <s v="Apr-2020"/>
  </r>
  <r>
    <x v="8"/>
    <s v="ATG"/>
    <x v="0"/>
    <x v="4"/>
    <x v="4"/>
    <s v="reported"/>
    <n v="52.856672840000002"/>
    <n v="52"/>
    <n v="-0.94000617799999997"/>
    <n v="-4.179319768"/>
    <n v="-17.220619719999998"/>
    <n v="8.5310495480000004"/>
    <x v="7"/>
    <s v="May-2020"/>
  </r>
  <r>
    <x v="8"/>
    <s v="ATG"/>
    <x v="0"/>
    <x v="5"/>
    <x v="5"/>
    <s v="reported"/>
    <n v="52.891897499999999"/>
    <n v="42"/>
    <n v="-10.97523084"/>
    <n v="-15.1545506"/>
    <n v="-29.161914639999999"/>
    <n v="-1.2791111740000001"/>
    <x v="7"/>
    <s v="Jun-2020"/>
  </r>
  <r>
    <x v="8"/>
    <s v="ATG"/>
    <x v="0"/>
    <x v="6"/>
    <x v="6"/>
    <s v="reported"/>
    <n v="53.108476099999997"/>
    <n v="46"/>
    <n v="-7.1918094339999996"/>
    <n v="-22.34636004"/>
    <n v="-37.325198540000002"/>
    <n v="-7.4436955149999999"/>
    <x v="7"/>
    <s v="Jul-2020"/>
  </r>
  <r>
    <x v="8"/>
    <s v="ATG"/>
    <x v="0"/>
    <x v="7"/>
    <x v="7"/>
    <s v="reported"/>
    <n v="53.059880790000001"/>
    <n v="44"/>
    <n v="-9.143214124"/>
    <n v="-31.48957416"/>
    <n v="-48.081078730000002"/>
    <n v="-14.148127949999999"/>
    <x v="7"/>
    <s v="Aug-2020"/>
  </r>
  <r>
    <x v="8"/>
    <s v="ATG"/>
    <x v="0"/>
    <x v="8"/>
    <x v="8"/>
    <s v="reported"/>
    <n v="53.276259090000003"/>
    <n v="45"/>
    <n v="-8.3595924270000008"/>
    <n v="-39.849166590000003"/>
    <n v="-57.558642159999998"/>
    <n v="-20.819358600000001"/>
    <x v="7"/>
    <s v="Sep-2020"/>
  </r>
  <r>
    <x v="8"/>
    <s v="ATG"/>
    <x v="0"/>
    <x v="9"/>
    <x v="9"/>
    <s v="reported"/>
    <n v="53.40799286"/>
    <n v="50"/>
    <n v="-3.4913261969999998"/>
    <n v="-43.340492789999999"/>
    <n v="-62.083224569999999"/>
    <n v="-23.573077219999998"/>
    <x v="7"/>
    <s v="Oct-2020"/>
  </r>
  <r>
    <x v="8"/>
    <s v="ATG"/>
    <x v="0"/>
    <x v="10"/>
    <x v="10"/>
    <s v="reported"/>
    <n v="53.586400759999997"/>
    <n v="49"/>
    <n v="-4.6697340900000004"/>
    <n v="-48.010226879999998"/>
    <n v="-68.844280949999998"/>
    <n v="-27.881908970000001"/>
    <x v="7"/>
    <s v="Nov-2020"/>
  </r>
  <r>
    <x v="8"/>
    <s v="ATG"/>
    <x v="0"/>
    <x v="11"/>
    <x v="11"/>
    <s v="reported"/>
    <n v="53.592178660000002"/>
    <n v="40"/>
    <n v="-13.67551199"/>
    <n v="-61.685738870000002"/>
    <n v="-83.763867950000005"/>
    <n v="-41.067606359999999"/>
    <x v="7"/>
    <s v="Dec-2020"/>
  </r>
  <r>
    <x v="8"/>
    <s v="ATG"/>
    <x v="1"/>
    <x v="0"/>
    <x v="0"/>
    <s v="reported"/>
    <n v="54.048245229999999"/>
    <n v="56"/>
    <n v="1.9517547660000001"/>
    <n v="-59.733984110000002"/>
    <n v="-83.036851110000001"/>
    <n v="-37.923061920000002"/>
    <x v="7"/>
    <s v="Jan-2021"/>
  </r>
  <r>
    <x v="8"/>
    <s v="ATG"/>
    <x v="1"/>
    <x v="1"/>
    <x v="1"/>
    <s v="reported"/>
    <n v="54.272716950000003"/>
    <n v="68"/>
    <n v="13.72728305"/>
    <n v="-46.006701049999997"/>
    <n v="-71.358589359999996"/>
    <n v="-22.587815549999998"/>
    <x v="7"/>
    <s v="Feb-2021"/>
  </r>
  <r>
    <x v="8"/>
    <s v="ATG"/>
    <x v="1"/>
    <x v="2"/>
    <x v="2"/>
    <s v="reported"/>
    <n v="54.117578209999998"/>
    <n v="55"/>
    <n v="0.88242179200000004"/>
    <n v="-45.124279260000002"/>
    <n v="-70.927002389999998"/>
    <n v="-20.600745209999999"/>
    <x v="7"/>
    <s v="Mar-2021"/>
  </r>
  <r>
    <x v="8"/>
    <s v="ATG"/>
    <x v="1"/>
    <x v="3"/>
    <x v="3"/>
    <s v="reported"/>
    <n v="54.321686890000002"/>
    <n v="50"/>
    <n v="-4.321686895"/>
    <n v="-49.445966159999998"/>
    <n v="-77.840803170000001"/>
    <n v="-22.827175440000001"/>
    <x v="7"/>
    <s v="Apr-2021"/>
  </r>
  <r>
    <x v="8"/>
    <s v="ATG"/>
    <x v="1"/>
    <x v="4"/>
    <x v="4"/>
    <s v="reported"/>
    <n v="54.782505739999998"/>
    <n v="46"/>
    <n v="-8.7825057389999994"/>
    <n v="-58.228471890000002"/>
    <n v="-87.989747820000005"/>
    <n v="-31.716687050000001"/>
    <x v="7"/>
    <s v="May-2021"/>
  </r>
  <r>
    <x v="8"/>
    <s v="ATG"/>
    <x v="1"/>
    <x v="5"/>
    <x v="5"/>
    <s v="reported"/>
    <n v="54.59879643"/>
    <n v="39"/>
    <n v="-15.59879643"/>
    <n v="-73.827268329999995"/>
    <n v="-103.6511117"/>
    <n v="-44.646341270000001"/>
    <x v="7"/>
    <s v="Jun-2021"/>
  </r>
  <r>
    <x v="8"/>
    <s v="ATG"/>
    <x v="1"/>
    <x v="6"/>
    <x v="6"/>
    <s v="reported"/>
    <n v="54.883243450000002"/>
    <n v="55"/>
    <n v="0.116756545"/>
    <n v="-73.710511780000004"/>
    <n v="-105.937157"/>
    <n v="-45.261961589999999"/>
    <x v="7"/>
    <s v="Jul-2021"/>
  </r>
  <r>
    <x v="8"/>
    <s v="ATG"/>
    <x v="1"/>
    <x v="7"/>
    <x v="7"/>
    <s v="reported"/>
    <n v="54.986736479999998"/>
    <n v="47"/>
    <n v="-7.986736477"/>
    <n v="-81.697248259999995"/>
    <n v="-116.02077370000001"/>
    <n v="-51.63352545"/>
    <x v="7"/>
    <s v="Aug-2021"/>
  </r>
  <r>
    <x v="8"/>
    <s v="ATG"/>
    <x v="1"/>
    <x v="8"/>
    <x v="8"/>
    <s v="reported"/>
    <n v="55.134237810000002"/>
    <n v="104"/>
    <n v="48.865762189999998"/>
    <n v="-32.831486079999998"/>
    <n v="-66.691163570000001"/>
    <n v="-1.4534496079999999"/>
    <x v="7"/>
    <s v="Sep-2021"/>
  </r>
  <r>
    <x v="8"/>
    <s v="ATG"/>
    <x v="1"/>
    <x v="9"/>
    <x v="9"/>
    <s v="reported"/>
    <n v="55.494901390000003"/>
    <n v="26"/>
    <n v="-29.494901389999999"/>
    <n v="-62.326387459999999"/>
    <n v="-97.806432689999994"/>
    <n v="-29.524258540000002"/>
    <x v="7"/>
    <s v="Oct-2021"/>
  </r>
  <r>
    <x v="8"/>
    <s v="ATG"/>
    <x v="1"/>
    <x v="10"/>
    <x v="10"/>
    <s v="reported"/>
    <n v="55.525056120000002"/>
    <n v="64"/>
    <n v="8.4749438809999997"/>
    <n v="-53.851443580000002"/>
    <n v="-88.850472839999995"/>
    <n v="-21.048028689999999"/>
    <x v="7"/>
    <s v="Nov-2021"/>
  </r>
  <r>
    <x v="8"/>
    <s v="ATG"/>
    <x v="1"/>
    <x v="11"/>
    <x v="11"/>
    <s v="reported"/>
    <n v="55.61271"/>
    <n v="39"/>
    <n v="-16.61271"/>
    <n v="-70.464153580000001"/>
    <n v="-107.022651"/>
    <n v="-35.878872229999999"/>
    <x v="7"/>
    <s v="Dec-2021"/>
  </r>
  <r>
    <x v="9"/>
    <s v="AUS"/>
    <x v="0"/>
    <x v="0"/>
    <x v="0"/>
    <s v="reported"/>
    <n v="12989.614369999999"/>
    <n v="12995"/>
    <n v="4.3856344309999997"/>
    <n v="4.3856344309999997"/>
    <n v="-254.26770239999999"/>
    <n v="272.92676760000001"/>
    <x v="8"/>
    <s v="Jan-2020"/>
  </r>
  <r>
    <x v="9"/>
    <s v="AUS"/>
    <x v="0"/>
    <x v="1"/>
    <x v="1"/>
    <s v="reported"/>
    <n v="11922.717549999999"/>
    <n v="12489"/>
    <n v="565.28244889999996"/>
    <n v="569.66808330000003"/>
    <n v="167.81143660000001"/>
    <n v="953.0884241"/>
    <x v="8"/>
    <s v="Feb-2020"/>
  </r>
  <r>
    <x v="9"/>
    <s v="AUS"/>
    <x v="0"/>
    <x v="2"/>
    <x v="2"/>
    <s v="reported"/>
    <n v="12986.92506"/>
    <n v="13573"/>
    <n v="585.07493529999999"/>
    <n v="1154.743019"/>
    <n v="647.37877030000004"/>
    <n v="1685.31936"/>
    <x v="8"/>
    <s v="Mar-2020"/>
  </r>
  <r>
    <x v="9"/>
    <s v="AUS"/>
    <x v="0"/>
    <x v="3"/>
    <x v="3"/>
    <s v="reported"/>
    <n v="13061.19788"/>
    <n v="13301"/>
    <n v="238.8021214"/>
    <n v="1393.5451399999999"/>
    <n v="739.15139820000002"/>
    <n v="2057.3353499999998"/>
    <x v="8"/>
    <s v="Apr-2020"/>
  </r>
  <r>
    <x v="9"/>
    <s v="AUS"/>
    <x v="0"/>
    <x v="4"/>
    <x v="4"/>
    <s v="reported"/>
    <n v="14067.051520000001"/>
    <n v="14005"/>
    <n v="-63.051517189999998"/>
    <n v="1330.4936230000001"/>
    <n v="584.27217789999997"/>
    <n v="2065.5184210000002"/>
    <x v="8"/>
    <s v="May-2020"/>
  </r>
  <r>
    <x v="9"/>
    <s v="AUS"/>
    <x v="0"/>
    <x v="5"/>
    <x v="5"/>
    <s v="reported"/>
    <n v="14371.99049"/>
    <n v="13285"/>
    <n v="-1087.990495"/>
    <n v="242.50312819999999"/>
    <n v="-579.36007080000002"/>
    <n v="1078.5623720000001"/>
    <x v="8"/>
    <s v="Jun-2020"/>
  </r>
  <r>
    <x v="9"/>
    <s v="AUS"/>
    <x v="0"/>
    <x v="6"/>
    <x v="6"/>
    <s v="reported"/>
    <n v="15491.996090000001"/>
    <n v="14433"/>
    <n v="-1059.9960940000001"/>
    <n v="-817.49296609999999"/>
    <n v="-1712.3650009999999"/>
    <n v="101.627189"/>
    <x v="8"/>
    <s v="Jul-2020"/>
  </r>
  <r>
    <x v="9"/>
    <s v="AUS"/>
    <x v="0"/>
    <x v="7"/>
    <x v="7"/>
    <s v="reported"/>
    <n v="15791.1014"/>
    <n v="14902"/>
    <n v="-890.10139749999996"/>
    <n v="-1707.594364"/>
    <n v="-2698.3629719999999"/>
    <n v="-722.61351790000003"/>
    <x v="8"/>
    <s v="Aug-2020"/>
  </r>
  <r>
    <x v="9"/>
    <s v="AUS"/>
    <x v="0"/>
    <x v="8"/>
    <x v="8"/>
    <s v="reported"/>
    <n v="14801.671340000001"/>
    <n v="13673"/>
    <n v="-1129.671339"/>
    <n v="-2837.2657020000001"/>
    <n v="-3933.8590370000002"/>
    <n v="-1800.7112540000001"/>
    <x v="8"/>
    <s v="Sep-2020"/>
  </r>
  <r>
    <x v="9"/>
    <s v="AUS"/>
    <x v="0"/>
    <x v="9"/>
    <x v="9"/>
    <s v="reported"/>
    <n v="14103.594499999999"/>
    <n v="13437"/>
    <n v="-667.59449640000003"/>
    <n v="-3504.8601990000002"/>
    <n v="-4666.061436"/>
    <n v="-2413.1166969999999"/>
    <x v="8"/>
    <s v="Oct-2020"/>
  </r>
  <r>
    <x v="9"/>
    <s v="AUS"/>
    <x v="0"/>
    <x v="10"/>
    <x v="10"/>
    <s v="reported"/>
    <n v="13110.129660000001"/>
    <n v="13048"/>
    <n v="-63.129658030000002"/>
    <n v="-3567.989857"/>
    <n v="-4796.0284979999997"/>
    <n v="-2456.8134049999999"/>
    <x v="8"/>
    <s v="Nov-2020"/>
  </r>
  <r>
    <x v="9"/>
    <s v="AUS"/>
    <x v="0"/>
    <x v="11"/>
    <x v="11"/>
    <s v="reported"/>
    <n v="13096.22949"/>
    <n v="13498"/>
    <n v="400.77050600000001"/>
    <n v="-3167.2193510000002"/>
    <n v="-4413.6426879999999"/>
    <n v="-2017.9350099999999"/>
    <x v="8"/>
    <s v="Dec-2020"/>
  </r>
  <r>
    <x v="9"/>
    <s v="AUS"/>
    <x v="1"/>
    <x v="0"/>
    <x v="0"/>
    <s v="reported"/>
    <n v="13119.08124"/>
    <n v="13358"/>
    <n v="238.3354258"/>
    <n v="-2928.8839250000001"/>
    <n v="-4209.7108490000001"/>
    <n v="-1737.6461389999999"/>
    <x v="8"/>
    <s v="Jan-2021"/>
  </r>
  <r>
    <x v="9"/>
    <s v="AUS"/>
    <x v="1"/>
    <x v="1"/>
    <x v="1"/>
    <s v="reported"/>
    <n v="12048.744269999999"/>
    <n v="12022"/>
    <n v="-27.327607029999999"/>
    <n v="-2956.2115319999998"/>
    <n v="-4309.0555169999998"/>
    <n v="-1805.1554410000001"/>
    <x v="8"/>
    <s v="Feb-2021"/>
  </r>
  <r>
    <x v="9"/>
    <s v="AUS"/>
    <x v="1"/>
    <x v="2"/>
    <x v="2"/>
    <s v="reported"/>
    <n v="13110.47754"/>
    <n v="13644"/>
    <n v="532.93912690000002"/>
    <n v="-2423.2724050000002"/>
    <n v="-3840.517049"/>
    <n v="-1168.6660400000001"/>
    <x v="8"/>
    <s v="Mar-2021"/>
  </r>
  <r>
    <x v="9"/>
    <s v="AUS"/>
    <x v="1"/>
    <x v="3"/>
    <x v="3"/>
    <s v="reported"/>
    <n v="13189.811040000001"/>
    <n v="13566"/>
    <n v="375.60562449999998"/>
    <n v="-2047.66678"/>
    <n v="-3486.920967"/>
    <n v="-718.85092999999995"/>
    <x v="8"/>
    <s v="Apr-2021"/>
  </r>
  <r>
    <x v="9"/>
    <s v="AUS"/>
    <x v="1"/>
    <x v="4"/>
    <x v="4"/>
    <s v="reported"/>
    <n v="14210.253909999999"/>
    <n v="15032"/>
    <n v="821.16275399999995"/>
    <n v="-1226.5040260000001"/>
    <n v="-2705.794089"/>
    <n v="137.03401310000001"/>
    <x v="8"/>
    <s v="May-2021"/>
  </r>
  <r>
    <x v="9"/>
    <s v="AUS"/>
    <x v="1"/>
    <x v="5"/>
    <x v="5"/>
    <s v="reported"/>
    <n v="14511.23819"/>
    <n v="14900"/>
    <n v="388.17847899999998"/>
    <n v="-838.3255474"/>
    <n v="-2451.4310089999999"/>
    <n v="589.85823789999995"/>
    <x v="8"/>
    <s v="Jun-2021"/>
  </r>
  <r>
    <x v="9"/>
    <s v="AUS"/>
    <x v="1"/>
    <x v="6"/>
    <x v="6"/>
    <s v="reported"/>
    <n v="15646.31122"/>
    <n v="15890"/>
    <n v="243.1054484"/>
    <n v="-595.220099"/>
    <n v="-2167.7864500000001"/>
    <n v="959.48577520000003"/>
    <x v="8"/>
    <s v="Jul-2021"/>
  </r>
  <r>
    <x v="9"/>
    <s v="AUS"/>
    <x v="1"/>
    <x v="7"/>
    <x v="7"/>
    <s v="reported"/>
    <n v="15949.805780000001"/>
    <n v="15356"/>
    <n v="-594.38911140000005"/>
    <n v="-1189.6092100000001"/>
    <n v="-2778.5866959999998"/>
    <n v="451.17759289999998"/>
    <x v="8"/>
    <s v="Aug-2021"/>
  </r>
  <r>
    <x v="1"/>
    <s v="AUS"/>
    <x v="1"/>
    <x v="8"/>
    <x v="8"/>
    <s v="reported"/>
    <n v="14938.90718"/>
    <n v="14785"/>
    <n v="-154.49051539999999"/>
    <n v="-1344.0997259999999"/>
    <n v="-3025.616509"/>
    <n v="402.88823869999999"/>
    <x v="8"/>
    <s v="Sep-2021"/>
  </r>
  <r>
    <x v="9"/>
    <s v="AUS"/>
    <x v="1"/>
    <x v="9"/>
    <x v="9"/>
    <s v="reported"/>
    <n v="14243.53038"/>
    <n v="14958"/>
    <n v="713.88628960000005"/>
    <n v="-630.21343620000005"/>
    <n v="-2345.6971720000001"/>
    <n v="1158.879109"/>
    <x v="8"/>
    <s v="Oct-2021"/>
  </r>
  <r>
    <x v="9"/>
    <s v="AUS"/>
    <x v="1"/>
    <x v="10"/>
    <x v="10"/>
    <s v="reported"/>
    <n v="13234.818600000001"/>
    <n v="14020"/>
    <n v="784.59807030000002"/>
    <n v="154.3846341"/>
    <n v="-1639.953186"/>
    <n v="1975.5158719999999"/>
    <x v="8"/>
    <s v="Nov-2021"/>
  </r>
  <r>
    <x v="9"/>
    <s v="AUS"/>
    <x v="1"/>
    <x v="11"/>
    <x v="11"/>
    <s v="reported"/>
    <n v="13231.164570000001"/>
    <n v="14481"/>
    <n v="1249.2520979999999"/>
    <n v="1403.6367319999999"/>
    <n v="-353.97821709999999"/>
    <n v="3178.1129430000001"/>
    <x v="8"/>
    <s v="Dec-2021"/>
  </r>
  <r>
    <x v="10"/>
    <s v="AUT"/>
    <x v="0"/>
    <x v="0"/>
    <x v="0"/>
    <s v="reported"/>
    <n v="7499.4957119999999"/>
    <n v="7789"/>
    <n v="289.17095460000002"/>
    <n v="289.17095460000002"/>
    <n v="3.5399549210000001"/>
    <n v="603.93702870000004"/>
    <x v="9"/>
    <s v="Jan-2020"/>
  </r>
  <r>
    <x v="10"/>
    <s v="AUT"/>
    <x v="0"/>
    <x v="1"/>
    <x v="1"/>
    <s v="reported"/>
    <n v="7581.3531979999998"/>
    <n v="7171"/>
    <n v="-410.68653089999998"/>
    <n v="-121.51557630000001"/>
    <n v="-638.06416200000001"/>
    <n v="345.0487311"/>
    <x v="9"/>
    <s v="Feb-2020"/>
  </r>
  <r>
    <x v="10"/>
    <s v="AUT"/>
    <x v="0"/>
    <x v="2"/>
    <x v="2"/>
    <s v="reported"/>
    <n v="7325.9641739999997"/>
    <n v="7804"/>
    <n v="477.70249239999998"/>
    <n v="356.18691610000002"/>
    <n v="-284.11118629999999"/>
    <n v="983.48857820000001"/>
    <x v="9"/>
    <s v="Mar-2020"/>
  </r>
  <r>
    <x v="10"/>
    <s v="AUT"/>
    <x v="0"/>
    <x v="3"/>
    <x v="3"/>
    <s v="reported"/>
    <n v="6755.3017410000002"/>
    <n v="7207"/>
    <n v="451.36492559999999"/>
    <n v="807.55184180000003"/>
    <n v="83.722852160000002"/>
    <n v="1503.340743"/>
    <x v="9"/>
    <s v="Apr-2020"/>
  </r>
  <r>
    <x v="10"/>
    <s v="AUT"/>
    <x v="0"/>
    <x v="4"/>
    <x v="4"/>
    <s v="reported"/>
    <n v="6370.922579"/>
    <n v="6514"/>
    <n v="142.74408740000001"/>
    <n v="950.29592920000005"/>
    <n v="167.14637260000001"/>
    <n v="1699.0763850000001"/>
    <x v="9"/>
    <s v="May-2020"/>
  </r>
  <r>
    <x v="10"/>
    <s v="AUT"/>
    <x v="0"/>
    <x v="5"/>
    <x v="5"/>
    <s v="reported"/>
    <n v="6233.987134"/>
    <n v="6223"/>
    <n v="-11.32046779"/>
    <n v="938.97546139999997"/>
    <n v="65.13253125"/>
    <n v="1774.0930579999999"/>
    <x v="9"/>
    <s v="Jun-2020"/>
  </r>
  <r>
    <x v="10"/>
    <s v="AUT"/>
    <x v="0"/>
    <x v="6"/>
    <x v="6"/>
    <s v="reported"/>
    <n v="6349.6743699999997"/>
    <n v="6459"/>
    <n v="108.99229680000001"/>
    <n v="1047.967758"/>
    <n v="121.9310191"/>
    <n v="1932.297454"/>
    <x v="9"/>
    <s v="Jul-2020"/>
  </r>
  <r>
    <x v="10"/>
    <s v="AUT"/>
    <x v="0"/>
    <x v="7"/>
    <x v="7"/>
    <s v="reported"/>
    <n v="6365.3462849999996"/>
    <n v="6637"/>
    <n v="271.3203815"/>
    <n v="1319.2881400000001"/>
    <n v="332.76250140000002"/>
    <n v="2309.1800189999999"/>
    <x v="9"/>
    <s v="Aug-2020"/>
  </r>
  <r>
    <x v="10"/>
    <s v="AUT"/>
    <x v="0"/>
    <x v="8"/>
    <x v="8"/>
    <s v="reported"/>
    <n v="6325.2642779999996"/>
    <n v="6628"/>
    <n v="302.40238840000001"/>
    <n v="1621.6905280000001"/>
    <n v="620.03165579999995"/>
    <n v="2688.4379920000001"/>
    <x v="9"/>
    <s v="Sep-2020"/>
  </r>
  <r>
    <x v="10"/>
    <s v="AUT"/>
    <x v="0"/>
    <x v="9"/>
    <x v="9"/>
    <s v="reported"/>
    <n v="6552.4919449999998"/>
    <n v="7519"/>
    <n v="966.17472139999995"/>
    <n v="2587.8652499999998"/>
    <n v="1578.4847689999999"/>
    <n v="3671.048135"/>
    <x v="9"/>
    <s v="Oct-2020"/>
  </r>
  <r>
    <x v="10"/>
    <s v="AUT"/>
    <x v="0"/>
    <x v="10"/>
    <x v="10"/>
    <s v="reported"/>
    <n v="6908.8094719999999"/>
    <n v="9749"/>
    <n v="2839.857195"/>
    <n v="5427.722444"/>
    <n v="4320.4924739999997"/>
    <n v="6561.2101419999999"/>
    <x v="9"/>
    <s v="Nov-2020"/>
  </r>
  <r>
    <x v="10"/>
    <s v="AUT"/>
    <x v="0"/>
    <x v="11"/>
    <x v="11"/>
    <s v="reported"/>
    <n v="7518.962133"/>
    <n v="10179"/>
    <n v="2659.7045330000001"/>
    <n v="8087.4269780000004"/>
    <n v="6897.3180039999997"/>
    <n v="9293.6590199999991"/>
    <x v="9"/>
    <s v="Dec-2020"/>
  </r>
  <r>
    <x v="10"/>
    <s v="AUT"/>
    <x v="1"/>
    <x v="0"/>
    <x v="0"/>
    <s v="reported"/>
    <n v="7507.2950629999996"/>
    <n v="8707"/>
    <n v="1199.6216039999999"/>
    <n v="9287.0485809999991"/>
    <n v="8070.5976620000001"/>
    <n v="10541.780790000001"/>
    <x v="9"/>
    <s v="Jan-2021"/>
  </r>
  <r>
    <x v="10"/>
    <s v="AUT"/>
    <x v="1"/>
    <x v="1"/>
    <x v="1"/>
    <s v="reported"/>
    <n v="7597.2697600000001"/>
    <n v="6979"/>
    <n v="-618.35309359999997"/>
    <n v="8668.6954879999994"/>
    <n v="7257.363593"/>
    <n v="9963.608107"/>
    <x v="9"/>
    <s v="Feb-2021"/>
  </r>
  <r>
    <x v="10"/>
    <s v="AUT"/>
    <x v="1"/>
    <x v="2"/>
    <x v="2"/>
    <s v="reported"/>
    <n v="7347.066022"/>
    <n v="7424"/>
    <n v="76.850645130000004"/>
    <n v="8745.5461329999998"/>
    <n v="7356.9476210000003"/>
    <n v="10108.233200000001"/>
    <x v="9"/>
    <s v="Mar-2021"/>
  </r>
  <r>
    <x v="10"/>
    <s v="AUT"/>
    <x v="1"/>
    <x v="3"/>
    <x v="3"/>
    <s v="reported"/>
    <n v="6778.0949010000004"/>
    <n v="7264"/>
    <n v="485.82176559999999"/>
    <n v="9231.3678990000008"/>
    <n v="7745.8713710000002"/>
    <n v="10665.957909999999"/>
    <x v="9"/>
    <s v="Apr-2021"/>
  </r>
  <r>
    <x v="10"/>
    <s v="AUT"/>
    <x v="1"/>
    <x v="4"/>
    <x v="4"/>
    <s v="reported"/>
    <n v="6388.8533109999998"/>
    <n v="6976"/>
    <n v="587.06335530000001"/>
    <n v="9818.4312539999992"/>
    <n v="8287.4648500000003"/>
    <n v="11299.576880000001"/>
    <x v="9"/>
    <s v="May-2021"/>
  </r>
  <r>
    <x v="10"/>
    <s v="AUT"/>
    <x v="1"/>
    <x v="5"/>
    <x v="5"/>
    <s v="reported"/>
    <n v="6236.8653420000001"/>
    <n v="6825"/>
    <n v="588.05132419999995"/>
    <n v="10406.48258"/>
    <n v="8805.5446109999993"/>
    <n v="11929.041670000001"/>
    <x v="9"/>
    <s v="Jun-2021"/>
  </r>
  <r>
    <x v="10"/>
    <s v="AUT"/>
    <x v="1"/>
    <x v="6"/>
    <x v="6"/>
    <s v="reported"/>
    <n v="6357.4468290000004"/>
    <n v="6668"/>
    <n v="310.4698381"/>
    <n v="10716.95242"/>
    <n v="9120.7782100000004"/>
    <n v="12268.91468"/>
    <x v="9"/>
    <s v="Jul-2021"/>
  </r>
  <r>
    <x v="10"/>
    <s v="AUT"/>
    <x v="1"/>
    <x v="7"/>
    <x v="7"/>
    <s v="reported"/>
    <n v="6385.2735119999998"/>
    <n v="6923"/>
    <n v="537.64315490000001"/>
    <n v="11254.595569999999"/>
    <n v="9605.6193480000002"/>
    <n v="12952.95666"/>
    <x v="9"/>
    <s v="Aug-2021"/>
  </r>
  <r>
    <x v="10"/>
    <s v="AUT"/>
    <x v="1"/>
    <x v="8"/>
    <x v="8"/>
    <s v="reported"/>
    <n v="6335.627324"/>
    <n v="6843"/>
    <n v="507.28934299999997"/>
    <n v="11761.884910000001"/>
    <n v="10058.79948"/>
    <n v="13413.303830000001"/>
    <x v="9"/>
    <s v="Sep-2021"/>
  </r>
  <r>
    <x v="10"/>
    <s v="AUT"/>
    <x v="1"/>
    <x v="9"/>
    <x v="9"/>
    <s v="reported"/>
    <n v="6575.5130429999999"/>
    <n v="7558"/>
    <n v="982.40362349999998"/>
    <n v="12744.28854"/>
    <n v="11061.79384"/>
    <n v="14487.12715"/>
    <x v="9"/>
    <s v="Oct-2021"/>
  </r>
  <r>
    <x v="10"/>
    <s v="AUT"/>
    <x v="1"/>
    <x v="10"/>
    <x v="10"/>
    <s v="reported"/>
    <n v="6942.7258419999998"/>
    <n v="8887"/>
    <n v="1944.1908249999999"/>
    <n v="14688.479359999999"/>
    <n v="12910.957640000001"/>
    <n v="16448.53631"/>
    <x v="9"/>
    <s v="Nov-2021"/>
  </r>
  <r>
    <x v="10"/>
    <s v="AUT"/>
    <x v="1"/>
    <x v="11"/>
    <x v="11"/>
    <s v="reported"/>
    <n v="7524.8881369999999"/>
    <n v="8810"/>
    <n v="1285.0285289999999"/>
    <n v="15973.507890000001"/>
    <n v="14130.94543"/>
    <n v="17798.042799999999"/>
    <x v="9"/>
    <s v="Dec-2021"/>
  </r>
  <r>
    <x v="11"/>
    <s v="AZE"/>
    <x v="0"/>
    <x v="0"/>
    <x v="0"/>
    <s v="reported"/>
    <n v="5778.9634610000003"/>
    <n v="5811"/>
    <n v="-681.10965090000002"/>
    <n v="-681.10965090000002"/>
    <n v="-957.42141460000005"/>
    <n v="-426.4468061"/>
    <x v="10"/>
    <s v="Jan-2020"/>
  </r>
  <r>
    <x v="11"/>
    <s v="AZE"/>
    <x v="0"/>
    <x v="1"/>
    <x v="1"/>
    <s v="reported"/>
    <n v="5544.7749219999996"/>
    <n v="5656"/>
    <n v="-601.92111269999998"/>
    <n v="-1283.0307640000001"/>
    <n v="-1684.8784000000001"/>
    <n v="-866.85902569999996"/>
    <x v="10"/>
    <s v="Feb-2020"/>
  </r>
  <r>
    <x v="11"/>
    <s v="AZE"/>
    <x v="0"/>
    <x v="2"/>
    <x v="2"/>
    <s v="reported"/>
    <n v="5336.4347829999997"/>
    <n v="6502"/>
    <n v="452.4190266"/>
    <n v="-830.61173699999995"/>
    <n v="-1365.9761189999999"/>
    <n v="-308.50220680000001"/>
    <x v="10"/>
    <s v="Mar-2020"/>
  </r>
  <r>
    <x v="11"/>
    <s v="AZE"/>
    <x v="0"/>
    <x v="3"/>
    <x v="3"/>
    <s v="reported"/>
    <n v="5845.5646180000003"/>
    <n v="5064"/>
    <n v="-1494.710808"/>
    <n v="-2325.322545"/>
    <n v="-2905.9701230000001"/>
    <n v="-1720.3431849999999"/>
    <x v="10"/>
    <s v="Apr-2020"/>
  </r>
  <r>
    <x v="11"/>
    <s v="AZE"/>
    <x v="0"/>
    <x v="4"/>
    <x v="4"/>
    <s v="reported"/>
    <n v="5363.5767459999997"/>
    <n v="4820"/>
    <n v="-1256.722937"/>
    <n v="-3582.045482"/>
    <n v="-4251.348739"/>
    <n v="-2849.8454149999998"/>
    <x v="10"/>
    <s v="May-2020"/>
  </r>
  <r>
    <x v="11"/>
    <s v="AZE"/>
    <x v="0"/>
    <x v="5"/>
    <x v="5"/>
    <s v="reported"/>
    <n v="4852.3685320000004"/>
    <n v="6963"/>
    <n v="1397.4852780000001"/>
    <n v="-2184.5602050000002"/>
    <n v="-2911.2441739999999"/>
    <n v="-1420.9098469999999"/>
    <x v="10"/>
    <s v="Jun-2020"/>
  </r>
  <r>
    <x v="11"/>
    <s v="AZE"/>
    <x v="0"/>
    <x v="6"/>
    <x v="6"/>
    <s v="reported"/>
    <n v="5483.7636270000003"/>
    <n v="7196"/>
    <n v="999.09018279999998"/>
    <n v="-1185.470022"/>
    <n v="-1954.0490520000001"/>
    <n v="-399.3967227"/>
    <x v="10"/>
    <s v="Jul-2020"/>
  </r>
  <r>
    <x v="11"/>
    <s v="AZE"/>
    <x v="0"/>
    <x v="7"/>
    <x v="7"/>
    <s v="reported"/>
    <n v="5201.335231"/>
    <n v="5668"/>
    <n v="-246.48142110000001"/>
    <n v="-1431.9514429999999"/>
    <n v="-2304.4175660000001"/>
    <n v="-568.24220490000005"/>
    <x v="10"/>
    <s v="Aug-2020"/>
  </r>
  <r>
    <x v="11"/>
    <s v="AZE"/>
    <x v="0"/>
    <x v="8"/>
    <x v="8"/>
    <s v="reported"/>
    <n v="4707.1876339999999"/>
    <n v="5074"/>
    <n v="-346.33382449999999"/>
    <n v="-1778.285267"/>
    <n v="-2667.7683919999999"/>
    <n v="-901.45117289999996"/>
    <x v="10"/>
    <s v="Sep-2020"/>
  </r>
  <r>
    <x v="11"/>
    <s v="AZE"/>
    <x v="0"/>
    <x v="9"/>
    <x v="9"/>
    <s v="reported"/>
    <n v="5074.172826"/>
    <n v="6482"/>
    <n v="694.6809839"/>
    <n v="-1083.6042829999999"/>
    <n v="-2024.5890670000001"/>
    <n v="-222.35690940000001"/>
    <x v="10"/>
    <s v="Oct-2020"/>
  </r>
  <r>
    <x v="11"/>
    <s v="AZE"/>
    <x v="0"/>
    <x v="10"/>
    <x v="10"/>
    <s v="reported"/>
    <n v="5326.6391839999997"/>
    <n v="9405"/>
    <n v="3365.214626"/>
    <n v="2281.6103429999998"/>
    <n v="1284.402053"/>
    <n v="3250.7538559999998"/>
    <x v="10"/>
    <s v="Nov-2020"/>
  </r>
  <r>
    <x v="11"/>
    <s v="AZE"/>
    <x v="0"/>
    <x v="11"/>
    <x v="11"/>
    <s v="reported"/>
    <n v="5807.3099840000004"/>
    <n v="16278"/>
    <n v="9757.5438250000007"/>
    <n v="12039.15417"/>
    <n v="11038.594160000001"/>
    <n v="13016.35391"/>
    <x v="10"/>
    <s v="Dec-2020"/>
  </r>
  <r>
    <x v="11"/>
    <s v="AZE"/>
    <x v="1"/>
    <x v="0"/>
    <x v="0"/>
    <s v="reported"/>
    <n v="5811.1320919999998"/>
    <n v="8949"/>
    <n v="3133.4709680000001"/>
    <n v="15172.62514"/>
    <n v="14127.04516"/>
    <n v="16248.19356"/>
    <x v="10"/>
    <s v="Jan-2021"/>
  </r>
  <r>
    <x v="11"/>
    <s v="AZE"/>
    <x v="1"/>
    <x v="1"/>
    <x v="1"/>
    <s v="reported"/>
    <n v="5580.4013299999997"/>
    <n v="6023"/>
    <n v="438.20173030000001"/>
    <n v="15610.826870000001"/>
    <n v="14536.777609999999"/>
    <n v="16717.195210000002"/>
    <x v="10"/>
    <s v="Feb-2021"/>
  </r>
  <r>
    <x v="11"/>
    <s v="AZE"/>
    <x v="1"/>
    <x v="2"/>
    <x v="2"/>
    <s v="reported"/>
    <n v="5373.3004110000002"/>
    <n v="6372"/>
    <n v="994.30264910000005"/>
    <n v="16605.129519999999"/>
    <n v="15455.035889999999"/>
    <n v="17789.389029999998"/>
    <x v="10"/>
    <s v="Mar-2021"/>
  </r>
  <r>
    <x v="11"/>
    <s v="AZE"/>
    <x v="1"/>
    <x v="3"/>
    <x v="3"/>
    <s v="reported"/>
    <n v="5860.9668659999998"/>
    <n v="8307"/>
    <n v="2441.636195"/>
    <n v="19046.76571"/>
    <n v="17885.454269999998"/>
    <n v="20300.841349999999"/>
    <x v="10"/>
    <s v="Apr-2021"/>
  </r>
  <r>
    <x v="11"/>
    <s v="AZE"/>
    <x v="1"/>
    <x v="4"/>
    <x v="4"/>
    <s v="reported"/>
    <n v="5386.4053359999998"/>
    <n v="6101"/>
    <n v="710.19772420000004"/>
    <n v="19756.96343"/>
    <n v="18438.54091"/>
    <n v="21044.392970000001"/>
    <x v="10"/>
    <s v="May-2021"/>
  </r>
  <r>
    <x v="11"/>
    <s v="AZE"/>
    <x v="1"/>
    <x v="5"/>
    <x v="5"/>
    <s v="reported"/>
    <n v="4887.3973070000002"/>
    <n v="5835"/>
    <n v="943.20575340000005"/>
    <n v="20700.169190000001"/>
    <n v="19387.317739999999"/>
    <n v="22031.90468"/>
    <x v="10"/>
    <s v="Jun-2021"/>
  </r>
  <r>
    <x v="11"/>
    <s v="AZE"/>
    <x v="1"/>
    <x v="6"/>
    <x v="6"/>
    <s v="reported"/>
    <n v="5500.7637860000004"/>
    <n v="5710"/>
    <n v="204.83927399999999"/>
    <n v="20905.008460000001"/>
    <n v="19550.912810000002"/>
    <n v="22243.385760000001"/>
    <x v="10"/>
    <s v="Jul-2021"/>
  </r>
  <r>
    <x v="11"/>
    <s v="AZE"/>
    <x v="1"/>
    <x v="7"/>
    <x v="7"/>
    <s v="reported"/>
    <n v="5237.4933209999999"/>
    <n v="7295"/>
    <n v="2053.109739"/>
    <n v="22958.118200000001"/>
    <n v="21595.122940000001"/>
    <n v="24297.964049999999"/>
    <x v="10"/>
    <s v="Aug-2021"/>
  </r>
  <r>
    <x v="11"/>
    <s v="AZE"/>
    <x v="1"/>
    <x v="8"/>
    <x v="8"/>
    <s v="reported"/>
    <n v="4733.5732619999999"/>
    <n v="8464"/>
    <n v="3726.029798"/>
    <n v="26684.148000000001"/>
    <n v="25304.10873"/>
    <n v="28117.44022"/>
    <x v="10"/>
    <s v="Sep-2021"/>
  </r>
  <r>
    <x v="11"/>
    <s v="AZE"/>
    <x v="1"/>
    <x v="9"/>
    <x v="9"/>
    <s v="reported"/>
    <n v="5089.8243419999999"/>
    <n v="6711"/>
    <n v="1616.7787189999999"/>
    <n v="28300.926719999999"/>
    <n v="26909.05646"/>
    <n v="29805.240119999999"/>
    <x v="10"/>
    <s v="Oct-2021"/>
  </r>
  <r>
    <x v="11"/>
    <s v="AZE"/>
    <x v="1"/>
    <x v="10"/>
    <x v="10"/>
    <s v="reported"/>
    <n v="5366.1090039999999"/>
    <n v="8543"/>
    <n v="3172.494056"/>
    <n v="31473.420770000001"/>
    <n v="30020.713830000001"/>
    <n v="32959.033889999999"/>
    <x v="10"/>
    <s v="Nov-2021"/>
  </r>
  <r>
    <x v="11"/>
    <s v="AZE"/>
    <x v="1"/>
    <x v="11"/>
    <x v="11"/>
    <s v="reported"/>
    <n v="5837.2827820000002"/>
    <n v="7989"/>
    <n v="2147.3202780000001"/>
    <n v="33620.741049999997"/>
    <n v="32121.53441"/>
    <n v="35239.699919999999"/>
    <x v="10"/>
    <s v="Dec-2021"/>
  </r>
  <r>
    <x v="12"/>
    <s v="BDI"/>
    <x v="0"/>
    <x v="0"/>
    <x v="0"/>
    <s v="predicted"/>
    <n v="6436.3734590000004"/>
    <n v="6620.6540000000005"/>
    <n v="184.28054090000001"/>
    <n v="184.28054090000001"/>
    <n v="-1514.9774440000001"/>
    <n v="2194.967705"/>
    <x v="11"/>
    <s v="Jan-2020"/>
  </r>
  <r>
    <x v="12"/>
    <s v="BDI"/>
    <x v="0"/>
    <x v="1"/>
    <x v="1"/>
    <s v="predicted"/>
    <n v="6456.1145429999997"/>
    <n v="6403.8779999999997"/>
    <n v="-52.236542649999997"/>
    <n v="132.0439983"/>
    <n v="-2152.1567279999999"/>
    <n v="2819.8834109999998"/>
    <x v="11"/>
    <s v="Feb-2020"/>
  </r>
  <r>
    <x v="12"/>
    <s v="BDI"/>
    <x v="0"/>
    <x v="2"/>
    <x v="2"/>
    <s v="predicted"/>
    <n v="6445.3151950000001"/>
    <n v="6410.0029999999997"/>
    <n v="-35.312194529999999"/>
    <n v="96.731803720000002"/>
    <n v="-2766.5149070000002"/>
    <n v="3369.9438260000002"/>
    <x v="11"/>
    <s v="Mar-2020"/>
  </r>
  <r>
    <x v="12"/>
    <s v="BDI"/>
    <x v="0"/>
    <x v="3"/>
    <x v="3"/>
    <s v="predicted"/>
    <n v="6464.31149"/>
    <n v="6377.3450000000003"/>
    <n v="-86.966490480000004"/>
    <n v="9.7653132399999993"/>
    <n v="-3382.634149"/>
    <n v="3640.8996120000002"/>
    <x v="11"/>
    <s v="Apr-2020"/>
  </r>
  <r>
    <x v="12"/>
    <s v="BDI"/>
    <x v="0"/>
    <x v="4"/>
    <x v="4"/>
    <s v="predicted"/>
    <n v="6435.7193630000002"/>
    <n v="6329.3950000000004"/>
    <n v="-106.3243629"/>
    <n v="-96.559049650000006"/>
    <n v="-3742.218777"/>
    <n v="3825.0798570000002"/>
    <x v="11"/>
    <s v="May-2020"/>
  </r>
  <r>
    <x v="12"/>
    <s v="BDI"/>
    <x v="0"/>
    <x v="5"/>
    <x v="5"/>
    <s v="predicted"/>
    <n v="6457.8250479999997"/>
    <n v="6263.45"/>
    <n v="-194.3750484"/>
    <n v="-290.93409800000001"/>
    <n v="-4404.3864869999998"/>
    <n v="4078.2852680000001"/>
    <x v="11"/>
    <s v="Jun-2020"/>
  </r>
  <r>
    <x v="12"/>
    <s v="BDI"/>
    <x v="0"/>
    <x v="6"/>
    <x v="6"/>
    <s v="predicted"/>
    <n v="6454.4132970000001"/>
    <n v="6194.3630000000003"/>
    <n v="-260.05029710000002"/>
    <n v="-550.98439510000003"/>
    <n v="-4854.5829469999999"/>
    <n v="4243.5207309999996"/>
    <x v="11"/>
    <s v="Jul-2020"/>
  </r>
  <r>
    <x v="12"/>
    <s v="BDI"/>
    <x v="0"/>
    <x v="7"/>
    <x v="7"/>
    <s v="predicted"/>
    <n v="6427.2630499999996"/>
    <n v="6369.1890000000003"/>
    <n v="-58.074050389999996"/>
    <n v="-609.05844549999995"/>
    <n v="-5104.4527330000001"/>
    <n v="4391.6272520000002"/>
    <x v="11"/>
    <s v="Aug-2020"/>
  </r>
  <r>
    <x v="12"/>
    <s v="BDI"/>
    <x v="0"/>
    <x v="8"/>
    <x v="8"/>
    <s v="predicted"/>
    <n v="6385.2437620000001"/>
    <n v="6433.1909999999998"/>
    <n v="47.947238079999998"/>
    <n v="-561.11120740000001"/>
    <n v="-5453.9919060000002"/>
    <n v="4848.4805610000003"/>
    <x v="11"/>
    <s v="Sep-2020"/>
  </r>
  <r>
    <x v="12"/>
    <s v="BDI"/>
    <x v="0"/>
    <x v="9"/>
    <x v="9"/>
    <s v="predicted"/>
    <n v="6386.1397280000001"/>
    <n v="6405.2089999999998"/>
    <n v="19.06927245"/>
    <n v="-542.04193499999997"/>
    <n v="-5763.2164640000001"/>
    <n v="5171.8699900000001"/>
    <x v="11"/>
    <s v="Oct-2020"/>
  </r>
  <r>
    <x v="12"/>
    <s v="BDI"/>
    <x v="0"/>
    <x v="10"/>
    <x v="10"/>
    <s v="predicted"/>
    <n v="6438.2339549999997"/>
    <n v="6548.1530000000002"/>
    <n v="109.919045"/>
    <n v="-432.12288999999998"/>
    <n v="-6027.9748239999999"/>
    <n v="5813.7641510000003"/>
    <x v="11"/>
    <s v="Nov-2020"/>
  </r>
  <r>
    <x v="12"/>
    <s v="BDI"/>
    <x v="0"/>
    <x v="11"/>
    <x v="11"/>
    <s v="predicted"/>
    <n v="6427.1669039999997"/>
    <n v="6586.598"/>
    <n v="159.4310964"/>
    <n v="-272.69179359999998"/>
    <n v="-5898.4388520000002"/>
    <n v="6027.8349850000004"/>
    <x v="11"/>
    <s v="Dec-2020"/>
  </r>
  <r>
    <x v="12"/>
    <s v="BDI"/>
    <x v="1"/>
    <x v="0"/>
    <x v="0"/>
    <s v="predicted"/>
    <n v="6468.7629020000004"/>
    <n v="6689.7640000000001"/>
    <n v="221.00109789999999"/>
    <n v="-51.690695730000002"/>
    <n v="-5992.1840979999997"/>
    <n v="6649.8868739999998"/>
    <x v="11"/>
    <s v="Jan-2021"/>
  </r>
  <r>
    <x v="12"/>
    <s v="BDI"/>
    <x v="1"/>
    <x v="1"/>
    <x v="1"/>
    <s v="predicted"/>
    <n v="6503.251808"/>
    <n v="6835.1289999999999"/>
    <n v="331.87719170000003"/>
    <n v="280.18649599999998"/>
    <n v="-5876.560845"/>
    <n v="7279.4897250000004"/>
    <x v="11"/>
    <s v="Feb-2021"/>
  </r>
  <r>
    <x v="12"/>
    <s v="BDI"/>
    <x v="1"/>
    <x v="2"/>
    <x v="2"/>
    <s v="predicted"/>
    <n v="6486.7143029999997"/>
    <n v="6945.2359999999999"/>
    <n v="458.52169750000002"/>
    <n v="738.70819340000003"/>
    <n v="-5663.430394"/>
    <n v="8410.0724360000004"/>
    <x v="11"/>
    <s v="Mar-2021"/>
  </r>
  <r>
    <x v="12"/>
    <s v="BDI"/>
    <x v="1"/>
    <x v="3"/>
    <x v="3"/>
    <s v="predicted"/>
    <n v="6509.0285729999996"/>
    <n v="6741.491"/>
    <n v="232.4624268"/>
    <n v="971.17062020000003"/>
    <n v="-5844.1122459999997"/>
    <n v="8679.784259"/>
    <x v="11"/>
    <s v="Apr-2021"/>
  </r>
  <r>
    <x v="12"/>
    <s v="BDI"/>
    <x v="1"/>
    <x v="4"/>
    <x v="4"/>
    <s v="predicted"/>
    <n v="6488.9791610000002"/>
    <n v="6740.2259999999997"/>
    <n v="251.2468389"/>
    <n v="1222.417459"/>
    <n v="-5991.5211369999997"/>
    <n v="9267.6634890000005"/>
    <x v="11"/>
    <s v="May-2021"/>
  </r>
  <r>
    <x v="12"/>
    <s v="BDI"/>
    <x v="1"/>
    <x v="5"/>
    <x v="5"/>
    <s v="predicted"/>
    <n v="6500.498004"/>
    <n v="6970.1350000000002"/>
    <n v="469.6369962"/>
    <n v="1692.054455"/>
    <n v="-5783.0212110000002"/>
    <n v="10070.27759"/>
    <x v="11"/>
    <s v="Jun-2021"/>
  </r>
  <r>
    <x v="12"/>
    <s v="BDI"/>
    <x v="1"/>
    <x v="6"/>
    <x v="6"/>
    <s v="predicted"/>
    <n v="6494.3221020000001"/>
    <n v="6982.8090000000002"/>
    <n v="488.48689780000001"/>
    <n v="2180.5413530000001"/>
    <n v="-5618.7478940000001"/>
    <n v="10416.58037"/>
    <x v="11"/>
    <s v="Jul-2021"/>
  </r>
  <r>
    <x v="12"/>
    <s v="BDI"/>
    <x v="1"/>
    <x v="7"/>
    <x v="7"/>
    <s v="predicted"/>
    <n v="6455.1534469999997"/>
    <n v="6723.03"/>
    <n v="267.87655330000001"/>
    <n v="2448.4179060000001"/>
    <n v="-5595.6807010000002"/>
    <n v="10953.848480000001"/>
    <x v="11"/>
    <s v="Aug-2021"/>
  </r>
  <r>
    <x v="12"/>
    <s v="BDI"/>
    <x v="1"/>
    <x v="8"/>
    <x v="8"/>
    <s v="predicted"/>
    <n v="6430.1370909999996"/>
    <n v="6613.2219999999998"/>
    <n v="183.08490879999999"/>
    <n v="2631.5028149999998"/>
    <n v="-5537.3278890000001"/>
    <n v="11355.528899999999"/>
    <x v="11"/>
    <s v="Sep-2021"/>
  </r>
  <r>
    <x v="12"/>
    <s v="BDI"/>
    <x v="1"/>
    <x v="9"/>
    <x v="9"/>
    <s v="predicted"/>
    <n v="6428.9970030000004"/>
    <n v="6469.7809999999999"/>
    <n v="40.783997470000003"/>
    <n v="2672.2868130000002"/>
    <n v="-5834.5353139999997"/>
    <n v="11830.510389999999"/>
    <x v="11"/>
    <s v="Oct-2021"/>
  </r>
  <r>
    <x v="12"/>
    <s v="BDI"/>
    <x v="1"/>
    <x v="10"/>
    <x v="10"/>
    <s v="predicted"/>
    <n v="6469.6397630000001"/>
    <n v="6546.1310000000003"/>
    <n v="76.491236819999997"/>
    <n v="2748.778049"/>
    <n v="-6002.9050669999997"/>
    <n v="12254.79019"/>
    <x v="11"/>
    <s v="Nov-2021"/>
  </r>
  <r>
    <x v="12"/>
    <s v="BDI"/>
    <x v="1"/>
    <x v="11"/>
    <x v="11"/>
    <s v="predicted"/>
    <n v="6469.1533550000004"/>
    <n v="6706.1270000000004"/>
    <n v="236.97364469999999"/>
    <n v="2985.751694"/>
    <n v="-6092.5172519999996"/>
    <n v="12457.06308"/>
    <x v="11"/>
    <s v="Dec-2021"/>
  </r>
  <r>
    <x v="13"/>
    <s v="BEL"/>
    <x v="0"/>
    <x v="0"/>
    <x v="0"/>
    <s v="reported"/>
    <n v="10026.282649999999"/>
    <n v="10185"/>
    <n v="31.717347539999999"/>
    <n v="31.717347539999999"/>
    <n v="-355.09271180000002"/>
    <n v="422.92189109999998"/>
    <x v="12"/>
    <s v="Jan-2020"/>
  </r>
  <r>
    <x v="13"/>
    <s v="BEL"/>
    <x v="0"/>
    <x v="1"/>
    <x v="1"/>
    <s v="reported"/>
    <n v="10277.76828"/>
    <n v="9378"/>
    <n v="-1026.7682769999999"/>
    <n v="-995.050929"/>
    <n v="-1623.3705219999999"/>
    <n v="-359.58101340000002"/>
    <x v="12"/>
    <s v="Feb-2020"/>
  </r>
  <r>
    <x v="13"/>
    <s v="BEL"/>
    <x v="0"/>
    <x v="2"/>
    <x v="2"/>
    <s v="reported"/>
    <n v="10038.967199999999"/>
    <n v="11668"/>
    <n v="1502.0328019999999"/>
    <n v="506.98187350000001"/>
    <n v="-234.63676330000001"/>
    <n v="1324.8423419999999"/>
    <x v="12"/>
    <s v="Mar-2020"/>
  </r>
  <r>
    <x v="13"/>
    <s v="BEL"/>
    <x v="0"/>
    <x v="3"/>
    <x v="3"/>
    <s v="reported"/>
    <n v="9109.9805930000002"/>
    <n v="15294"/>
    <n v="6057.0194069999998"/>
    <n v="6564.0012800000004"/>
    <n v="5669.5290910000003"/>
    <n v="7493.0592159999997"/>
    <x v="12"/>
    <s v="Apr-2020"/>
  </r>
  <r>
    <x v="13"/>
    <s v="BEL"/>
    <x v="0"/>
    <x v="4"/>
    <x v="4"/>
    <s v="reported"/>
    <n v="8590.7525449999994"/>
    <n v="9538"/>
    <n v="820.24745480000001"/>
    <n v="7384.2487350000001"/>
    <n v="6403.2666310000004"/>
    <n v="8374.5545750000001"/>
    <x v="12"/>
    <s v="May-2020"/>
  </r>
  <r>
    <x v="13"/>
    <s v="BEL"/>
    <x v="0"/>
    <x v="5"/>
    <x v="5"/>
    <s v="reported"/>
    <n v="8277.5232730000007"/>
    <n v="7993"/>
    <n v="-411.52327320000001"/>
    <n v="6972.7254620000003"/>
    <n v="5929.7342589999998"/>
    <n v="8061.6126889999996"/>
    <x v="12"/>
    <s v="Jun-2020"/>
  </r>
  <r>
    <x v="13"/>
    <s v="BEL"/>
    <x v="0"/>
    <x v="6"/>
    <x v="6"/>
    <s v="reported"/>
    <n v="8362.1562219999996"/>
    <n v="8005"/>
    <n v="-484.15622230000002"/>
    <n v="6488.5692399999998"/>
    <n v="5360.9534789999998"/>
    <n v="7606.7054609999996"/>
    <x v="12"/>
    <s v="Jul-2020"/>
  </r>
  <r>
    <x v="13"/>
    <s v="BEL"/>
    <x v="0"/>
    <x v="7"/>
    <x v="7"/>
    <s v="reported"/>
    <n v="8238.3324379999995"/>
    <n v="9848"/>
    <n v="1482.6675620000001"/>
    <n v="7971.2368020000004"/>
    <n v="6783.520563"/>
    <n v="9144.1782970000004"/>
    <x v="12"/>
    <s v="Aug-2020"/>
  </r>
  <r>
    <x v="13"/>
    <s v="BEL"/>
    <x v="0"/>
    <x v="8"/>
    <x v="8"/>
    <s v="reported"/>
    <n v="8169.1520410000003"/>
    <n v="8189"/>
    <n v="-107.1520407"/>
    <n v="7864.0847610000001"/>
    <n v="6593.6490009999998"/>
    <n v="9133.7820179999999"/>
    <x v="12"/>
    <s v="Sep-2020"/>
  </r>
  <r>
    <x v="13"/>
    <s v="BEL"/>
    <x v="0"/>
    <x v="9"/>
    <x v="9"/>
    <s v="reported"/>
    <n v="8538.468766"/>
    <n v="10756"/>
    <n v="2090.531234"/>
    <n v="9954.6159950000001"/>
    <n v="8621.2377329999999"/>
    <n v="11329.40171"/>
    <x v="12"/>
    <s v="Oct-2020"/>
  </r>
  <r>
    <x v="13"/>
    <s v="BEL"/>
    <x v="0"/>
    <x v="10"/>
    <x v="10"/>
    <s v="reported"/>
    <n v="9045.3990400000002"/>
    <n v="14048"/>
    <n v="4875.6009599999998"/>
    <n v="14830.21696"/>
    <n v="13417.75835"/>
    <n v="16219.59029"/>
    <x v="12"/>
    <s v="Nov-2020"/>
  </r>
  <r>
    <x v="13"/>
    <s v="BEL"/>
    <x v="0"/>
    <x v="11"/>
    <x v="11"/>
    <s v="reported"/>
    <n v="10008.986269999999"/>
    <n v="11846"/>
    <n v="1710.013725"/>
    <n v="16540.230680000001"/>
    <n v="15003.62328"/>
    <n v="17961.786169999999"/>
    <x v="12"/>
    <s v="Dec-2020"/>
  </r>
  <r>
    <x v="13"/>
    <s v="BEL"/>
    <x v="1"/>
    <x v="0"/>
    <x v="0"/>
    <s v="reported"/>
    <n v="10003.407859999999"/>
    <n v="10775"/>
    <n v="767.84214320000001"/>
    <n v="17308.072820000001"/>
    <n v="15761.05156"/>
    <n v="18902.331569999998"/>
    <x v="12"/>
    <s v="Jan-2021"/>
  </r>
  <r>
    <x v="13"/>
    <s v="BEL"/>
    <x v="1"/>
    <x v="1"/>
    <x v="1"/>
    <s v="reported"/>
    <n v="10265.61175"/>
    <n v="8952"/>
    <n v="-1317.36175"/>
    <n v="15990.711069999999"/>
    <n v="14395.38903"/>
    <n v="17653.412219999998"/>
    <x v="12"/>
    <s v="Feb-2021"/>
  </r>
  <r>
    <x v="13"/>
    <s v="BEL"/>
    <x v="1"/>
    <x v="2"/>
    <x v="2"/>
    <s v="reported"/>
    <n v="10010.018819999999"/>
    <n v="9336"/>
    <n v="-677.76882290000003"/>
    <n v="15312.94225"/>
    <n v="13624.81518"/>
    <n v="16981.413209999999"/>
    <x v="12"/>
    <s v="Mar-2021"/>
  </r>
  <r>
    <x v="13"/>
    <s v="BEL"/>
    <x v="1"/>
    <x v="3"/>
    <x v="3"/>
    <s v="reported"/>
    <n v="9090.8275319999993"/>
    <n v="9420"/>
    <n v="325.42246799999998"/>
    <n v="15638.36472"/>
    <n v="13961.306140000001"/>
    <n v="17367.61159"/>
    <x v="12"/>
    <s v="Apr-2021"/>
  </r>
  <r>
    <x v="13"/>
    <s v="BEL"/>
    <x v="1"/>
    <x v="4"/>
    <x v="4"/>
    <s v="reported"/>
    <n v="8559.2427189999999"/>
    <n v="9262"/>
    <n v="699.00728100000003"/>
    <n v="16337.371999999999"/>
    <n v="14552.220300000001"/>
    <n v="18116.717830000001"/>
    <x v="12"/>
    <s v="May-2021"/>
  </r>
  <r>
    <x v="13"/>
    <s v="BEL"/>
    <x v="1"/>
    <x v="5"/>
    <x v="5"/>
    <s v="reported"/>
    <n v="8264.7936300000001"/>
    <n v="8156"/>
    <n v="-112.5436304"/>
    <n v="16224.828369999999"/>
    <n v="14376.093629999999"/>
    <n v="18023.74929"/>
    <x v="12"/>
    <s v="Jun-2021"/>
  </r>
  <r>
    <x v="13"/>
    <s v="BEL"/>
    <x v="1"/>
    <x v="6"/>
    <x v="6"/>
    <s v="reported"/>
    <n v="8332.8960189999998"/>
    <n v="8456"/>
    <n v="119.3539806"/>
    <n v="16344.182349999999"/>
    <n v="14446.03917"/>
    <n v="18234.129290000001"/>
    <x v="12"/>
    <s v="Jul-2021"/>
  </r>
  <r>
    <x v="13"/>
    <s v="BEL"/>
    <x v="1"/>
    <x v="7"/>
    <x v="7"/>
    <s v="reported"/>
    <n v="8231.1139839999996"/>
    <n v="8296"/>
    <n v="61.136016210000001"/>
    <n v="16405.318370000001"/>
    <n v="14389.8593"/>
    <n v="18330.501769999999"/>
    <x v="12"/>
    <s v="Aug-2021"/>
  </r>
  <r>
    <x v="13"/>
    <s v="BEL"/>
    <x v="1"/>
    <x v="8"/>
    <x v="8"/>
    <s v="reported"/>
    <n v="8158.1911499999997"/>
    <n v="8296"/>
    <n v="134.05885040000001"/>
    <n v="16539.377219999998"/>
    <n v="14611.15452"/>
    <n v="18607.447919999999"/>
    <x v="12"/>
    <s v="Sep-2021"/>
  </r>
  <r>
    <x v="13"/>
    <s v="BEL"/>
    <x v="1"/>
    <x v="9"/>
    <x v="9"/>
    <s v="reported"/>
    <n v="8529.8199019999993"/>
    <n v="9768"/>
    <n v="1234.430098"/>
    <n v="17773.80731"/>
    <n v="15783.50633"/>
    <n v="19902.318940000001"/>
    <x v="12"/>
    <s v="Oct-2021"/>
  </r>
  <r>
    <x v="13"/>
    <s v="BEL"/>
    <x v="1"/>
    <x v="10"/>
    <x v="10"/>
    <s v="reported"/>
    <n v="9037.4129599999997"/>
    <n v="10319"/>
    <n v="1277.8370399999999"/>
    <n v="19051.644349999999"/>
    <n v="16963.32144"/>
    <n v="21170.841850000001"/>
    <x v="12"/>
    <s v="Nov-2021"/>
  </r>
  <r>
    <x v="13"/>
    <s v="BEL"/>
    <x v="1"/>
    <x v="11"/>
    <x v="11"/>
    <s v="reported"/>
    <n v="9980.2990530000006"/>
    <n v="11267"/>
    <n v="1282.950947"/>
    <n v="20334.595300000001"/>
    <n v="18183.96428"/>
    <n v="22583.0311"/>
    <x v="12"/>
    <s v="Dec-2021"/>
  </r>
  <r>
    <x v="14"/>
    <s v="BEN"/>
    <x v="0"/>
    <x v="0"/>
    <x v="0"/>
    <s v="predicted"/>
    <n v="7884.693741"/>
    <n v="8180.6540000000005"/>
    <n v="295.96025859999997"/>
    <n v="295.96025859999997"/>
    <n v="-1714.011342"/>
    <n v="2736.1348950000001"/>
    <x v="13"/>
    <s v="Jan-2020"/>
  </r>
  <r>
    <x v="14"/>
    <s v="BEN"/>
    <x v="0"/>
    <x v="1"/>
    <x v="1"/>
    <s v="predicted"/>
    <n v="7772.6384889999999"/>
    <n v="7877.277"/>
    <n v="104.63851150000001"/>
    <n v="400.59877010000002"/>
    <n v="-2630.125826"/>
    <n v="3782.4723920000001"/>
    <x v="13"/>
    <s v="Feb-2020"/>
  </r>
  <r>
    <x v="14"/>
    <s v="BEN"/>
    <x v="0"/>
    <x v="2"/>
    <x v="2"/>
    <s v="predicted"/>
    <n v="7670.5016089999999"/>
    <n v="7541.2809999999999"/>
    <n v="-129.22060909999999"/>
    <n v="271.37816099999998"/>
    <n v="-3414.7540039999999"/>
    <n v="4344.0504430000001"/>
    <x v="13"/>
    <s v="Mar-2020"/>
  </r>
  <r>
    <x v="14"/>
    <s v="BEN"/>
    <x v="0"/>
    <x v="3"/>
    <x v="3"/>
    <s v="predicted"/>
    <n v="7687.0538180000003"/>
    <n v="7212.2340000000004"/>
    <n v="-474.81981780000001"/>
    <n v="-203.4416568"/>
    <n v="-4318.9945019999996"/>
    <n v="4313.9274850000002"/>
    <x v="13"/>
    <s v="Apr-2020"/>
  </r>
  <r>
    <x v="14"/>
    <s v="BEN"/>
    <x v="0"/>
    <x v="4"/>
    <x v="4"/>
    <s v="predicted"/>
    <n v="7747.3805869999997"/>
    <n v="7613.26"/>
    <n v="-134.12058690000001"/>
    <n v="-337.56224359999999"/>
    <n v="-4921.6909779999996"/>
    <n v="4574.0405860000001"/>
    <x v="13"/>
    <s v="May-2020"/>
  </r>
  <r>
    <x v="14"/>
    <s v="BEN"/>
    <x v="0"/>
    <x v="5"/>
    <x v="5"/>
    <s v="predicted"/>
    <n v="7834.2005150000005"/>
    <n v="8181.0829999999996"/>
    <n v="346.88248529999998"/>
    <n v="9.3202417050000008"/>
    <n v="-5127.0297870000004"/>
    <n v="5456.7210260000002"/>
    <x v="13"/>
    <s v="Jun-2020"/>
  </r>
  <r>
    <x v="14"/>
    <s v="BEN"/>
    <x v="0"/>
    <x v="6"/>
    <x v="6"/>
    <s v="predicted"/>
    <n v="7925.6420740000003"/>
    <n v="8256.9860000000008"/>
    <n v="331.3439257"/>
    <n v="340.6641674"/>
    <n v="-5365.0836339999996"/>
    <n v="6176.8884440000002"/>
    <x v="13"/>
    <s v="Jul-2020"/>
  </r>
  <r>
    <x v="14"/>
    <s v="BEN"/>
    <x v="0"/>
    <x v="7"/>
    <x v="7"/>
    <s v="predicted"/>
    <n v="7959.8581899999999"/>
    <n v="8147.8689999999997"/>
    <n v="188.01080999999999"/>
    <n v="528.67497749999995"/>
    <n v="-5670.3525129999998"/>
    <n v="6732.9819770000004"/>
    <x v="13"/>
    <s v="Aug-2020"/>
  </r>
  <r>
    <x v="14"/>
    <s v="BEN"/>
    <x v="0"/>
    <x v="8"/>
    <x v="8"/>
    <s v="predicted"/>
    <n v="7936.905589"/>
    <n v="8033.317"/>
    <n v="96.411410750000002"/>
    <n v="625.08638819999999"/>
    <n v="-5834.5195949999998"/>
    <n v="7153.9718999999996"/>
    <x v="13"/>
    <s v="Sep-2020"/>
  </r>
  <r>
    <x v="14"/>
    <s v="BEN"/>
    <x v="0"/>
    <x v="9"/>
    <x v="9"/>
    <s v="predicted"/>
    <n v="7877.6620999999996"/>
    <n v="7719.1440000000002"/>
    <n v="-158.51809950000001"/>
    <n v="466.56828869999998"/>
    <n v="-6254.3667729999997"/>
    <n v="7251.9901669999999"/>
    <x v="13"/>
    <s v="Oct-2020"/>
  </r>
  <r>
    <x v="14"/>
    <s v="BEN"/>
    <x v="0"/>
    <x v="10"/>
    <x v="10"/>
    <s v="predicted"/>
    <n v="7843.0242120000003"/>
    <n v="7673.835"/>
    <n v="-169.1892124"/>
    <n v="297.37907630000001"/>
    <n v="-6725.5384080000003"/>
    <n v="7571.6175720000001"/>
    <x v="13"/>
    <s v="Nov-2020"/>
  </r>
  <r>
    <x v="14"/>
    <s v="BEN"/>
    <x v="0"/>
    <x v="11"/>
    <x v="11"/>
    <s v="predicted"/>
    <n v="7844.6583639999999"/>
    <n v="7731.7259999999997"/>
    <n v="-112.93236419999999"/>
    <n v="184.44671199999999"/>
    <n v="-7755.9326389999997"/>
    <n v="7387.5280089999997"/>
    <x v="13"/>
    <s v="Dec-2020"/>
  </r>
  <r>
    <x v="14"/>
    <s v="BEN"/>
    <x v="1"/>
    <x v="0"/>
    <x v="0"/>
    <s v="predicted"/>
    <n v="7921.8516380000001"/>
    <n v="8257.98"/>
    <n v="336.12836220000003"/>
    <n v="520.57507420000002"/>
    <n v="-7673.2445989999997"/>
    <n v="8298.1080120000006"/>
    <x v="13"/>
    <s v="Jan-2021"/>
  </r>
  <r>
    <x v="14"/>
    <s v="BEN"/>
    <x v="1"/>
    <x v="1"/>
    <x v="1"/>
    <s v="predicted"/>
    <n v="7805.0526060000002"/>
    <n v="8546.86"/>
    <n v="741.80739440000002"/>
    <n v="1262.3824689999999"/>
    <n v="-7102.104934"/>
    <n v="9290.4282590000003"/>
    <x v="13"/>
    <s v="Feb-2021"/>
  </r>
  <r>
    <x v="14"/>
    <s v="BEN"/>
    <x v="1"/>
    <x v="2"/>
    <x v="2"/>
    <s v="predicted"/>
    <n v="7701.9731689999999"/>
    <n v="8547.1880000000001"/>
    <n v="845.21483109999997"/>
    <n v="2107.5972999999999"/>
    <n v="-6587.0660310000003"/>
    <n v="10303.19478"/>
    <x v="13"/>
    <s v="Mar-2021"/>
  </r>
  <r>
    <x v="14"/>
    <s v="BEN"/>
    <x v="1"/>
    <x v="3"/>
    <x v="3"/>
    <s v="predicted"/>
    <n v="7719.9343509999999"/>
    <n v="8090.75"/>
    <n v="370.81564880000002"/>
    <n v="2478.412949"/>
    <n v="-6572.21029"/>
    <n v="10843.13049"/>
    <x v="13"/>
    <s v="Apr-2021"/>
  </r>
  <r>
    <x v="14"/>
    <s v="BEN"/>
    <x v="1"/>
    <x v="4"/>
    <x v="4"/>
    <s v="predicted"/>
    <n v="7781.817395"/>
    <n v="8119.5640000000003"/>
    <n v="337.74660490000002"/>
    <n v="2816.159553"/>
    <n v="-6332.2254110000003"/>
    <n v="11552.691999999999"/>
    <x v="13"/>
    <s v="May-2021"/>
  </r>
  <r>
    <x v="14"/>
    <s v="BEN"/>
    <x v="1"/>
    <x v="5"/>
    <x v="5"/>
    <s v="predicted"/>
    <n v="7866.4532559999998"/>
    <n v="8173.9089999999997"/>
    <n v="307.45574379999999"/>
    <n v="3123.6152969999998"/>
    <n v="-6665.626773"/>
    <n v="12119.831609999999"/>
    <x v="13"/>
    <s v="Jun-2021"/>
  </r>
  <r>
    <x v="14"/>
    <s v="BEN"/>
    <x v="1"/>
    <x v="6"/>
    <x v="6"/>
    <s v="predicted"/>
    <n v="7962.5249789999998"/>
    <n v="8335.4590000000007"/>
    <n v="372.93402099999997"/>
    <n v="3496.5493179999999"/>
    <n v="-6135.4140049999996"/>
    <n v="13135.176170000001"/>
    <x v="13"/>
    <s v="Jul-2021"/>
  </r>
  <r>
    <x v="14"/>
    <s v="BEN"/>
    <x v="1"/>
    <x v="7"/>
    <x v="7"/>
    <s v="predicted"/>
    <n v="7996.9358410000004"/>
    <n v="8349.5370000000003"/>
    <n v="352.60115939999997"/>
    <n v="3849.150478"/>
    <n v="-6057.5245059999997"/>
    <n v="13438.12801"/>
    <x v="13"/>
    <s v="Aug-2021"/>
  </r>
  <r>
    <x v="14"/>
    <s v="BEN"/>
    <x v="1"/>
    <x v="8"/>
    <x v="8"/>
    <s v="predicted"/>
    <n v="7973.2177499999998"/>
    <n v="8084.23"/>
    <n v="111.0122497"/>
    <n v="3960.1627269999999"/>
    <n v="-6388.9543530000001"/>
    <n v="13743.91632"/>
    <x v="13"/>
    <s v="Sep-2021"/>
  </r>
  <r>
    <x v="14"/>
    <s v="BEN"/>
    <x v="1"/>
    <x v="9"/>
    <x v="9"/>
    <s v="predicted"/>
    <n v="7908.5463790000003"/>
    <n v="7736.3379999999997"/>
    <n v="-172.2083792"/>
    <n v="3787.9543480000002"/>
    <n v="-6941.2641370000001"/>
    <n v="14303.057150000001"/>
    <x v="13"/>
    <s v="Oct-2021"/>
  </r>
  <r>
    <x v="14"/>
    <s v="BEN"/>
    <x v="1"/>
    <x v="10"/>
    <x v="10"/>
    <s v="predicted"/>
    <n v="7876.4620569999997"/>
    <n v="7776.66"/>
    <n v="-99.802057309999995"/>
    <n v="3688.1522909999999"/>
    <n v="-7413.2302419999996"/>
    <n v="14647.221649999999"/>
    <x v="13"/>
    <s v="Nov-2021"/>
  </r>
  <r>
    <x v="14"/>
    <s v="BEN"/>
    <x v="1"/>
    <x v="11"/>
    <x v="11"/>
    <s v="predicted"/>
    <n v="7878.2404999999999"/>
    <n v="8140.3710000000001"/>
    <n v="262.13049949999998"/>
    <n v="3950.2827900000002"/>
    <n v="-7301.799548"/>
    <n v="15246.02592"/>
    <x v="13"/>
    <s v="Dec-2021"/>
  </r>
  <r>
    <x v="15"/>
    <s v="BFA"/>
    <x v="0"/>
    <x v="0"/>
    <x v="0"/>
    <s v="predicted"/>
    <n v="12931.719590000001"/>
    <n v="13369.544"/>
    <n v="437.82441210000002"/>
    <n v="437.82441210000002"/>
    <n v="-2756.2912409999999"/>
    <n v="4375.929513"/>
    <x v="14"/>
    <s v="Jan-2020"/>
  </r>
  <r>
    <x v="15"/>
    <s v="BFA"/>
    <x v="0"/>
    <x v="1"/>
    <x v="1"/>
    <s v="predicted"/>
    <n v="12716.75431"/>
    <n v="12819.884"/>
    <n v="103.1296885"/>
    <n v="540.95410049999998"/>
    <n v="-4111.4628940000002"/>
    <n v="6128.2090410000001"/>
    <x v="14"/>
    <s v="Feb-2020"/>
  </r>
  <r>
    <x v="15"/>
    <s v="BFA"/>
    <x v="0"/>
    <x v="2"/>
    <x v="2"/>
    <s v="predicted"/>
    <n v="12384.973169999999"/>
    <n v="12144.465"/>
    <n v="-240.50817119999999"/>
    <n v="300.44592940000001"/>
    <n v="-5403.9539999999997"/>
    <n v="6315.9248930000003"/>
    <x v="14"/>
    <s v="Mar-2020"/>
  </r>
  <r>
    <x v="15"/>
    <s v="BFA"/>
    <x v="0"/>
    <x v="3"/>
    <x v="3"/>
    <s v="predicted"/>
    <n v="12293.90367"/>
    <n v="11930.246999999999"/>
    <n v="-363.65667139999999"/>
    <n v="-63.21074205"/>
    <n v="-6912.1638510000002"/>
    <n v="7441.6457689999997"/>
    <x v="14"/>
    <s v="Apr-2020"/>
  </r>
  <r>
    <x v="15"/>
    <s v="BFA"/>
    <x v="0"/>
    <x v="4"/>
    <x v="4"/>
    <s v="predicted"/>
    <n v="12368.369409999999"/>
    <n v="12581.528"/>
    <n v="213.1585911"/>
    <n v="149.94784899999999"/>
    <n v="-7792.6041459999997"/>
    <n v="8314.8211219999994"/>
    <x v="14"/>
    <s v="May-2020"/>
  </r>
  <r>
    <x v="15"/>
    <s v="BFA"/>
    <x v="0"/>
    <x v="5"/>
    <x v="5"/>
    <s v="predicted"/>
    <n v="12561.551810000001"/>
    <n v="12841.876"/>
    <n v="280.32418510000002"/>
    <n v="430.27203409999998"/>
    <n v="-7772.069915"/>
    <n v="9600.2086220000001"/>
    <x v="14"/>
    <s v="Jun-2020"/>
  </r>
  <r>
    <x v="15"/>
    <s v="BFA"/>
    <x v="0"/>
    <x v="6"/>
    <x v="6"/>
    <s v="predicted"/>
    <n v="12746.97993"/>
    <n v="12939.397999999999"/>
    <n v="192.41806930000001"/>
    <n v="622.6901034"/>
    <n v="-8824.5374680000004"/>
    <n v="11058.823630000001"/>
    <x v="14"/>
    <s v="Jul-2020"/>
  </r>
  <r>
    <x v="15"/>
    <s v="BFA"/>
    <x v="0"/>
    <x v="7"/>
    <x v="7"/>
    <s v="predicted"/>
    <n v="12862.193929999999"/>
    <n v="13104.091"/>
    <n v="241.89706609999999"/>
    <n v="864.58716949999996"/>
    <n v="-9311.5225840000003"/>
    <n v="11404.45457"/>
    <x v="14"/>
    <s v="Aug-2020"/>
  </r>
  <r>
    <x v="15"/>
    <s v="BFA"/>
    <x v="0"/>
    <x v="8"/>
    <x v="8"/>
    <s v="predicted"/>
    <n v="12812.374540000001"/>
    <n v="13036.08"/>
    <n v="223.7054631"/>
    <n v="1088.292633"/>
    <n v="-9349.1642240000001"/>
    <n v="12150.085779999999"/>
    <x v="14"/>
    <s v="Sep-2020"/>
  </r>
  <r>
    <x v="15"/>
    <s v="BFA"/>
    <x v="0"/>
    <x v="9"/>
    <x v="9"/>
    <s v="predicted"/>
    <n v="12702.66152"/>
    <n v="12651.304"/>
    <n v="-51.35751578"/>
    <n v="1036.935117"/>
    <n v="-9562.9578290000009"/>
    <n v="12610.356400000001"/>
    <x v="14"/>
    <s v="Oct-2020"/>
  </r>
  <r>
    <x v="15"/>
    <s v="BFA"/>
    <x v="0"/>
    <x v="10"/>
    <x v="10"/>
    <s v="predicted"/>
    <n v="12753.14256"/>
    <n v="12474.03"/>
    <n v="-279.11255729999999"/>
    <n v="757.82255950000001"/>
    <n v="-10923.59222"/>
    <n v="13311.548930000001"/>
    <x v="14"/>
    <s v="Nov-2020"/>
  </r>
  <r>
    <x v="15"/>
    <s v="BFA"/>
    <x v="0"/>
    <x v="11"/>
    <x v="11"/>
    <s v="predicted"/>
    <n v="12763.2089"/>
    <n v="12917.099"/>
    <n v="153.89009540000001"/>
    <n v="911.71265489999996"/>
    <n v="-11151.28314"/>
    <n v="14421.791800000001"/>
    <x v="14"/>
    <s v="Dec-2020"/>
  </r>
  <r>
    <x v="15"/>
    <s v="BFA"/>
    <x v="1"/>
    <x v="0"/>
    <x v="0"/>
    <s v="predicted"/>
    <n v="12933.54484"/>
    <n v="13767.026"/>
    <n v="833.48116370000002"/>
    <n v="1745.1938190000001"/>
    <n v="-10300.68125"/>
    <n v="16119.04624"/>
    <x v="14"/>
    <s v="Jan-2021"/>
  </r>
  <r>
    <x v="15"/>
    <s v="BFA"/>
    <x v="1"/>
    <x v="1"/>
    <x v="1"/>
    <s v="predicted"/>
    <n v="12723.48785"/>
    <n v="14065.941999999999"/>
    <n v="1342.454154"/>
    <n v="3087.6479730000001"/>
    <n v="-9840.9217960000005"/>
    <n v="17437.821070000002"/>
    <x v="14"/>
    <s v="Feb-2021"/>
  </r>
  <r>
    <x v="15"/>
    <s v="BFA"/>
    <x v="1"/>
    <x v="2"/>
    <x v="2"/>
    <s v="predicted"/>
    <n v="12384.034610000001"/>
    <n v="13404.936"/>
    <n v="1020.901391"/>
    <n v="4108.5493640000004"/>
    <n v="-9357.768188"/>
    <n v="18896.385419999999"/>
    <x v="14"/>
    <s v="Mar-2021"/>
  </r>
  <r>
    <x v="15"/>
    <s v="BFA"/>
    <x v="1"/>
    <x v="3"/>
    <x v="3"/>
    <s v="predicted"/>
    <n v="12298.20048"/>
    <n v="13026.989"/>
    <n v="728.78851550000002"/>
    <n v="4837.3378789999997"/>
    <n v="-9238.0198029999992"/>
    <n v="19999.81295"/>
    <x v="14"/>
    <s v="Apr-2021"/>
  </r>
  <r>
    <x v="15"/>
    <s v="BFA"/>
    <x v="1"/>
    <x v="4"/>
    <x v="4"/>
    <s v="predicted"/>
    <n v="12378.228779999999"/>
    <n v="13184.384"/>
    <n v="806.15521879999994"/>
    <n v="5643.4930979999999"/>
    <n v="-9127.8440559999999"/>
    <n v="20867.01311"/>
    <x v="14"/>
    <s v="May-2021"/>
  </r>
  <r>
    <x v="15"/>
    <s v="BFA"/>
    <x v="1"/>
    <x v="5"/>
    <x v="5"/>
    <s v="predicted"/>
    <n v="12567.13113"/>
    <n v="13354.147000000001"/>
    <n v="787.0158735"/>
    <n v="6430.5089710000002"/>
    <n v="-8445.2276610000008"/>
    <n v="22186.438099999999"/>
    <x v="14"/>
    <s v="Jun-2021"/>
  </r>
  <r>
    <x v="15"/>
    <s v="BFA"/>
    <x v="1"/>
    <x v="6"/>
    <x v="6"/>
    <s v="predicted"/>
    <n v="12751.71631"/>
    <n v="13590.914000000001"/>
    <n v="839.19768929999998"/>
    <n v="7269.7066610000002"/>
    <n v="-7977.753659"/>
    <n v="23502.286960000001"/>
    <x v="14"/>
    <s v="Jul-2021"/>
  </r>
  <r>
    <x v="15"/>
    <s v="BFA"/>
    <x v="1"/>
    <x v="7"/>
    <x v="7"/>
    <s v="predicted"/>
    <n v="12858.718129999999"/>
    <n v="13282.681"/>
    <n v="423.962872"/>
    <n v="7693.6695330000002"/>
    <n v="-8404.7213350000002"/>
    <n v="24630.77346"/>
    <x v="14"/>
    <s v="Aug-2021"/>
  </r>
  <r>
    <x v="15"/>
    <s v="BFA"/>
    <x v="1"/>
    <x v="8"/>
    <x v="8"/>
    <s v="predicted"/>
    <n v="12813.55089"/>
    <n v="13181.905000000001"/>
    <n v="368.35411290000002"/>
    <n v="8062.0236459999996"/>
    <n v="-8556.9147690000009"/>
    <n v="25811.0465"/>
    <x v="14"/>
    <s v="Sep-2021"/>
  </r>
  <r>
    <x v="15"/>
    <s v="BFA"/>
    <x v="1"/>
    <x v="9"/>
    <x v="9"/>
    <s v="predicted"/>
    <n v="12706.15164"/>
    <n v="12905.696"/>
    <n v="199.54436179999999"/>
    <n v="8261.5680069999999"/>
    <n v="-8954.7809089999992"/>
    <n v="26803.330610000001"/>
    <x v="14"/>
    <s v="Oct-2021"/>
  </r>
  <r>
    <x v="15"/>
    <s v="BFA"/>
    <x v="1"/>
    <x v="10"/>
    <x v="10"/>
    <s v="predicted"/>
    <n v="12758.613090000001"/>
    <n v="12993.107"/>
    <n v="234.4939091"/>
    <n v="8496.0619170000009"/>
    <n v="-9014.7242869999991"/>
    <n v="26721.0694"/>
    <x v="14"/>
    <s v="Nov-2021"/>
  </r>
  <r>
    <x v="15"/>
    <s v="BFA"/>
    <x v="1"/>
    <x v="11"/>
    <x v="11"/>
    <s v="predicted"/>
    <n v="12768.55006"/>
    <n v="13212.675999999999"/>
    <n v="444.12593959999998"/>
    <n v="8940.1878560000005"/>
    <n v="-9245.4778399999996"/>
    <n v="27575.194520000001"/>
    <x v="14"/>
    <s v="Dec-2021"/>
  </r>
  <r>
    <x v="16"/>
    <s v="BGD"/>
    <x v="0"/>
    <x v="0"/>
    <x v="0"/>
    <s v="predicted"/>
    <n v="70785.184479999996"/>
    <n v="71245.259000000005"/>
    <n v="460.07452019999999"/>
    <n v="460.07452019999999"/>
    <n v="-16679.95624"/>
    <n v="20592.630840000002"/>
    <x v="15"/>
    <s v="Jan-2020"/>
  </r>
  <r>
    <x v="16"/>
    <s v="BGD"/>
    <x v="0"/>
    <x v="1"/>
    <x v="1"/>
    <s v="predicted"/>
    <n v="69388.070290000003"/>
    <n v="67933.854000000007"/>
    <n v="-1454.216291"/>
    <n v="-994.14177070000005"/>
    <n v="-25712.40869"/>
    <n v="28759.470880000001"/>
    <x v="15"/>
    <s v="Feb-2020"/>
  </r>
  <r>
    <x v="16"/>
    <s v="BGD"/>
    <x v="0"/>
    <x v="2"/>
    <x v="2"/>
    <s v="predicted"/>
    <n v="67651.782210000005"/>
    <n v="64758.142"/>
    <n v="-2893.64021"/>
    <n v="-3887.7819810000001"/>
    <n v="-34773.477359999997"/>
    <n v="30873.438569999998"/>
    <x v="15"/>
    <s v="Mar-2020"/>
  </r>
  <r>
    <x v="16"/>
    <s v="BGD"/>
    <x v="0"/>
    <x v="3"/>
    <x v="3"/>
    <s v="predicted"/>
    <n v="66689.945980000004"/>
    <n v="63925.487999999998"/>
    <n v="-2764.4579840000001"/>
    <n v="-6652.2399640000003"/>
    <n v="-41098.807959999998"/>
    <n v="34675.251080000002"/>
    <x v="15"/>
    <s v="Apr-2020"/>
  </r>
  <r>
    <x v="16"/>
    <s v="BGD"/>
    <x v="0"/>
    <x v="4"/>
    <x v="4"/>
    <s v="predicted"/>
    <n v="66429.553360000005"/>
    <n v="70726.459000000003"/>
    <n v="4296.9056430000001"/>
    <n v="-2355.3343220000002"/>
    <n v="-42919.615790000003"/>
    <n v="41821.618439999998"/>
    <x v="15"/>
    <s v="May-2020"/>
  </r>
  <r>
    <x v="16"/>
    <s v="BGD"/>
    <x v="0"/>
    <x v="5"/>
    <x v="5"/>
    <s v="predicted"/>
    <n v="66067.899789999996"/>
    <n v="78767.510999999999"/>
    <n v="12699.611209999999"/>
    <n v="10344.276879999999"/>
    <n v="-33927.126510000002"/>
    <n v="58239.19702"/>
    <x v="15"/>
    <s v="Jun-2020"/>
  </r>
  <r>
    <x v="16"/>
    <s v="BGD"/>
    <x v="0"/>
    <x v="6"/>
    <x v="6"/>
    <s v="predicted"/>
    <n v="66097.333750000005"/>
    <n v="81169.42"/>
    <n v="15072.08625"/>
    <n v="25416.363140000001"/>
    <n v="-24726.38249"/>
    <n v="81611.199739999996"/>
    <x v="15"/>
    <s v="Jul-2020"/>
  </r>
  <r>
    <x v="16"/>
    <s v="BGD"/>
    <x v="0"/>
    <x v="7"/>
    <x v="7"/>
    <s v="predicted"/>
    <n v="65982.189769999997"/>
    <n v="79695.149999999994"/>
    <n v="13712.960230000001"/>
    <n v="39129.323369999998"/>
    <n v="-16914.687989999999"/>
    <n v="99904.729139999996"/>
    <x v="15"/>
    <s v="Aug-2020"/>
  </r>
  <r>
    <x v="16"/>
    <s v="BGD"/>
    <x v="0"/>
    <x v="8"/>
    <x v="8"/>
    <s v="predicted"/>
    <n v="65951.982529999994"/>
    <n v="74354.247000000003"/>
    <n v="8402.2644729999993"/>
    <n v="47531.58784"/>
    <n v="-9179.2653580000006"/>
    <n v="109544.1946"/>
    <x v="15"/>
    <s v="Sep-2020"/>
  </r>
  <r>
    <x v="16"/>
    <s v="BGD"/>
    <x v="0"/>
    <x v="9"/>
    <x v="9"/>
    <s v="predicted"/>
    <n v="66286.329310000001"/>
    <n v="71422.099000000002"/>
    <n v="5135.7696880000003"/>
    <n v="52667.357530000001"/>
    <n v="-9919.9516870000007"/>
    <n v="117542.5194"/>
    <x v="15"/>
    <s v="Oct-2020"/>
  </r>
  <r>
    <x v="16"/>
    <s v="BGD"/>
    <x v="0"/>
    <x v="10"/>
    <x v="10"/>
    <s v="predicted"/>
    <n v="68138.287960000001"/>
    <n v="73980.025999999998"/>
    <n v="5841.7380380000004"/>
    <n v="58509.095569999998"/>
    <n v="-8260.7218310000007"/>
    <n v="124228.3164"/>
    <x v="15"/>
    <s v="Nov-2020"/>
  </r>
  <r>
    <x v="16"/>
    <s v="BGD"/>
    <x v="0"/>
    <x v="11"/>
    <x v="11"/>
    <s v="predicted"/>
    <n v="70136.000759999995"/>
    <n v="76049.122000000003"/>
    <n v="5913.1212439999999"/>
    <n v="64422.216809999998"/>
    <n v="-1376.667416"/>
    <n v="135675.0006"/>
    <x v="15"/>
    <s v="Dec-2020"/>
  </r>
  <r>
    <x v="16"/>
    <s v="BGD"/>
    <x v="1"/>
    <x v="0"/>
    <x v="0"/>
    <s v="predicted"/>
    <n v="72078.049650000001"/>
    <n v="74974.149999999994"/>
    <n v="2896.1003519999999"/>
    <n v="67318.317169999995"/>
    <n v="-7199.0241800000003"/>
    <n v="143842.95989999999"/>
    <x v="15"/>
    <s v="Jan-2021"/>
  </r>
  <r>
    <x v="16"/>
    <s v="BGD"/>
    <x v="1"/>
    <x v="1"/>
    <x v="1"/>
    <s v="predicted"/>
    <n v="70533.078370000003"/>
    <n v="70155.8"/>
    <n v="-377.27837099999999"/>
    <n v="66941.038799999995"/>
    <n v="-10986.576730000001"/>
    <n v="150056.21170000001"/>
    <x v="15"/>
    <s v="Feb-2021"/>
  </r>
  <r>
    <x v="16"/>
    <s v="BGD"/>
    <x v="1"/>
    <x v="2"/>
    <x v="2"/>
    <s v="predicted"/>
    <n v="68900.782789999997"/>
    <n v="71265.596000000005"/>
    <n v="2364.8132110000001"/>
    <n v="69305.852010000002"/>
    <n v="-9037.5128659999991"/>
    <n v="150790.28279999999"/>
    <x v="15"/>
    <s v="Mar-2021"/>
  </r>
  <r>
    <x v="16"/>
    <s v="BGD"/>
    <x v="1"/>
    <x v="3"/>
    <x v="3"/>
    <s v="predicted"/>
    <n v="67922.917220000003"/>
    <n v="79578.990999999995"/>
    <n v="11656.073780000001"/>
    <n v="80961.925789999994"/>
    <n v="-1760.5372970000001"/>
    <n v="167575.15890000001"/>
    <x v="15"/>
    <s v="Apr-2021"/>
  </r>
  <r>
    <x v="16"/>
    <s v="BGD"/>
    <x v="1"/>
    <x v="4"/>
    <x v="4"/>
    <s v="predicted"/>
    <n v="67602.718829999998"/>
    <n v="72773.415999999997"/>
    <n v="5170.6971750000002"/>
    <n v="86132.622969999997"/>
    <n v="810.3532917"/>
    <n v="173791.38459999999"/>
    <x v="15"/>
    <s v="May-2021"/>
  </r>
  <r>
    <x v="16"/>
    <s v="BGD"/>
    <x v="1"/>
    <x v="5"/>
    <x v="5"/>
    <s v="predicted"/>
    <n v="67224.533240000004"/>
    <n v="77609.468999999997"/>
    <n v="10384.93576"/>
    <n v="96517.558730000004"/>
    <n v="10061.8541"/>
    <n v="190301.32500000001"/>
    <x v="15"/>
    <s v="Jun-2021"/>
  </r>
  <r>
    <x v="16"/>
    <s v="BGD"/>
    <x v="1"/>
    <x v="6"/>
    <x v="6"/>
    <s v="predicted"/>
    <n v="67212.157040000006"/>
    <n v="91087.107999999993"/>
    <n v="23874.950959999998"/>
    <n v="120392.5097"/>
    <n v="35149.826589999997"/>
    <n v="214940.93609999999"/>
    <x v="15"/>
    <s v="Jul-2021"/>
  </r>
  <r>
    <x v="16"/>
    <s v="BGD"/>
    <x v="1"/>
    <x v="7"/>
    <x v="7"/>
    <s v="predicted"/>
    <n v="67185.96127"/>
    <n v="89114.334000000003"/>
    <n v="21928.372729999999"/>
    <n v="142320.8824"/>
    <n v="54814.55876"/>
    <n v="242183.65900000001"/>
    <x v="15"/>
    <s v="Aug-2021"/>
  </r>
  <r>
    <x v="16"/>
    <s v="BGD"/>
    <x v="1"/>
    <x v="8"/>
    <x v="8"/>
    <s v="predicted"/>
    <n v="67118.842669999998"/>
    <n v="75025.413"/>
    <n v="7906.5703290000001"/>
    <n v="150227.45269999999"/>
    <n v="55579.680039999999"/>
    <n v="251824.5349"/>
    <x v="15"/>
    <s v="Sep-2021"/>
  </r>
  <r>
    <x v="16"/>
    <s v="BGD"/>
    <x v="1"/>
    <x v="9"/>
    <x v="9"/>
    <s v="predicted"/>
    <n v="67394.030740000002"/>
    <n v="70333.092000000004"/>
    <n v="2939.061256"/>
    <n v="153166.514"/>
    <n v="60355.7673"/>
    <n v="252951.16320000001"/>
    <x v="15"/>
    <s v="Oct-2021"/>
  </r>
  <r>
    <x v="16"/>
    <s v="BGD"/>
    <x v="1"/>
    <x v="10"/>
    <x v="10"/>
    <s v="predicted"/>
    <n v="69378.099359999993"/>
    <n v="72701.493000000002"/>
    <n v="3323.3936429999999"/>
    <n v="156489.90760000001"/>
    <n v="59771.19889"/>
    <n v="259295.62669999999"/>
    <x v="15"/>
    <s v="Nov-2021"/>
  </r>
  <r>
    <x v="16"/>
    <s v="BGD"/>
    <x v="1"/>
    <x v="11"/>
    <x v="11"/>
    <s v="predicted"/>
    <n v="71335.8851"/>
    <n v="75595.145999999993"/>
    <n v="4259.2609009999996"/>
    <n v="160749.1685"/>
    <n v="64005.901400000002"/>
    <n v="268077.10139999999"/>
    <x v="15"/>
    <s v="Dec-2021"/>
  </r>
  <r>
    <x v="17"/>
    <s v="BGR"/>
    <x v="0"/>
    <x v="0"/>
    <x v="0"/>
    <s v="reported"/>
    <n v="10151.49583"/>
    <n v="10107"/>
    <n v="-44.49583063"/>
    <n v="-44.49583063"/>
    <n v="-476.01768800000002"/>
    <n v="403.2850325"/>
    <x v="16"/>
    <s v="Jan-2020"/>
  </r>
  <r>
    <x v="17"/>
    <s v="BGR"/>
    <x v="0"/>
    <x v="1"/>
    <x v="1"/>
    <s v="reported"/>
    <n v="9558.4828649999999"/>
    <n v="9389"/>
    <n v="-169.4828646"/>
    <n v="-213.9786953"/>
    <n v="-864.35351119999996"/>
    <n v="454.99132129999998"/>
    <x v="16"/>
    <s v="Feb-2020"/>
  </r>
  <r>
    <x v="17"/>
    <s v="BGR"/>
    <x v="0"/>
    <x v="2"/>
    <x v="2"/>
    <s v="reported"/>
    <n v="9360.8415910000003"/>
    <n v="9145"/>
    <n v="-215.84159080000001"/>
    <n v="-429.82028600000001"/>
    <n v="-1235.9212190000001"/>
    <n v="378.3830547"/>
    <x v="16"/>
    <s v="Mar-2020"/>
  </r>
  <r>
    <x v="17"/>
    <s v="BGR"/>
    <x v="0"/>
    <x v="3"/>
    <x v="3"/>
    <s v="reported"/>
    <n v="8869.1141100000004"/>
    <n v="8573"/>
    <n v="-296.11411020000003"/>
    <n v="-725.9343963"/>
    <n v="-1672.89456"/>
    <n v="272.71161139999998"/>
    <x v="16"/>
    <s v="Apr-2020"/>
  </r>
  <r>
    <x v="17"/>
    <s v="BGR"/>
    <x v="0"/>
    <x v="4"/>
    <x v="4"/>
    <s v="reported"/>
    <n v="8561.2383900000004"/>
    <n v="8507"/>
    <n v="-54.238390209999999"/>
    <n v="-780.17278650000003"/>
    <n v="-1799.962137"/>
    <n v="368.19397989999999"/>
    <x v="16"/>
    <s v="May-2020"/>
  </r>
  <r>
    <x v="17"/>
    <s v="BGR"/>
    <x v="0"/>
    <x v="5"/>
    <x v="5"/>
    <s v="reported"/>
    <n v="8295.3701779999992"/>
    <n v="8318"/>
    <n v="22.629821539999998"/>
    <n v="-757.54296490000002"/>
    <n v="-1946.661161"/>
    <n v="501.99986510000002"/>
    <x v="16"/>
    <s v="Jun-2020"/>
  </r>
  <r>
    <x v="17"/>
    <s v="BGR"/>
    <x v="0"/>
    <x v="6"/>
    <x v="6"/>
    <s v="reported"/>
    <n v="8335.8994810000004"/>
    <n v="8947"/>
    <n v="611.10051920000001"/>
    <n v="-146.44244570000001"/>
    <n v="-1397.5971"/>
    <n v="1138.1289939999999"/>
    <x v="16"/>
    <s v="Jul-2020"/>
  </r>
  <r>
    <x v="17"/>
    <s v="BGR"/>
    <x v="0"/>
    <x v="7"/>
    <x v="7"/>
    <s v="reported"/>
    <n v="8099.3131100000001"/>
    <n v="8777"/>
    <n v="677.68688989999998"/>
    <n v="531.24444410000001"/>
    <n v="-813.17270029999997"/>
    <n v="1927.351768"/>
    <x v="16"/>
    <s v="Aug-2020"/>
  </r>
  <r>
    <x v="17"/>
    <s v="BGR"/>
    <x v="0"/>
    <x v="8"/>
    <x v="8"/>
    <s v="reported"/>
    <n v="7848.4868539999998"/>
    <n v="8124"/>
    <n v="275.51314630000002"/>
    <n v="806.75759040000003"/>
    <n v="-650.63039240000001"/>
    <n v="2200.6238410000001"/>
    <x v="16"/>
    <s v="Sep-2020"/>
  </r>
  <r>
    <x v="17"/>
    <s v="BGR"/>
    <x v="0"/>
    <x v="9"/>
    <x v="9"/>
    <s v="reported"/>
    <n v="8564.5033469999998"/>
    <n v="10090"/>
    <n v="1525.4966529999999"/>
    <n v="2332.2542429999999"/>
    <n v="815.68815810000001"/>
    <n v="3771.9062899999999"/>
    <x v="16"/>
    <s v="Oct-2020"/>
  </r>
  <r>
    <x v="17"/>
    <s v="BGR"/>
    <x v="0"/>
    <x v="10"/>
    <x v="10"/>
    <s v="reported"/>
    <n v="9151.6350719999991"/>
    <n v="17399"/>
    <n v="8247.3649280000009"/>
    <n v="10579.61917"/>
    <n v="9019.0794910000004"/>
    <n v="12137.564560000001"/>
    <x v="16"/>
    <s v="Nov-2020"/>
  </r>
  <r>
    <x v="17"/>
    <s v="BGR"/>
    <x v="0"/>
    <x v="11"/>
    <x v="11"/>
    <s v="reported"/>
    <n v="10102.566940000001"/>
    <n v="17327"/>
    <n v="7224.4330550000004"/>
    <n v="17804.052230000001"/>
    <n v="16162.67749"/>
    <n v="19435.92067"/>
    <x v="16"/>
    <s v="Dec-2020"/>
  </r>
  <r>
    <x v="17"/>
    <s v="BGR"/>
    <x v="1"/>
    <x v="0"/>
    <x v="0"/>
    <s v="reported"/>
    <n v="10088.03739"/>
    <n v="11378"/>
    <n v="1286.2959390000001"/>
    <n v="19090.348170000001"/>
    <n v="17332.023160000001"/>
    <n v="20802.027170000001"/>
    <x v="16"/>
    <s v="Jan-2021"/>
  </r>
  <r>
    <x v="17"/>
    <s v="BGR"/>
    <x v="1"/>
    <x v="1"/>
    <x v="1"/>
    <s v="reported"/>
    <n v="9515.5463469999995"/>
    <n v="9842"/>
    <n v="322.7869862"/>
    <n v="19413.135149999998"/>
    <n v="17574.290540000002"/>
    <n v="21324.310280000002"/>
    <x v="16"/>
    <s v="Feb-2021"/>
  </r>
  <r>
    <x v="17"/>
    <s v="BGR"/>
    <x v="1"/>
    <x v="2"/>
    <x v="2"/>
    <s v="reported"/>
    <n v="9322.5580790000004"/>
    <n v="14585"/>
    <n v="5258.7752549999996"/>
    <n v="24671.91041"/>
    <n v="22766.0733"/>
    <n v="26635.851419999999"/>
    <x v="16"/>
    <s v="Mar-2021"/>
  </r>
  <r>
    <x v="17"/>
    <s v="BGR"/>
    <x v="1"/>
    <x v="3"/>
    <x v="3"/>
    <s v="reported"/>
    <n v="8795.7660940000005"/>
    <n v="15515"/>
    <n v="6715.567239"/>
    <n v="31387.477650000001"/>
    <n v="29366.263589999999"/>
    <n v="33399.627209999999"/>
    <x v="16"/>
    <s v="Apr-2021"/>
  </r>
  <r>
    <x v="17"/>
    <s v="BGR"/>
    <x v="1"/>
    <x v="4"/>
    <x v="4"/>
    <s v="reported"/>
    <n v="8516.1809389999999"/>
    <n v="11096"/>
    <n v="2576.1523940000002"/>
    <n v="33963.630039999996"/>
    <n v="31932.303019999999"/>
    <n v="36085.719980000002"/>
    <x v="16"/>
    <s v="May-2021"/>
  </r>
  <r>
    <x v="17"/>
    <s v="BGR"/>
    <x v="1"/>
    <x v="5"/>
    <x v="5"/>
    <s v="reported"/>
    <n v="8244.6782550000007"/>
    <n v="9090"/>
    <n v="841.65507860000002"/>
    <n v="34805.28512"/>
    <n v="32646.19067"/>
    <n v="37019.586450000003"/>
    <x v="16"/>
    <s v="Jun-2021"/>
  </r>
  <r>
    <x v="17"/>
    <s v="BGR"/>
    <x v="1"/>
    <x v="6"/>
    <x v="6"/>
    <s v="reported"/>
    <n v="8287.4726439999995"/>
    <n v="9152"/>
    <n v="860.86068890000001"/>
    <n v="35666.145810000002"/>
    <n v="33555.35583"/>
    <n v="37863.50965"/>
    <x v="16"/>
    <s v="Jul-2021"/>
  </r>
  <r>
    <x v="17"/>
    <s v="BGR"/>
    <x v="1"/>
    <x v="7"/>
    <x v="7"/>
    <s v="reported"/>
    <n v="8044.6125910000001"/>
    <n v="9927"/>
    <n v="1878.7207430000001"/>
    <n v="37544.866549999999"/>
    <n v="35359.224020000001"/>
    <n v="39825.260179999997"/>
    <x v="16"/>
    <s v="Aug-2021"/>
  </r>
  <r>
    <x v="17"/>
    <s v="BGR"/>
    <x v="1"/>
    <x v="8"/>
    <x v="8"/>
    <s v="reported"/>
    <n v="7820.5924580000001"/>
    <n v="11729"/>
    <n v="3904.740875"/>
    <n v="41449.60742"/>
    <n v="39182.300260000004"/>
    <n v="43728.032740000002"/>
    <x v="16"/>
    <s v="Sep-2021"/>
  </r>
  <r>
    <x v="17"/>
    <s v="BGR"/>
    <x v="1"/>
    <x v="9"/>
    <x v="9"/>
    <s v="reported"/>
    <n v="8502.6221910000004"/>
    <n v="15584"/>
    <n v="7077.7111420000001"/>
    <n v="48527.318570000003"/>
    <n v="46269.838739999999"/>
    <n v="50900.625630000002"/>
    <x v="16"/>
    <s v="Oct-2021"/>
  </r>
  <r>
    <x v="17"/>
    <s v="BGR"/>
    <x v="1"/>
    <x v="10"/>
    <x v="10"/>
    <s v="reported"/>
    <n v="9121.1815189999998"/>
    <n v="16904"/>
    <n v="7779.1518139999998"/>
    <n v="56306.470379999999"/>
    <n v="53921.916389999999"/>
    <n v="58751.954030000001"/>
    <x v="16"/>
    <s v="Nov-2021"/>
  </r>
  <r>
    <x v="17"/>
    <s v="BGR"/>
    <x v="1"/>
    <x v="11"/>
    <x v="11"/>
    <s v="reported"/>
    <n v="10021.3287"/>
    <n v="14238"/>
    <n v="4213.0046320000001"/>
    <n v="60519.475010000002"/>
    <n v="58096.175029999999"/>
    <n v="63033.353089999997"/>
    <x v="16"/>
    <s v="Dec-2021"/>
  </r>
  <r>
    <x v="18"/>
    <s v="BHR"/>
    <x v="0"/>
    <x v="0"/>
    <x v="0"/>
    <s v="predicted"/>
    <n v="447.87857430000003"/>
    <n v="460.68200000000002"/>
    <n v="12.80342572"/>
    <n v="12.80342572"/>
    <n v="-111.003817"/>
    <n v="164.7770811"/>
    <x v="17"/>
    <s v="Jan-2020"/>
  </r>
  <r>
    <x v="18"/>
    <s v="BHR"/>
    <x v="0"/>
    <x v="1"/>
    <x v="1"/>
    <s v="predicted"/>
    <n v="438.70435179999998"/>
    <n v="432.17099999999999"/>
    <n v="-6.5333517560000001"/>
    <n v="6.2700739629999998"/>
    <n v="-163.99359620000001"/>
    <n v="203.21688180000001"/>
    <x v="17"/>
    <s v="Feb-2020"/>
  </r>
  <r>
    <x v="18"/>
    <s v="BHR"/>
    <x v="0"/>
    <x v="2"/>
    <x v="2"/>
    <s v="predicted"/>
    <n v="431.8117307"/>
    <n v="437.79199999999997"/>
    <n v="5.9802693280000003"/>
    <n v="12.25034329"/>
    <n v="-201.64337570000001"/>
    <n v="254.2285254"/>
    <x v="17"/>
    <s v="Mar-2020"/>
  </r>
  <r>
    <x v="18"/>
    <s v="BHR"/>
    <x v="0"/>
    <x v="3"/>
    <x v="3"/>
    <s v="predicted"/>
    <n v="418.2171601"/>
    <n v="427.21899999999999"/>
    <n v="9.0018398980000001"/>
    <n v="21.25218319"/>
    <n v="-237.13904959999999"/>
    <n v="301.86641040000001"/>
    <x v="17"/>
    <s v="Apr-2020"/>
  </r>
  <r>
    <x v="18"/>
    <s v="BHR"/>
    <x v="0"/>
    <x v="4"/>
    <x v="4"/>
    <s v="predicted"/>
    <n v="401.77919000000003"/>
    <n v="459.99900000000002"/>
    <n v="58.219809959999999"/>
    <n v="79.471993150000003"/>
    <n v="-204.21697080000001"/>
    <n v="382.58555339999998"/>
    <x v="17"/>
    <s v="May-2020"/>
  </r>
  <r>
    <x v="18"/>
    <s v="BHR"/>
    <x v="0"/>
    <x v="5"/>
    <x v="5"/>
    <s v="predicted"/>
    <n v="392.2805189"/>
    <n v="547.81700000000001"/>
    <n v="155.5364811"/>
    <n v="235.00847419999999"/>
    <n v="-97.379878869999999"/>
    <n v="589.44537909999997"/>
    <x v="17"/>
    <s v="Jun-2020"/>
  </r>
  <r>
    <x v="18"/>
    <s v="BHR"/>
    <x v="0"/>
    <x v="6"/>
    <x v="6"/>
    <s v="predicted"/>
    <n v="389.10365009999998"/>
    <n v="546.80399999999997"/>
    <n v="157.70034989999999"/>
    <n v="392.70882410000002"/>
    <n v="21.685884089999998"/>
    <n v="784.35958800000003"/>
    <x v="17"/>
    <s v="Jul-2020"/>
  </r>
  <r>
    <x v="18"/>
    <s v="BHR"/>
    <x v="0"/>
    <x v="7"/>
    <x v="7"/>
    <s v="predicted"/>
    <n v="390.59125640000002"/>
    <n v="498.62"/>
    <n v="108.0287436"/>
    <n v="500.7375677"/>
    <n v="101.6472962"/>
    <n v="922.90248229999997"/>
    <x v="17"/>
    <s v="Aug-2020"/>
  </r>
  <r>
    <x v="18"/>
    <s v="BHR"/>
    <x v="0"/>
    <x v="8"/>
    <x v="8"/>
    <s v="predicted"/>
    <n v="398.71791680000001"/>
    <n v="474.73599999999999"/>
    <n v="76.018083200000007"/>
    <n v="576.75565089999998"/>
    <n v="157.86063849999999"/>
    <n v="1021.507956"/>
    <x v="17"/>
    <s v="Sep-2020"/>
  </r>
  <r>
    <x v="18"/>
    <s v="BHR"/>
    <x v="0"/>
    <x v="9"/>
    <x v="9"/>
    <s v="predicted"/>
    <n v="414.8247902"/>
    <n v="467.68200000000002"/>
    <n v="52.857209789999999"/>
    <n v="629.61286070000006"/>
    <n v="176.69233829999999"/>
    <n v="1092.761906"/>
    <x v="17"/>
    <s v="Oct-2020"/>
  </r>
  <r>
    <x v="18"/>
    <s v="BHR"/>
    <x v="0"/>
    <x v="10"/>
    <x v="10"/>
    <s v="predicted"/>
    <n v="426.69998989999999"/>
    <n v="444.435"/>
    <n v="17.735010079999999"/>
    <n v="647.34787080000001"/>
    <n v="156.05317529999999"/>
    <n v="1106.613711"/>
    <x v="17"/>
    <s v="Nov-2020"/>
  </r>
  <r>
    <x v="18"/>
    <s v="BHR"/>
    <x v="0"/>
    <x v="11"/>
    <x v="11"/>
    <s v="predicted"/>
    <n v="442.038454"/>
    <n v="449.66699999999997"/>
    <n v="7.6285460240000003"/>
    <n v="654.97641680000004"/>
    <n v="152.20026910000001"/>
    <n v="1128.0446890000001"/>
    <x v="17"/>
    <s v="Dec-2020"/>
  </r>
  <r>
    <x v="18"/>
    <s v="BHR"/>
    <x v="1"/>
    <x v="0"/>
    <x v="0"/>
    <s v="predicted"/>
    <n v="482.18117050000001"/>
    <n v="497.12200000000001"/>
    <n v="14.94082948"/>
    <n v="669.91724629999999"/>
    <n v="146.7677463"/>
    <n v="1171.095145"/>
    <x v="17"/>
    <s v="Jan-2021"/>
  </r>
  <r>
    <x v="18"/>
    <s v="BHR"/>
    <x v="1"/>
    <x v="1"/>
    <x v="1"/>
    <s v="predicted"/>
    <n v="472.21519769999998"/>
    <n v="516.27200000000005"/>
    <n v="44.056802269999999"/>
    <n v="713.97404849999998"/>
    <n v="181.67759140000001"/>
    <n v="1236.7537589999999"/>
    <x v="17"/>
    <s v="Feb-2021"/>
  </r>
  <r>
    <x v="18"/>
    <s v="BHR"/>
    <x v="1"/>
    <x v="2"/>
    <x v="2"/>
    <s v="predicted"/>
    <n v="464.95776819999998"/>
    <n v="531.60299999999995"/>
    <n v="66.645231780000003"/>
    <n v="780.61928030000001"/>
    <n v="225.5888764"/>
    <n v="1347.6595110000001"/>
    <x v="17"/>
    <s v="Mar-2021"/>
  </r>
  <r>
    <x v="18"/>
    <s v="BHR"/>
    <x v="1"/>
    <x v="3"/>
    <x v="3"/>
    <s v="predicted"/>
    <n v="449.3092896"/>
    <n v="563.452"/>
    <n v="114.1427104"/>
    <n v="894.76199069999996"/>
    <n v="348.76258130000002"/>
    <n v="1482.0168410000001"/>
    <x v="17"/>
    <s v="Apr-2021"/>
  </r>
  <r>
    <x v="18"/>
    <s v="BHR"/>
    <x v="1"/>
    <x v="4"/>
    <x v="4"/>
    <s v="predicted"/>
    <n v="432.94379880000002"/>
    <n v="652.58000000000004"/>
    <n v="219.63620119999999"/>
    <n v="1114.3981920000001"/>
    <n v="527.59112259999995"/>
    <n v="1740.6126509999999"/>
    <x v="17"/>
    <s v="May-2021"/>
  </r>
  <r>
    <x v="18"/>
    <s v="BHR"/>
    <x v="1"/>
    <x v="5"/>
    <x v="5"/>
    <s v="predicted"/>
    <n v="422.5411345"/>
    <n v="690.745"/>
    <n v="268.20386550000001"/>
    <n v="1382.6020570000001"/>
    <n v="754.52906840000003"/>
    <n v="2046.6623729999999"/>
    <x v="17"/>
    <s v="Jun-2021"/>
  </r>
  <r>
    <x v="18"/>
    <s v="BHR"/>
    <x v="1"/>
    <x v="6"/>
    <x v="6"/>
    <s v="predicted"/>
    <n v="419.38492170000001"/>
    <n v="538.61099999999999"/>
    <n v="119.2260783"/>
    <n v="1501.8281360000001"/>
    <n v="872.96097440000005"/>
    <n v="2178.4556029999999"/>
    <x v="17"/>
    <s v="Jul-2021"/>
  </r>
  <r>
    <x v="18"/>
    <s v="BHR"/>
    <x v="1"/>
    <x v="7"/>
    <x v="7"/>
    <s v="predicted"/>
    <n v="421.7508042"/>
    <n v="479.322"/>
    <n v="57.571195840000001"/>
    <n v="1559.399332"/>
    <n v="906.13012939999999"/>
    <n v="2242.490886"/>
    <x v="17"/>
    <s v="Aug-2021"/>
  </r>
  <r>
    <x v="18"/>
    <s v="BHR"/>
    <x v="1"/>
    <x v="8"/>
    <x v="8"/>
    <s v="predicted"/>
    <n v="430.01119410000001"/>
    <n v="474.29700000000003"/>
    <n v="44.285805949999997"/>
    <n v="1603.6851380000001"/>
    <n v="925.27521630000001"/>
    <n v="2313.512999"/>
    <x v="17"/>
    <s v="Sep-2021"/>
  </r>
  <r>
    <x v="18"/>
    <s v="BHR"/>
    <x v="1"/>
    <x v="9"/>
    <x v="9"/>
    <s v="predicted"/>
    <n v="447.2823009"/>
    <n v="482.04300000000001"/>
    <n v="34.760699150000001"/>
    <n v="1638.445837"/>
    <n v="897.88636029999998"/>
    <n v="2365.19866"/>
    <x v="17"/>
    <s v="Oct-2021"/>
  </r>
  <r>
    <x v="18"/>
    <s v="BHR"/>
    <x v="1"/>
    <x v="10"/>
    <x v="10"/>
    <s v="predicted"/>
    <n v="460.28347289999999"/>
    <n v="487.00700000000001"/>
    <n v="26.723527069999999"/>
    <n v="1665.1693640000001"/>
    <n v="890.09678780000002"/>
    <n v="2413.7725380000002"/>
    <x v="17"/>
    <s v="Nov-2021"/>
  </r>
  <r>
    <x v="18"/>
    <s v="BHR"/>
    <x v="1"/>
    <x v="11"/>
    <x v="11"/>
    <s v="predicted"/>
    <n v="475.68159910000003"/>
    <n v="511.21300000000002"/>
    <n v="35.531400939999997"/>
    <n v="1700.700765"/>
    <n v="951.7849172"/>
    <n v="2475.0734859999998"/>
    <x v="17"/>
    <s v="Dec-2021"/>
  </r>
  <r>
    <x v="19"/>
    <s v="BHS"/>
    <x v="0"/>
    <x v="0"/>
    <x v="0"/>
    <s v="reported"/>
    <n v="252.8706717"/>
    <n v="282"/>
    <n v="28.751330360000001"/>
    <n v="28.751330360000001"/>
    <n v="16.16511418"/>
    <n v="40.614860739999997"/>
    <x v="18"/>
    <s v="Jan-2020"/>
  </r>
  <r>
    <x v="19"/>
    <s v="BHS"/>
    <x v="0"/>
    <x v="1"/>
    <x v="1"/>
    <s v="reported"/>
    <n v="253.62037129999999"/>
    <n v="242"/>
    <n v="-11.99836928"/>
    <n v="16.752961079999999"/>
    <n v="4.6975505000000001E-2"/>
    <n v="34.24594029"/>
    <x v="18"/>
    <s v="Feb-2020"/>
  </r>
  <r>
    <x v="19"/>
    <s v="BHS"/>
    <x v="0"/>
    <x v="2"/>
    <x v="2"/>
    <s v="reported"/>
    <n v="254.3316576"/>
    <n v="251"/>
    <n v="-3.7096555640000002"/>
    <n v="13.043305520000001"/>
    <n v="-9.0733938910000003"/>
    <n v="34.36130635"/>
    <x v="18"/>
    <s v="Mar-2020"/>
  </r>
  <r>
    <x v="19"/>
    <s v="BHS"/>
    <x v="0"/>
    <x v="3"/>
    <x v="3"/>
    <s v="reported"/>
    <n v="255.2494763"/>
    <n v="247"/>
    <n v="-8.6274742399999997"/>
    <n v="4.4158312769999997"/>
    <n v="-18.94382263"/>
    <n v="28.85360983"/>
    <x v="18"/>
    <s v="Apr-2020"/>
  </r>
  <r>
    <x v="19"/>
    <s v="BHS"/>
    <x v="0"/>
    <x v="4"/>
    <x v="4"/>
    <s v="reported"/>
    <n v="255.78316290000001"/>
    <n v="223"/>
    <n v="-33.161160870000003"/>
    <n v="-28.745329590000001"/>
    <n v="-56.820008610000002"/>
    <n v="-0.99254667799999996"/>
    <x v="18"/>
    <s v="May-2020"/>
  </r>
  <r>
    <x v="19"/>
    <s v="BHS"/>
    <x v="0"/>
    <x v="5"/>
    <x v="5"/>
    <s v="reported"/>
    <n v="256.60944410000002"/>
    <n v="226"/>
    <n v="-30.987442049999999"/>
    <n v="-59.732771640000003"/>
    <n v="-88.641072059999999"/>
    <n v="-28.106045089999999"/>
    <x v="18"/>
    <s v="Jun-2020"/>
  </r>
  <r>
    <x v="19"/>
    <s v="BHS"/>
    <x v="0"/>
    <x v="6"/>
    <x v="6"/>
    <s v="reported"/>
    <n v="257.45916899999997"/>
    <n v="298"/>
    <n v="40.162832999999999"/>
    <n v="-19.569938629999999"/>
    <n v="-52.367956569999997"/>
    <n v="13.316372700000001"/>
    <x v="18"/>
    <s v="Jul-2020"/>
  </r>
  <r>
    <x v="19"/>
    <s v="BHS"/>
    <x v="0"/>
    <x v="7"/>
    <x v="7"/>
    <s v="reported"/>
    <n v="258.14108779999998"/>
    <n v="370"/>
    <n v="111.4809142"/>
    <n v="91.910975550000003"/>
    <n v="55.840762099999999"/>
    <n v="128.576019"/>
    <x v="18"/>
    <s v="Aug-2020"/>
  </r>
  <r>
    <x v="19"/>
    <s v="BHS"/>
    <x v="0"/>
    <x v="8"/>
    <x v="8"/>
    <s v="reported"/>
    <n v="258.84895660000001"/>
    <n v="353"/>
    <n v="93.773045409999995"/>
    <n v="185.684021"/>
    <n v="147.22532240000001"/>
    <n v="224.6459979"/>
    <x v="18"/>
    <s v="Sep-2020"/>
  </r>
  <r>
    <x v="19"/>
    <s v="BHS"/>
    <x v="0"/>
    <x v="9"/>
    <x v="9"/>
    <s v="reported"/>
    <n v="259.8492622"/>
    <n v="360"/>
    <n v="99.772739869999995"/>
    <n v="285.45676079999998"/>
    <n v="243.60988829999999"/>
    <n v="328.49770949999998"/>
    <x v="18"/>
    <s v="Oct-2020"/>
  </r>
  <r>
    <x v="19"/>
    <s v="BHS"/>
    <x v="0"/>
    <x v="10"/>
    <x v="10"/>
    <s v="reported"/>
    <n v="260.90801809999999"/>
    <n v="293"/>
    <n v="31.713983949999999"/>
    <n v="317.17074480000002"/>
    <n v="273.75569760000002"/>
    <n v="359.53187830000002"/>
    <x v="18"/>
    <s v="Nov-2020"/>
  </r>
  <r>
    <x v="19"/>
    <s v="BHS"/>
    <x v="0"/>
    <x v="11"/>
    <x v="11"/>
    <s v="reported"/>
    <n v="261.5162234"/>
    <n v="268"/>
    <n v="6.1057786610000004"/>
    <n v="323.27652339999997"/>
    <n v="276.81731930000001"/>
    <n v="369.80287529999998"/>
    <x v="18"/>
    <s v="Dec-2020"/>
  </r>
  <r>
    <x v="19"/>
    <s v="BHS"/>
    <x v="1"/>
    <x v="0"/>
    <x v="0"/>
    <s v="reported"/>
    <n v="262.72949210000002"/>
    <n v="265"/>
    <n v="2.1760084050000001"/>
    <n v="325.4525319"/>
    <n v="276.87449079999999"/>
    <n v="373.09581270000001"/>
    <x v="18"/>
    <s v="Jan-2021"/>
  </r>
  <r>
    <x v="19"/>
    <s v="BHS"/>
    <x v="1"/>
    <x v="1"/>
    <x v="1"/>
    <s v="reported"/>
    <n v="263.26320229999999"/>
    <n v="248"/>
    <n v="-15.35770175"/>
    <n v="310.09483010000002"/>
    <n v="256.60878969999999"/>
    <n v="362.28806500000002"/>
    <x v="18"/>
    <s v="Feb-2021"/>
  </r>
  <r>
    <x v="19"/>
    <s v="BHS"/>
    <x v="1"/>
    <x v="2"/>
    <x v="2"/>
    <s v="reported"/>
    <n v="264.00321380000003"/>
    <n v="271"/>
    <n v="6.9022867190000001"/>
    <n v="316.99711680000001"/>
    <n v="262.33167959999997"/>
    <n v="370.51908200000003"/>
    <x v="18"/>
    <s v="Mar-2021"/>
  </r>
  <r>
    <x v="19"/>
    <s v="BHS"/>
    <x v="1"/>
    <x v="3"/>
    <x v="3"/>
    <s v="reported"/>
    <n v="264.68167019999999"/>
    <n v="266"/>
    <n v="1.2238303159999999"/>
    <n v="318.22094709999999"/>
    <n v="263.3607399"/>
    <n v="373.96473209999999"/>
    <x v="18"/>
    <s v="Apr-2021"/>
  </r>
  <r>
    <x v="19"/>
    <s v="BHS"/>
    <x v="1"/>
    <x v="4"/>
    <x v="4"/>
    <s v="reported"/>
    <n v="265.74238459999998"/>
    <n v="265"/>
    <n v="-0.83688406699999995"/>
    <n v="317.38406309999999"/>
    <n v="259.69050850000002"/>
    <n v="376.44891150000001"/>
    <x v="18"/>
    <s v="May-2021"/>
  </r>
  <r>
    <x v="19"/>
    <s v="BHS"/>
    <x v="1"/>
    <x v="5"/>
    <x v="5"/>
    <s v="reported"/>
    <n v="266.60210540000003"/>
    <n v="264"/>
    <n v="-2.6966048819999999"/>
    <n v="314.68745819999998"/>
    <n v="254.1710587"/>
    <n v="375.9394102"/>
    <x v="18"/>
    <s v="Jun-2021"/>
  </r>
  <r>
    <x v="19"/>
    <s v="BHS"/>
    <x v="1"/>
    <x v="6"/>
    <x v="6"/>
    <s v="reported"/>
    <n v="266.86116709999999"/>
    <n v="379"/>
    <n v="112.0443334"/>
    <n v="426.73179160000001"/>
    <n v="362.5593642"/>
    <n v="492.39747340000002"/>
    <x v="18"/>
    <s v="Jul-2021"/>
  </r>
  <r>
    <x v="19"/>
    <s v="BHS"/>
    <x v="1"/>
    <x v="7"/>
    <x v="7"/>
    <s v="reported"/>
    <n v="267.80382630000003"/>
    <n v="595"/>
    <n v="327.10167419999999"/>
    <n v="753.8334658"/>
    <n v="685.5087072"/>
    <n v="823.32055860000003"/>
    <x v="18"/>
    <s v="Aug-2021"/>
  </r>
  <r>
    <x v="19"/>
    <s v="BHS"/>
    <x v="1"/>
    <x v="8"/>
    <x v="8"/>
    <s v="reported"/>
    <n v="269.11219390000002"/>
    <n v="553"/>
    <n v="283.79330659999999"/>
    <n v="1037.6267720000001"/>
    <n v="965.66115060000004"/>
    <n v="1107.8585559999999"/>
    <x v="18"/>
    <s v="Sep-2021"/>
  </r>
  <r>
    <x v="19"/>
    <s v="BHS"/>
    <x v="1"/>
    <x v="9"/>
    <x v="9"/>
    <s v="reported"/>
    <n v="269.25185149999999"/>
    <n v="450"/>
    <n v="180.653649"/>
    <n v="1218.2804209999999"/>
    <n v="1145.915968"/>
    <n v="1293.5332619999999"/>
    <x v="18"/>
    <s v="Oct-2021"/>
  </r>
  <r>
    <x v="19"/>
    <s v="BHS"/>
    <x v="1"/>
    <x v="10"/>
    <x v="10"/>
    <s v="reported"/>
    <n v="270.34317379999999"/>
    <n v="272"/>
    <n v="1.562326704"/>
    <n v="1219.842748"/>
    <n v="1143.317004"/>
    <n v="1295.976478"/>
    <x v="18"/>
    <s v="Nov-2021"/>
  </r>
  <r>
    <x v="19"/>
    <s v="BHS"/>
    <x v="1"/>
    <x v="11"/>
    <x v="11"/>
    <s v="reported"/>
    <n v="271.64065870000002"/>
    <n v="306"/>
    <n v="34.264841830000002"/>
    <n v="1254.1075900000001"/>
    <n v="1178.23604"/>
    <n v="1334.1306569999999"/>
    <x v="18"/>
    <s v="Dec-2021"/>
  </r>
  <r>
    <x v="20"/>
    <s v="BIH"/>
    <x v="0"/>
    <x v="0"/>
    <x v="0"/>
    <s v="reported"/>
    <n v="3202.3240139999998"/>
    <n v="2800"/>
    <n v="-402.32401440000001"/>
    <n v="-402.32401440000001"/>
    <n v="-534.03057409999997"/>
    <n v="-272.75940639999999"/>
    <x v="19"/>
    <s v="Jan-2020"/>
  </r>
  <r>
    <x v="20"/>
    <s v="BIH"/>
    <x v="0"/>
    <x v="1"/>
    <x v="1"/>
    <s v="reported"/>
    <n v="3286.0064699999998"/>
    <n v="3203"/>
    <n v="-83.006470320000005"/>
    <n v="-485.3304847"/>
    <n v="-690.69567119999999"/>
    <n v="-288.83838509999998"/>
    <x v="19"/>
    <s v="Feb-2020"/>
  </r>
  <r>
    <x v="20"/>
    <s v="BIH"/>
    <x v="0"/>
    <x v="2"/>
    <x v="2"/>
    <s v="reported"/>
    <n v="3241.6573170000001"/>
    <n v="2970"/>
    <n v="-271.65731699999998"/>
    <n v="-756.98780180000006"/>
    <n v="-1009.402726"/>
    <n v="-529.40564429999995"/>
    <x v="19"/>
    <s v="Mar-2020"/>
  </r>
  <r>
    <x v="20"/>
    <s v="BIH"/>
    <x v="0"/>
    <x v="3"/>
    <x v="3"/>
    <s v="reported"/>
    <n v="3085.0405139999998"/>
    <n v="3207"/>
    <n v="121.959486"/>
    <n v="-635.02831579999997"/>
    <n v="-927.3507366"/>
    <n v="-352.28416040000002"/>
    <x v="19"/>
    <s v="Apr-2020"/>
  </r>
  <r>
    <x v="20"/>
    <s v="BIH"/>
    <x v="0"/>
    <x v="4"/>
    <x v="4"/>
    <s v="reported"/>
    <n v="2940.4255929999999"/>
    <n v="2938"/>
    <n v="-2.4255926520000002"/>
    <n v="-637.45390850000001"/>
    <n v="-960.79035910000005"/>
    <n v="-319.18455230000001"/>
    <x v="19"/>
    <s v="May-2020"/>
  </r>
  <r>
    <x v="20"/>
    <s v="BIH"/>
    <x v="0"/>
    <x v="5"/>
    <x v="5"/>
    <s v="reported"/>
    <n v="2819.5316389999998"/>
    <n v="2953"/>
    <n v="133.46836099999999"/>
    <n v="-503.9855475"/>
    <n v="-856.49937680000005"/>
    <n v="-172.31239310000001"/>
    <x v="19"/>
    <s v="Jun-2020"/>
  </r>
  <r>
    <x v="20"/>
    <s v="BIH"/>
    <x v="0"/>
    <x v="6"/>
    <x v="6"/>
    <s v="reported"/>
    <n v="2778.0659890000002"/>
    <n v="3066"/>
    <n v="287.93401060000002"/>
    <n v="-216.0515369"/>
    <n v="-606.55026090000001"/>
    <n v="162.64362790000001"/>
    <x v="19"/>
    <s v="Jul-2020"/>
  </r>
  <r>
    <x v="20"/>
    <s v="BIH"/>
    <x v="0"/>
    <x v="7"/>
    <x v="7"/>
    <s v="reported"/>
    <n v="2771.8660850000001"/>
    <n v="3329"/>
    <n v="557.13391490000004"/>
    <n v="341.08237800000001"/>
    <n v="-62.401911660000003"/>
    <n v="733.62842520000004"/>
    <x v="19"/>
    <s v="Aug-2020"/>
  </r>
  <r>
    <x v="20"/>
    <s v="BIH"/>
    <x v="0"/>
    <x v="8"/>
    <x v="8"/>
    <s v="reported"/>
    <n v="2795.9041109999998"/>
    <n v="3459"/>
    <n v="663.09588889999998"/>
    <n v="1004.178267"/>
    <n v="569.60570670000004"/>
    <n v="1407.3085169999999"/>
    <x v="19"/>
    <s v="Sep-2020"/>
  </r>
  <r>
    <x v="20"/>
    <s v="BIH"/>
    <x v="0"/>
    <x v="9"/>
    <x v="9"/>
    <s v="reported"/>
    <n v="2892.573202"/>
    <n v="3506"/>
    <n v="613.42679810000004"/>
    <n v="1617.605065"/>
    <n v="1146.9703999999999"/>
    <n v="2052.5605620000001"/>
    <x v="19"/>
    <s v="Oct-2020"/>
  </r>
  <r>
    <x v="20"/>
    <s v="BIH"/>
    <x v="0"/>
    <x v="10"/>
    <x v="10"/>
    <s v="reported"/>
    <n v="3021.718468"/>
    <n v="5410"/>
    <n v="2388.281532"/>
    <n v="4005.8865970000002"/>
    <n v="3546.1334830000001"/>
    <n v="4467.2085719999995"/>
    <x v="19"/>
    <s v="Nov-2020"/>
  </r>
  <r>
    <x v="20"/>
    <s v="BIH"/>
    <x v="0"/>
    <x v="11"/>
    <x v="11"/>
    <s v="reported"/>
    <n v="3175.0429250000002"/>
    <n v="5962"/>
    <n v="2786.9570749999998"/>
    <n v="6792.843672"/>
    <n v="6308.1448350000001"/>
    <n v="7262.0531920000003"/>
    <x v="19"/>
    <s v="Dec-2020"/>
  </r>
  <r>
    <x v="20"/>
    <s v="BIH"/>
    <x v="1"/>
    <x v="0"/>
    <x v="0"/>
    <s v="reported"/>
    <n v="3175.5933960000002"/>
    <n v="3452"/>
    <n v="276.40660350000002"/>
    <n v="7069.2502759999998"/>
    <n v="6561.7652710000002"/>
    <n v="7558.4926290000003"/>
    <x v="19"/>
    <s v="Jan-2021"/>
  </r>
  <r>
    <x v="20"/>
    <s v="BIH"/>
    <x v="1"/>
    <x v="1"/>
    <x v="1"/>
    <s v="reported"/>
    <n v="3262.4372800000001"/>
    <n v="3454"/>
    <n v="191.56271989999999"/>
    <n v="7260.8129959999997"/>
    <n v="6742.297337"/>
    <n v="7767.5540339999998"/>
    <x v="19"/>
    <s v="Feb-2021"/>
  </r>
  <r>
    <x v="20"/>
    <s v="BIH"/>
    <x v="1"/>
    <x v="2"/>
    <x v="2"/>
    <s v="reported"/>
    <n v="3213.6279500000001"/>
    <n v="4787"/>
    <n v="1573.3720499999999"/>
    <n v="8834.1850460000005"/>
    <n v="8258.6319579999999"/>
    <n v="9395.1395990000001"/>
    <x v="19"/>
    <s v="Mar-2021"/>
  </r>
  <r>
    <x v="20"/>
    <s v="BIH"/>
    <x v="1"/>
    <x v="3"/>
    <x v="3"/>
    <s v="reported"/>
    <n v="3058.8075480000002"/>
    <n v="6051"/>
    <n v="2992.1924519999998"/>
    <n v="11826.377500000001"/>
    <n v="11225.222589999999"/>
    <n v="12416.85901"/>
    <x v="19"/>
    <s v="Apr-2021"/>
  </r>
  <r>
    <x v="20"/>
    <s v="BIH"/>
    <x v="1"/>
    <x v="4"/>
    <x v="4"/>
    <s v="reported"/>
    <n v="2914.8387790000002"/>
    <n v="4223"/>
    <n v="1308.1612210000001"/>
    <n v="13134.53872"/>
    <n v="12512.333060000001"/>
    <n v="13744.07624"/>
    <x v="19"/>
    <s v="May-2021"/>
  </r>
  <r>
    <x v="20"/>
    <s v="BIH"/>
    <x v="1"/>
    <x v="5"/>
    <x v="5"/>
    <s v="reported"/>
    <n v="2800.0281770000001"/>
    <n v="3276"/>
    <n v="475.97182270000002"/>
    <n v="13610.510539999999"/>
    <n v="12975.666740000001"/>
    <n v="14242.7363"/>
    <x v="19"/>
    <s v="Jun-2021"/>
  </r>
  <r>
    <x v="20"/>
    <s v="BIH"/>
    <x v="1"/>
    <x v="6"/>
    <x v="6"/>
    <s v="reported"/>
    <n v="2759.051352"/>
    <n v="3067"/>
    <n v="307.94864840000002"/>
    <n v="13918.45919"/>
    <n v="13263.16743"/>
    <n v="14580.34749"/>
    <x v="19"/>
    <s v="Jul-2021"/>
  </r>
  <r>
    <x v="20"/>
    <s v="BIH"/>
    <x v="1"/>
    <x v="7"/>
    <x v="7"/>
    <s v="reported"/>
    <n v="2751.3883620000001"/>
    <n v="3019"/>
    <n v="267.61163790000001"/>
    <n v="14186.070830000001"/>
    <n v="13515.37868"/>
    <n v="14870.02872"/>
    <x v="19"/>
    <s v="Aug-2021"/>
  </r>
  <r>
    <x v="20"/>
    <s v="BIH"/>
    <x v="1"/>
    <x v="8"/>
    <x v="8"/>
    <s v="reported"/>
    <n v="2772.8053970000001"/>
    <n v="3779"/>
    <n v="1006.194603"/>
    <n v="15192.265429999999"/>
    <n v="14497.61765"/>
    <n v="15896.52802"/>
    <x v="19"/>
    <s v="Sep-2021"/>
  </r>
  <r>
    <x v="20"/>
    <s v="BIH"/>
    <x v="1"/>
    <x v="9"/>
    <x v="9"/>
    <s v="reported"/>
    <n v="2874.8237020000001"/>
    <n v="4125"/>
    <n v="1250.1762980000001"/>
    <n v="16442.441729999999"/>
    <n v="15744.42438"/>
    <n v="17165.067360000001"/>
    <x v="19"/>
    <s v="Oct-2021"/>
  </r>
  <r>
    <x v="20"/>
    <s v="BIH"/>
    <x v="1"/>
    <x v="10"/>
    <x v="10"/>
    <s v="reported"/>
    <n v="3002.4851090000002"/>
    <n v="4615"/>
    <n v="1612.514891"/>
    <n v="18054.956620000001"/>
    <n v="17294.755649999999"/>
    <n v="18815.939640000001"/>
    <x v="19"/>
    <s v="Nov-2021"/>
  </r>
  <r>
    <x v="20"/>
    <s v="BIH"/>
    <x v="1"/>
    <x v="11"/>
    <x v="11"/>
    <s v="reported"/>
    <n v="3152.797118"/>
    <n v="4655"/>
    <n v="1502.202882"/>
    <n v="19557.159500000002"/>
    <n v="18819.25316"/>
    <n v="20333.223890000001"/>
    <x v="19"/>
    <s v="Dec-2021"/>
  </r>
  <r>
    <x v="21"/>
    <s v="BLR"/>
    <x v="0"/>
    <x v="0"/>
    <x v="0"/>
    <s v="reported"/>
    <n v="10430.88082"/>
    <n v="10725"/>
    <n v="293.6191839"/>
    <n v="293.6191839"/>
    <n v="-88.231357970000005"/>
    <n v="671.47059960000001"/>
    <x v="20"/>
    <s v="Jan-2020"/>
  </r>
  <r>
    <x v="21"/>
    <s v="BLR"/>
    <x v="0"/>
    <x v="1"/>
    <x v="1"/>
    <s v="reported"/>
    <n v="10478.8691"/>
    <n v="9622"/>
    <n v="-857.36910160000002"/>
    <n v="-563.74991769999997"/>
    <n v="-1131.9632140000001"/>
    <n v="-5.2546600300000001"/>
    <x v="20"/>
    <s v="Feb-2020"/>
  </r>
  <r>
    <x v="21"/>
    <s v="BLR"/>
    <x v="0"/>
    <x v="2"/>
    <x v="2"/>
    <s v="reported"/>
    <n v="10489.99447"/>
    <n v="10690"/>
    <n v="199.50553410000001"/>
    <n v="-364.24438359999999"/>
    <n v="-1115.6758359999999"/>
    <n v="377.15342340000001"/>
    <x v="20"/>
    <s v="Mar-2020"/>
  </r>
  <r>
    <x v="21"/>
    <s v="BLR"/>
    <x v="0"/>
    <x v="3"/>
    <x v="3"/>
    <s v="reported"/>
    <n v="10325.02239"/>
    <n v="10886"/>
    <n v="560.47760879999998"/>
    <n v="196.23322519999999"/>
    <n v="-676.54506600000002"/>
    <n v="1024.2015200000001"/>
    <x v="20"/>
    <s v="Apr-2020"/>
  </r>
  <r>
    <x v="21"/>
    <s v="BLR"/>
    <x v="0"/>
    <x v="4"/>
    <x v="4"/>
    <s v="reported"/>
    <n v="9999.4852410000003"/>
    <n v="11966"/>
    <n v="1966.0147589999999"/>
    <n v="2162.247985"/>
    <n v="1196.2418190000001"/>
    <n v="3108.1551599999998"/>
    <x v="20"/>
    <s v="May-2020"/>
  </r>
  <r>
    <x v="21"/>
    <s v="BLR"/>
    <x v="0"/>
    <x v="5"/>
    <x v="5"/>
    <s v="reported"/>
    <n v="9608.2069240000001"/>
    <n v="13016"/>
    <n v="3407.2930759999999"/>
    <n v="5569.5410599999996"/>
    <n v="4493.8693409999996"/>
    <n v="6673.1805059999997"/>
    <x v="20"/>
    <s v="Jun-2020"/>
  </r>
  <r>
    <x v="21"/>
    <s v="BLR"/>
    <x v="0"/>
    <x v="6"/>
    <x v="6"/>
    <s v="reported"/>
    <n v="9355.4173159999991"/>
    <n v="10759"/>
    <n v="1403.082684"/>
    <n v="6972.6237440000004"/>
    <n v="5911.8783000000003"/>
    <n v="8035.447013"/>
    <x v="20"/>
    <s v="Jul-2020"/>
  </r>
  <r>
    <x v="21"/>
    <s v="BLR"/>
    <x v="0"/>
    <x v="7"/>
    <x v="7"/>
    <s v="reported"/>
    <n v="9290.6408489999994"/>
    <n v="10413"/>
    <n v="1121.8591510000001"/>
    <n v="8094.4828950000001"/>
    <n v="6937.0722619999997"/>
    <n v="9194.9543269999995"/>
    <x v="20"/>
    <s v="Aug-2020"/>
  </r>
  <r>
    <x v="21"/>
    <s v="BLR"/>
    <x v="0"/>
    <x v="8"/>
    <x v="8"/>
    <s v="reported"/>
    <n v="9443.7294579999998"/>
    <n v="10659"/>
    <n v="1214.770542"/>
    <n v="9309.2534369999994"/>
    <n v="8033.7727109999996"/>
    <n v="10510.75001"/>
    <x v="20"/>
    <s v="Sep-2020"/>
  </r>
  <r>
    <x v="21"/>
    <s v="BLR"/>
    <x v="0"/>
    <x v="9"/>
    <x v="9"/>
    <s v="reported"/>
    <n v="9836.8722689999995"/>
    <n v="12704"/>
    <n v="2866.627731"/>
    <n v="12175.881170000001"/>
    <n v="10899.51677"/>
    <n v="13482.28628"/>
    <x v="20"/>
    <s v="Oct-2020"/>
  </r>
  <r>
    <x v="21"/>
    <s v="BLR"/>
    <x v="0"/>
    <x v="10"/>
    <x v="10"/>
    <s v="reported"/>
    <n v="10135.83049"/>
    <n v="15565"/>
    <n v="5428.6695049999998"/>
    <n v="17604.550670000001"/>
    <n v="16118.66006"/>
    <n v="18989.952270000002"/>
    <x v="20"/>
    <s v="Nov-2020"/>
  </r>
  <r>
    <x v="21"/>
    <s v="BLR"/>
    <x v="0"/>
    <x v="11"/>
    <x v="11"/>
    <s v="reported"/>
    <n v="10428.514380000001"/>
    <n v="17531"/>
    <n v="7101.9856200000004"/>
    <n v="24706.53629"/>
    <n v="23182.276379999999"/>
    <n v="26190.019199999999"/>
    <x v="20"/>
    <s v="Dec-2020"/>
  </r>
  <r>
    <x v="21"/>
    <s v="BLR"/>
    <x v="1"/>
    <x v="0"/>
    <x v="0"/>
    <s v="reported"/>
    <n v="10437.695030000001"/>
    <n v="16127"/>
    <n v="5688.8882979999998"/>
    <n v="30395.424589999999"/>
    <n v="28851.055240000002"/>
    <n v="31924.762999999999"/>
    <x v="20"/>
    <s v="Jan-2021"/>
  </r>
  <r>
    <x v="21"/>
    <s v="BLR"/>
    <x v="1"/>
    <x v="1"/>
    <x v="1"/>
    <s v="reported"/>
    <n v="10464.648639999999"/>
    <n v="12554"/>
    <n v="2088.9346919999998"/>
    <n v="32484.359280000001"/>
    <n v="30947.316920000001"/>
    <n v="34200.136550000003"/>
    <x v="20"/>
    <s v="Feb-2021"/>
  </r>
  <r>
    <x v="21"/>
    <s v="BLR"/>
    <x v="1"/>
    <x v="2"/>
    <x v="2"/>
    <s v="reported"/>
    <n v="10484.171189999999"/>
    <n v="11036"/>
    <n v="551.41214439999999"/>
    <n v="33035.771430000001"/>
    <n v="31389.49696"/>
    <n v="34685.905749999998"/>
    <x v="20"/>
    <s v="Mar-2021"/>
  </r>
  <r>
    <x v="21"/>
    <s v="BLR"/>
    <x v="1"/>
    <x v="3"/>
    <x v="3"/>
    <s v="predicted"/>
    <n v="10321.302830000001"/>
    <n v="11780.829"/>
    <n v="1459.109506"/>
    <n v="34494.880929999999"/>
    <n v="31122.893749999999"/>
    <n v="38261.850919999997"/>
    <x v="20"/>
    <s v="Apr-2021"/>
  </r>
  <r>
    <x v="21"/>
    <s v="BLR"/>
    <x v="1"/>
    <x v="4"/>
    <x v="4"/>
    <s v="predicted"/>
    <n v="10007.50575"/>
    <n v="11651.803"/>
    <n v="1643.880588"/>
    <n v="36138.76152"/>
    <n v="31488.223440000002"/>
    <n v="41269.742030000001"/>
    <x v="20"/>
    <s v="May-2021"/>
  </r>
  <r>
    <x v="21"/>
    <s v="BLR"/>
    <x v="1"/>
    <x v="5"/>
    <x v="5"/>
    <s v="predicted"/>
    <n v="9588.5287090000002"/>
    <n v="11276.12"/>
    <n v="1687.174624"/>
    <n v="37825.936150000001"/>
    <n v="31972.898410000002"/>
    <n v="44446.501629999999"/>
    <x v="20"/>
    <s v="Jun-2021"/>
  </r>
  <r>
    <x v="21"/>
    <s v="BLR"/>
    <x v="1"/>
    <x v="6"/>
    <x v="6"/>
    <s v="predicted"/>
    <n v="9350.4213999999993"/>
    <n v="11347.550999999999"/>
    <n v="1996.712933"/>
    <n v="39822.649080000003"/>
    <n v="32965.817089999997"/>
    <n v="46988.148370000003"/>
    <x v="20"/>
    <s v="Jul-2021"/>
  </r>
  <r>
    <x v="21"/>
    <s v="BLR"/>
    <x v="1"/>
    <x v="7"/>
    <x v="7"/>
    <s v="predicted"/>
    <n v="9287.3431959999998"/>
    <n v="11369.981"/>
    <n v="2082.221137"/>
    <n v="41904.870219999997"/>
    <n v="34415.792260000002"/>
    <n v="49318.042780000003"/>
    <x v="20"/>
    <s v="Aug-2021"/>
  </r>
  <r>
    <x v="21"/>
    <s v="BLR"/>
    <x v="1"/>
    <x v="8"/>
    <x v="8"/>
    <s v="predicted"/>
    <n v="9444.6931810000005"/>
    <n v="11632.228999999999"/>
    <n v="2187.1191520000002"/>
    <n v="44091.989370000003"/>
    <n v="35762.87257"/>
    <n v="52890.004699999998"/>
    <x v="20"/>
    <s v="Sep-2021"/>
  </r>
  <r>
    <x v="21"/>
    <s v="BLR"/>
    <x v="1"/>
    <x v="9"/>
    <x v="9"/>
    <s v="predicted"/>
    <n v="9829.0831180000005"/>
    <n v="12336.513000000001"/>
    <n v="2507.0132159999998"/>
    <n v="46599.00258"/>
    <n v="37115.34592"/>
    <n v="56463.111799999999"/>
    <x v="20"/>
    <s v="Oct-2021"/>
  </r>
  <r>
    <x v="21"/>
    <s v="BLR"/>
    <x v="1"/>
    <x v="10"/>
    <x v="10"/>
    <s v="predicted"/>
    <n v="10134.16426"/>
    <n v="12420.960999999999"/>
    <n v="2286.3800780000001"/>
    <n v="48885.382660000003"/>
    <n v="38643.719709999998"/>
    <n v="59634.982839999997"/>
    <x v="20"/>
    <s v="Nov-2021"/>
  </r>
  <r>
    <x v="21"/>
    <s v="BLR"/>
    <x v="1"/>
    <x v="11"/>
    <x v="11"/>
    <s v="predicted"/>
    <n v="10439.367679999999"/>
    <n v="12391.14"/>
    <n v="1951.355654"/>
    <n v="50836.738319999997"/>
    <n v="39614.408009999999"/>
    <n v="62485.76053"/>
    <x v="20"/>
    <s v="Dec-2021"/>
  </r>
  <r>
    <x v="22"/>
    <s v="BLZ"/>
    <x v="0"/>
    <x v="0"/>
    <x v="0"/>
    <s v="reported"/>
    <n v="171.92418559999999"/>
    <n v="178"/>
    <n v="6.0758143889999996"/>
    <n v="6.0758143889999996"/>
    <n v="-2.4569486679999999"/>
    <n v="15.03724748"/>
    <x v="21"/>
    <s v="Jan-2020"/>
  </r>
  <r>
    <x v="22"/>
    <s v="BLZ"/>
    <x v="0"/>
    <x v="1"/>
    <x v="1"/>
    <s v="reported"/>
    <n v="173.63294440000001"/>
    <n v="166"/>
    <n v="-7.6329444410000002"/>
    <n v="-1.557130052"/>
    <n v="-14.77353074"/>
    <n v="11.658248240000001"/>
    <x v="21"/>
    <s v="Feb-2020"/>
  </r>
  <r>
    <x v="22"/>
    <s v="BLZ"/>
    <x v="0"/>
    <x v="2"/>
    <x v="2"/>
    <s v="reported"/>
    <n v="173.68372539999999"/>
    <n v="166"/>
    <n v="-7.6837254440000002"/>
    <n v="-9.2408554949999999"/>
    <n v="-25.280481250000001"/>
    <n v="7.5765070129999996"/>
    <x v="21"/>
    <s v="Mar-2020"/>
  </r>
  <r>
    <x v="22"/>
    <s v="BLZ"/>
    <x v="0"/>
    <x v="3"/>
    <x v="3"/>
    <s v="reported"/>
    <n v="170.79651269999999"/>
    <n v="145"/>
    <n v="-25.796512660000001"/>
    <n v="-35.037368149999999"/>
    <n v="-53.94088507"/>
    <n v="-15.21411883"/>
    <x v="21"/>
    <s v="Apr-2020"/>
  </r>
  <r>
    <x v="22"/>
    <s v="BLZ"/>
    <x v="0"/>
    <x v="4"/>
    <x v="4"/>
    <s v="reported"/>
    <n v="167.6743888"/>
    <n v="157"/>
    <n v="-10.674388820000001"/>
    <n v="-45.711756979999997"/>
    <n v="-67.321034870000005"/>
    <n v="-23.286756159999999"/>
    <x v="21"/>
    <s v="May-2020"/>
  </r>
  <r>
    <x v="22"/>
    <s v="BLZ"/>
    <x v="0"/>
    <x v="5"/>
    <x v="5"/>
    <s v="reported"/>
    <n v="165.4449415"/>
    <n v="168"/>
    <n v="2.5550584540000001"/>
    <n v="-43.156698519999999"/>
    <n v="-65.83903746"/>
    <n v="-19.323663490000001"/>
    <x v="21"/>
    <s v="Jun-2020"/>
  </r>
  <r>
    <x v="22"/>
    <s v="BLZ"/>
    <x v="0"/>
    <x v="6"/>
    <x v="6"/>
    <s v="reported"/>
    <n v="163.64853059999999"/>
    <n v="156"/>
    <n v="-7.6485306489999996"/>
    <n v="-50.805229169999997"/>
    <n v="-76.999680150000003"/>
    <n v="-25.521880830000001"/>
    <x v="21"/>
    <s v="Jul-2020"/>
  </r>
  <r>
    <x v="22"/>
    <s v="BLZ"/>
    <x v="0"/>
    <x v="7"/>
    <x v="7"/>
    <s v="reported"/>
    <n v="164.335204"/>
    <n v="156"/>
    <n v="-8.3352039550000008"/>
    <n v="-59.140433129999998"/>
    <n v="-86.849440529999995"/>
    <n v="-31.693742329999999"/>
    <x v="21"/>
    <s v="Aug-2020"/>
  </r>
  <r>
    <x v="22"/>
    <s v="BLZ"/>
    <x v="0"/>
    <x v="8"/>
    <x v="8"/>
    <s v="reported"/>
    <n v="166.26865090000001"/>
    <n v="149"/>
    <n v="-17.268650940000001"/>
    <n v="-76.409084070000006"/>
    <n v="-105.7924036"/>
    <n v="-47.670249800000001"/>
    <x v="21"/>
    <s v="Sep-2020"/>
  </r>
  <r>
    <x v="22"/>
    <s v="BLZ"/>
    <x v="0"/>
    <x v="9"/>
    <x v="9"/>
    <s v="reported"/>
    <n v="169.10276719999999"/>
    <n v="189"/>
    <n v="19.897232809999998"/>
    <n v="-56.51185126"/>
    <n v="-86.576386749999998"/>
    <n v="-24.709593609999999"/>
    <x v="21"/>
    <s v="Oct-2020"/>
  </r>
  <r>
    <x v="22"/>
    <s v="BLZ"/>
    <x v="0"/>
    <x v="10"/>
    <x v="10"/>
    <s v="reported"/>
    <n v="173.02702160000001"/>
    <n v="253"/>
    <n v="79.972978409999996"/>
    <n v="23.46112716"/>
    <n v="-8.2204771989999994"/>
    <n v="56.759473270000001"/>
    <x v="21"/>
    <s v="Nov-2020"/>
  </r>
  <r>
    <x v="22"/>
    <s v="BLZ"/>
    <x v="0"/>
    <x v="11"/>
    <x v="11"/>
    <s v="reported"/>
    <n v="175.7515507"/>
    <n v="275"/>
    <n v="99.248449300000004"/>
    <n v="122.7095765"/>
    <n v="88.825128169999999"/>
    <n v="157.5172469"/>
    <x v="21"/>
    <s v="Dec-2020"/>
  </r>
  <r>
    <x v="22"/>
    <s v="BLZ"/>
    <x v="1"/>
    <x v="0"/>
    <x v="0"/>
    <s v="reported"/>
    <n v="176.06230210000001"/>
    <n v="198"/>
    <n v="18.604364589999999"/>
    <n v="141.313941"/>
    <n v="104.54833720000001"/>
    <n v="180.070942"/>
    <x v="21"/>
    <s v="Jan-2021"/>
  </r>
  <r>
    <x v="22"/>
    <s v="BLZ"/>
    <x v="1"/>
    <x v="1"/>
    <x v="1"/>
    <s v="reported"/>
    <n v="177.91253689999999"/>
    <n v="184"/>
    <n v="2.754129759"/>
    <n v="144.06807079999999"/>
    <n v="104.5182173"/>
    <n v="186.92721109999999"/>
    <x v="21"/>
    <s v="Feb-2021"/>
  </r>
  <r>
    <x v="22"/>
    <s v="BLZ"/>
    <x v="1"/>
    <x v="2"/>
    <x v="2"/>
    <s v="reported"/>
    <n v="177.2571437"/>
    <n v="171"/>
    <n v="-9.5904770549999991"/>
    <n v="134.4775937"/>
    <n v="92.107363340000006"/>
    <n v="177.68505400000001"/>
    <x v="21"/>
    <s v="Mar-2021"/>
  </r>
  <r>
    <x v="22"/>
    <s v="BLZ"/>
    <x v="1"/>
    <x v="3"/>
    <x v="3"/>
    <s v="reported"/>
    <n v="175.1696268"/>
    <n v="143"/>
    <n v="-35.502960100000003"/>
    <n v="98.974633650000001"/>
    <n v="56.894972580000001"/>
    <n v="143.268171"/>
    <x v="21"/>
    <s v="Apr-2021"/>
  </r>
  <r>
    <x v="22"/>
    <s v="BLZ"/>
    <x v="1"/>
    <x v="4"/>
    <x v="4"/>
    <s v="reported"/>
    <n v="172.0899077"/>
    <n v="170"/>
    <n v="-5.4232410560000002"/>
    <n v="93.551392590000006"/>
    <n v="49.136213660000003"/>
    <n v="141.5757878"/>
    <x v="21"/>
    <s v="May-2021"/>
  </r>
  <r>
    <x v="22"/>
    <s v="BLZ"/>
    <x v="1"/>
    <x v="5"/>
    <x v="5"/>
    <s v="reported"/>
    <n v="169.16116289999999"/>
    <n v="178"/>
    <n v="5.505503719"/>
    <n v="99.056896309999999"/>
    <n v="52.916749350000003"/>
    <n v="147.0399975"/>
    <x v="21"/>
    <s v="Jun-2021"/>
  </r>
  <r>
    <x v="22"/>
    <s v="BLZ"/>
    <x v="1"/>
    <x v="6"/>
    <x v="6"/>
    <s v="reported"/>
    <n v="167.69535870000001"/>
    <n v="165"/>
    <n v="-6.0286920579999999"/>
    <n v="93.028204250000002"/>
    <n v="46.439934739999998"/>
    <n v="141.3304412"/>
    <x v="21"/>
    <s v="Jul-2021"/>
  </r>
  <r>
    <x v="22"/>
    <s v="BLZ"/>
    <x v="1"/>
    <x v="7"/>
    <x v="7"/>
    <s v="reported"/>
    <n v="168.27501649999999"/>
    <n v="242"/>
    <n v="70.391650150000004"/>
    <n v="163.41985439999999"/>
    <n v="114.19678810000001"/>
    <n v="215.9611286"/>
    <x v="21"/>
    <s v="Aug-2021"/>
  </r>
  <r>
    <x v="22"/>
    <s v="BLZ"/>
    <x v="1"/>
    <x v="8"/>
    <x v="8"/>
    <s v="reported"/>
    <n v="170.3166679"/>
    <n v="255"/>
    <n v="81.349998720000002"/>
    <n v="244.76985310000001"/>
    <n v="193.68095349999999"/>
    <n v="297.15221070000001"/>
    <x v="21"/>
    <s v="Sep-2021"/>
  </r>
  <r>
    <x v="22"/>
    <s v="BLZ"/>
    <x v="1"/>
    <x v="9"/>
    <x v="9"/>
    <s v="reported"/>
    <n v="173.4358818"/>
    <n v="287"/>
    <n v="110.2307849"/>
    <n v="355.00063799999998"/>
    <n v="302.77860299999998"/>
    <n v="410.20437220000002"/>
    <x v="21"/>
    <s v="Oct-2021"/>
  </r>
  <r>
    <x v="22"/>
    <s v="BLZ"/>
    <x v="1"/>
    <x v="10"/>
    <x v="10"/>
    <s v="reported"/>
    <n v="177.16192340000001"/>
    <n v="314"/>
    <n v="133.50474320000001"/>
    <n v="488.50538119999999"/>
    <n v="431.59274979999998"/>
    <n v="544.27095180000003"/>
    <x v="21"/>
    <s v="Nov-2021"/>
  </r>
  <r>
    <x v="22"/>
    <s v="BLZ"/>
    <x v="1"/>
    <x v="11"/>
    <x v="11"/>
    <s v="reported"/>
    <n v="180.54360919999999"/>
    <n v="182"/>
    <n v="-1.8769425129999999"/>
    <n v="486.6284387"/>
    <n v="430.23549600000001"/>
    <n v="543.60804359999997"/>
    <x v="21"/>
    <s v="Dec-2021"/>
  </r>
  <r>
    <x v="23"/>
    <s v="BOL"/>
    <x v="0"/>
    <x v="0"/>
    <x v="0"/>
    <s v="reported"/>
    <n v="6725.4037920000001"/>
    <n v="7182"/>
    <n v="453.42377429999999"/>
    <n v="453.42377429999999"/>
    <n v="293.8426978"/>
    <n v="611.09623569999997"/>
    <x v="22"/>
    <s v="Jan-2020"/>
  </r>
  <r>
    <x v="23"/>
    <s v="BOL"/>
    <x v="0"/>
    <x v="1"/>
    <x v="1"/>
    <s v="reported"/>
    <n v="6233.3815880000002"/>
    <n v="6645"/>
    <n v="408.44597820000001"/>
    <n v="861.8697525"/>
    <n v="623.43337320000001"/>
    <n v="1089.941278"/>
    <x v="22"/>
    <s v="Feb-2020"/>
  </r>
  <r>
    <x v="23"/>
    <s v="BOL"/>
    <x v="0"/>
    <x v="2"/>
    <x v="2"/>
    <s v="reported"/>
    <n v="6619.8901310000001"/>
    <n v="7179"/>
    <n v="555.93743440000003"/>
    <n v="1417.8071870000001"/>
    <n v="1105.9870470000001"/>
    <n v="1744.8610040000001"/>
    <x v="22"/>
    <s v="Mar-2020"/>
  </r>
  <r>
    <x v="23"/>
    <s v="BOL"/>
    <x v="0"/>
    <x v="3"/>
    <x v="3"/>
    <s v="reported"/>
    <n v="6441.5704059999998"/>
    <n v="5166"/>
    <n v="-1278.742841"/>
    <n v="139.06434630000001"/>
    <n v="-223.55607979999999"/>
    <n v="503.81465059999999"/>
    <x v="22"/>
    <s v="Apr-2020"/>
  </r>
  <r>
    <x v="23"/>
    <s v="BOL"/>
    <x v="0"/>
    <x v="4"/>
    <x v="4"/>
    <s v="reported"/>
    <n v="6794.1356859999996"/>
    <n v="7252"/>
    <n v="454.69188000000003"/>
    <n v="593.75622629999998"/>
    <n v="166.01435530000001"/>
    <n v="1008.960728"/>
    <x v="22"/>
    <s v="May-2020"/>
  </r>
  <r>
    <x v="23"/>
    <s v="BOL"/>
    <x v="0"/>
    <x v="5"/>
    <x v="5"/>
    <s v="reported"/>
    <n v="7011.6293059999998"/>
    <n v="13644"/>
    <n v="6629.1982589999998"/>
    <n v="7222.9544859999996"/>
    <n v="6758.1398829999998"/>
    <n v="7663.2727990000003"/>
    <x v="22"/>
    <s v="Jun-2020"/>
  </r>
  <r>
    <x v="23"/>
    <s v="BOL"/>
    <x v="0"/>
    <x v="6"/>
    <x v="6"/>
    <s v="reported"/>
    <n v="7047.436659"/>
    <n v="24352"/>
    <n v="17301.390909999998"/>
    <n v="24524.345389999999"/>
    <n v="24033.199919999999"/>
    <n v="25010.860229999998"/>
    <x v="22"/>
    <s v="Jul-2020"/>
  </r>
  <r>
    <x v="23"/>
    <s v="BOL"/>
    <x v="0"/>
    <x v="7"/>
    <x v="7"/>
    <s v="reported"/>
    <n v="6831.4273560000001"/>
    <n v="12613"/>
    <n v="5778.4002099999998"/>
    <n v="30302.745599999998"/>
    <n v="29759.116709999998"/>
    <n v="30806.010569999999"/>
    <x v="22"/>
    <s v="Aug-2020"/>
  </r>
  <r>
    <x v="23"/>
    <s v="BOL"/>
    <x v="0"/>
    <x v="8"/>
    <x v="8"/>
    <s v="reported"/>
    <n v="6534.7684079999999"/>
    <n v="7979"/>
    <n v="1441.059158"/>
    <n v="31743.804759999999"/>
    <n v="31176.883320000001"/>
    <n v="32297.49308"/>
    <x v="22"/>
    <s v="Sep-2020"/>
  </r>
  <r>
    <x v="23"/>
    <s v="BOL"/>
    <x v="0"/>
    <x v="9"/>
    <x v="9"/>
    <s v="reported"/>
    <n v="6607.0708279999999"/>
    <n v="7571"/>
    <n v="960.75673770000003"/>
    <n v="32704.5615"/>
    <n v="32117.94427"/>
    <n v="33303.756390000002"/>
    <x v="22"/>
    <s v="Oct-2020"/>
  </r>
  <r>
    <x v="23"/>
    <s v="BOL"/>
    <x v="0"/>
    <x v="10"/>
    <x v="10"/>
    <s v="reported"/>
    <n v="6414.1063210000002"/>
    <n v="7068"/>
    <n v="650.72124450000001"/>
    <n v="33355.282740000002"/>
    <n v="32711.184740000001"/>
    <n v="33987.271670000002"/>
    <x v="22"/>
    <s v="Nov-2020"/>
  </r>
  <r>
    <x v="23"/>
    <s v="BOL"/>
    <x v="0"/>
    <x v="11"/>
    <x v="11"/>
    <s v="reported"/>
    <n v="6805.549728"/>
    <n v="7342"/>
    <n v="533.27783739999995"/>
    <n v="33888.560579999998"/>
    <n v="33225.80629"/>
    <n v="34541.169269999999"/>
    <x v="22"/>
    <s v="Dec-2020"/>
  </r>
  <r>
    <x v="23"/>
    <s v="BOL"/>
    <x v="1"/>
    <x v="0"/>
    <x v="0"/>
    <s v="reported"/>
    <n v="6815.2270769999996"/>
    <n v="15192"/>
    <n v="8360.6569569999992"/>
    <n v="42249.217539999998"/>
    <n v="41563.535949999998"/>
    <n v="42941.78991"/>
    <x v="22"/>
    <s v="Jan-2021"/>
  </r>
  <r>
    <x v="23"/>
    <s v="BOL"/>
    <x v="1"/>
    <x v="1"/>
    <x v="1"/>
    <s v="reported"/>
    <n v="6322.8760540000003"/>
    <n v="11241"/>
    <n v="4902.0079800000003"/>
    <n v="47151.22552"/>
    <n v="46426.540240000002"/>
    <n v="47917.92555"/>
    <x v="22"/>
    <s v="Feb-2021"/>
  </r>
  <r>
    <x v="23"/>
    <s v="BOL"/>
    <x v="1"/>
    <x v="2"/>
    <x v="2"/>
    <s v="reported"/>
    <n v="6708.150243"/>
    <n v="9176"/>
    <n v="2451.7337910000001"/>
    <n v="49602.959309999998"/>
    <n v="48864.946000000004"/>
    <n v="50373.857020000003"/>
    <x v="22"/>
    <s v="Mar-2021"/>
  </r>
  <r>
    <x v="23"/>
    <s v="BOL"/>
    <x v="1"/>
    <x v="3"/>
    <x v="3"/>
    <s v="reported"/>
    <n v="6525.723594"/>
    <n v="8628"/>
    <n v="2086.160441"/>
    <n v="51689.119749999998"/>
    <n v="50920.494530000004"/>
    <n v="52454.179810000001"/>
    <x v="22"/>
    <s v="Apr-2021"/>
  </r>
  <r>
    <x v="23"/>
    <s v="BOL"/>
    <x v="1"/>
    <x v="4"/>
    <x v="4"/>
    <s v="reported"/>
    <n v="6895.1069180000004"/>
    <n v="13788"/>
    <n v="6876.7771160000002"/>
    <n v="58565.896869999997"/>
    <n v="57757.689570000002"/>
    <n v="59390.404699999999"/>
    <x v="22"/>
    <s v="May-2021"/>
  </r>
  <r>
    <x v="23"/>
    <s v="BOL"/>
    <x v="1"/>
    <x v="5"/>
    <x v="5"/>
    <s v="reported"/>
    <n v="7113.6485700000003"/>
    <n v="16139"/>
    <n v="9009.2354639999994"/>
    <n v="67575.132329999993"/>
    <n v="66762.557660000006"/>
    <n v="68450.242389999999"/>
    <x v="22"/>
    <s v="Jun-2021"/>
  </r>
  <r>
    <x v="23"/>
    <s v="BOL"/>
    <x v="1"/>
    <x v="6"/>
    <x v="6"/>
    <s v="reported"/>
    <n v="7136.6543389999997"/>
    <n v="11620"/>
    <n v="4467.229695"/>
    <n v="72042.36202"/>
    <n v="71251.938769999993"/>
    <n v="72932.494519999993"/>
    <x v="22"/>
    <s v="Jul-2021"/>
  </r>
  <r>
    <x v="23"/>
    <s v="BOL"/>
    <x v="1"/>
    <x v="7"/>
    <x v="7"/>
    <s v="reported"/>
    <n v="6923.3390849999996"/>
    <n v="9269"/>
    <n v="2329.5449490000001"/>
    <n v="74371.906969999996"/>
    <n v="73504.785000000003"/>
    <n v="75250.145080000002"/>
    <x v="22"/>
    <s v="Aug-2021"/>
  </r>
  <r>
    <x v="23"/>
    <s v="BOL"/>
    <x v="1"/>
    <x v="8"/>
    <x v="8"/>
    <s v="reported"/>
    <n v="6614.2067539999998"/>
    <n v="7715"/>
    <n v="1084.677281"/>
    <n v="75456.58425"/>
    <n v="74572.150599999994"/>
    <n v="76396.845759999997"/>
    <x v="22"/>
    <s v="Sep-2021"/>
  </r>
  <r>
    <x v="23"/>
    <s v="BOL"/>
    <x v="1"/>
    <x v="9"/>
    <x v="9"/>
    <s v="reported"/>
    <n v="6701.5422310000004"/>
    <n v="7682"/>
    <n v="964.34180289999995"/>
    <n v="76420.926059999998"/>
    <n v="75535.150819999995"/>
    <n v="77358.07819"/>
    <x v="22"/>
    <s v="Oct-2021"/>
  </r>
  <r>
    <x v="23"/>
    <s v="BOL"/>
    <x v="1"/>
    <x v="10"/>
    <x v="10"/>
    <s v="reported"/>
    <n v="6496.5242930000004"/>
    <n v="7921"/>
    <n v="1408.359741"/>
    <n v="77829.285799999998"/>
    <n v="76884.049159999995"/>
    <n v="78776.943790000005"/>
    <x v="22"/>
    <s v="Nov-2021"/>
  </r>
  <r>
    <x v="23"/>
    <s v="BOL"/>
    <x v="1"/>
    <x v="11"/>
    <x v="11"/>
    <s v="reported"/>
    <n v="6898.8396650000004"/>
    <n v="9995"/>
    <n v="3080.0443690000002"/>
    <n v="80909.330170000001"/>
    <n v="79951.203989999995"/>
    <n v="81908.922760000001"/>
    <x v="22"/>
    <s v="Dec-2021"/>
  </r>
  <r>
    <x v="24"/>
    <s v="BRA"/>
    <x v="0"/>
    <x v="0"/>
    <x v="0"/>
    <s v="reported"/>
    <n v="111262.7907"/>
    <n v="110932"/>
    <n v="-536.45740869999997"/>
    <n v="-536.45740869999997"/>
    <n v="-2475.1544479999998"/>
    <n v="1387.872406"/>
    <x v="23"/>
    <s v="Jan-2020"/>
  </r>
  <r>
    <x v="24"/>
    <s v="BRA"/>
    <x v="0"/>
    <x v="1"/>
    <x v="1"/>
    <s v="reported"/>
    <n v="101247.7404"/>
    <n v="104255"/>
    <n v="2801.5929609999998"/>
    <n v="2265.1355530000001"/>
    <n v="-887.91284589999998"/>
    <n v="5436.9554399999997"/>
    <x v="23"/>
    <s v="Feb-2020"/>
  </r>
  <r>
    <x v="24"/>
    <s v="BRA"/>
    <x v="0"/>
    <x v="2"/>
    <x v="2"/>
    <s v="reported"/>
    <n v="112277.45050000001"/>
    <n v="117888"/>
    <n v="5404.8828530000001"/>
    <n v="7670.0184049999998"/>
    <n v="3585.2574460000001"/>
    <n v="11842.56818"/>
    <x v="23"/>
    <s v="Mar-2020"/>
  </r>
  <r>
    <x v="24"/>
    <s v="BRA"/>
    <x v="0"/>
    <x v="3"/>
    <x v="3"/>
    <s v="reported"/>
    <n v="113377.4227"/>
    <n v="123596"/>
    <n v="10012.91059"/>
    <n v="17682.92899"/>
    <n v="12642.210220000001"/>
    <n v="22321.457829999999"/>
    <x v="23"/>
    <s v="Apr-2020"/>
  </r>
  <r>
    <x v="24"/>
    <s v="BRA"/>
    <x v="0"/>
    <x v="4"/>
    <x v="4"/>
    <s v="reported"/>
    <n v="120099.5371"/>
    <n v="154511"/>
    <n v="34205.79621"/>
    <n v="51888.725200000001"/>
    <n v="46470.873939999998"/>
    <n v="57355.420209999997"/>
    <x v="23"/>
    <s v="May-2020"/>
  </r>
  <r>
    <x v="24"/>
    <s v="BRA"/>
    <x v="0"/>
    <x v="5"/>
    <x v="5"/>
    <s v="reported"/>
    <n v="120341.2749"/>
    <n v="140663"/>
    <n v="20116.05845"/>
    <n v="72004.783649999998"/>
    <n v="66052.521779999995"/>
    <n v="78104.092860000004"/>
    <x v="23"/>
    <s v="Jun-2020"/>
  </r>
  <r>
    <x v="24"/>
    <s v="BRA"/>
    <x v="0"/>
    <x v="6"/>
    <x v="6"/>
    <s v="reported"/>
    <n v="124361.0334"/>
    <n v="145262"/>
    <n v="20695.29996"/>
    <n v="92700.083610000001"/>
    <n v="86241.213310000006"/>
    <n v="99712.724279999995"/>
    <x v="23"/>
    <s v="Jul-2020"/>
  </r>
  <r>
    <x v="24"/>
    <s v="BRA"/>
    <x v="0"/>
    <x v="7"/>
    <x v="7"/>
    <s v="reported"/>
    <n v="118083.0644"/>
    <n v="141329"/>
    <n v="23040.268940000002"/>
    <n v="115740.35249999999"/>
    <n v="108621.2751"/>
    <n v="123129.23639999999"/>
    <x v="23"/>
    <s v="Aug-2020"/>
  </r>
  <r>
    <x v="24"/>
    <s v="BRA"/>
    <x v="0"/>
    <x v="8"/>
    <x v="8"/>
    <s v="reported"/>
    <n v="111471.4086"/>
    <n v="127115"/>
    <n v="15437.9247"/>
    <n v="131178.27720000001"/>
    <n v="123542.70359999999"/>
    <n v="139211.52540000001"/>
    <x v="23"/>
    <s v="Sep-2020"/>
  </r>
  <r>
    <x v="24"/>
    <s v="BRA"/>
    <x v="0"/>
    <x v="9"/>
    <x v="9"/>
    <s v="reported"/>
    <n v="112282.53630000001"/>
    <n v="128797"/>
    <n v="16308.797039999999"/>
    <n v="147487.07430000001"/>
    <n v="139703.50520000001"/>
    <n v="155871.29819999999"/>
    <x v="23"/>
    <s v="Oct-2020"/>
  </r>
  <r>
    <x v="24"/>
    <s v="BRA"/>
    <x v="0"/>
    <x v="10"/>
    <x v="10"/>
    <s v="reported"/>
    <n v="107037.2847"/>
    <n v="122598"/>
    <n v="15355.048629999999"/>
    <n v="162842.12289999999"/>
    <n v="154460.33900000001"/>
    <n v="171612.63939999999"/>
    <x v="23"/>
    <s v="Nov-2020"/>
  </r>
  <r>
    <x v="24"/>
    <s v="BRA"/>
    <x v="0"/>
    <x v="11"/>
    <x v="11"/>
    <s v="reported"/>
    <n v="112568.6802"/>
    <n v="139878"/>
    <n v="27103.653160000002"/>
    <n v="189945.77609999999"/>
    <n v="181338.0563"/>
    <n v="199352.79329999999"/>
    <x v="23"/>
    <s v="Dec-2020"/>
  </r>
  <r>
    <x v="24"/>
    <s v="BRA"/>
    <x v="1"/>
    <x v="0"/>
    <x v="0"/>
    <s v="reported"/>
    <n v="112741.82369999999"/>
    <n v="151728"/>
    <n v="38526.509669999999"/>
    <n v="228472.28570000001"/>
    <n v="219651.04190000001"/>
    <n v="237561.0526"/>
    <x v="23"/>
    <s v="Jan-2021"/>
  </r>
  <r>
    <x v="24"/>
    <s v="BRA"/>
    <x v="1"/>
    <x v="1"/>
    <x v="1"/>
    <s v="reported"/>
    <n v="102579.97440000001"/>
    <n v="137029"/>
    <n v="33989.358910000003"/>
    <n v="262461.6447"/>
    <n v="253121.50039999999"/>
    <n v="272095.4719"/>
    <x v="23"/>
    <s v="Feb-2021"/>
  </r>
  <r>
    <x v="24"/>
    <s v="BRA"/>
    <x v="1"/>
    <x v="2"/>
    <x v="2"/>
    <s v="reported"/>
    <n v="113821.0937"/>
    <n v="209406"/>
    <n v="95125.239600000001"/>
    <n v="357586.88429999998"/>
    <n v="348284.47369999997"/>
    <n v="367711.35869999998"/>
    <x v="23"/>
    <s v="Mar-2021"/>
  </r>
  <r>
    <x v="24"/>
    <s v="BRA"/>
    <x v="1"/>
    <x v="3"/>
    <x v="3"/>
    <s v="reported"/>
    <n v="114774.1845"/>
    <n v="196654"/>
    <n v="81420.148799999995"/>
    <n v="439007.0331"/>
    <n v="429166.15879999998"/>
    <n v="449128.38059999997"/>
    <x v="23"/>
    <s v="Apr-2021"/>
  </r>
  <r>
    <x v="24"/>
    <s v="BRA"/>
    <x v="1"/>
    <x v="4"/>
    <x v="4"/>
    <s v="reported"/>
    <n v="121806.1893"/>
    <n v="182945"/>
    <n v="60679.144039999999"/>
    <n v="499686.17709999997"/>
    <n v="489191.65130000003"/>
    <n v="510294.79879999999"/>
    <x v="23"/>
    <s v="May-2021"/>
  </r>
  <r>
    <x v="24"/>
    <s v="BRA"/>
    <x v="1"/>
    <x v="5"/>
    <x v="5"/>
    <s v="reported"/>
    <n v="121919.66559999999"/>
    <n v="172187"/>
    <n v="49807.667759999997"/>
    <n v="549493.84490000003"/>
    <n v="538675.19409999996"/>
    <n v="560352.82779999997"/>
    <x v="23"/>
    <s v="Jun-2021"/>
  </r>
  <r>
    <x v="24"/>
    <s v="BRA"/>
    <x v="1"/>
    <x v="6"/>
    <x v="6"/>
    <s v="reported"/>
    <n v="125988.3426"/>
    <n v="158549"/>
    <n v="32100.990760000001"/>
    <n v="581594.83559999999"/>
    <n v="570315.7156"/>
    <n v="593429.70440000005"/>
    <x v="23"/>
    <s v="Jul-2021"/>
  </r>
  <r>
    <x v="24"/>
    <s v="BRA"/>
    <x v="1"/>
    <x v="7"/>
    <x v="7"/>
    <s v="reported"/>
    <n v="119615.5352"/>
    <n v="143594"/>
    <n v="23518.798139999999"/>
    <n v="605113.63370000001"/>
    <n v="593389.19099999999"/>
    <n v="617372.32449999999"/>
    <x v="23"/>
    <s v="Aug-2021"/>
  </r>
  <r>
    <x v="24"/>
    <s v="BRA"/>
    <x v="1"/>
    <x v="8"/>
    <x v="8"/>
    <s v="reported"/>
    <n v="113010.1608"/>
    <n v="125984"/>
    <n v="12514.17253"/>
    <n v="617627.80630000005"/>
    <n v="605760.96770000004"/>
    <n v="629915.24939999997"/>
    <x v="23"/>
    <s v="Sep-2021"/>
  </r>
  <r>
    <x v="24"/>
    <s v="BRA"/>
    <x v="1"/>
    <x v="9"/>
    <x v="9"/>
    <s v="reported"/>
    <n v="113799.18429999999"/>
    <n v="125180"/>
    <n v="10921.14906"/>
    <n v="628548.95530000003"/>
    <n v="616716.4645"/>
    <n v="640810.24959999998"/>
    <x v="23"/>
    <s v="Oct-2021"/>
  </r>
  <r>
    <x v="24"/>
    <s v="BRA"/>
    <x v="1"/>
    <x v="10"/>
    <x v="10"/>
    <s v="reported"/>
    <n v="108393.92359999999"/>
    <n v="119930"/>
    <n v="11076.409750000001"/>
    <n v="639625.36510000005"/>
    <n v="627255.37139999995"/>
    <n v="651700.64009999996"/>
    <x v="23"/>
    <s v="Nov-2021"/>
  </r>
  <r>
    <x v="24"/>
    <s v="BRA"/>
    <x v="1"/>
    <x v="11"/>
    <x v="11"/>
    <s v="reported"/>
    <n v="114175.7981"/>
    <n v="132436"/>
    <n v="17800.535199999998"/>
    <n v="657425.90029999998"/>
    <n v="644406.59600000002"/>
    <n v="669746.61219999997"/>
    <x v="23"/>
    <s v="Dec-2021"/>
  </r>
  <r>
    <x v="25"/>
    <s v="BRB"/>
    <x v="0"/>
    <x v="0"/>
    <x v="0"/>
    <s v="reported"/>
    <n v="233.25901150000001"/>
    <n v="255"/>
    <n v="21.574321869999999"/>
    <n v="21.574321869999999"/>
    <n v="2.6505014619999998"/>
    <n v="40.514595839999998"/>
    <x v="24"/>
    <s v="Jan-2020"/>
  </r>
  <r>
    <x v="25"/>
    <s v="BRB"/>
    <x v="0"/>
    <x v="1"/>
    <x v="1"/>
    <s v="reported"/>
    <n v="232.4796307"/>
    <n v="224"/>
    <n v="-8.6462973240000007"/>
    <n v="12.928024539999999"/>
    <n v="-15.070280500000001"/>
    <n v="39.601386740000002"/>
    <x v="24"/>
    <s v="Feb-2020"/>
  </r>
  <r>
    <x v="25"/>
    <s v="BRB"/>
    <x v="0"/>
    <x v="2"/>
    <x v="2"/>
    <s v="reported"/>
    <n v="231.16954010000001"/>
    <n v="244"/>
    <n v="12.663793249999999"/>
    <n v="25.59181779"/>
    <n v="-9.5038285949999999"/>
    <n v="57.516449209999998"/>
    <x v="24"/>
    <s v="Mar-2020"/>
  </r>
  <r>
    <x v="25"/>
    <s v="BRB"/>
    <x v="0"/>
    <x v="3"/>
    <x v="3"/>
    <s v="reported"/>
    <n v="230.53607439999999"/>
    <n v="183"/>
    <n v="-47.702741060000001"/>
    <n v="-22.110923270000001"/>
    <n v="-64.024097170000005"/>
    <n v="16.30925221"/>
    <x v="24"/>
    <s v="Apr-2020"/>
  </r>
  <r>
    <x v="25"/>
    <s v="BRB"/>
    <x v="0"/>
    <x v="4"/>
    <x v="4"/>
    <s v="reported"/>
    <n v="229.8870972"/>
    <n v="245"/>
    <n v="14.946236170000001"/>
    <n v="-7.1646870979999999"/>
    <n v="-52.01281401"/>
    <n v="35.180259120000002"/>
    <x v="24"/>
    <s v="May-2020"/>
  </r>
  <r>
    <x v="25"/>
    <s v="BRB"/>
    <x v="0"/>
    <x v="5"/>
    <x v="5"/>
    <s v="reported"/>
    <n v="228.96708860000001"/>
    <n v="238"/>
    <n v="8.8662447199999992"/>
    <n v="1.7015576219999999"/>
    <n v="-47.798684039999998"/>
    <n v="47.506202930000001"/>
    <x v="24"/>
    <s v="Jun-2020"/>
  </r>
  <r>
    <x v="25"/>
    <s v="BRB"/>
    <x v="0"/>
    <x v="6"/>
    <x v="6"/>
    <s v="reported"/>
    <n v="230.1906716"/>
    <n v="229"/>
    <n v="-1.3573382979999999"/>
    <n v="0.34421932399999999"/>
    <n v="-53.481851450000001"/>
    <n v="54.267423919999999"/>
    <x v="24"/>
    <s v="Jul-2020"/>
  </r>
  <r>
    <x v="25"/>
    <s v="BRB"/>
    <x v="0"/>
    <x v="7"/>
    <x v="7"/>
    <s v="reported"/>
    <n v="231.09091549999999"/>
    <n v="233"/>
    <n v="1.742417815"/>
    <n v="2.086637139"/>
    <n v="-57.84053317"/>
    <n v="58.163647810000001"/>
    <x v="24"/>
    <s v="Aug-2020"/>
  </r>
  <r>
    <x v="25"/>
    <s v="BRB"/>
    <x v="0"/>
    <x v="8"/>
    <x v="8"/>
    <s v="reported"/>
    <n v="232.2379851"/>
    <n v="187"/>
    <n v="-45.404651790000003"/>
    <n v="-43.318014650000002"/>
    <n v="-106.3445894"/>
    <n v="19.874970699999999"/>
    <x v="24"/>
    <s v="Sep-2020"/>
  </r>
  <r>
    <x v="25"/>
    <s v="BRB"/>
    <x v="0"/>
    <x v="9"/>
    <x v="9"/>
    <s v="reported"/>
    <n v="235.12674430000001"/>
    <n v="225"/>
    <n v="-10.29341097"/>
    <n v="-53.611425629999999"/>
    <n v="-118.8788327"/>
    <n v="12.2435507"/>
    <x v="24"/>
    <s v="Oct-2020"/>
  </r>
  <r>
    <x v="25"/>
    <s v="BRB"/>
    <x v="0"/>
    <x v="10"/>
    <x v="10"/>
    <s v="reported"/>
    <n v="237.19444440000001"/>
    <n v="209"/>
    <n v="-28.361111090000001"/>
    <n v="-81.97253671"/>
    <n v="-152.8917433"/>
    <n v="-8.7798185269999998"/>
    <x v="24"/>
    <s v="Nov-2020"/>
  </r>
  <r>
    <x v="25"/>
    <s v="BRB"/>
    <x v="0"/>
    <x v="11"/>
    <x v="11"/>
    <s v="reported"/>
    <n v="237.2352348"/>
    <n v="241"/>
    <n v="3.5980985140000001"/>
    <n v="-78.3744382"/>
    <n v="-155.20554329999999"/>
    <n v="-2.3586793429999999"/>
    <x v="24"/>
    <s v="Dec-2020"/>
  </r>
  <r>
    <x v="25"/>
    <s v="BRB"/>
    <x v="1"/>
    <x v="0"/>
    <x v="0"/>
    <s v="reported"/>
    <n v="237.8239092"/>
    <n v="173"/>
    <n v="-64.823909240000006"/>
    <n v="-143.19834739999999"/>
    <n v="-224.739283"/>
    <n v="-64.490880649999994"/>
    <x v="24"/>
    <s v="Jan-2021"/>
  </r>
  <r>
    <x v="25"/>
    <s v="BRB"/>
    <x v="1"/>
    <x v="1"/>
    <x v="1"/>
    <s v="reported"/>
    <n v="236.40725990000001"/>
    <n v="220"/>
    <n v="-16.407259880000002"/>
    <n v="-159.6056073"/>
    <n v="-245.70535129999999"/>
    <n v="-76.537878800000001"/>
    <x v="24"/>
    <s v="Feb-2021"/>
  </r>
  <r>
    <x v="25"/>
    <s v="BRB"/>
    <x v="1"/>
    <x v="2"/>
    <x v="2"/>
    <s v="reported"/>
    <n v="236.8325495"/>
    <n v="322"/>
    <n v="85.167450500000001"/>
    <n v="-74.438156820000003"/>
    <n v="-164.0393105"/>
    <n v="9.4125053110000003"/>
    <x v="24"/>
    <s v="Mar-2021"/>
  </r>
  <r>
    <x v="25"/>
    <s v="BRB"/>
    <x v="1"/>
    <x v="3"/>
    <x v="3"/>
    <s v="reported"/>
    <n v="235.6089796"/>
    <n v="189"/>
    <n v="-46.608979619999999"/>
    <n v="-121.0471364"/>
    <n v="-216.40665910000001"/>
    <n v="-30.073088129999999"/>
    <x v="24"/>
    <s v="Apr-2021"/>
  </r>
  <r>
    <x v="25"/>
    <s v="BRB"/>
    <x v="1"/>
    <x v="4"/>
    <x v="4"/>
    <s v="reported"/>
    <n v="233.0561903"/>
    <n v="221"/>
    <n v="-12.056190259999999"/>
    <n v="-133.1033267"/>
    <n v="-233.0531445"/>
    <n v="-40.779660049999997"/>
    <x v="24"/>
    <s v="May-2021"/>
  </r>
  <r>
    <x v="25"/>
    <s v="BRB"/>
    <x v="1"/>
    <x v="5"/>
    <x v="5"/>
    <s v="reported"/>
    <n v="233.92968629999999"/>
    <n v="246"/>
    <n v="12.070313670000001"/>
    <n v="-121.033013"/>
    <n v="-221.5820737"/>
    <n v="-22.641898520000002"/>
    <x v="24"/>
    <s v="Jun-2021"/>
  </r>
  <r>
    <x v="25"/>
    <s v="BRB"/>
    <x v="1"/>
    <x v="6"/>
    <x v="6"/>
    <s v="reported"/>
    <n v="233.15973489999999"/>
    <n v="143"/>
    <n v="-90.159734880000002"/>
    <n v="-211.1927479"/>
    <n v="-312.66448450000001"/>
    <n v="-105.8280827"/>
    <x v="24"/>
    <s v="Jul-2021"/>
  </r>
  <r>
    <x v="25"/>
    <s v="BRB"/>
    <x v="1"/>
    <x v="7"/>
    <x v="7"/>
    <s v="reported"/>
    <n v="234.68690290000001"/>
    <n v="248"/>
    <n v="13.313097150000001"/>
    <n v="-197.87965080000001"/>
    <n v="-302.52967910000001"/>
    <n v="-90.078936479999996"/>
    <x v="24"/>
    <s v="Aug-2021"/>
  </r>
  <r>
    <x v="25"/>
    <s v="BRB"/>
    <x v="1"/>
    <x v="8"/>
    <x v="8"/>
    <s v="reported"/>
    <n v="237.60402450000001"/>
    <n v="236"/>
    <n v="-1.6040245070000001"/>
    <n v="-199.48367529999999"/>
    <n v="-310.20524369999998"/>
    <n v="-85.10208815"/>
    <x v="24"/>
    <s v="Sep-2021"/>
  </r>
  <r>
    <x v="25"/>
    <s v="BRB"/>
    <x v="1"/>
    <x v="9"/>
    <x v="9"/>
    <s v="reported"/>
    <n v="240.05097910000001"/>
    <n v="279"/>
    <n v="38.949020869999998"/>
    <n v="-160.53465439999999"/>
    <n v="-271.90755300000001"/>
    <n v="-43.121156820000003"/>
    <x v="24"/>
    <s v="Oct-2021"/>
  </r>
  <r>
    <x v="25"/>
    <s v="BRB"/>
    <x v="1"/>
    <x v="10"/>
    <x v="10"/>
    <s v="reported"/>
    <n v="241.24515919999999"/>
    <n v="298"/>
    <n v="56.754840799999997"/>
    <n v="-103.7798136"/>
    <n v="-215.974481"/>
    <n v="9.9926291230000004"/>
    <x v="24"/>
    <s v="Nov-2021"/>
  </r>
  <r>
    <x v="25"/>
    <s v="BRB"/>
    <x v="1"/>
    <x v="11"/>
    <x v="11"/>
    <s v="reported"/>
    <n v="241.49356789999999"/>
    <n v="320"/>
    <n v="78.506432149999995"/>
    <n v="-25.27338147"/>
    <n v="-142.51277999999999"/>
    <n v="96.806631640000006"/>
    <x v="24"/>
    <s v="Dec-2021"/>
  </r>
  <r>
    <x v="26"/>
    <s v="BRN"/>
    <x v="0"/>
    <x v="0"/>
    <x v="0"/>
    <s v="reported"/>
    <n v="177.88454830000001"/>
    <n v="223"/>
    <n v="45.11545169"/>
    <n v="45.11545169"/>
    <n v="33.201299720000002"/>
    <n v="56.780715280000003"/>
    <x v="25"/>
    <s v="Jan-2020"/>
  </r>
  <r>
    <x v="26"/>
    <s v="BRN"/>
    <x v="0"/>
    <x v="1"/>
    <x v="1"/>
    <s v="reported"/>
    <n v="178.1560479"/>
    <n v="184"/>
    <n v="5.8439520639999998"/>
    <n v="50.95940375"/>
    <n v="34.833184439999997"/>
    <n v="67.609584999999996"/>
    <x v="25"/>
    <s v="Feb-2020"/>
  </r>
  <r>
    <x v="26"/>
    <s v="BRN"/>
    <x v="0"/>
    <x v="2"/>
    <x v="2"/>
    <s v="reported"/>
    <n v="178.4434675"/>
    <n v="184"/>
    <n v="5.5565325349999997"/>
    <n v="56.515936289999999"/>
    <n v="37.057784130000002"/>
    <n v="76.945660989999993"/>
    <x v="25"/>
    <s v="Mar-2020"/>
  </r>
  <r>
    <x v="26"/>
    <s v="BRN"/>
    <x v="0"/>
    <x v="3"/>
    <x v="3"/>
    <s v="reported"/>
    <n v="179.21773089999999"/>
    <n v="168"/>
    <n v="-11.21773089"/>
    <n v="45.29820539"/>
    <n v="22.257919099999999"/>
    <n v="70.397226470000007"/>
    <x v="25"/>
    <s v="Apr-2020"/>
  </r>
  <r>
    <x v="26"/>
    <s v="BRN"/>
    <x v="0"/>
    <x v="4"/>
    <x v="4"/>
    <s v="reported"/>
    <n v="179.4099842"/>
    <n v="165"/>
    <n v="-14.409984189999999"/>
    <n v="30.8882212"/>
    <n v="2.60910324"/>
    <n v="57.653228220000003"/>
    <x v="25"/>
    <s v="May-2020"/>
  </r>
  <r>
    <x v="26"/>
    <s v="BRN"/>
    <x v="0"/>
    <x v="5"/>
    <x v="5"/>
    <s v="reported"/>
    <n v="179.31514229999999"/>
    <n v="221"/>
    <n v="41.684857659999999"/>
    <n v="72.573078870000003"/>
    <n v="41.833086829999999"/>
    <n v="101.37367860000001"/>
    <x v="25"/>
    <s v="Jun-2020"/>
  </r>
  <r>
    <x v="26"/>
    <s v="BRN"/>
    <x v="0"/>
    <x v="6"/>
    <x v="6"/>
    <s v="reported"/>
    <n v="180.12320930000001"/>
    <n v="170"/>
    <n v="-10.123209320000001"/>
    <n v="62.449869550000003"/>
    <n v="28.323154819999999"/>
    <n v="94.394765910000004"/>
    <x v="25"/>
    <s v="Jul-2020"/>
  </r>
  <r>
    <x v="26"/>
    <s v="BRN"/>
    <x v="0"/>
    <x v="7"/>
    <x v="7"/>
    <s v="reported"/>
    <n v="180.51926789999999"/>
    <n v="180"/>
    <n v="-0.51926787500000005"/>
    <n v="61.930601670000001"/>
    <n v="26.516401859999998"/>
    <n v="98.495153290000005"/>
    <x v="25"/>
    <s v="Aug-2020"/>
  </r>
  <r>
    <x v="26"/>
    <s v="BRN"/>
    <x v="0"/>
    <x v="8"/>
    <x v="8"/>
    <s v="reported"/>
    <n v="180.45158839999999"/>
    <n v="148"/>
    <n v="-32.451588370000003"/>
    <n v="29.479013299999998"/>
    <n v="-7.7407591829999998"/>
    <n v="69.382966210000006"/>
    <x v="25"/>
    <s v="Sep-2020"/>
  </r>
  <r>
    <x v="26"/>
    <s v="BRN"/>
    <x v="0"/>
    <x v="9"/>
    <x v="9"/>
    <s v="reported"/>
    <n v="181.0927781"/>
    <n v="162"/>
    <n v="-19.092778089999999"/>
    <n v="10.386235210000001"/>
    <n v="-31.572238219999999"/>
    <n v="53.144883610000001"/>
    <x v="25"/>
    <s v="Oct-2020"/>
  </r>
  <r>
    <x v="26"/>
    <s v="BRN"/>
    <x v="0"/>
    <x v="10"/>
    <x v="10"/>
    <s v="reported"/>
    <n v="181.43612999999999"/>
    <n v="156"/>
    <n v="-25.436129999999999"/>
    <n v="-15.04989479"/>
    <n v="-59.802277449999998"/>
    <n v="29.900006019999999"/>
    <x v="25"/>
    <s v="Nov-2020"/>
  </r>
  <r>
    <x v="26"/>
    <s v="BRN"/>
    <x v="0"/>
    <x v="11"/>
    <x v="11"/>
    <s v="reported"/>
    <n v="180.9689473"/>
    <n v="170"/>
    <n v="-10.968947310000001"/>
    <n v="-26.018842100000001"/>
    <n v="-72.456367659999998"/>
    <n v="22.685433960000001"/>
    <x v="25"/>
    <s v="Dec-2020"/>
  </r>
  <r>
    <x v="26"/>
    <s v="BRN"/>
    <x v="1"/>
    <x v="0"/>
    <x v="0"/>
    <s v="reported"/>
    <n v="182.13250780000001"/>
    <n v="151"/>
    <n v="-31.132507759999999"/>
    <n v="-57.151349860000003"/>
    <n v="-107.7916585"/>
    <n v="-7.6248389579999998"/>
    <x v="25"/>
    <s v="Jan-2021"/>
  </r>
  <r>
    <x v="26"/>
    <s v="BRN"/>
    <x v="1"/>
    <x v="1"/>
    <x v="1"/>
    <s v="reported"/>
    <n v="182.3297049"/>
    <n v="176"/>
    <n v="-6.3297049159999998"/>
    <n v="-63.48105477"/>
    <n v="-115.66911090000001"/>
    <n v="-11.93932777"/>
    <x v="25"/>
    <s v="Feb-2021"/>
  </r>
  <r>
    <x v="26"/>
    <s v="BRN"/>
    <x v="1"/>
    <x v="2"/>
    <x v="2"/>
    <s v="reported"/>
    <n v="182.84449660000001"/>
    <n v="193"/>
    <n v="10.155503420000001"/>
    <n v="-53.325551359999999"/>
    <n v="-107.5354002"/>
    <n v="0.68618080299999995"/>
    <x v="25"/>
    <s v="Mar-2021"/>
  </r>
  <r>
    <x v="26"/>
    <s v="BRN"/>
    <x v="1"/>
    <x v="3"/>
    <x v="3"/>
    <s v="reported"/>
    <n v="183.3031704"/>
    <n v="180"/>
    <n v="-3.3031703889999999"/>
    <n v="-56.628721749999997"/>
    <n v="-114.3932284"/>
    <n v="-0.78926403899999997"/>
    <x v="25"/>
    <s v="Apr-2021"/>
  </r>
  <r>
    <x v="26"/>
    <s v="BRN"/>
    <x v="1"/>
    <x v="4"/>
    <x v="4"/>
    <s v="reported"/>
    <n v="183.58298540000001"/>
    <n v="170"/>
    <n v="-13.582985389999999"/>
    <n v="-70.211707140000001"/>
    <n v="-130.98100489999999"/>
    <n v="-11.873332209999999"/>
    <x v="25"/>
    <s v="May-2021"/>
  </r>
  <r>
    <x v="26"/>
    <s v="BRN"/>
    <x v="1"/>
    <x v="5"/>
    <x v="5"/>
    <s v="reported"/>
    <n v="183.760715"/>
    <n v="199"/>
    <n v="15.239285020000001"/>
    <n v="-54.972422119999997"/>
    <n v="-114.37768819999999"/>
    <n v="6.9522784399999997"/>
    <x v="25"/>
    <s v="Jun-2021"/>
  </r>
  <r>
    <x v="26"/>
    <s v="BRN"/>
    <x v="1"/>
    <x v="6"/>
    <x v="6"/>
    <s v="reported"/>
    <n v="184.1305548"/>
    <n v="188"/>
    <n v="3.869445222"/>
    <n v="-51.102976900000002"/>
    <n v="-110.3158631"/>
    <n v="11.67468468"/>
    <x v="25"/>
    <s v="Jul-2021"/>
  </r>
  <r>
    <x v="26"/>
    <s v="BRN"/>
    <x v="1"/>
    <x v="7"/>
    <x v="7"/>
    <s v="reported"/>
    <n v="184.52479220000001"/>
    <n v="65"/>
    <n v="-119.52479219999999"/>
    <n v="-170.62776909999999"/>
    <n v="-236.98611539999999"/>
    <n v="-103.4468581"/>
    <x v="25"/>
    <s v="Aug-2021"/>
  </r>
  <r>
    <x v="26"/>
    <s v="BRN"/>
    <x v="1"/>
    <x v="8"/>
    <x v="8"/>
    <s v="reported"/>
    <n v="185.1584057"/>
    <n v="71"/>
    <n v="-114.1584057"/>
    <n v="-284.7861747"/>
    <n v="-354.46910539999999"/>
    <n v="-216.3880806"/>
    <x v="25"/>
    <s v="Sep-2021"/>
  </r>
  <r>
    <x v="26"/>
    <s v="BRN"/>
    <x v="1"/>
    <x v="9"/>
    <x v="9"/>
    <s v="reported"/>
    <n v="185.65087209999999"/>
    <n v="160"/>
    <n v="-25.65087209"/>
    <n v="-310.43704680000002"/>
    <n v="-382.05319839999999"/>
    <n v="-241.255438"/>
    <x v="25"/>
    <s v="Oct-2021"/>
  </r>
  <r>
    <x v="26"/>
    <s v="BRN"/>
    <x v="1"/>
    <x v="10"/>
    <x v="10"/>
    <s v="reported"/>
    <n v="185.57323779999999"/>
    <n v="381"/>
    <n v="195.42676220000001"/>
    <n v="-115.01028460000001"/>
    <n v="-189.65349889999999"/>
    <n v="-41.77700033"/>
    <x v="25"/>
    <s v="Nov-2021"/>
  </r>
  <r>
    <x v="26"/>
    <s v="BRN"/>
    <x v="1"/>
    <x v="11"/>
    <x v="11"/>
    <s v="reported"/>
    <n v="186.13572250000001"/>
    <n v="331"/>
    <n v="144.86427749999999"/>
    <n v="29.85399284"/>
    <n v="-48.70287502"/>
    <n v="107.8283304"/>
    <x v="25"/>
    <s v="Dec-2021"/>
  </r>
  <r>
    <x v="27"/>
    <s v="BTN"/>
    <x v="0"/>
    <x v="0"/>
    <x v="0"/>
    <s v="predicted"/>
    <n v="407.08814749999999"/>
    <n v="418.952"/>
    <n v="11.863852489999999"/>
    <n v="11.863852489999999"/>
    <n v="-96.311223920000003"/>
    <n v="140.4694499"/>
    <x v="26"/>
    <s v="Jan-2020"/>
  </r>
  <r>
    <x v="27"/>
    <s v="BTN"/>
    <x v="0"/>
    <x v="1"/>
    <x v="1"/>
    <s v="predicted"/>
    <n v="400.59894109999999"/>
    <n v="396.935"/>
    <n v="-3.6639411320000002"/>
    <n v="8.1999113599999998"/>
    <n v="-142.36775080000001"/>
    <n v="197.6013054"/>
    <x v="26"/>
    <s v="Feb-2020"/>
  </r>
  <r>
    <x v="27"/>
    <s v="BTN"/>
    <x v="0"/>
    <x v="2"/>
    <x v="2"/>
    <s v="predicted"/>
    <n v="392.27680129999999"/>
    <n v="367.334"/>
    <n v="-24.94280131"/>
    <n v="-16.742889949999999"/>
    <n v="-197.32661519999999"/>
    <n v="193.57980570000001"/>
    <x v="26"/>
    <s v="Mar-2020"/>
  </r>
  <r>
    <x v="27"/>
    <s v="BTN"/>
    <x v="0"/>
    <x v="3"/>
    <x v="3"/>
    <s v="predicted"/>
    <n v="388.41747299999997"/>
    <n v="334.44099999999997"/>
    <n v="-53.976472950000002"/>
    <n v="-70.719362899999993"/>
    <n v="-269.55611720000002"/>
    <n v="160.9014809"/>
    <x v="26"/>
    <s v="Apr-2020"/>
  </r>
  <r>
    <x v="27"/>
    <s v="BTN"/>
    <x v="0"/>
    <x v="4"/>
    <x v="4"/>
    <s v="predicted"/>
    <n v="380.97266180000003"/>
    <n v="335.08300000000003"/>
    <n v="-45.889661760000003"/>
    <n v="-116.60902470000001"/>
    <n v="-337.67137639999999"/>
    <n v="141.8181147"/>
    <x v="26"/>
    <s v="May-2020"/>
  </r>
  <r>
    <x v="27"/>
    <s v="BTN"/>
    <x v="0"/>
    <x v="5"/>
    <x v="5"/>
    <s v="predicted"/>
    <n v="373.69084770000001"/>
    <n v="343.37200000000001"/>
    <n v="-30.318847739999999"/>
    <n v="-146.92787240000001"/>
    <n v="-393.41835789999999"/>
    <n v="125.25509769999999"/>
    <x v="26"/>
    <s v="Jun-2020"/>
  </r>
  <r>
    <x v="27"/>
    <s v="BTN"/>
    <x v="0"/>
    <x v="6"/>
    <x v="6"/>
    <s v="predicted"/>
    <n v="372.37042960000002"/>
    <n v="354.86099999999999"/>
    <n v="-17.509429600000001"/>
    <n v="-164.43730199999999"/>
    <n v="-427.4118234"/>
    <n v="137.14102510000001"/>
    <x v="26"/>
    <s v="Jul-2020"/>
  </r>
  <r>
    <x v="27"/>
    <s v="BTN"/>
    <x v="0"/>
    <x v="7"/>
    <x v="7"/>
    <s v="predicted"/>
    <n v="371.50983280000003"/>
    <n v="371.601"/>
    <n v="9.1167168000000007E-2"/>
    <n v="-164.34613479999999"/>
    <n v="-443.73714990000002"/>
    <n v="121.4542048"/>
    <x v="26"/>
    <s v="Aug-2020"/>
  </r>
  <r>
    <x v="27"/>
    <s v="BTN"/>
    <x v="0"/>
    <x v="8"/>
    <x v="8"/>
    <s v="predicted"/>
    <n v="375.12320560000001"/>
    <n v="380.197"/>
    <n v="5.0737943640000003"/>
    <n v="-159.27234050000001"/>
    <n v="-471.1828926"/>
    <n v="158.420546"/>
    <x v="26"/>
    <s v="Sep-2020"/>
  </r>
  <r>
    <x v="27"/>
    <s v="BTN"/>
    <x v="0"/>
    <x v="9"/>
    <x v="9"/>
    <s v="predicted"/>
    <n v="379.28624509999997"/>
    <n v="389.30799999999999"/>
    <n v="10.021754919999999"/>
    <n v="-149.25058559999999"/>
    <n v="-482.2444352"/>
    <n v="178.69091320000001"/>
    <x v="26"/>
    <s v="Oct-2020"/>
  </r>
  <r>
    <x v="27"/>
    <s v="BTN"/>
    <x v="0"/>
    <x v="10"/>
    <x v="10"/>
    <s v="predicted"/>
    <n v="392.29431060000002"/>
    <n v="405.66"/>
    <n v="13.36568937"/>
    <n v="-135.88489619999999"/>
    <n v="-473.6458786"/>
    <n v="222.94849590000001"/>
    <x v="26"/>
    <s v="Nov-2020"/>
  </r>
  <r>
    <x v="27"/>
    <s v="BTN"/>
    <x v="0"/>
    <x v="11"/>
    <x v="11"/>
    <s v="predicted"/>
    <n v="401.60530030000001"/>
    <n v="409.16399999999999"/>
    <n v="7.5586996529999997"/>
    <n v="-128.32619650000001"/>
    <n v="-498.35617710000002"/>
    <n v="260.19375580000002"/>
    <x v="26"/>
    <s v="Dec-2020"/>
  </r>
  <r>
    <x v="27"/>
    <s v="BTN"/>
    <x v="1"/>
    <x v="0"/>
    <x v="0"/>
    <s v="predicted"/>
    <n v="415.7013986"/>
    <n v="401.74299999999999"/>
    <n v="-13.958398580000001"/>
    <n v="-142.28459509999999"/>
    <n v="-523.7234393"/>
    <n v="247.6305519"/>
    <x v="26"/>
    <s v="Jan-2021"/>
  </r>
  <r>
    <x v="27"/>
    <s v="BTN"/>
    <x v="1"/>
    <x v="1"/>
    <x v="1"/>
    <s v="predicted"/>
    <n v="409.80824999999999"/>
    <n v="377.149"/>
    <n v="-32.659250020000002"/>
    <n v="-174.9438451"/>
    <n v="-575.81447519999995"/>
    <n v="217.2794916"/>
    <x v="26"/>
    <s v="Feb-2021"/>
  </r>
  <r>
    <x v="27"/>
    <s v="BTN"/>
    <x v="1"/>
    <x v="2"/>
    <x v="2"/>
    <s v="predicted"/>
    <n v="400.76077229999999"/>
    <n v="366.63799999999998"/>
    <n v="-34.122772249999997"/>
    <n v="-209.06661740000001"/>
    <n v="-616.33782480000002"/>
    <n v="204.27897669999999"/>
    <x v="26"/>
    <s v="Mar-2021"/>
  </r>
  <r>
    <x v="27"/>
    <s v="BTN"/>
    <x v="1"/>
    <x v="3"/>
    <x v="3"/>
    <s v="predicted"/>
    <n v="396.7196692"/>
    <n v="359.822"/>
    <n v="-36.897669219999997"/>
    <n v="-245.96428660000001"/>
    <n v="-673.9099506"/>
    <n v="213.03485470000001"/>
    <x v="26"/>
    <s v="Apr-2021"/>
  </r>
  <r>
    <x v="27"/>
    <s v="BTN"/>
    <x v="1"/>
    <x v="4"/>
    <x v="4"/>
    <s v="predicted"/>
    <n v="389.26037059999999"/>
    <n v="350.41899999999998"/>
    <n v="-38.841370599999998"/>
    <n v="-284.80565719999998"/>
    <n v="-739.82768880000003"/>
    <n v="185.56081470000001"/>
    <x v="26"/>
    <s v="May-2021"/>
  </r>
  <r>
    <x v="27"/>
    <s v="BTN"/>
    <x v="1"/>
    <x v="5"/>
    <x v="5"/>
    <s v="predicted"/>
    <n v="381.64382940000002"/>
    <n v="351.625"/>
    <n v="-30.01882943"/>
    <n v="-314.8244866"/>
    <n v="-781.30477210000004"/>
    <n v="161.37570819999999"/>
    <x v="26"/>
    <s v="Jun-2021"/>
  </r>
  <r>
    <x v="27"/>
    <s v="BTN"/>
    <x v="1"/>
    <x v="6"/>
    <x v="6"/>
    <s v="predicted"/>
    <n v="380.79662050000002"/>
    <n v="363.10399999999998"/>
    <n v="-17.69262054"/>
    <n v="-332.5171072"/>
    <n v="-806.93462869999996"/>
    <n v="151.26779189999999"/>
    <x v="26"/>
    <s v="Jul-2021"/>
  </r>
  <r>
    <x v="27"/>
    <s v="BTN"/>
    <x v="1"/>
    <x v="7"/>
    <x v="7"/>
    <s v="predicted"/>
    <n v="379.91142760000002"/>
    <n v="362.25900000000001"/>
    <n v="-17.652427589999999"/>
    <n v="-350.16953480000001"/>
    <n v="-837.44298160000005"/>
    <n v="145.70591110000001"/>
    <x v="26"/>
    <s v="Aug-2021"/>
  </r>
  <r>
    <x v="27"/>
    <s v="BTN"/>
    <x v="1"/>
    <x v="8"/>
    <x v="8"/>
    <s v="predicted"/>
    <n v="384.27216929999997"/>
    <n v="360.36"/>
    <n v="-23.912169290000001"/>
    <n v="-374.081704"/>
    <n v="-860.65678960000002"/>
    <n v="142.2166455"/>
    <x v="26"/>
    <s v="Sep-2021"/>
  </r>
  <r>
    <x v="27"/>
    <s v="BTN"/>
    <x v="1"/>
    <x v="9"/>
    <x v="9"/>
    <s v="predicted"/>
    <n v="387.99307090000002"/>
    <n v="381.64400000000001"/>
    <n v="-6.3490708830000004"/>
    <n v="-380.43077490000002"/>
    <n v="-891.46377659999996"/>
    <n v="155.34997680000001"/>
    <x v="26"/>
    <s v="Oct-2021"/>
  </r>
  <r>
    <x v="27"/>
    <s v="BTN"/>
    <x v="1"/>
    <x v="10"/>
    <x v="10"/>
    <s v="predicted"/>
    <n v="401.05762600000003"/>
    <n v="414.18200000000002"/>
    <n v="13.12437403"/>
    <n v="-367.30640090000003"/>
    <n v="-922.21796319999999"/>
    <n v="194.80717799999999"/>
    <x v="26"/>
    <s v="Nov-2021"/>
  </r>
  <r>
    <x v="27"/>
    <s v="BTN"/>
    <x v="1"/>
    <x v="11"/>
    <x v="11"/>
    <s v="predicted"/>
    <n v="410.46504549999997"/>
    <n v="438.97899999999998"/>
    <n v="28.51395454"/>
    <n v="-338.79244640000002"/>
    <n v="-884.59722790000001"/>
    <n v="239.5780273"/>
    <x v="26"/>
    <s v="Dec-2021"/>
  </r>
  <r>
    <x v="28"/>
    <s v="BWA"/>
    <x v="0"/>
    <x v="0"/>
    <x v="0"/>
    <s v="predicted"/>
    <n v="1679.609299"/>
    <n v="1708.165"/>
    <n v="28.55570062"/>
    <n v="28.55570062"/>
    <n v="-372.86712540000002"/>
    <n v="498.49688509999999"/>
    <x v="27"/>
    <s v="Jan-2020"/>
  </r>
  <r>
    <x v="28"/>
    <s v="BWA"/>
    <x v="0"/>
    <x v="1"/>
    <x v="1"/>
    <s v="predicted"/>
    <n v="1686.0714929999999"/>
    <n v="1665.509"/>
    <n v="-20.562493320000002"/>
    <n v="7.9932073020000001"/>
    <n v="-587.56160209999996"/>
    <n v="694.33518160000006"/>
    <x v="27"/>
    <s v="Feb-2020"/>
  </r>
  <r>
    <x v="28"/>
    <s v="BWA"/>
    <x v="0"/>
    <x v="2"/>
    <x v="2"/>
    <s v="predicted"/>
    <n v="1700.860257"/>
    <n v="1683.2370000000001"/>
    <n v="-17.623257129999999"/>
    <n v="-9.6300498260000005"/>
    <n v="-757.51458600000001"/>
    <n v="780.62131139999997"/>
    <x v="27"/>
    <s v="Mar-2020"/>
  </r>
  <r>
    <x v="28"/>
    <s v="BWA"/>
    <x v="0"/>
    <x v="3"/>
    <x v="3"/>
    <s v="predicted"/>
    <n v="1730.0226749999999"/>
    <n v="1568.9680000000001"/>
    <n v="-161.05467490000001"/>
    <n v="-170.6847247"/>
    <n v="-999.04257040000005"/>
    <n v="742.61012940000001"/>
    <x v="27"/>
    <s v="Apr-2020"/>
  </r>
  <r>
    <x v="28"/>
    <s v="BWA"/>
    <x v="0"/>
    <x v="4"/>
    <x v="4"/>
    <s v="predicted"/>
    <n v="1770.984361"/>
    <n v="1670.905"/>
    <n v="-100.0793609"/>
    <n v="-270.76408570000001"/>
    <n v="-1236.5288029999999"/>
    <n v="788.19782469999996"/>
    <x v="27"/>
    <s v="May-2020"/>
  </r>
  <r>
    <x v="28"/>
    <s v="BWA"/>
    <x v="0"/>
    <x v="5"/>
    <x v="5"/>
    <s v="predicted"/>
    <n v="1805.088802"/>
    <n v="1765.79"/>
    <n v="-39.298801750000003"/>
    <n v="-310.06288740000002"/>
    <n v="-1389.3773940000001"/>
    <n v="887.1134515"/>
    <x v="27"/>
    <s v="Jun-2020"/>
  </r>
  <r>
    <x v="28"/>
    <s v="BWA"/>
    <x v="0"/>
    <x v="6"/>
    <x v="6"/>
    <s v="predicted"/>
    <n v="1811.3418429999999"/>
    <n v="1842.4159999999999"/>
    <n v="31.074156859999999"/>
    <n v="-278.9887306"/>
    <n v="-1427.470157"/>
    <n v="994.69301289999999"/>
    <x v="27"/>
    <s v="Jul-2020"/>
  </r>
  <r>
    <x v="28"/>
    <s v="BWA"/>
    <x v="0"/>
    <x v="7"/>
    <x v="7"/>
    <s v="predicted"/>
    <n v="1786.7311629999999"/>
    <n v="1874.759"/>
    <n v="88.027837129999995"/>
    <n v="-190.9608934"/>
    <n v="-1438.3576410000001"/>
    <n v="1109.1654860000001"/>
    <x v="27"/>
    <s v="Aug-2020"/>
  </r>
  <r>
    <x v="28"/>
    <s v="BWA"/>
    <x v="0"/>
    <x v="8"/>
    <x v="8"/>
    <s v="predicted"/>
    <n v="1735.2488330000001"/>
    <n v="1838.2449999999999"/>
    <n v="102.9961673"/>
    <n v="-87.964726150000004"/>
    <n v="-1384.8729860000001"/>
    <n v="1360.5664509999999"/>
    <x v="27"/>
    <s v="Sep-2020"/>
  </r>
  <r>
    <x v="28"/>
    <s v="BWA"/>
    <x v="0"/>
    <x v="9"/>
    <x v="9"/>
    <s v="predicted"/>
    <n v="1693.8336320000001"/>
    <n v="1761.7049999999999"/>
    <n v="67.871368320000002"/>
    <n v="-20.093357839999999"/>
    <n v="-1357.4591339999999"/>
    <n v="1428.455561"/>
    <x v="27"/>
    <s v="Oct-2020"/>
  </r>
  <r>
    <x v="28"/>
    <s v="BWA"/>
    <x v="0"/>
    <x v="10"/>
    <x v="10"/>
    <s v="predicted"/>
    <n v="1685.889085"/>
    <n v="1739.453"/>
    <n v="53.563915010000002"/>
    <n v="33.470557169999999"/>
    <n v="-1440.9428210000001"/>
    <n v="1557.9404629999999"/>
    <x v="27"/>
    <s v="Nov-2020"/>
  </r>
  <r>
    <x v="28"/>
    <s v="BWA"/>
    <x v="0"/>
    <x v="11"/>
    <x v="11"/>
    <s v="predicted"/>
    <n v="1683.7625800000001"/>
    <n v="1758.021"/>
    <n v="74.258419669999995"/>
    <n v="107.7289768"/>
    <n v="-1407.3193690000001"/>
    <n v="1797.097497"/>
    <x v="27"/>
    <s v="Dec-2020"/>
  </r>
  <r>
    <x v="28"/>
    <s v="BWA"/>
    <x v="1"/>
    <x v="0"/>
    <x v="0"/>
    <s v="predicted"/>
    <n v="1686.869138"/>
    <n v="1987.5540000000001"/>
    <n v="300.68486209999998"/>
    <n v="408.413839"/>
    <n v="-1140.2973219999999"/>
    <n v="2115.0410320000001"/>
    <x v="27"/>
    <s v="Jan-2021"/>
  </r>
  <r>
    <x v="28"/>
    <s v="BWA"/>
    <x v="1"/>
    <x v="1"/>
    <x v="1"/>
    <s v="predicted"/>
    <n v="1695.1569050000001"/>
    <n v="2174.0129999999999"/>
    <n v="478.85609479999999"/>
    <n v="887.26993379999999"/>
    <n v="-767.69511490000002"/>
    <n v="2686.6740279999999"/>
    <x v="27"/>
    <s v="Feb-2021"/>
  </r>
  <r>
    <x v="28"/>
    <s v="BWA"/>
    <x v="1"/>
    <x v="2"/>
    <x v="2"/>
    <s v="predicted"/>
    <n v="1709.184407"/>
    <n v="2351.8510000000001"/>
    <n v="642.66659249999998"/>
    <n v="1529.936526"/>
    <n v="-259.02406309999998"/>
    <n v="3426.2645219999999"/>
    <x v="27"/>
    <s v="Mar-2021"/>
  </r>
  <r>
    <x v="28"/>
    <s v="BWA"/>
    <x v="1"/>
    <x v="3"/>
    <x v="3"/>
    <s v="predicted"/>
    <n v="1740.0128199999999"/>
    <n v="2165.694"/>
    <n v="425.68117990000002"/>
    <n v="1955.617706"/>
    <n v="51.903781029999998"/>
    <n v="3920.1625770000001"/>
    <x v="27"/>
    <s v="Apr-2021"/>
  </r>
  <r>
    <x v="28"/>
    <s v="BWA"/>
    <x v="1"/>
    <x v="4"/>
    <x v="4"/>
    <s v="predicted"/>
    <n v="1780.3661999999999"/>
    <n v="2177.0639999999999"/>
    <n v="396.69780020000002"/>
    <n v="2352.3155059999999"/>
    <n v="345.11883669999997"/>
    <n v="4359.1632769999997"/>
    <x v="27"/>
    <s v="May-2021"/>
  </r>
  <r>
    <x v="28"/>
    <s v="BWA"/>
    <x v="1"/>
    <x v="5"/>
    <x v="5"/>
    <s v="predicted"/>
    <n v="1814.8982860000001"/>
    <n v="2474.4409999999998"/>
    <n v="659.54271389999997"/>
    <n v="3011.8582200000001"/>
    <n v="815.42768190000004"/>
    <n v="5204.6118589999996"/>
    <x v="27"/>
    <s v="Jun-2021"/>
  </r>
  <r>
    <x v="28"/>
    <s v="BWA"/>
    <x v="1"/>
    <x v="6"/>
    <x v="6"/>
    <s v="predicted"/>
    <n v="1821.3439530000001"/>
    <n v="2818.0549999999998"/>
    <n v="996.71104700000001"/>
    <n v="4008.5692669999999"/>
    <n v="1665.426948"/>
    <n v="6294.1726710000003"/>
    <x v="27"/>
    <s v="Jul-2021"/>
  </r>
  <r>
    <x v="28"/>
    <s v="BWA"/>
    <x v="1"/>
    <x v="7"/>
    <x v="7"/>
    <s v="predicted"/>
    <n v="1796.13006"/>
    <n v="3313.799"/>
    <n v="1517.66894"/>
    <n v="5526.2382070000003"/>
    <n v="3020.4558860000002"/>
    <n v="8002.1220139999996"/>
    <x v="27"/>
    <s v="Aug-2021"/>
  </r>
  <r>
    <x v="28"/>
    <s v="BWA"/>
    <x v="1"/>
    <x v="8"/>
    <x v="8"/>
    <s v="predicted"/>
    <n v="1741.9267139999999"/>
    <n v="2214.7359999999999"/>
    <n v="472.80928590000002"/>
    <n v="5999.047493"/>
    <n v="3569.676062"/>
    <n v="8598.4711950000001"/>
    <x v="27"/>
    <s v="Sep-2021"/>
  </r>
  <r>
    <x v="28"/>
    <s v="BWA"/>
    <x v="1"/>
    <x v="9"/>
    <x v="9"/>
    <s v="predicted"/>
    <n v="1702.4960960000001"/>
    <n v="1932.479"/>
    <n v="229.98290370000001"/>
    <n v="6229.0303970000004"/>
    <n v="3720.7124869999998"/>
    <n v="8863.4859610000003"/>
    <x v="27"/>
    <s v="Oct-2021"/>
  </r>
  <r>
    <x v="28"/>
    <s v="BWA"/>
    <x v="1"/>
    <x v="10"/>
    <x v="10"/>
    <s v="predicted"/>
    <n v="1695.077806"/>
    <n v="1786.2360000000001"/>
    <n v="91.158193560000001"/>
    <n v="6320.1885910000001"/>
    <n v="3685.8151109999999"/>
    <n v="9060.2020699999994"/>
    <x v="27"/>
    <s v="Nov-2021"/>
  </r>
  <r>
    <x v="28"/>
    <s v="BWA"/>
    <x v="1"/>
    <x v="11"/>
    <x v="11"/>
    <s v="predicted"/>
    <n v="1693.0877170000001"/>
    <n v="1846.277"/>
    <n v="153.18928249999999"/>
    <n v="6473.3778730000004"/>
    <n v="3812.863652"/>
    <n v="9245.6100110000007"/>
    <x v="27"/>
    <s v="Dec-2021"/>
  </r>
  <r>
    <x v="29"/>
    <s v="CAF"/>
    <x v="0"/>
    <x v="0"/>
    <x v="0"/>
    <s v="predicted"/>
    <n v="4644.2012580000001"/>
    <n v="4677.6229999999996"/>
    <n v="33.421741789999999"/>
    <n v="33.421741789999999"/>
    <n v="-1095.689384"/>
    <n v="1592.3105929999999"/>
    <x v="28"/>
    <s v="Jan-2020"/>
  </r>
  <r>
    <x v="29"/>
    <s v="CAF"/>
    <x v="0"/>
    <x v="1"/>
    <x v="1"/>
    <s v="predicted"/>
    <n v="4576.9510039999996"/>
    <n v="4591.0640000000003"/>
    <n v="14.112995809999999"/>
    <n v="47.5347376"/>
    <n v="-1713.99146"/>
    <n v="2089.4109870000002"/>
    <x v="28"/>
    <s v="Feb-2020"/>
  </r>
  <r>
    <x v="29"/>
    <s v="CAF"/>
    <x v="0"/>
    <x v="2"/>
    <x v="2"/>
    <s v="predicted"/>
    <n v="4532.1574149999997"/>
    <n v="4551.9369999999999"/>
    <n v="19.779585000000001"/>
    <n v="67.314322599999997"/>
    <n v="-2068.54034"/>
    <n v="2476.5900329999999"/>
    <x v="28"/>
    <s v="Mar-2020"/>
  </r>
  <r>
    <x v="29"/>
    <s v="CAF"/>
    <x v="0"/>
    <x v="3"/>
    <x v="3"/>
    <s v="predicted"/>
    <n v="4536.9068690000004"/>
    <n v="4300.8230000000003"/>
    <n v="-236.0838693"/>
    <n v="-168.76954670000001"/>
    <n v="-2606.703739"/>
    <n v="2621.8082989999998"/>
    <x v="28"/>
    <s v="Apr-2020"/>
  </r>
  <r>
    <x v="29"/>
    <s v="CAF"/>
    <x v="0"/>
    <x v="4"/>
    <x v="4"/>
    <s v="predicted"/>
    <n v="4573.4051019999997"/>
    <n v="4626.2780000000002"/>
    <n v="52.872897590000001"/>
    <n v="-115.8966492"/>
    <n v="-2772.707445"/>
    <n v="2846.6646470000001"/>
    <x v="28"/>
    <s v="May-2020"/>
  </r>
  <r>
    <x v="29"/>
    <s v="CAF"/>
    <x v="0"/>
    <x v="5"/>
    <x v="5"/>
    <s v="predicted"/>
    <n v="4612.2405310000004"/>
    <n v="5253.835"/>
    <n v="641.59446909999997"/>
    <n v="525.69781990000001"/>
    <n v="-2526.8301409999999"/>
    <n v="3937.1702829999999"/>
    <x v="28"/>
    <s v="Jun-2020"/>
  </r>
  <r>
    <x v="29"/>
    <s v="CAF"/>
    <x v="0"/>
    <x v="6"/>
    <x v="6"/>
    <s v="predicted"/>
    <n v="4643.7602360000001"/>
    <n v="5070.9459999999999"/>
    <n v="427.18576409999997"/>
    <n v="952.88358400000004"/>
    <n v="-2361.2331949999998"/>
    <n v="4757.0870400000003"/>
    <x v="28"/>
    <s v="Jul-2020"/>
  </r>
  <r>
    <x v="29"/>
    <s v="CAF"/>
    <x v="0"/>
    <x v="7"/>
    <x v="7"/>
    <s v="predicted"/>
    <n v="4650.8748589999996"/>
    <n v="5008.5559999999996"/>
    <n v="357.68114070000001"/>
    <n v="1310.564725"/>
    <n v="-2092.6362210000002"/>
    <n v="5215.4711719999996"/>
    <x v="28"/>
    <s v="Aug-2020"/>
  </r>
  <r>
    <x v="29"/>
    <s v="CAF"/>
    <x v="0"/>
    <x v="8"/>
    <x v="8"/>
    <s v="predicted"/>
    <n v="4643.8718349999999"/>
    <n v="4913.8720000000003"/>
    <n v="270.00016549999998"/>
    <n v="1580.5648900000001"/>
    <n v="-2137.9851910000002"/>
    <n v="5671.1393770000004"/>
    <x v="28"/>
    <s v="Sep-2020"/>
  </r>
  <r>
    <x v="29"/>
    <s v="CAF"/>
    <x v="0"/>
    <x v="9"/>
    <x v="9"/>
    <s v="predicted"/>
    <n v="4623.0207460000001"/>
    <n v="4824.2349999999997"/>
    <n v="201.2142537"/>
    <n v="1781.7791440000001"/>
    <n v="-2063.9473760000001"/>
    <n v="6323.1666230000001"/>
    <x v="28"/>
    <s v="Oct-2020"/>
  </r>
  <r>
    <x v="29"/>
    <s v="CAF"/>
    <x v="0"/>
    <x v="10"/>
    <x v="10"/>
    <s v="predicted"/>
    <n v="4624.8001270000004"/>
    <n v="4762.7479999999996"/>
    <n v="137.94787260000001"/>
    <n v="1919.727016"/>
    <n v="-2160.969188"/>
    <n v="6488.7447410000004"/>
    <x v="28"/>
    <s v="Nov-2020"/>
  </r>
  <r>
    <x v="29"/>
    <s v="CAF"/>
    <x v="0"/>
    <x v="11"/>
    <x v="11"/>
    <s v="predicted"/>
    <n v="4623.0817319999996"/>
    <n v="4733.3410000000003"/>
    <n v="110.25926800000001"/>
    <n v="2029.9862840000001"/>
    <n v="-2294.5615250000001"/>
    <n v="6835.5355939999999"/>
    <x v="28"/>
    <s v="Dec-2020"/>
  </r>
  <r>
    <x v="29"/>
    <s v="CAF"/>
    <x v="1"/>
    <x v="0"/>
    <x v="0"/>
    <s v="predicted"/>
    <n v="4532.7652850000004"/>
    <n v="4760.0529999999999"/>
    <n v="227.2877153"/>
    <n v="2257.2739999999999"/>
    <n v="-2212.617197"/>
    <n v="7217.7321840000004"/>
    <x v="28"/>
    <s v="Jan-2021"/>
  </r>
  <r>
    <x v="29"/>
    <s v="CAF"/>
    <x v="1"/>
    <x v="1"/>
    <x v="1"/>
    <s v="predicted"/>
    <n v="4469.0149030000002"/>
    <n v="4814.6419999999998"/>
    <n v="345.62709660000002"/>
    <n v="2602.9010960000001"/>
    <n v="-2147.725195"/>
    <n v="7892.3577150000001"/>
    <x v="28"/>
    <s v="Feb-2021"/>
  </r>
  <r>
    <x v="29"/>
    <s v="CAF"/>
    <x v="1"/>
    <x v="2"/>
    <x v="2"/>
    <s v="predicted"/>
    <n v="4423.9761060000001"/>
    <n v="4967.2659999999996"/>
    <n v="543.28989369999999"/>
    <n v="3146.1909900000001"/>
    <n v="-1771.2298499999999"/>
    <n v="8820.9204310000005"/>
    <x v="28"/>
    <s v="Mar-2021"/>
  </r>
  <r>
    <x v="29"/>
    <s v="CAF"/>
    <x v="1"/>
    <x v="3"/>
    <x v="3"/>
    <s v="predicted"/>
    <n v="4425.9344899999996"/>
    <n v="4974.3950000000004"/>
    <n v="548.46050979999995"/>
    <n v="3694.6514999999999"/>
    <n v="-1417.6495769999999"/>
    <n v="9577.1284739999992"/>
    <x v="28"/>
    <s v="Apr-2021"/>
  </r>
  <r>
    <x v="29"/>
    <s v="CAF"/>
    <x v="1"/>
    <x v="4"/>
    <x v="4"/>
    <s v="predicted"/>
    <n v="4463.385483"/>
    <n v="5006.5249999999996"/>
    <n v="543.13951740000005"/>
    <n v="4237.7910169999996"/>
    <n v="-1025.580385"/>
    <n v="10007.913420000001"/>
    <x v="28"/>
    <s v="May-2021"/>
  </r>
  <r>
    <x v="29"/>
    <s v="CAF"/>
    <x v="1"/>
    <x v="5"/>
    <x v="5"/>
    <s v="predicted"/>
    <n v="4497.9859390000001"/>
    <n v="4986.8649999999998"/>
    <n v="488.8790606"/>
    <n v="4726.6700780000001"/>
    <n v="-640.17202339999994"/>
    <n v="10795.255730000001"/>
    <x v="28"/>
    <s v="Jun-2021"/>
  </r>
  <r>
    <x v="29"/>
    <s v="CAF"/>
    <x v="1"/>
    <x v="6"/>
    <x v="6"/>
    <s v="predicted"/>
    <n v="4531.7842490000003"/>
    <n v="5073.8950000000004"/>
    <n v="542.11075070000004"/>
    <n v="5268.7808279999999"/>
    <n v="-362.1607606"/>
    <n v="11473.15868"/>
    <x v="28"/>
    <s v="Jul-2021"/>
  </r>
  <r>
    <x v="29"/>
    <s v="CAF"/>
    <x v="1"/>
    <x v="7"/>
    <x v="7"/>
    <s v="predicted"/>
    <n v="4527.4261770000003"/>
    <n v="4934.26"/>
    <n v="406.83382340000003"/>
    <n v="5675.6146520000002"/>
    <n v="-199.7460318"/>
    <n v="11997.00331"/>
    <x v="28"/>
    <s v="Aug-2021"/>
  </r>
  <r>
    <x v="29"/>
    <s v="CAF"/>
    <x v="1"/>
    <x v="8"/>
    <x v="8"/>
    <s v="predicted"/>
    <n v="4538.4946689999997"/>
    <n v="4760.6180000000004"/>
    <n v="222.12333150000001"/>
    <n v="5897.737983"/>
    <n v="-274.57454739999997"/>
    <n v="12192.230799999999"/>
    <x v="28"/>
    <s v="Sep-2021"/>
  </r>
  <r>
    <x v="29"/>
    <s v="CAF"/>
    <x v="1"/>
    <x v="9"/>
    <x v="9"/>
    <s v="predicted"/>
    <n v="4509.7765449999997"/>
    <n v="4624.7839999999997"/>
    <n v="115.0074551"/>
    <n v="6012.7454379999999"/>
    <n v="-181.69483719999999"/>
    <n v="12510.95903"/>
    <x v="28"/>
    <s v="Oct-2021"/>
  </r>
  <r>
    <x v="29"/>
    <s v="CAF"/>
    <x v="1"/>
    <x v="10"/>
    <x v="10"/>
    <s v="predicted"/>
    <n v="4513.9152620000004"/>
    <n v="4687.375"/>
    <n v="173.45973789999999"/>
    <n v="6186.2051760000004"/>
    <n v="-237.3748195"/>
    <n v="12536.40727"/>
    <x v="28"/>
    <s v="Nov-2021"/>
  </r>
  <r>
    <x v="29"/>
    <s v="CAF"/>
    <x v="1"/>
    <x v="11"/>
    <x v="11"/>
    <s v="predicted"/>
    <n v="4501.3879189999998"/>
    <n v="4767.0169999999998"/>
    <n v="265.62908090000002"/>
    <n v="6451.8342570000004"/>
    <n v="-36.398484140000001"/>
    <n v="12861.460709999999"/>
    <x v="28"/>
    <s v="Dec-2021"/>
  </r>
  <r>
    <x v="30"/>
    <s v="CAN"/>
    <x v="0"/>
    <x v="0"/>
    <x v="0"/>
    <s v="reported"/>
    <n v="26836.15826"/>
    <n v="27074"/>
    <n v="237.75840880000001"/>
    <n v="237.75840880000001"/>
    <n v="-437.01748450000002"/>
    <n v="930.83768829999997"/>
    <x v="29"/>
    <s v="Jan-2020"/>
  </r>
  <r>
    <x v="30"/>
    <s v="CAN"/>
    <x v="0"/>
    <x v="1"/>
    <x v="1"/>
    <s v="reported"/>
    <n v="24759.2271"/>
    <n v="23925"/>
    <n v="-834.31043620000003"/>
    <n v="-596.55202740000004"/>
    <n v="-1716.383904"/>
    <n v="491.10258219999997"/>
    <x v="29"/>
    <s v="Feb-2020"/>
  </r>
  <r>
    <x v="30"/>
    <s v="CAN"/>
    <x v="0"/>
    <x v="2"/>
    <x v="2"/>
    <s v="reported"/>
    <n v="25904.62372"/>
    <n v="25962"/>
    <n v="57.292947220000002"/>
    <n v="-539.25908019999997"/>
    <n v="-2027.7404200000001"/>
    <n v="884.00627450000002"/>
    <x v="29"/>
    <s v="Mar-2020"/>
  </r>
  <r>
    <x v="30"/>
    <s v="CAN"/>
    <x v="0"/>
    <x v="3"/>
    <x v="3"/>
    <s v="reported"/>
    <n v="24388.242740000002"/>
    <n v="28686"/>
    <n v="4297.6739260000004"/>
    <n v="3758.4148460000001"/>
    <n v="2144.012322"/>
    <n v="5447.5269440000002"/>
    <x v="29"/>
    <s v="Apr-2020"/>
  </r>
  <r>
    <x v="30"/>
    <s v="CAN"/>
    <x v="0"/>
    <x v="4"/>
    <x v="4"/>
    <s v="reported"/>
    <n v="23931.813859999998"/>
    <n v="27134"/>
    <n v="3202.102809"/>
    <n v="6960.517656"/>
    <n v="5185.8725860000004"/>
    <n v="8762.1511179999998"/>
    <x v="29"/>
    <s v="May-2020"/>
  </r>
  <r>
    <x v="30"/>
    <s v="CAN"/>
    <x v="0"/>
    <x v="5"/>
    <x v="5"/>
    <s v="reported"/>
    <n v="22423.536459999999"/>
    <n v="22766"/>
    <n v="342.38020660000001"/>
    <n v="7302.8978619999998"/>
    <n v="5345.9210130000001"/>
    <n v="9321.0270459999992"/>
    <x v="29"/>
    <s v="Jun-2020"/>
  </r>
  <r>
    <x v="30"/>
    <s v="CAN"/>
    <x v="0"/>
    <x v="6"/>
    <x v="6"/>
    <s v="reported"/>
    <n v="22816.672790000001"/>
    <n v="23379"/>
    <n v="562.24387309999997"/>
    <n v="7865.1417350000002"/>
    <n v="5810.474725"/>
    <n v="10012.735489999999"/>
    <x v="29"/>
    <s v="Jul-2020"/>
  </r>
  <r>
    <x v="30"/>
    <s v="CAN"/>
    <x v="0"/>
    <x v="7"/>
    <x v="7"/>
    <s v="reported"/>
    <n v="22797.653300000002"/>
    <n v="23629"/>
    <n v="831.26336319999996"/>
    <n v="8696.4050979999993"/>
    <n v="6621.6227479999998"/>
    <n v="10886.000260000001"/>
    <x v="29"/>
    <s v="Aug-2020"/>
  </r>
  <r>
    <x v="30"/>
    <s v="CAN"/>
    <x v="0"/>
    <x v="8"/>
    <x v="8"/>
    <s v="reported"/>
    <n v="22778.208839999999"/>
    <n v="23693"/>
    <n v="914.7078262"/>
    <n v="9611.1129249999994"/>
    <n v="7346.143787"/>
    <n v="11893.66303"/>
    <x v="29"/>
    <s v="Sep-2020"/>
  </r>
  <r>
    <x v="30"/>
    <s v="CAN"/>
    <x v="0"/>
    <x v="9"/>
    <x v="9"/>
    <s v="reported"/>
    <n v="24572.628929999999"/>
    <n v="25600"/>
    <n v="1027.287732"/>
    <n v="10638.400659999999"/>
    <n v="8245.3565799999997"/>
    <n v="13074.84751"/>
    <x v="29"/>
    <s v="Oct-2020"/>
  </r>
  <r>
    <x v="30"/>
    <s v="CAN"/>
    <x v="0"/>
    <x v="10"/>
    <x v="10"/>
    <s v="reported"/>
    <n v="24614.424859999999"/>
    <n v="26707"/>
    <n v="2092.491802"/>
    <n v="12730.892459999999"/>
    <n v="10155.90677"/>
    <n v="15314.29883"/>
    <x v="29"/>
    <s v="Nov-2020"/>
  </r>
  <r>
    <x v="30"/>
    <s v="CAN"/>
    <x v="0"/>
    <x v="11"/>
    <x v="11"/>
    <s v="reported"/>
    <n v="27326.2644"/>
    <n v="29147"/>
    <n v="1820.652268"/>
    <n v="14551.54473"/>
    <n v="11906.489320000001"/>
    <n v="17433.803019999999"/>
    <x v="29"/>
    <s v="Dec-2020"/>
  </r>
  <r>
    <x v="30"/>
    <s v="CAN"/>
    <x v="1"/>
    <x v="0"/>
    <x v="0"/>
    <s v="reported"/>
    <n v="27393.015200000002"/>
    <n v="29903"/>
    <n v="2442.0681300000001"/>
    <n v="16993.612860000001"/>
    <n v="14179.952380000001"/>
    <n v="20043.036100000001"/>
    <x v="29"/>
    <s v="Jan-2021"/>
  </r>
  <r>
    <x v="30"/>
    <s v="CAN"/>
    <x v="1"/>
    <x v="1"/>
    <x v="1"/>
    <s v="reported"/>
    <n v="25296.677810000001"/>
    <n v="24599"/>
    <n v="-765.59447690000002"/>
    <n v="16228.01838"/>
    <n v="13284.805539999999"/>
    <n v="19212.252960000002"/>
    <x v="29"/>
    <s v="Feb-2021"/>
  </r>
  <r>
    <x v="30"/>
    <s v="CAN"/>
    <x v="1"/>
    <x v="2"/>
    <x v="2"/>
    <s v="reported"/>
    <n v="26403.474310000001"/>
    <n v="25559"/>
    <n v="-912.39097270000002"/>
    <n v="15315.627409999999"/>
    <n v="12265.28981"/>
    <n v="18628.32084"/>
    <x v="29"/>
    <s v="Mar-2021"/>
  </r>
  <r>
    <x v="30"/>
    <s v="CAN"/>
    <x v="1"/>
    <x v="3"/>
    <x v="3"/>
    <s v="reported"/>
    <n v="24896.54089"/>
    <n v="24959"/>
    <n v="-5.4575587360000002"/>
    <n v="15310.16985"/>
    <n v="12141.27627"/>
    <n v="18739.94312"/>
    <x v="29"/>
    <s v="Apr-2021"/>
  </r>
  <r>
    <x v="30"/>
    <s v="CAN"/>
    <x v="1"/>
    <x v="4"/>
    <x v="4"/>
    <s v="reported"/>
    <n v="24401.649659999999"/>
    <n v="25405"/>
    <n v="935.4336697"/>
    <n v="16245.603520000001"/>
    <n v="13019.40172"/>
    <n v="19773.471969999999"/>
    <x v="29"/>
    <s v="May-2021"/>
  </r>
  <r>
    <x v="30"/>
    <s v="CAN"/>
    <x v="1"/>
    <x v="5"/>
    <x v="5"/>
    <s v="reported"/>
    <n v="22889.341980000001"/>
    <n v="23696"/>
    <n v="738.74135249999995"/>
    <n v="16984.344870000001"/>
    <n v="13636.88465"/>
    <n v="20539.180390000001"/>
    <x v="29"/>
    <s v="Jun-2021"/>
  </r>
  <r>
    <x v="30"/>
    <s v="CAN"/>
    <x v="1"/>
    <x v="6"/>
    <x v="6"/>
    <s v="reported"/>
    <n v="23301.446230000001"/>
    <n v="24469"/>
    <n v="1099.6370999999999"/>
    <n v="18083.981970000001"/>
    <n v="14507.56084"/>
    <n v="21649.03328"/>
    <x v="29"/>
    <s v="Jul-2021"/>
  </r>
  <r>
    <x v="30"/>
    <s v="CAN"/>
    <x v="1"/>
    <x v="7"/>
    <x v="7"/>
    <s v="reported"/>
    <n v="23283.390469999998"/>
    <n v="24983"/>
    <n v="1631.692859"/>
    <n v="19715.67483"/>
    <n v="16151.24202"/>
    <n v="23378.94227"/>
    <x v="29"/>
    <s v="Aug-2021"/>
  </r>
  <r>
    <x v="30"/>
    <s v="CAN"/>
    <x v="1"/>
    <x v="8"/>
    <x v="8"/>
    <s v="reported"/>
    <n v="23250.435130000002"/>
    <n v="25754"/>
    <n v="2435.6481990000002"/>
    <n v="22151.32303"/>
    <n v="18550.732309999999"/>
    <n v="25927.091090000002"/>
    <x v="29"/>
    <s v="Sep-2021"/>
  </r>
  <r>
    <x v="30"/>
    <s v="CAN"/>
    <x v="1"/>
    <x v="9"/>
    <x v="9"/>
    <s v="reported"/>
    <n v="25036.828570000001"/>
    <n v="27161"/>
    <n v="2056.254762"/>
    <n v="24207.577789999999"/>
    <n v="20539.545129999999"/>
    <n v="28179.869419999999"/>
    <x v="29"/>
    <s v="Oct-2021"/>
  </r>
  <r>
    <x v="30"/>
    <s v="CAN"/>
    <x v="1"/>
    <x v="10"/>
    <x v="10"/>
    <s v="reported"/>
    <n v="25113.968290000001"/>
    <n v="26986"/>
    <n v="1804.115045"/>
    <n v="26011.69283"/>
    <n v="22154.792239999999"/>
    <n v="30013.02678"/>
    <x v="29"/>
    <s v="Nov-2021"/>
  </r>
  <r>
    <x v="30"/>
    <s v="CAN"/>
    <x v="1"/>
    <x v="11"/>
    <x v="11"/>
    <s v="reported"/>
    <n v="27925.043409999998"/>
    <n v="28482"/>
    <n v="489.0399218"/>
    <n v="26500.732759999999"/>
    <n v="22608.518980000001"/>
    <n v="30707.58928"/>
    <x v="29"/>
    <s v="Dec-2021"/>
  </r>
  <r>
    <x v="31"/>
    <s v="CHE"/>
    <x v="0"/>
    <x v="0"/>
    <x v="0"/>
    <s v="reported"/>
    <n v="6164.7957919999999"/>
    <n v="6158"/>
    <n v="-6.7957921140000002"/>
    <n v="-6.7957921140000002"/>
    <n v="-250.57777849999999"/>
    <n v="212.94773559999999"/>
    <x v="30"/>
    <s v="Jan-2020"/>
  </r>
  <r>
    <x v="31"/>
    <s v="CHE"/>
    <x v="0"/>
    <x v="1"/>
    <x v="1"/>
    <s v="reported"/>
    <n v="6219.4965469999997"/>
    <n v="5713"/>
    <n v="-506.49654709999999"/>
    <n v="-513.29233920000001"/>
    <n v="-877.88095750000002"/>
    <n v="-172.16966909999999"/>
    <x v="30"/>
    <s v="Feb-2020"/>
  </r>
  <r>
    <x v="31"/>
    <s v="CHE"/>
    <x v="0"/>
    <x v="2"/>
    <x v="2"/>
    <s v="reported"/>
    <n v="5976.1901379999999"/>
    <n v="6643"/>
    <n v="666.80986180000002"/>
    <n v="153.51752260000001"/>
    <n v="-289.7727332"/>
    <n v="572.29110049999997"/>
    <x v="30"/>
    <s v="Mar-2020"/>
  </r>
  <r>
    <x v="31"/>
    <s v="CHE"/>
    <x v="0"/>
    <x v="3"/>
    <x v="3"/>
    <s v="reported"/>
    <n v="5499.870347"/>
    <n v="6656"/>
    <n v="1156.129653"/>
    <n v="1309.6471759999999"/>
    <n v="803.14164749999998"/>
    <n v="1801.0550229999999"/>
    <x v="30"/>
    <s v="Apr-2020"/>
  </r>
  <r>
    <x v="31"/>
    <s v="CHE"/>
    <x v="0"/>
    <x v="4"/>
    <x v="4"/>
    <s v="reported"/>
    <n v="5235.1599509999996"/>
    <n v="5165"/>
    <n v="-70.159950899999998"/>
    <n v="1239.4872250000001"/>
    <n v="668.33854410000004"/>
    <n v="1790.4796369999999"/>
    <x v="30"/>
    <s v="May-2020"/>
  </r>
  <r>
    <x v="31"/>
    <s v="CHE"/>
    <x v="0"/>
    <x v="5"/>
    <x v="5"/>
    <s v="reported"/>
    <n v="5129.4680550000003"/>
    <n v="4989"/>
    <n v="-140.46805509999999"/>
    <n v="1099.01917"/>
    <n v="493.47103850000002"/>
    <n v="1696.7786450000001"/>
    <x v="30"/>
    <s v="Jun-2020"/>
  </r>
  <r>
    <x v="31"/>
    <s v="CHE"/>
    <x v="0"/>
    <x v="6"/>
    <x v="6"/>
    <s v="reported"/>
    <n v="5200.3388869999999"/>
    <n v="5201"/>
    <n v="0.66111283099999996"/>
    <n v="1099.6802829999999"/>
    <n v="457.89356939999999"/>
    <n v="1746.99864"/>
    <x v="30"/>
    <s v="Jul-2020"/>
  </r>
  <r>
    <x v="31"/>
    <s v="CHE"/>
    <x v="0"/>
    <x v="7"/>
    <x v="7"/>
    <s v="reported"/>
    <n v="5197.06232"/>
    <n v="5326"/>
    <n v="128.93767990000001"/>
    <n v="1228.6179629999999"/>
    <n v="505.04690859999999"/>
    <n v="1934.6996059999999"/>
    <x v="30"/>
    <s v="Aug-2020"/>
  </r>
  <r>
    <x v="31"/>
    <s v="CHE"/>
    <x v="0"/>
    <x v="8"/>
    <x v="8"/>
    <s v="reported"/>
    <n v="5235.9998370000003"/>
    <n v="5290"/>
    <n v="54.000163120000003"/>
    <n v="1282.6181260000001"/>
    <n v="529.88504330000001"/>
    <n v="1995.851907"/>
    <x v="30"/>
    <s v="Sep-2020"/>
  </r>
  <r>
    <x v="31"/>
    <s v="CHE"/>
    <x v="0"/>
    <x v="9"/>
    <x v="9"/>
    <s v="reported"/>
    <n v="5437.082727"/>
    <n v="6277"/>
    <n v="839.91727300000002"/>
    <n v="2122.5353989999999"/>
    <n v="1347.9141999999999"/>
    <n v="2914.667782"/>
    <x v="30"/>
    <s v="Oct-2020"/>
  </r>
  <r>
    <x v="31"/>
    <s v="CHE"/>
    <x v="0"/>
    <x v="10"/>
    <x v="10"/>
    <s v="reported"/>
    <n v="5726.505768"/>
    <n v="9050"/>
    <n v="3323.494232"/>
    <n v="5446.0296310000003"/>
    <n v="4555.6852019999997"/>
    <n v="6229.319356"/>
    <x v="30"/>
    <s v="Nov-2020"/>
  </r>
  <r>
    <x v="31"/>
    <s v="CHE"/>
    <x v="0"/>
    <x v="11"/>
    <x v="11"/>
    <s v="reported"/>
    <n v="6164.0252410000003"/>
    <n v="9526"/>
    <n v="3361.9747590000002"/>
    <n v="8808.0043900000001"/>
    <n v="7958.6723279999997"/>
    <n v="9648.1147870000004"/>
    <x v="30"/>
    <s v="Dec-2020"/>
  </r>
  <r>
    <x v="31"/>
    <s v="CHE"/>
    <x v="1"/>
    <x v="0"/>
    <x v="0"/>
    <s v="reported"/>
    <n v="6168.7571159999998"/>
    <n v="7922"/>
    <n v="1753.242884"/>
    <n v="10561.24727"/>
    <n v="9660.1175899999998"/>
    <n v="11420.156499999999"/>
    <x v="30"/>
    <s v="Jan-2021"/>
  </r>
  <r>
    <x v="31"/>
    <s v="CHE"/>
    <x v="1"/>
    <x v="1"/>
    <x v="1"/>
    <s v="reported"/>
    <n v="6231.9880510000003"/>
    <n v="5460"/>
    <n v="-771.98805070000003"/>
    <n v="9789.2592239999994"/>
    <n v="8867.3135949999996"/>
    <n v="10786.50216"/>
    <x v="30"/>
    <s v="Feb-2021"/>
  </r>
  <r>
    <x v="31"/>
    <s v="CHE"/>
    <x v="1"/>
    <x v="2"/>
    <x v="2"/>
    <s v="reported"/>
    <n v="5978.6859999999997"/>
    <n v="5601"/>
    <n v="-377.6860001"/>
    <n v="9411.5732229999994"/>
    <n v="8449.3938209999997"/>
    <n v="10445.412560000001"/>
    <x v="30"/>
    <s v="Mar-2021"/>
  </r>
  <r>
    <x v="31"/>
    <s v="CHE"/>
    <x v="1"/>
    <x v="3"/>
    <x v="3"/>
    <s v="reported"/>
    <n v="5517.5673690000003"/>
    <n v="5385"/>
    <n v="-132.5673692"/>
    <n v="9279.0058540000009"/>
    <n v="8244.9899920000007"/>
    <n v="10340.57186"/>
    <x v="30"/>
    <s v="Apr-2021"/>
  </r>
  <r>
    <x v="31"/>
    <s v="CHE"/>
    <x v="1"/>
    <x v="4"/>
    <x v="4"/>
    <s v="reported"/>
    <n v="5248.7193950000001"/>
    <n v="5416"/>
    <n v="167.2806047"/>
    <n v="9446.2864590000008"/>
    <n v="8356.3739480000004"/>
    <n v="10588.50749"/>
    <x v="30"/>
    <s v="May-2021"/>
  </r>
  <r>
    <x v="31"/>
    <s v="CHE"/>
    <x v="1"/>
    <x v="5"/>
    <x v="5"/>
    <s v="reported"/>
    <n v="5140.2844789999999"/>
    <n v="5056"/>
    <n v="-84.284479020000006"/>
    <n v="9362.0019799999991"/>
    <n v="8224.5809090000002"/>
    <n v="10521.66936"/>
    <x v="30"/>
    <s v="Jun-2021"/>
  </r>
  <r>
    <x v="31"/>
    <s v="CHE"/>
    <x v="1"/>
    <x v="6"/>
    <x v="6"/>
    <s v="reported"/>
    <n v="5207.1842159999997"/>
    <n v="5254"/>
    <n v="46.815783590000002"/>
    <n v="9408.8177629999991"/>
    <n v="8221.5620880000006"/>
    <n v="10578.11233"/>
    <x v="30"/>
    <s v="Jul-2021"/>
  </r>
  <r>
    <x v="31"/>
    <s v="CHE"/>
    <x v="1"/>
    <x v="7"/>
    <x v="7"/>
    <s v="reported"/>
    <n v="5214.6794419999997"/>
    <n v="5533"/>
    <n v="318.32055819999999"/>
    <n v="9727.1383220000007"/>
    <n v="8539.5064500000008"/>
    <n v="10948.757960000001"/>
    <x v="30"/>
    <s v="Aug-2021"/>
  </r>
  <r>
    <x v="31"/>
    <s v="CHE"/>
    <x v="1"/>
    <x v="8"/>
    <x v="8"/>
    <s v="reported"/>
    <n v="5243.4492220000002"/>
    <n v="5704"/>
    <n v="460.5507781"/>
    <n v="10187.6891"/>
    <n v="8934.4996439999995"/>
    <n v="11407.74307"/>
    <x v="30"/>
    <s v="Sep-2021"/>
  </r>
  <r>
    <x v="31"/>
    <s v="CHE"/>
    <x v="1"/>
    <x v="9"/>
    <x v="9"/>
    <s v="reported"/>
    <n v="5448.6198839999997"/>
    <n v="5840"/>
    <n v="391.38011599999999"/>
    <n v="10579.069219999999"/>
    <n v="9373.7409210000005"/>
    <n v="11784.09722"/>
    <x v="30"/>
    <s v="Oct-2021"/>
  </r>
  <r>
    <x v="31"/>
    <s v="CHE"/>
    <x v="1"/>
    <x v="10"/>
    <x v="10"/>
    <s v="reported"/>
    <n v="5743.4168239999999"/>
    <n v="6347"/>
    <n v="603.58317599999998"/>
    <n v="11182.652389999999"/>
    <n v="9909.2126800000005"/>
    <n v="12409.09159"/>
    <x v="30"/>
    <s v="Nov-2021"/>
  </r>
  <r>
    <x v="31"/>
    <s v="CHE"/>
    <x v="1"/>
    <x v="11"/>
    <x v="11"/>
    <s v="reported"/>
    <n v="6182.696747"/>
    <n v="7492"/>
    <n v="1309.303253"/>
    <n v="12491.95565"/>
    <n v="11138.728209999999"/>
    <n v="13757.23496"/>
    <x v="30"/>
    <s v="Dec-2021"/>
  </r>
  <r>
    <x v="32"/>
    <s v="CHL"/>
    <x v="0"/>
    <x v="0"/>
    <x v="0"/>
    <s v="reported"/>
    <n v="8439.5664899999992"/>
    <n v="9051"/>
    <n v="611.43351010000003"/>
    <n v="611.43351010000003"/>
    <n v="416.81287470000001"/>
    <n v="808.95063879999998"/>
    <x v="31"/>
    <s v="Jan-2020"/>
  </r>
  <r>
    <x v="32"/>
    <s v="CHL"/>
    <x v="0"/>
    <x v="1"/>
    <x v="1"/>
    <s v="reported"/>
    <n v="7995.0147219999999"/>
    <n v="7932"/>
    <n v="-63.014721700000003"/>
    <n v="548.41878840000004"/>
    <n v="252.70865259999999"/>
    <n v="853.58966629999998"/>
    <x v="31"/>
    <s v="Feb-2020"/>
  </r>
  <r>
    <x v="32"/>
    <s v="CHL"/>
    <x v="0"/>
    <x v="2"/>
    <x v="2"/>
    <s v="reported"/>
    <n v="8263.5050150000006"/>
    <n v="8693"/>
    <n v="429.49498519999997"/>
    <n v="977.91377360000001"/>
    <n v="585.89589969999997"/>
    <n v="1372.0266140000001"/>
    <x v="31"/>
    <s v="Mar-2020"/>
  </r>
  <r>
    <x v="32"/>
    <s v="CHL"/>
    <x v="0"/>
    <x v="3"/>
    <x v="3"/>
    <s v="reported"/>
    <n v="8694.1986539999998"/>
    <n v="8893"/>
    <n v="198.8013459"/>
    <n v="1176.715119"/>
    <n v="691.1546697"/>
    <n v="1666.0110440000001"/>
    <x v="31"/>
    <s v="Apr-2020"/>
  </r>
  <r>
    <x v="32"/>
    <s v="CHL"/>
    <x v="0"/>
    <x v="4"/>
    <x v="4"/>
    <s v="reported"/>
    <n v="9561.9297970000007"/>
    <n v="11991"/>
    <n v="2429.0702030000002"/>
    <n v="3605.7853230000001"/>
    <n v="3008.0628449999999"/>
    <n v="4178.9322320000001"/>
    <x v="31"/>
    <s v="May-2020"/>
  </r>
  <r>
    <x v="32"/>
    <s v="CHL"/>
    <x v="0"/>
    <x v="5"/>
    <x v="5"/>
    <s v="reported"/>
    <n v="10609.4827"/>
    <n v="16038"/>
    <n v="5428.5173020000002"/>
    <n v="9034.3026239999999"/>
    <n v="8404.51649"/>
    <n v="9666.6910100000005"/>
    <x v="31"/>
    <s v="Jun-2020"/>
  </r>
  <r>
    <x v="32"/>
    <s v="CHL"/>
    <x v="0"/>
    <x v="6"/>
    <x v="6"/>
    <s v="reported"/>
    <n v="11025.45702"/>
    <n v="12583"/>
    <n v="1557.5429819999999"/>
    <n v="10591.84561"/>
    <n v="9843.5280070000008"/>
    <n v="11316.199409999999"/>
    <x v="31"/>
    <s v="Jul-2020"/>
  </r>
  <r>
    <x v="32"/>
    <s v="CHL"/>
    <x v="0"/>
    <x v="7"/>
    <x v="7"/>
    <s v="reported"/>
    <n v="10479.142089999999"/>
    <n v="11076"/>
    <n v="596.85790529999997"/>
    <n v="11188.703509999999"/>
    <n v="10400.925279999999"/>
    <n v="11948.62839"/>
    <x v="31"/>
    <s v="Aug-2020"/>
  </r>
  <r>
    <x v="32"/>
    <s v="CHL"/>
    <x v="0"/>
    <x v="8"/>
    <x v="8"/>
    <s v="reported"/>
    <n v="9782.2591769999999"/>
    <n v="10209"/>
    <n v="426.7408231"/>
    <n v="11615.44433"/>
    <n v="10746.07681"/>
    <n v="12487.86615"/>
    <x v="31"/>
    <s v="Sep-2020"/>
  </r>
  <r>
    <x v="32"/>
    <s v="CHL"/>
    <x v="0"/>
    <x v="9"/>
    <x v="9"/>
    <s v="reported"/>
    <n v="9225.2680070000006"/>
    <n v="10319"/>
    <n v="1093.7319930000001"/>
    <n v="12709.17633"/>
    <n v="11770.413909999999"/>
    <n v="13621.01016"/>
    <x v="31"/>
    <s v="Oct-2020"/>
  </r>
  <r>
    <x v="32"/>
    <s v="CHL"/>
    <x v="0"/>
    <x v="10"/>
    <x v="10"/>
    <s v="reported"/>
    <n v="8741.2202730000008"/>
    <n v="9379"/>
    <n v="637.7797266"/>
    <n v="13346.956050000001"/>
    <n v="12376.10074"/>
    <n v="14285.801649999999"/>
    <x v="31"/>
    <s v="Nov-2020"/>
  </r>
  <r>
    <x v="32"/>
    <s v="CHL"/>
    <x v="0"/>
    <x v="11"/>
    <x v="11"/>
    <s v="reported"/>
    <n v="8580.9348769999997"/>
    <n v="10005"/>
    <n v="1424.0651230000001"/>
    <n v="14771.02118"/>
    <n v="13784.341"/>
    <n v="15747.4697"/>
    <x v="31"/>
    <s v="Dec-2020"/>
  </r>
  <r>
    <x v="32"/>
    <s v="CHL"/>
    <x v="1"/>
    <x v="0"/>
    <x v="0"/>
    <s v="reported"/>
    <n v="8599.4705740000009"/>
    <n v="11208"/>
    <n v="2607.196093"/>
    <n v="17378.217270000001"/>
    <n v="16379.56529"/>
    <n v="18402.01298"/>
    <x v="31"/>
    <s v="Jan-2021"/>
  </r>
  <r>
    <x v="32"/>
    <s v="CHL"/>
    <x v="1"/>
    <x v="1"/>
    <x v="1"/>
    <s v="reported"/>
    <n v="8144.1047420000004"/>
    <n v="10250"/>
    <n v="2104.561925"/>
    <n v="19482.779190000001"/>
    <n v="18456.336660000001"/>
    <n v="20549.001909999999"/>
    <x v="31"/>
    <s v="Feb-2021"/>
  </r>
  <r>
    <x v="32"/>
    <s v="CHL"/>
    <x v="1"/>
    <x v="2"/>
    <x v="2"/>
    <s v="reported"/>
    <n v="8420.2118730000002"/>
    <n v="11853"/>
    <n v="3431.4547929999999"/>
    <n v="22914.233990000001"/>
    <n v="21856.77751"/>
    <n v="24011.724470000001"/>
    <x v="31"/>
    <s v="Mar-2021"/>
  </r>
  <r>
    <x v="32"/>
    <s v="CHL"/>
    <x v="1"/>
    <x v="3"/>
    <x v="3"/>
    <s v="reported"/>
    <n v="8861.4250510000002"/>
    <n v="11985"/>
    <n v="3122.2416159999998"/>
    <n v="26036.475600000002"/>
    <n v="24905.742269999999"/>
    <n v="27144.457699999999"/>
    <x v="31"/>
    <s v="Apr-2021"/>
  </r>
  <r>
    <x v="32"/>
    <s v="CHL"/>
    <x v="1"/>
    <x v="4"/>
    <x v="4"/>
    <s v="reported"/>
    <n v="9747.1311249999999"/>
    <n v="12772"/>
    <n v="3023.5355420000001"/>
    <n v="29060.011149999998"/>
    <n v="27878.700339999999"/>
    <n v="30249.19543"/>
    <x v="31"/>
    <s v="May-2021"/>
  </r>
  <r>
    <x v="32"/>
    <s v="CHL"/>
    <x v="1"/>
    <x v="5"/>
    <x v="5"/>
    <s v="reported"/>
    <n v="10816.8573"/>
    <n v="13544"/>
    <n v="2725.8093690000001"/>
    <n v="31785.820520000001"/>
    <n v="30506.390179999999"/>
    <n v="33022.084219999997"/>
    <x v="31"/>
    <s v="Jun-2021"/>
  </r>
  <r>
    <x v="32"/>
    <s v="CHL"/>
    <x v="1"/>
    <x v="6"/>
    <x v="6"/>
    <s v="reported"/>
    <n v="11225.652830000001"/>
    <n v="13219"/>
    <n v="1992.013841"/>
    <n v="33777.834360000001"/>
    <n v="32528.744320000002"/>
    <n v="35051.071060000002"/>
    <x v="31"/>
    <s v="Jul-2021"/>
  </r>
  <r>
    <x v="32"/>
    <s v="CHL"/>
    <x v="1"/>
    <x v="7"/>
    <x v="7"/>
    <s v="reported"/>
    <n v="10674.99523"/>
    <n v="11381"/>
    <n v="704.67143920000001"/>
    <n v="34482.505799999999"/>
    <n v="33181.974139999998"/>
    <n v="35780.887009999999"/>
    <x v="31"/>
    <s v="Aug-2021"/>
  </r>
  <r>
    <x v="32"/>
    <s v="CHL"/>
    <x v="1"/>
    <x v="8"/>
    <x v="8"/>
    <s v="reported"/>
    <n v="9955.23279"/>
    <n v="10088"/>
    <n v="131.4338769"/>
    <n v="34613.93967"/>
    <n v="33255.260029999998"/>
    <n v="35965.875010000003"/>
    <x v="31"/>
    <s v="Sep-2021"/>
  </r>
  <r>
    <x v="32"/>
    <s v="CHL"/>
    <x v="1"/>
    <x v="9"/>
    <x v="9"/>
    <s v="reported"/>
    <n v="9411.7962349999998"/>
    <n v="10259"/>
    <n v="845.87043129999995"/>
    <n v="35459.810100000002"/>
    <n v="34011.521630000003"/>
    <n v="36849.522510000003"/>
    <x v="31"/>
    <s v="Oct-2021"/>
  </r>
  <r>
    <x v="32"/>
    <s v="CHL"/>
    <x v="1"/>
    <x v="10"/>
    <x v="10"/>
    <s v="reported"/>
    <n v="8913.6230589999996"/>
    <n v="10114"/>
    <n v="1199.0436070000001"/>
    <n v="36658.853710000003"/>
    <n v="35137.45336"/>
    <n v="38156.488019999997"/>
    <x v="31"/>
    <s v="Nov-2021"/>
  </r>
  <r>
    <x v="32"/>
    <s v="CHL"/>
    <x v="1"/>
    <x v="11"/>
    <x v="11"/>
    <s v="reported"/>
    <n v="8744.5434700000005"/>
    <n v="10753"/>
    <n v="2007.1231969999999"/>
    <n v="38665.976909999998"/>
    <n v="37175.190309999998"/>
    <n v="40211.623610000002"/>
    <x v="31"/>
    <s v="Dec-2021"/>
  </r>
  <r>
    <x v="33"/>
    <s v="CHN"/>
    <x v="0"/>
    <x v="0"/>
    <x v="0"/>
    <s v="predicted"/>
    <n v="912538.13500000001"/>
    <n v="979644"/>
    <n v="67081.333929999993"/>
    <n v="67081.333929999993"/>
    <n v="49053.59304"/>
    <n v="85338.721350000007"/>
    <x v="32"/>
    <s v="Jan-2020"/>
  </r>
  <r>
    <x v="33"/>
    <s v="CHN"/>
    <x v="0"/>
    <x v="1"/>
    <x v="1"/>
    <s v="predicted"/>
    <n v="893642.8432"/>
    <n v="891064"/>
    <n v="-2539.612443"/>
    <n v="64541.721490000004"/>
    <n v="45870.015610000002"/>
    <n v="88804.156080000001"/>
    <x v="32"/>
    <s v="Feb-2020"/>
  </r>
  <r>
    <x v="33"/>
    <s v="CHN"/>
    <x v="0"/>
    <x v="2"/>
    <x v="2"/>
    <s v="predicted"/>
    <n v="860088.05149999994"/>
    <n v="792379"/>
    <n v="-67744.019459999996"/>
    <n v="-3202.2979700000001"/>
    <n v="-26911.507750000001"/>
    <n v="21260.90955"/>
    <x v="32"/>
    <s v="Mar-2020"/>
  </r>
  <r>
    <x v="33"/>
    <s v="CHN"/>
    <x v="0"/>
    <x v="3"/>
    <x v="3"/>
    <s v="predicted"/>
    <n v="831426.28229999996"/>
    <n v="759599"/>
    <n v="-71934.492079999996"/>
    <n v="-75136.790049999996"/>
    <n v="-102819.84"/>
    <n v="-47088.845569999998"/>
    <x v="32"/>
    <s v="Apr-2020"/>
  </r>
  <r>
    <x v="33"/>
    <s v="CHN"/>
    <x v="0"/>
    <x v="4"/>
    <x v="4"/>
    <s v="predicted"/>
    <n v="802276.95189999999"/>
    <n v="719934"/>
    <n v="-82360.412660000002"/>
    <n v="-157497.20269999999"/>
    <n v="-185070.0306"/>
    <n v="-125291.8072"/>
    <x v="32"/>
    <s v="May-2020"/>
  </r>
  <r>
    <x v="33"/>
    <s v="CHN"/>
    <x v="0"/>
    <x v="5"/>
    <x v="5"/>
    <s v="predicted"/>
    <n v="784137.95539999998"/>
    <n v="728314"/>
    <n v="-55848.554179999999"/>
    <n v="-213345.75690000001"/>
    <n v="-241712.76310000001"/>
    <n v="-178320.3426"/>
    <x v="32"/>
    <s v="Jun-2020"/>
  </r>
  <r>
    <x v="33"/>
    <s v="CHN"/>
    <x v="0"/>
    <x v="6"/>
    <x v="6"/>
    <s v="predicted"/>
    <n v="775036.67180000001"/>
    <n v="754259"/>
    <n v="-20725.74728"/>
    <n v="-234071.5042"/>
    <n v="-267174.00760000001"/>
    <n v="-187850.62770000001"/>
    <x v="32"/>
    <s v="Jul-2020"/>
  </r>
  <r>
    <x v="33"/>
    <s v="CHN"/>
    <x v="0"/>
    <x v="7"/>
    <x v="7"/>
    <s v="predicted"/>
    <n v="777949.3872"/>
    <n v="762889"/>
    <n v="-15092.193730000001"/>
    <n v="-249163.6979"/>
    <n v="-287636.28210000001"/>
    <n v="-197830.9074"/>
    <x v="32"/>
    <s v="Aug-2020"/>
  </r>
  <r>
    <x v="33"/>
    <s v="CHN"/>
    <x v="0"/>
    <x v="8"/>
    <x v="8"/>
    <s v="predicted"/>
    <n v="800351.3469"/>
    <n v="805079"/>
    <n v="4752.0846080000001"/>
    <n v="-244411.6133"/>
    <n v="-277373.08299999998"/>
    <n v="-204513.0631"/>
    <x v="32"/>
    <s v="Sep-2020"/>
  </r>
  <r>
    <x v="33"/>
    <s v="CHN"/>
    <x v="0"/>
    <x v="9"/>
    <x v="9"/>
    <s v="predicted"/>
    <n v="836093.85120000003"/>
    <n v="878079"/>
    <n v="42002.600729999998"/>
    <n v="-202409.01259999999"/>
    <n v="-230496.17079999999"/>
    <n v="-170641.68969999999"/>
    <x v="32"/>
    <s v="Oct-2020"/>
  </r>
  <r>
    <x v="33"/>
    <s v="CHN"/>
    <x v="0"/>
    <x v="10"/>
    <x v="10"/>
    <s v="predicted"/>
    <n v="871380.99490000005"/>
    <n v="940234"/>
    <n v="68919.908039999995"/>
    <n v="-133489.10449999999"/>
    <n v="-159380.15849999999"/>
    <n v="-110788.6943"/>
    <x v="32"/>
    <s v="Nov-2020"/>
  </r>
  <r>
    <x v="33"/>
    <s v="CHN"/>
    <x v="0"/>
    <x v="11"/>
    <x v="11"/>
    <s v="predicted"/>
    <n v="914256.52529999998"/>
    <n v="972214"/>
    <n v="58016.228130000003"/>
    <n v="-75472.876390000005"/>
    <n v="-85461.251619999995"/>
    <n v="-66096.358200000002"/>
    <x v="32"/>
    <s v="Dec-2020"/>
  </r>
  <r>
    <x v="33"/>
    <s v="CHN"/>
    <x v="1"/>
    <x v="0"/>
    <x v="0"/>
    <s v="predicted"/>
    <n v="917988.40960000001"/>
    <n v="893390.66669999994"/>
    <n v="-24553.14273"/>
    <n v="-100026.0191"/>
    <n v="-117929.8639"/>
    <n v="-80776.912809999994"/>
    <x v="32"/>
    <s v="Jan-2021"/>
  </r>
  <r>
    <x v="33"/>
    <s v="CHN"/>
    <x v="1"/>
    <x v="1"/>
    <x v="1"/>
    <s v="predicted"/>
    <n v="899093.53980000003"/>
    <n v="815990.66669999994"/>
    <n v="-82968.240579999998"/>
    <n v="-182994.2597"/>
    <n v="-207492.28769999999"/>
    <n v="-157226.97099999999"/>
    <x v="32"/>
    <s v="Feb-2021"/>
  </r>
  <r>
    <x v="33"/>
    <s v="CHN"/>
    <x v="1"/>
    <x v="2"/>
    <x v="2"/>
    <s v="predicted"/>
    <n v="865275.10600000003"/>
    <n v="789740.66669999994"/>
    <n v="-75511.199219999995"/>
    <n v="-258505.4589"/>
    <n v="-287609.35979999998"/>
    <n v="-230343.8328"/>
    <x v="32"/>
    <s v="Mar-2021"/>
  </r>
  <r>
    <x v="33"/>
    <s v="CHN"/>
    <x v="1"/>
    <x v="3"/>
    <x v="3"/>
    <s v="predicted"/>
    <n v="836300.26399999997"/>
    <n v="794375.66669999994"/>
    <n v="-42149.188620000001"/>
    <n v="-300654.64750000002"/>
    <n v="-326689.39429999999"/>
    <n v="-272151.56550000003"/>
    <x v="32"/>
    <s v="Apr-2021"/>
  </r>
  <r>
    <x v="33"/>
    <s v="CHN"/>
    <x v="1"/>
    <x v="4"/>
    <x v="4"/>
    <s v="predicted"/>
    <n v="807036.18530000001"/>
    <n v="802060.66669999994"/>
    <n v="-5072.3976659999998"/>
    <n v="-305727.04519999999"/>
    <n v="-335258.94520000002"/>
    <n v="-273060.8946"/>
    <x v="32"/>
    <s v="May-2021"/>
  </r>
  <r>
    <x v="33"/>
    <s v="CHN"/>
    <x v="1"/>
    <x v="5"/>
    <x v="5"/>
    <s v="predicted"/>
    <n v="788758.28060000006"/>
    <n v="801365.66669999994"/>
    <n v="12481.792649999999"/>
    <n v="-293245.25260000001"/>
    <n v="-325437.84049999999"/>
    <n v="-259590.3719"/>
    <x v="32"/>
    <s v="Jun-2021"/>
  </r>
  <r>
    <x v="33"/>
    <s v="CHN"/>
    <x v="1"/>
    <x v="6"/>
    <x v="6"/>
    <s v="predicted"/>
    <n v="779672.14740000002"/>
    <n v="810340.66669999994"/>
    <n v="30690.551070000001"/>
    <n v="-262554.70150000002"/>
    <n v="-294957.39130000002"/>
    <n v="-228855.989"/>
    <x v="32"/>
    <s v="Jul-2021"/>
  </r>
  <r>
    <x v="33"/>
    <s v="CHN"/>
    <x v="1"/>
    <x v="7"/>
    <x v="7"/>
    <s v="predicted"/>
    <n v="782573.43799999997"/>
    <n v="823670.66669999994"/>
    <n v="41049.760520000003"/>
    <n v="-221504.94099999999"/>
    <n v="-253791.31570000001"/>
    <n v="-178683.22159999999"/>
    <x v="32"/>
    <s v="Aug-2021"/>
  </r>
  <r>
    <x v="33"/>
    <s v="CHN"/>
    <x v="1"/>
    <x v="8"/>
    <x v="8"/>
    <s v="predicted"/>
    <n v="804896.90410000004"/>
    <n v="835010.66669999994"/>
    <n v="30033.673790000001"/>
    <n v="-191471.2672"/>
    <n v="-221392.22279999999"/>
    <n v="-159040.3167"/>
    <x v="32"/>
    <s v="Sep-2021"/>
  </r>
  <r>
    <x v="33"/>
    <s v="CHN"/>
    <x v="1"/>
    <x v="9"/>
    <x v="9"/>
    <s v="predicted"/>
    <n v="841101.70220000006"/>
    <n v="883255.66669999994"/>
    <n v="42269.543619999997"/>
    <n v="-149201.7236"/>
    <n v="-178599.2445"/>
    <n v="-123429.9703"/>
    <x v="32"/>
    <s v="Oct-2021"/>
  </r>
  <r>
    <x v="33"/>
    <s v="CHN"/>
    <x v="1"/>
    <x v="10"/>
    <x v="10"/>
    <s v="predicted"/>
    <n v="876593.1189"/>
    <n v="930915.66669999994"/>
    <n v="54411.237540000002"/>
    <n v="-94790.486040000003"/>
    <n v="-120874.94530000001"/>
    <n v="-72842.352859999999"/>
    <x v="32"/>
    <s v="Nov-2021"/>
  </r>
  <r>
    <x v="33"/>
    <s v="CHN"/>
    <x v="1"/>
    <x v="11"/>
    <x v="11"/>
    <s v="predicted"/>
    <n v="919738.23239999998"/>
    <n v="962350.66669999994"/>
    <n v="42685.269679999998"/>
    <n v="-52105.216359999999"/>
    <n v="-66218.119099999996"/>
    <n v="-37101.845809999999"/>
    <x v="32"/>
    <s v="Dec-2021"/>
  </r>
  <r>
    <x v="34"/>
    <s v="CIV"/>
    <x v="0"/>
    <x v="0"/>
    <x v="0"/>
    <s v="predicted"/>
    <n v="16138.544040000001"/>
    <n v="16683.985000000001"/>
    <n v="545.44095809999999"/>
    <n v="545.44095809999999"/>
    <n v="-3442.430758"/>
    <n v="5321.3013460000002"/>
    <x v="33"/>
    <s v="Jan-2020"/>
  </r>
  <r>
    <x v="34"/>
    <s v="CIV"/>
    <x v="0"/>
    <x v="1"/>
    <x v="1"/>
    <s v="predicted"/>
    <n v="15925.55485"/>
    <n v="16084.694"/>
    <n v="159.13915249999999"/>
    <n v="704.58011060000001"/>
    <n v="-5323.6848989999999"/>
    <n v="7654.8647380000002"/>
    <x v="33"/>
    <s v="Feb-2020"/>
  </r>
  <r>
    <x v="34"/>
    <s v="CIV"/>
    <x v="0"/>
    <x v="2"/>
    <x v="2"/>
    <s v="predicted"/>
    <n v="15833.666859999999"/>
    <n v="15328.130999999999"/>
    <n v="-505.53586309999997"/>
    <n v="199.04424750000001"/>
    <n v="-6811.7980960000004"/>
    <n v="8177.8441039999998"/>
    <x v="33"/>
    <s v="Mar-2020"/>
  </r>
  <r>
    <x v="34"/>
    <s v="CIV"/>
    <x v="0"/>
    <x v="3"/>
    <x v="3"/>
    <s v="predicted"/>
    <n v="15865.97409"/>
    <n v="15200.742"/>
    <n v="-665.23209359999998"/>
    <n v="-466.1878461"/>
    <n v="-8878.7418809999999"/>
    <n v="9163.6057560000008"/>
    <x v="33"/>
    <s v="Apr-2020"/>
  </r>
  <r>
    <x v="34"/>
    <s v="CIV"/>
    <x v="0"/>
    <x v="4"/>
    <x v="4"/>
    <s v="predicted"/>
    <n v="15957.426509999999"/>
    <n v="16276.136"/>
    <n v="318.70948559999999"/>
    <n v="-147.47836050000001"/>
    <n v="-9383.6783400000004"/>
    <n v="10339.96817"/>
    <x v="33"/>
    <s v="May-2020"/>
  </r>
  <r>
    <x v="34"/>
    <s v="CIV"/>
    <x v="0"/>
    <x v="5"/>
    <x v="5"/>
    <s v="predicted"/>
    <n v="16150.837229999999"/>
    <n v="18202.066999999999"/>
    <n v="2051.2297659999999"/>
    <n v="1903.7514060000001"/>
    <n v="-7958.2686560000002"/>
    <n v="13210.118850000001"/>
    <x v="33"/>
    <s v="Jun-2020"/>
  </r>
  <r>
    <x v="34"/>
    <s v="CIV"/>
    <x v="0"/>
    <x v="6"/>
    <x v="6"/>
    <s v="predicted"/>
    <n v="16255.479219999999"/>
    <n v="18378.598999999998"/>
    <n v="2123.1197820000002"/>
    <n v="4026.8711880000001"/>
    <n v="-7370.0071619999999"/>
    <n v="17130.723010000002"/>
    <x v="33"/>
    <s v="Jul-2020"/>
  </r>
  <r>
    <x v="34"/>
    <s v="CIV"/>
    <x v="0"/>
    <x v="7"/>
    <x v="7"/>
    <s v="predicted"/>
    <n v="16313.30402"/>
    <n v="17401.282999999999"/>
    <n v="1087.9789760000001"/>
    <n v="5114.8501640000004"/>
    <n v="-7739.0788549999997"/>
    <n v="18156.882170000001"/>
    <x v="33"/>
    <s v="Aug-2020"/>
  </r>
  <r>
    <x v="34"/>
    <s v="CIV"/>
    <x v="0"/>
    <x v="8"/>
    <x v="8"/>
    <s v="predicted"/>
    <n v="16272.63992"/>
    <n v="16895.687000000002"/>
    <n v="623.04707789999998"/>
    <n v="5737.897242"/>
    <n v="-7446.5144140000002"/>
    <n v="20149.139340000002"/>
    <x v="33"/>
    <s v="Sep-2020"/>
  </r>
  <r>
    <x v="34"/>
    <s v="CIV"/>
    <x v="0"/>
    <x v="9"/>
    <x v="9"/>
    <s v="predicted"/>
    <n v="16226.74797"/>
    <n v="16415.272000000001"/>
    <n v="188.5240325"/>
    <n v="5926.4212740000003"/>
    <n v="-7577.9708060000003"/>
    <n v="21052.09072"/>
    <x v="33"/>
    <s v="Oct-2020"/>
  </r>
  <r>
    <x v="34"/>
    <s v="CIV"/>
    <x v="0"/>
    <x v="10"/>
    <x v="10"/>
    <s v="predicted"/>
    <n v="16110.720450000001"/>
    <n v="16203.175999999999"/>
    <n v="92.455548660000005"/>
    <n v="6018.8768229999996"/>
    <n v="-8479.1045419999991"/>
    <n v="21411.837339999998"/>
    <x v="33"/>
    <s v="Nov-2020"/>
  </r>
  <r>
    <x v="34"/>
    <s v="CIV"/>
    <x v="0"/>
    <x v="11"/>
    <x v="11"/>
    <s v="predicted"/>
    <n v="16056.30084"/>
    <n v="16359.169"/>
    <n v="302.86816090000002"/>
    <n v="6321.7449839999999"/>
    <n v="-8994.618982"/>
    <n v="22520.803"/>
    <x v="33"/>
    <s v="Dec-2020"/>
  </r>
  <r>
    <x v="34"/>
    <s v="CIV"/>
    <x v="1"/>
    <x v="0"/>
    <x v="0"/>
    <s v="predicted"/>
    <n v="15972.491620000001"/>
    <n v="16820.169000000002"/>
    <n v="847.67737729999999"/>
    <n v="7169.4223609999999"/>
    <n v="-8940.3285369999994"/>
    <n v="24426.416140000001"/>
    <x v="33"/>
    <s v="Jan-2021"/>
  </r>
  <r>
    <x v="34"/>
    <s v="CIV"/>
    <x v="1"/>
    <x v="1"/>
    <x v="1"/>
    <s v="predicted"/>
    <n v="15763.23201"/>
    <n v="17167.037"/>
    <n v="1403.8049880000001"/>
    <n v="8573.2273490000007"/>
    <n v="-8396.0340899999992"/>
    <n v="25709.251479999999"/>
    <x v="33"/>
    <s v="Feb-2021"/>
  </r>
  <r>
    <x v="34"/>
    <s v="CIV"/>
    <x v="1"/>
    <x v="2"/>
    <x v="2"/>
    <s v="predicted"/>
    <n v="15656.148279999999"/>
    <n v="17345.945"/>
    <n v="1689.7967229999999"/>
    <n v="10263.024069999999"/>
    <n v="-7556.5753530000002"/>
    <n v="27589.070169999999"/>
    <x v="33"/>
    <s v="Mar-2021"/>
  </r>
  <r>
    <x v="34"/>
    <s v="CIV"/>
    <x v="1"/>
    <x v="3"/>
    <x v="3"/>
    <s v="predicted"/>
    <n v="15700.011490000001"/>
    <n v="16564.920999999998"/>
    <n v="864.90950699999996"/>
    <n v="11127.933580000001"/>
    <n v="-6572.6959710000001"/>
    <n v="28349.459340000001"/>
    <x v="33"/>
    <s v="Apr-2021"/>
  </r>
  <r>
    <x v="34"/>
    <s v="CIV"/>
    <x v="1"/>
    <x v="4"/>
    <x v="4"/>
    <s v="predicted"/>
    <n v="15790.369489999999"/>
    <n v="16422.576000000001"/>
    <n v="632.20651359999999"/>
    <n v="11760.140090000001"/>
    <n v="-6954.0775569999996"/>
    <n v="30656.509760000001"/>
    <x v="33"/>
    <s v="May-2021"/>
  </r>
  <r>
    <x v="34"/>
    <s v="CIV"/>
    <x v="1"/>
    <x v="5"/>
    <x v="5"/>
    <s v="predicted"/>
    <n v="15987.869119999999"/>
    <n v="16640.368999999999"/>
    <n v="652.49988480000002"/>
    <n v="12412.63998"/>
    <n v="-7207.7520290000002"/>
    <n v="32632.05759"/>
    <x v="33"/>
    <s v="Jun-2021"/>
  </r>
  <r>
    <x v="34"/>
    <s v="CIV"/>
    <x v="1"/>
    <x v="6"/>
    <x v="6"/>
    <s v="predicted"/>
    <n v="16082.437239999999"/>
    <n v="16693.113000000001"/>
    <n v="610.67576180000003"/>
    <n v="13023.31574"/>
    <n v="-7086.3444049999998"/>
    <n v="33339.507089999999"/>
    <x v="33"/>
    <s v="Jul-2021"/>
  </r>
  <r>
    <x v="34"/>
    <s v="CIV"/>
    <x v="1"/>
    <x v="7"/>
    <x v="7"/>
    <s v="predicted"/>
    <n v="16139.37095"/>
    <n v="17191.774000000001"/>
    <n v="1052.4030479999999"/>
    <n v="14075.718790000001"/>
    <n v="-6626.6585009999999"/>
    <n v="34513.75387"/>
    <x v="33"/>
    <s v="Aug-2021"/>
  </r>
  <r>
    <x v="34"/>
    <s v="CIV"/>
    <x v="1"/>
    <x v="8"/>
    <x v="8"/>
    <s v="predicted"/>
    <n v="16100.37005"/>
    <n v="17397.415000000001"/>
    <n v="1297.044952"/>
    <n v="15372.76374"/>
    <n v="-6860.8254980000002"/>
    <n v="36188.18967"/>
    <x v="33"/>
    <s v="Sep-2021"/>
  </r>
  <r>
    <x v="34"/>
    <s v="CIV"/>
    <x v="1"/>
    <x v="9"/>
    <x v="9"/>
    <s v="predicted"/>
    <n v="16056.256820000001"/>
    <n v="16549.453000000001"/>
    <n v="493.1961829"/>
    <n v="15865.959919999999"/>
    <n v="-6037.9884460000003"/>
    <n v="37023.528939999997"/>
    <x v="33"/>
    <s v="Oct-2021"/>
  </r>
  <r>
    <x v="34"/>
    <s v="CIV"/>
    <x v="1"/>
    <x v="10"/>
    <x v="10"/>
    <s v="predicted"/>
    <n v="15945.60699"/>
    <n v="15989.839"/>
    <n v="44.232010299999999"/>
    <n v="15910.191930000001"/>
    <n v="-6919.9535290000003"/>
    <n v="38375.794479999997"/>
    <x v="33"/>
    <s v="Nov-2021"/>
  </r>
  <r>
    <x v="34"/>
    <s v="CIV"/>
    <x v="1"/>
    <x v="11"/>
    <x v="11"/>
    <s v="predicted"/>
    <n v="15891.295760000001"/>
    <n v="15969.213"/>
    <n v="77.91723786"/>
    <n v="15988.10917"/>
    <n v="-6726.6369969999996"/>
    <n v="39055.974439999998"/>
    <x v="33"/>
    <s v="Dec-2021"/>
  </r>
  <r>
    <x v="35"/>
    <s v="CMR"/>
    <x v="0"/>
    <x v="0"/>
    <x v="0"/>
    <s v="predicted"/>
    <n v="16208.430120000001"/>
    <n v="16667.251"/>
    <n v="458.8208813"/>
    <n v="458.8208813"/>
    <n v="-3402.3653810000001"/>
    <n v="5211.3455190000004"/>
    <x v="34"/>
    <s v="Jan-2020"/>
  </r>
  <r>
    <x v="35"/>
    <s v="CMR"/>
    <x v="0"/>
    <x v="1"/>
    <x v="1"/>
    <s v="predicted"/>
    <n v="16039.1414"/>
    <n v="16206.253000000001"/>
    <n v="167.11160039999999"/>
    <n v="625.93248170000004"/>
    <n v="-5495.8068620000004"/>
    <n v="7403.6194320000004"/>
    <x v="34"/>
    <s v="Feb-2020"/>
  </r>
  <r>
    <x v="35"/>
    <s v="CMR"/>
    <x v="0"/>
    <x v="2"/>
    <x v="2"/>
    <s v="predicted"/>
    <n v="15912.31623"/>
    <n v="16369.906000000001"/>
    <n v="457.58976710000002"/>
    <n v="1083.5222490000001"/>
    <n v="-6196.2626289999998"/>
    <n v="9340.0993240000007"/>
    <x v="34"/>
    <s v="Mar-2020"/>
  </r>
  <r>
    <x v="35"/>
    <s v="CMR"/>
    <x v="0"/>
    <x v="3"/>
    <x v="3"/>
    <s v="predicted"/>
    <n v="15902.8524"/>
    <n v="15703.508"/>
    <n v="-199.344404"/>
    <n v="884.1778448"/>
    <n v="-7199.4801260000004"/>
    <n v="9974.6644940000006"/>
    <x v="34"/>
    <s v="Apr-2020"/>
  </r>
  <r>
    <x v="35"/>
    <s v="CMR"/>
    <x v="0"/>
    <x v="4"/>
    <x v="4"/>
    <s v="predicted"/>
    <n v="15997.84145"/>
    <n v="16734.892"/>
    <n v="737.05055140000002"/>
    <n v="1621.228396"/>
    <n v="-7249.5106880000003"/>
    <n v="11366.59679"/>
    <x v="34"/>
    <s v="May-2020"/>
  </r>
  <r>
    <x v="35"/>
    <s v="CMR"/>
    <x v="0"/>
    <x v="5"/>
    <x v="5"/>
    <s v="predicted"/>
    <n v="16139.243700000001"/>
    <n v="17243.011999999999"/>
    <n v="1103.7683030000001"/>
    <n v="2724.9966989999998"/>
    <n v="-7255.0648490000003"/>
    <n v="14161.352860000001"/>
    <x v="34"/>
    <s v="Jun-2020"/>
  </r>
  <r>
    <x v="35"/>
    <s v="CMR"/>
    <x v="0"/>
    <x v="6"/>
    <x v="6"/>
    <s v="predicted"/>
    <n v="16252.05946"/>
    <n v="17007.327000000001"/>
    <n v="755.26754140000003"/>
    <n v="3480.2642409999999"/>
    <n v="-7255.6395949999996"/>
    <n v="15102.95313"/>
    <x v="34"/>
    <s v="Jul-2020"/>
  </r>
  <r>
    <x v="35"/>
    <s v="CMR"/>
    <x v="0"/>
    <x v="7"/>
    <x v="7"/>
    <s v="predicted"/>
    <n v="16247.649289999999"/>
    <n v="16826.861000000001"/>
    <n v="579.21170849999999"/>
    <n v="4059.4759490000001"/>
    <n v="-7521.034987"/>
    <n v="16805.464510000002"/>
    <x v="34"/>
    <s v="Aug-2020"/>
  </r>
  <r>
    <x v="35"/>
    <s v="CMR"/>
    <x v="0"/>
    <x v="8"/>
    <x v="8"/>
    <s v="predicted"/>
    <n v="16252.07533"/>
    <n v="16590.314999999999"/>
    <n v="338.2396698"/>
    <n v="4397.7156189999996"/>
    <n v="-7901.6007040000004"/>
    <n v="18049.0416"/>
    <x v="34"/>
    <s v="Sep-2020"/>
  </r>
  <r>
    <x v="35"/>
    <s v="CMR"/>
    <x v="0"/>
    <x v="9"/>
    <x v="9"/>
    <s v="predicted"/>
    <n v="16167.99762"/>
    <n v="16157.195"/>
    <n v="-10.80262044"/>
    <n v="4386.9129979999998"/>
    <n v="-8812.0689779999993"/>
    <n v="18340.046269999999"/>
    <x v="34"/>
    <s v="Oct-2020"/>
  </r>
  <r>
    <x v="35"/>
    <s v="CMR"/>
    <x v="0"/>
    <x v="10"/>
    <x v="10"/>
    <s v="predicted"/>
    <n v="16156.716"/>
    <n v="16180.762000000001"/>
    <n v="24.046002120000001"/>
    <n v="4410.9590010000002"/>
    <n v="-9716.3853099999997"/>
    <n v="18866.78428"/>
    <x v="34"/>
    <s v="Nov-2020"/>
  </r>
  <r>
    <x v="35"/>
    <s v="CMR"/>
    <x v="0"/>
    <x v="11"/>
    <x v="11"/>
    <s v="predicted"/>
    <n v="16191.44902"/>
    <n v="16487.602999999999"/>
    <n v="296.15398160000001"/>
    <n v="4707.1129819999996"/>
    <n v="-9487.4924900000005"/>
    <n v="19783.036639999998"/>
    <x v="34"/>
    <s v="Dec-2020"/>
  </r>
  <r>
    <x v="35"/>
    <s v="CMR"/>
    <x v="1"/>
    <x v="0"/>
    <x v="0"/>
    <s v="predicted"/>
    <n v="15963.42189"/>
    <n v="16813.355"/>
    <n v="849.9331062"/>
    <n v="5557.0460880000001"/>
    <n v="-9231.619874"/>
    <n v="21297.470600000001"/>
    <x v="34"/>
    <s v="Jan-2021"/>
  </r>
  <r>
    <x v="35"/>
    <s v="CMR"/>
    <x v="1"/>
    <x v="1"/>
    <x v="1"/>
    <s v="predicted"/>
    <n v="15793.13839"/>
    <n v="17531.956999999999"/>
    <n v="1738.818614"/>
    <n v="7295.8647030000002"/>
    <n v="-8113.008793"/>
    <n v="23806.763419999999"/>
    <x v="34"/>
    <s v="Feb-2021"/>
  </r>
  <r>
    <x v="35"/>
    <s v="CMR"/>
    <x v="1"/>
    <x v="2"/>
    <x v="2"/>
    <s v="predicted"/>
    <n v="15670.34873"/>
    <n v="18045.609"/>
    <n v="2375.2602729999999"/>
    <n v="9671.1249759999992"/>
    <n v="-6931.898064"/>
    <n v="27560.449830000001"/>
    <x v="34"/>
    <s v="Mar-2021"/>
  </r>
  <r>
    <x v="35"/>
    <s v="CMR"/>
    <x v="1"/>
    <x v="3"/>
    <x v="3"/>
    <s v="predicted"/>
    <n v="15668.48201"/>
    <n v="18124.137999999999"/>
    <n v="2455.6559870000001"/>
    <n v="12126.78096"/>
    <n v="-4796.7247170000001"/>
    <n v="31372.229189999998"/>
    <x v="34"/>
    <s v="Apr-2021"/>
  </r>
  <r>
    <x v="35"/>
    <s v="CMR"/>
    <x v="1"/>
    <x v="4"/>
    <x v="4"/>
    <s v="predicted"/>
    <n v="15757.302820000001"/>
    <n v="17526.931"/>
    <n v="1769.6281839999999"/>
    <n v="13896.409149999999"/>
    <n v="-3089.1683370000001"/>
    <n v="33402.061199999996"/>
    <x v="34"/>
    <s v="May-2021"/>
  </r>
  <r>
    <x v="35"/>
    <s v="CMR"/>
    <x v="1"/>
    <x v="5"/>
    <x v="5"/>
    <s v="predicted"/>
    <n v="15894.24185"/>
    <n v="17220.796999999999"/>
    <n v="1326.5551539999999"/>
    <n v="15222.9643"/>
    <n v="-2516.096783"/>
    <n v="35610.99871"/>
    <x v="34"/>
    <s v="Jun-2021"/>
  </r>
  <r>
    <x v="35"/>
    <s v="CMR"/>
    <x v="1"/>
    <x v="6"/>
    <x v="6"/>
    <s v="predicted"/>
    <n v="16005.777700000001"/>
    <n v="17263.558000000001"/>
    <n v="1257.7802999999999"/>
    <n v="16480.744600000002"/>
    <n v="-1761.2686160000001"/>
    <n v="36589.64372"/>
    <x v="34"/>
    <s v="Jul-2021"/>
  </r>
  <r>
    <x v="35"/>
    <s v="CMR"/>
    <x v="1"/>
    <x v="7"/>
    <x v="7"/>
    <s v="predicted"/>
    <n v="16000.387500000001"/>
    <n v="16743.116999999998"/>
    <n v="742.7295001"/>
    <n v="17223.474099999999"/>
    <n v="-1996.386383"/>
    <n v="37582.940199999997"/>
    <x v="34"/>
    <s v="Aug-2021"/>
  </r>
  <r>
    <x v="35"/>
    <s v="CMR"/>
    <x v="1"/>
    <x v="8"/>
    <x v="8"/>
    <s v="predicted"/>
    <n v="16006.271549999999"/>
    <n v="17235.647000000001"/>
    <n v="1229.3754469999999"/>
    <n v="18452.849549999999"/>
    <n v="-1596.1117449999999"/>
    <n v="40005.524299999997"/>
    <x v="34"/>
    <s v="Sep-2021"/>
  </r>
  <r>
    <x v="35"/>
    <s v="CMR"/>
    <x v="1"/>
    <x v="9"/>
    <x v="9"/>
    <s v="predicted"/>
    <n v="15925.41221"/>
    <n v="16936.824000000001"/>
    <n v="1011.411785"/>
    <n v="19464.261330000001"/>
    <n v="-301.7292453"/>
    <n v="41188.792139999998"/>
    <x v="34"/>
    <s v="Oct-2021"/>
  </r>
  <r>
    <x v="35"/>
    <s v="CMR"/>
    <x v="1"/>
    <x v="10"/>
    <x v="10"/>
    <s v="predicted"/>
    <n v="15921.10902"/>
    <n v="16391.856"/>
    <n v="470.74697900000001"/>
    <n v="19935.008310000001"/>
    <n v="-775.72509349999996"/>
    <n v="42054.978349999998"/>
    <x v="34"/>
    <s v="Nov-2021"/>
  </r>
  <r>
    <x v="35"/>
    <s v="CMR"/>
    <x v="1"/>
    <x v="11"/>
    <x v="11"/>
    <s v="predicted"/>
    <n v="15945.78334"/>
    <n v="16875.282999999999"/>
    <n v="929.49965640000005"/>
    <n v="20864.507969999999"/>
    <n v="-264.75594410000002"/>
    <n v="42902.497719999999"/>
    <x v="34"/>
    <s v="Dec-2021"/>
  </r>
  <r>
    <x v="36"/>
    <s v="COD"/>
    <x v="0"/>
    <x v="0"/>
    <x v="0"/>
    <s v="predicted"/>
    <n v="60138.682220000002"/>
    <n v="61370.633999999998"/>
    <n v="1231.951777"/>
    <n v="1231.951777"/>
    <n v="-12967.93795"/>
    <n v="19785.723180000001"/>
    <x v="35"/>
    <s v="Jan-2020"/>
  </r>
  <r>
    <x v="36"/>
    <s v="COD"/>
    <x v="0"/>
    <x v="1"/>
    <x v="1"/>
    <s v="predicted"/>
    <n v="60001.475350000001"/>
    <n v="60324.56"/>
    <n v="323.084654"/>
    <n v="1555.036431"/>
    <n v="-17987.815419999999"/>
    <n v="26645.196919999998"/>
    <x v="35"/>
    <s v="Feb-2020"/>
  </r>
  <r>
    <x v="36"/>
    <s v="COD"/>
    <x v="0"/>
    <x v="2"/>
    <x v="2"/>
    <s v="predicted"/>
    <n v="59954.78802"/>
    <n v="59751.718999999997"/>
    <n v="-203.0690223"/>
    <n v="1351.9674090000001"/>
    <n v="-23409.618190000001"/>
    <n v="31773.72839"/>
    <x v="35"/>
    <s v="Mar-2020"/>
  </r>
  <r>
    <x v="36"/>
    <s v="COD"/>
    <x v="0"/>
    <x v="3"/>
    <x v="3"/>
    <s v="predicted"/>
    <n v="59993.495269999999"/>
    <n v="59109.705000000002"/>
    <n v="-883.79026629999998"/>
    <n v="468.17714269999999"/>
    <n v="-28454.962930000002"/>
    <n v="33053.409699999997"/>
    <x v="35"/>
    <s v="Apr-2020"/>
  </r>
  <r>
    <x v="36"/>
    <s v="COD"/>
    <x v="0"/>
    <x v="4"/>
    <x v="4"/>
    <s v="predicted"/>
    <n v="60038.413780000003"/>
    <n v="58538.894999999997"/>
    <n v="-1499.518777"/>
    <n v="-1031.3416340000001"/>
    <n v="-34052.557769999999"/>
    <n v="33296.793530000003"/>
    <x v="35"/>
    <s v="May-2020"/>
  </r>
  <r>
    <x v="36"/>
    <s v="COD"/>
    <x v="0"/>
    <x v="5"/>
    <x v="5"/>
    <s v="predicted"/>
    <n v="60485.262089999997"/>
    <n v="62319.561999999998"/>
    <n v="1834.2999090000001"/>
    <n v="802.95827540000005"/>
    <n v="-36029.74194"/>
    <n v="38846.257610000001"/>
    <x v="35"/>
    <s v="Jun-2020"/>
  </r>
  <r>
    <x v="36"/>
    <s v="COD"/>
    <x v="0"/>
    <x v="6"/>
    <x v="6"/>
    <s v="predicted"/>
    <n v="60588.210010000003"/>
    <n v="63282.959000000003"/>
    <n v="2694.74899"/>
    <n v="3497.7072659999999"/>
    <n v="-35716.222280000002"/>
    <n v="46983.820180000002"/>
    <x v="35"/>
    <s v="Jul-2020"/>
  </r>
  <r>
    <x v="36"/>
    <s v="COD"/>
    <x v="0"/>
    <x v="7"/>
    <x v="7"/>
    <s v="predicted"/>
    <n v="60328.962249999997"/>
    <n v="63100.796000000002"/>
    <n v="2771.8337529999999"/>
    <n v="6269.5410190000002"/>
    <n v="-37145.058449999997"/>
    <n v="50875.372710000003"/>
    <x v="35"/>
    <s v="Aug-2020"/>
  </r>
  <r>
    <x v="36"/>
    <s v="COD"/>
    <x v="0"/>
    <x v="8"/>
    <x v="8"/>
    <s v="predicted"/>
    <n v="60224.630830000002"/>
    <n v="62263.459000000003"/>
    <n v="2038.8281710000001"/>
    <n v="8308.3691899999994"/>
    <n v="-38812.742120000003"/>
    <n v="58649.656730000002"/>
    <x v="35"/>
    <s v="Sep-2020"/>
  </r>
  <r>
    <x v="36"/>
    <s v="COD"/>
    <x v="0"/>
    <x v="9"/>
    <x v="9"/>
    <s v="predicted"/>
    <n v="60158.439890000001"/>
    <n v="61128.135000000002"/>
    <n v="969.69511020000004"/>
    <n v="9278.0643"/>
    <n v="-42251.609880000004"/>
    <n v="60161.991240000003"/>
    <x v="35"/>
    <s v="Oct-2020"/>
  </r>
  <r>
    <x v="36"/>
    <s v="COD"/>
    <x v="0"/>
    <x v="10"/>
    <x v="10"/>
    <s v="predicted"/>
    <n v="60210.826679999998"/>
    <n v="60569.364999999998"/>
    <n v="358.5383195"/>
    <n v="9636.6026189999993"/>
    <n v="-42821.217629999999"/>
    <n v="61032.193809999997"/>
    <x v="35"/>
    <s v="Nov-2020"/>
  </r>
  <r>
    <x v="36"/>
    <s v="COD"/>
    <x v="0"/>
    <x v="11"/>
    <x v="11"/>
    <s v="predicted"/>
    <n v="60153.155180000002"/>
    <n v="62111.103999999999"/>
    <n v="1957.9488160000001"/>
    <n v="11594.551439999999"/>
    <n v="-44056.366000000002"/>
    <n v="68260.551730000007"/>
    <x v="35"/>
    <s v="Dec-2020"/>
  </r>
  <r>
    <x v="36"/>
    <s v="COD"/>
    <x v="1"/>
    <x v="0"/>
    <x v="0"/>
    <s v="predicted"/>
    <n v="60271.971469999997"/>
    <n v="64066.161"/>
    <n v="3794.189531"/>
    <n v="15388.740970000001"/>
    <n v="-41588.060360000003"/>
    <n v="73633.671489999993"/>
    <x v="35"/>
    <s v="Jan-2021"/>
  </r>
  <r>
    <x v="36"/>
    <s v="COD"/>
    <x v="1"/>
    <x v="1"/>
    <x v="1"/>
    <s v="predicted"/>
    <n v="60117.398710000001"/>
    <n v="63486.114999999998"/>
    <n v="3368.7162910000002"/>
    <n v="18757.457259999999"/>
    <n v="-40511.761789999997"/>
    <n v="82617.050600000002"/>
    <x v="35"/>
    <s v="Feb-2021"/>
  </r>
  <r>
    <x v="36"/>
    <s v="COD"/>
    <x v="1"/>
    <x v="2"/>
    <x v="2"/>
    <s v="predicted"/>
    <n v="60086.007230000003"/>
    <n v="64613.764000000003"/>
    <n v="4527.7567689999996"/>
    <n v="23285.214029999999"/>
    <n v="-37652.673889999998"/>
    <n v="89036.510209999993"/>
    <x v="35"/>
    <s v="Mar-2021"/>
  </r>
  <r>
    <x v="36"/>
    <s v="COD"/>
    <x v="1"/>
    <x v="3"/>
    <x v="3"/>
    <s v="predicted"/>
    <n v="60113.550159999999"/>
    <n v="62725.417999999998"/>
    <n v="2611.867839"/>
    <n v="25897.081859999998"/>
    <n v="-37153.00836"/>
    <n v="90270.791729999997"/>
    <x v="35"/>
    <s v="Apr-2021"/>
  </r>
  <r>
    <x v="36"/>
    <s v="COD"/>
    <x v="1"/>
    <x v="4"/>
    <x v="4"/>
    <s v="predicted"/>
    <n v="60170.889949999997"/>
    <n v="63260.864999999998"/>
    <n v="3089.9750479999998"/>
    <n v="28987.056909999999"/>
    <n v="-36601.75937"/>
    <n v="93679.933350000007"/>
    <x v="35"/>
    <s v="May-2021"/>
  </r>
  <r>
    <x v="36"/>
    <s v="COD"/>
    <x v="1"/>
    <x v="5"/>
    <x v="5"/>
    <s v="predicted"/>
    <n v="60604.970600000001"/>
    <n v="65076.493000000002"/>
    <n v="4471.5223999999998"/>
    <n v="33458.579310000001"/>
    <n v="-32300.38451"/>
    <n v="99759.858699999997"/>
    <x v="35"/>
    <s v="Jun-2021"/>
  </r>
  <r>
    <x v="36"/>
    <s v="COD"/>
    <x v="1"/>
    <x v="6"/>
    <x v="6"/>
    <s v="predicted"/>
    <n v="60705.370849999999"/>
    <n v="66625.531000000003"/>
    <n v="5920.1601520000004"/>
    <n v="39378.739459999997"/>
    <n v="-27103.238410000002"/>
    <n v="108421.1639"/>
    <x v="35"/>
    <s v="Jul-2021"/>
  </r>
  <r>
    <x v="36"/>
    <s v="COD"/>
    <x v="1"/>
    <x v="7"/>
    <x v="7"/>
    <s v="predicted"/>
    <n v="60456.70048"/>
    <n v="63528.972999999998"/>
    <n v="3072.2725190000001"/>
    <n v="42451.011980000003"/>
    <n v="-31309.33841"/>
    <n v="112745.37549999999"/>
    <x v="35"/>
    <s v="Aug-2021"/>
  </r>
  <r>
    <x v="36"/>
    <s v="COD"/>
    <x v="1"/>
    <x v="8"/>
    <x v="8"/>
    <s v="predicted"/>
    <n v="60356.465880000003"/>
    <n v="62306.031999999999"/>
    <n v="1949.5661239999999"/>
    <n v="44400.578110000002"/>
    <n v="-29199.618340000001"/>
    <n v="115520.5223"/>
    <x v="35"/>
    <s v="Sep-2021"/>
  </r>
  <r>
    <x v="36"/>
    <s v="COD"/>
    <x v="1"/>
    <x v="9"/>
    <x v="9"/>
    <s v="predicted"/>
    <n v="60276.080999999998"/>
    <n v="61147.644"/>
    <n v="871.56300099999999"/>
    <n v="45272.141109999997"/>
    <n v="-32325.393100000001"/>
    <n v="121129.3906"/>
    <x v="35"/>
    <s v="Oct-2021"/>
  </r>
  <r>
    <x v="36"/>
    <s v="COD"/>
    <x v="1"/>
    <x v="10"/>
    <x v="10"/>
    <s v="predicted"/>
    <n v="60352.336710000003"/>
    <n v="61312.98"/>
    <n v="960.64329069999997"/>
    <n v="46232.784399999997"/>
    <n v="-33341.933449999997"/>
    <n v="124290.4991"/>
    <x v="35"/>
    <s v="Nov-2021"/>
  </r>
  <r>
    <x v="36"/>
    <s v="COD"/>
    <x v="1"/>
    <x v="11"/>
    <x v="11"/>
    <s v="predicted"/>
    <n v="60269.961799999997"/>
    <n v="63890.932000000001"/>
    <n v="3620.9701960000002"/>
    <n v="49853.7546"/>
    <n v="-30294.76698"/>
    <n v="130578.82279999999"/>
    <x v="35"/>
    <s v="Dec-2021"/>
  </r>
  <r>
    <x v="37"/>
    <s v="COG"/>
    <x v="0"/>
    <x v="0"/>
    <x v="0"/>
    <s v="predicted"/>
    <n v="2933.618504"/>
    <n v="2997.806"/>
    <n v="64.187496170000003"/>
    <n v="64.187496170000003"/>
    <n v="-659.00827159999994"/>
    <n v="909.07903409999994"/>
    <x v="36"/>
    <s v="Jan-2020"/>
  </r>
  <r>
    <x v="37"/>
    <s v="COG"/>
    <x v="0"/>
    <x v="1"/>
    <x v="1"/>
    <s v="predicted"/>
    <n v="2919.856882"/>
    <n v="2944.3"/>
    <n v="24.443118210000002"/>
    <n v="88.630614379999997"/>
    <n v="-1036.167115"/>
    <n v="1319.2864219999999"/>
    <x v="36"/>
    <s v="Feb-2020"/>
  </r>
  <r>
    <x v="37"/>
    <s v="COG"/>
    <x v="0"/>
    <x v="2"/>
    <x v="2"/>
    <s v="predicted"/>
    <n v="2916.6392620000001"/>
    <n v="2903.1320000000001"/>
    <n v="-13.507261890000001"/>
    <n v="75.123352490000002"/>
    <n v="-1238.2938280000001"/>
    <n v="1504.1589879999999"/>
    <x v="36"/>
    <s v="Mar-2020"/>
  </r>
  <r>
    <x v="37"/>
    <s v="COG"/>
    <x v="0"/>
    <x v="3"/>
    <x v="3"/>
    <s v="predicted"/>
    <n v="2915.2349989999998"/>
    <n v="2721.0949999999998"/>
    <n v="-194.13999920000001"/>
    <n v="-119.0166467"/>
    <n v="-1567.033193"/>
    <n v="1526.5869250000001"/>
    <x v="36"/>
    <s v="Apr-2020"/>
  </r>
  <r>
    <x v="37"/>
    <s v="COG"/>
    <x v="0"/>
    <x v="4"/>
    <x v="4"/>
    <s v="predicted"/>
    <n v="2923.1201120000001"/>
    <n v="2878.5509999999999"/>
    <n v="-44.569112349999997"/>
    <n v="-163.58575909999999"/>
    <n v="-1866.9008309999999"/>
    <n v="1650.7320729999999"/>
    <x v="36"/>
    <s v="May-2020"/>
  </r>
  <r>
    <x v="37"/>
    <s v="COG"/>
    <x v="0"/>
    <x v="5"/>
    <x v="5"/>
    <s v="predicted"/>
    <n v="2952.8375970000002"/>
    <n v="3177.31"/>
    <n v="224.47240339999999"/>
    <n v="60.886644310000001"/>
    <n v="-1763.149656"/>
    <n v="2124.170897"/>
    <x v="36"/>
    <s v="Jun-2020"/>
  </r>
  <r>
    <x v="37"/>
    <s v="COG"/>
    <x v="0"/>
    <x v="6"/>
    <x v="6"/>
    <s v="predicted"/>
    <n v="2958.4592809999999"/>
    <n v="3193.319"/>
    <n v="234.85971910000001"/>
    <n v="295.74636349999997"/>
    <n v="-1686.0686989999999"/>
    <n v="2523.0708989999998"/>
    <x v="36"/>
    <s v="Jul-2020"/>
  </r>
  <r>
    <x v="37"/>
    <s v="COG"/>
    <x v="0"/>
    <x v="7"/>
    <x v="7"/>
    <s v="predicted"/>
    <n v="2953.690486"/>
    <n v="3192.9859999999999"/>
    <n v="239.29551359999999"/>
    <n v="535.04187709999997"/>
    <n v="-1531.561704"/>
    <n v="2781.4863270000001"/>
    <x v="36"/>
    <s v="Aug-2020"/>
  </r>
  <r>
    <x v="37"/>
    <s v="COG"/>
    <x v="0"/>
    <x v="8"/>
    <x v="8"/>
    <s v="predicted"/>
    <n v="2954.1894889999999"/>
    <n v="3184.4349999999999"/>
    <n v="230.24551059999999"/>
    <n v="765.28738759999999"/>
    <n v="-1509.7666850000001"/>
    <n v="3164.4044389999999"/>
    <x v="36"/>
    <s v="Sep-2020"/>
  </r>
  <r>
    <x v="37"/>
    <s v="COG"/>
    <x v="0"/>
    <x v="9"/>
    <x v="9"/>
    <s v="predicted"/>
    <n v="2941.6504399999999"/>
    <n v="3025.2139999999999"/>
    <n v="83.563560150000001"/>
    <n v="848.85094779999997"/>
    <n v="-1552.6151769999999"/>
    <n v="3430.4360109999998"/>
    <x v="36"/>
    <s v="Oct-2020"/>
  </r>
  <r>
    <x v="37"/>
    <s v="COG"/>
    <x v="0"/>
    <x v="10"/>
    <x v="10"/>
    <s v="predicted"/>
    <n v="2943.9727459999999"/>
    <n v="3023.5129999999999"/>
    <n v="79.540254099999999"/>
    <n v="928.39120190000006"/>
    <n v="-1598.5037139999999"/>
    <n v="3735.974119"/>
    <x v="36"/>
    <s v="Nov-2020"/>
  </r>
  <r>
    <x v="37"/>
    <s v="COG"/>
    <x v="0"/>
    <x v="11"/>
    <x v="11"/>
    <s v="predicted"/>
    <n v="2938.8992109999999"/>
    <n v="3032.1320000000001"/>
    <n v="93.232789249999996"/>
    <n v="1021.623991"/>
    <n v="-1702.711618"/>
    <n v="3919.9291880000001"/>
    <x v="36"/>
    <s v="Dec-2020"/>
  </r>
  <r>
    <x v="37"/>
    <s v="COG"/>
    <x v="1"/>
    <x v="0"/>
    <x v="0"/>
    <s v="predicted"/>
    <n v="2953.3683850000002"/>
    <n v="3196.9609999999998"/>
    <n v="243.59261549999999"/>
    <n v="1265.2166070000001"/>
    <n v="-1538.1324179999999"/>
    <n v="4283.5869030000003"/>
    <x v="36"/>
    <s v="Jan-2021"/>
  </r>
  <r>
    <x v="37"/>
    <s v="COG"/>
    <x v="1"/>
    <x v="1"/>
    <x v="1"/>
    <s v="predicted"/>
    <n v="2943.5558299999998"/>
    <n v="3154.5830000000001"/>
    <n v="211.02717029999999"/>
    <n v="1476.2437769999999"/>
    <n v="-1468.451701"/>
    <n v="4506.0499289999998"/>
    <x v="36"/>
    <s v="Feb-2021"/>
  </r>
  <r>
    <x v="37"/>
    <s v="COG"/>
    <x v="1"/>
    <x v="2"/>
    <x v="2"/>
    <s v="predicted"/>
    <n v="2941.1745759999999"/>
    <n v="3143.7930000000001"/>
    <n v="202.61842390000001"/>
    <n v="1678.8622009999999"/>
    <n v="-1386.8870850000001"/>
    <n v="4854.2152100000003"/>
    <x v="36"/>
    <s v="Mar-2021"/>
  </r>
  <r>
    <x v="37"/>
    <s v="COG"/>
    <x v="1"/>
    <x v="3"/>
    <x v="3"/>
    <s v="predicted"/>
    <n v="2938.7083819999998"/>
    <n v="3057.3319999999999"/>
    <n v="118.6236183"/>
    <n v="1797.485819"/>
    <n v="-1432.593521"/>
    <n v="5120.6442189999998"/>
    <x v="36"/>
    <s v="Apr-2021"/>
  </r>
  <r>
    <x v="37"/>
    <s v="COG"/>
    <x v="1"/>
    <x v="4"/>
    <x v="4"/>
    <s v="predicted"/>
    <n v="2942.1177710000002"/>
    <n v="3001.835"/>
    <n v="59.717229099999997"/>
    <n v="1857.2030480000001"/>
    <n v="-1573.8045010000001"/>
    <n v="5362.5488139999998"/>
    <x v="36"/>
    <s v="May-2021"/>
  </r>
  <r>
    <x v="37"/>
    <s v="COG"/>
    <x v="1"/>
    <x v="5"/>
    <x v="5"/>
    <s v="predicted"/>
    <n v="2974.0093470000002"/>
    <n v="3113.029"/>
    <n v="139.01965290000001"/>
    <n v="1996.2227009999999"/>
    <n v="-1497.421529"/>
    <n v="5564.5244460000004"/>
    <x v="36"/>
    <s v="Jun-2021"/>
  </r>
  <r>
    <x v="37"/>
    <s v="COG"/>
    <x v="1"/>
    <x v="6"/>
    <x v="6"/>
    <s v="predicted"/>
    <n v="2978.2582510000002"/>
    <n v="3212.1759999999999"/>
    <n v="233.91774899999999"/>
    <n v="2230.1404499999999"/>
    <n v="-1405.6587959999999"/>
    <n v="6059.7180420000004"/>
    <x v="36"/>
    <s v="Jul-2021"/>
  </r>
  <r>
    <x v="37"/>
    <s v="COG"/>
    <x v="1"/>
    <x v="7"/>
    <x v="7"/>
    <s v="predicted"/>
    <n v="2976.7714059999998"/>
    <n v="3132.7289999999998"/>
    <n v="155.9575945"/>
    <n v="2386.0980450000002"/>
    <n v="-1169.321148"/>
    <n v="6407.3181649999997"/>
    <x v="36"/>
    <s v="Aug-2021"/>
  </r>
  <r>
    <x v="37"/>
    <s v="COG"/>
    <x v="1"/>
    <x v="8"/>
    <x v="8"/>
    <s v="predicted"/>
    <n v="2973.8287789999999"/>
    <n v="3191.855"/>
    <n v="218.02622059999999"/>
    <n v="2604.1242649999999"/>
    <n v="-1013.671839"/>
    <n v="6425.3681909999996"/>
    <x v="36"/>
    <s v="Sep-2021"/>
  </r>
  <r>
    <x v="37"/>
    <s v="COG"/>
    <x v="1"/>
    <x v="9"/>
    <x v="9"/>
    <s v="predicted"/>
    <n v="2965.0114159999998"/>
    <n v="3300.22"/>
    <n v="335.20858370000002"/>
    <n v="2939.3328489999999"/>
    <n v="-890.53953620000004"/>
    <n v="6971.7900920000002"/>
    <x v="36"/>
    <s v="Oct-2021"/>
  </r>
  <r>
    <x v="37"/>
    <s v="COG"/>
    <x v="1"/>
    <x v="10"/>
    <x v="10"/>
    <s v="predicted"/>
    <n v="2963.747942"/>
    <n v="3278.0070000000001"/>
    <n v="314.25905760000001"/>
    <n v="3253.5919060000001"/>
    <n v="-637.88238769999998"/>
    <n v="7145.9185230000003"/>
    <x v="36"/>
    <s v="Nov-2021"/>
  </r>
  <r>
    <x v="37"/>
    <s v="COG"/>
    <x v="1"/>
    <x v="11"/>
    <x v="11"/>
    <s v="predicted"/>
    <n v="2962.33187"/>
    <n v="3205.7570000000001"/>
    <n v="243.4251304"/>
    <n v="3497.0170370000001"/>
    <n v="-474.14046139999999"/>
    <n v="7533.047579"/>
    <x v="36"/>
    <s v="Dec-2021"/>
  </r>
  <r>
    <x v="38"/>
    <s v="COK"/>
    <x v="0"/>
    <x v="0"/>
    <x v="0"/>
    <s v="predicted"/>
    <n v="10.748435410000001"/>
    <n v="11.287000000000001"/>
    <n v="0.53856458500000004"/>
    <n v="0.53856458500000004"/>
    <n v="-5.857711653"/>
    <n v="8.1508434380000008"/>
    <x v="37"/>
    <s v="Jan-2020"/>
  </r>
  <r>
    <x v="38"/>
    <s v="COK"/>
    <x v="0"/>
    <x v="1"/>
    <x v="1"/>
    <s v="predicted"/>
    <n v="10.74708309"/>
    <n v="10.944000000000001"/>
    <n v="0.196916913"/>
    <n v="0.73548149900000004"/>
    <n v="-8.7961323030000003"/>
    <n v="12.18826235"/>
    <x v="37"/>
    <s v="Feb-2020"/>
  </r>
  <r>
    <x v="38"/>
    <s v="COK"/>
    <x v="0"/>
    <x v="2"/>
    <x v="2"/>
    <s v="predicted"/>
    <n v="10.801410199999999"/>
    <n v="10.68"/>
    <n v="-0.121410199"/>
    <n v="0.61407129999999999"/>
    <n v="-11.78325267"/>
    <n v="13.793368539999999"/>
    <x v="37"/>
    <s v="Mar-2020"/>
  </r>
  <r>
    <x v="38"/>
    <s v="COK"/>
    <x v="0"/>
    <x v="3"/>
    <x v="3"/>
    <s v="predicted"/>
    <n v="10.81528924"/>
    <n v="11.106"/>
    <n v="0.29071076299999998"/>
    <n v="0.90478206299999997"/>
    <n v="-13.867174779999999"/>
    <n v="15.46934727"/>
    <x v="37"/>
    <s v="Apr-2020"/>
  </r>
  <r>
    <x v="38"/>
    <s v="COK"/>
    <x v="0"/>
    <x v="4"/>
    <x v="4"/>
    <s v="predicted"/>
    <n v="10.89599774"/>
    <n v="11.208"/>
    <n v="0.312002263"/>
    <n v="1.216784326"/>
    <n v="-14.975071570000001"/>
    <n v="17.34150838"/>
    <x v="37"/>
    <s v="May-2020"/>
  </r>
  <r>
    <x v="38"/>
    <s v="COK"/>
    <x v="0"/>
    <x v="5"/>
    <x v="5"/>
    <s v="predicted"/>
    <n v="10.997227130000001"/>
    <n v="10.962"/>
    <n v="-3.5227126999999997E-2"/>
    <n v="1.181557199"/>
    <n v="-16.53057175"/>
    <n v="19.434692720000001"/>
    <x v="37"/>
    <s v="Jun-2020"/>
  </r>
  <r>
    <x v="38"/>
    <s v="COK"/>
    <x v="0"/>
    <x v="6"/>
    <x v="6"/>
    <s v="predicted"/>
    <n v="11.053077549999999"/>
    <n v="10.94"/>
    <n v="-0.113077547"/>
    <n v="1.0684796519999999"/>
    <n v="-19.04661849"/>
    <n v="19.393104959999999"/>
    <x v="37"/>
    <s v="Jul-2020"/>
  </r>
  <r>
    <x v="38"/>
    <s v="COK"/>
    <x v="0"/>
    <x v="7"/>
    <x v="7"/>
    <s v="predicted"/>
    <n v="11.03375434"/>
    <n v="10.836"/>
    <n v="-0.197754343"/>
    <n v="0.870725309"/>
    <n v="-19.42860005"/>
    <n v="20.101654629999999"/>
    <x v="37"/>
    <s v="Aug-2020"/>
  </r>
  <r>
    <x v="38"/>
    <s v="COK"/>
    <x v="0"/>
    <x v="8"/>
    <x v="8"/>
    <s v="predicted"/>
    <n v="10.979903050000001"/>
    <n v="11.102"/>
    <n v="0.12209695199999999"/>
    <n v="0.99282226100000004"/>
    <n v="-20.360062410000001"/>
    <n v="22.083438789999999"/>
    <x v="37"/>
    <s v="Sep-2020"/>
  </r>
  <r>
    <x v="38"/>
    <s v="COK"/>
    <x v="0"/>
    <x v="9"/>
    <x v="9"/>
    <s v="predicted"/>
    <n v="10.995344810000001"/>
    <n v="11.074999999999999"/>
    <n v="7.9655189000000001E-2"/>
    <n v="1.0724774500000001"/>
    <n v="-21.48827103"/>
    <n v="24.362446819999999"/>
    <x v="37"/>
    <s v="Oct-2020"/>
  </r>
  <r>
    <x v="38"/>
    <s v="COK"/>
    <x v="0"/>
    <x v="10"/>
    <x v="10"/>
    <s v="predicted"/>
    <n v="10.88985609"/>
    <n v="11.096"/>
    <n v="0.20614391400000001"/>
    <n v="1.2786213639999999"/>
    <n v="-22.57874932"/>
    <n v="25.023447449999999"/>
    <x v="37"/>
    <s v="Nov-2020"/>
  </r>
  <r>
    <x v="38"/>
    <s v="COK"/>
    <x v="0"/>
    <x v="11"/>
    <x v="11"/>
    <s v="predicted"/>
    <n v="10.85304973"/>
    <n v="11.034000000000001"/>
    <n v="0.180950266"/>
    <n v="1.4595716299999999"/>
    <n v="-23.724960169999999"/>
    <n v="26.95077611"/>
    <x v="37"/>
    <s v="Dec-2020"/>
  </r>
  <r>
    <x v="38"/>
    <s v="COK"/>
    <x v="1"/>
    <x v="0"/>
    <x v="0"/>
    <s v="predicted"/>
    <n v="11.02612459"/>
    <n v="10.951000000000001"/>
    <n v="-7.5124592000000004E-2"/>
    <n v="1.384447038"/>
    <n v="-23.127525169999998"/>
    <n v="27.468065979999999"/>
    <x v="37"/>
    <s v="Jan-2021"/>
  </r>
  <r>
    <x v="38"/>
    <s v="COK"/>
    <x v="1"/>
    <x v="1"/>
    <x v="1"/>
    <s v="predicted"/>
    <n v="11.0352008"/>
    <n v="11.077"/>
    <n v="4.1799201000000001E-2"/>
    <n v="1.42624624"/>
    <n v="-24.723131070000001"/>
    <n v="29.14290037"/>
    <x v="37"/>
    <s v="Feb-2021"/>
  </r>
  <r>
    <x v="38"/>
    <s v="COK"/>
    <x v="1"/>
    <x v="2"/>
    <x v="2"/>
    <s v="predicted"/>
    <n v="11.04751766"/>
    <n v="10.981999999999999"/>
    <n v="-6.5517660000000005E-2"/>
    <n v="1.3607285790000001"/>
    <n v="-26.15306223"/>
    <n v="29.128652630000001"/>
    <x v="37"/>
    <s v="Mar-2021"/>
  </r>
  <r>
    <x v="38"/>
    <s v="COK"/>
    <x v="1"/>
    <x v="3"/>
    <x v="3"/>
    <s v="predicted"/>
    <n v="11.09387474"/>
    <n v="11.057"/>
    <n v="-3.6874742000000002E-2"/>
    <n v="1.3238538369999999"/>
    <n v="-29.47862559"/>
    <n v="30.666495619999999"/>
    <x v="37"/>
    <s v="Apr-2021"/>
  </r>
  <r>
    <x v="38"/>
    <s v="COK"/>
    <x v="1"/>
    <x v="4"/>
    <x v="4"/>
    <s v="predicted"/>
    <n v="11.21870279"/>
    <n v="11.068"/>
    <n v="-0.150702792"/>
    <n v="1.173151045"/>
    <n v="-29.295697759999999"/>
    <n v="31.400107729999998"/>
    <x v="37"/>
    <s v="May-2021"/>
  </r>
  <r>
    <x v="38"/>
    <s v="COK"/>
    <x v="1"/>
    <x v="5"/>
    <x v="5"/>
    <s v="predicted"/>
    <n v="11.28485234"/>
    <n v="11.092000000000001"/>
    <n v="-0.19285234300000001"/>
    <n v="0.98029870200000002"/>
    <n v="-31.269746059999999"/>
    <n v="33.746923559999999"/>
    <x v="37"/>
    <s v="Jun-2021"/>
  </r>
  <r>
    <x v="38"/>
    <s v="COK"/>
    <x v="1"/>
    <x v="6"/>
    <x v="6"/>
    <s v="predicted"/>
    <n v="11.330500389999999"/>
    <n v="11.076000000000001"/>
    <n v="-0.254500385"/>
    <n v="0.72579831699999997"/>
    <n v="-31.053528060000001"/>
    <n v="33.788107310000001"/>
    <x v="37"/>
    <s v="Jul-2021"/>
  </r>
  <r>
    <x v="38"/>
    <s v="COK"/>
    <x v="1"/>
    <x v="7"/>
    <x v="7"/>
    <s v="predicted"/>
    <n v="11.29576421"/>
    <n v="11.333"/>
    <n v="3.7235790999999997E-2"/>
    <n v="0.76303410900000002"/>
    <n v="-32.158707659999997"/>
    <n v="33.769040760000003"/>
    <x v="37"/>
    <s v="Aug-2021"/>
  </r>
  <r>
    <x v="38"/>
    <s v="COK"/>
    <x v="1"/>
    <x v="8"/>
    <x v="8"/>
    <s v="predicted"/>
    <n v="11.302334269999999"/>
    <n v="11.433999999999999"/>
    <n v="0.13166573000000001"/>
    <n v="0.89469983799999997"/>
    <n v="-31.51631892"/>
    <n v="35.460676890000002"/>
    <x v="37"/>
    <s v="Sep-2021"/>
  </r>
  <r>
    <x v="38"/>
    <s v="COK"/>
    <x v="1"/>
    <x v="9"/>
    <x v="9"/>
    <s v="predicted"/>
    <n v="11.21543357"/>
    <n v="11.583"/>
    <n v="0.367566428"/>
    <n v="1.2622662659999999"/>
    <n v="-32.599248230000001"/>
    <n v="37.136285260000001"/>
    <x v="37"/>
    <s v="Oct-2021"/>
  </r>
  <r>
    <x v="38"/>
    <s v="COK"/>
    <x v="1"/>
    <x v="10"/>
    <x v="10"/>
    <s v="predicted"/>
    <n v="11.15452097"/>
    <n v="11.659000000000001"/>
    <n v="0.50447902600000005"/>
    <n v="1.766745292"/>
    <n v="-32.469191240000001"/>
    <n v="37.897653140000003"/>
    <x v="37"/>
    <s v="Nov-2021"/>
  </r>
  <r>
    <x v="38"/>
    <s v="COK"/>
    <x v="1"/>
    <x v="11"/>
    <x v="11"/>
    <s v="predicted"/>
    <n v="11.09441865"/>
    <n v="11.840999999999999"/>
    <n v="0.74658135199999998"/>
    <n v="2.5133266440000002"/>
    <n v="-32.186912900000003"/>
    <n v="39.266348409999999"/>
    <x v="37"/>
    <s v="Dec-2021"/>
  </r>
  <r>
    <x v="39"/>
    <s v="COL"/>
    <x v="0"/>
    <x v="0"/>
    <x v="0"/>
    <s v="reported"/>
    <n v="21570.6397"/>
    <n v="21687"/>
    <n v="62.943637379999998"/>
    <n v="62.943637379999998"/>
    <n v="-271.48824560000003"/>
    <n v="392.93701320000002"/>
    <x v="38"/>
    <s v="Jan-2020"/>
  </r>
  <r>
    <x v="39"/>
    <s v="COL"/>
    <x v="0"/>
    <x v="1"/>
    <x v="1"/>
    <s v="reported"/>
    <n v="18532.988430000001"/>
    <n v="19467"/>
    <n v="880.59490000000005"/>
    <n v="943.5385374"/>
    <n v="422.75995"/>
    <n v="1437.13402"/>
    <x v="38"/>
    <s v="Feb-2020"/>
  </r>
  <r>
    <x v="39"/>
    <s v="COL"/>
    <x v="0"/>
    <x v="2"/>
    <x v="2"/>
    <s v="reported"/>
    <n v="20428.83798"/>
    <n v="19792"/>
    <n v="-690.25465069999996"/>
    <n v="253.28388670000001"/>
    <n v="-444.56103130000002"/>
    <n v="889.85855949999996"/>
    <x v="38"/>
    <s v="Mar-2020"/>
  </r>
  <r>
    <x v="39"/>
    <s v="COL"/>
    <x v="0"/>
    <x v="3"/>
    <x v="3"/>
    <s v="reported"/>
    <n v="19714.536510000002"/>
    <n v="18484"/>
    <n v="-1283.953174"/>
    <n v="-1030.6692869999999"/>
    <n v="-1811.5482959999999"/>
    <n v="-304.57197910000002"/>
    <x v="38"/>
    <s v="Apr-2020"/>
  </r>
  <r>
    <x v="39"/>
    <s v="COL"/>
    <x v="0"/>
    <x v="4"/>
    <x v="4"/>
    <s v="reported"/>
    <n v="21000.176940000001"/>
    <n v="20445"/>
    <n v="-608.59360519999996"/>
    <n v="-1639.2628930000001"/>
    <n v="-2581.2942419999999"/>
    <n v="-745.12444240000002"/>
    <x v="38"/>
    <s v="May-2020"/>
  </r>
  <r>
    <x v="39"/>
    <s v="COL"/>
    <x v="0"/>
    <x v="5"/>
    <x v="5"/>
    <s v="reported"/>
    <n v="20949.161970000001"/>
    <n v="24366"/>
    <n v="3363.4213589999999"/>
    <n v="1724.1584660000001"/>
    <n v="720.51893259999997"/>
    <n v="2701.0973509999999"/>
    <x v="38"/>
    <s v="Jun-2020"/>
  </r>
  <r>
    <x v="39"/>
    <s v="COL"/>
    <x v="0"/>
    <x v="6"/>
    <x v="6"/>
    <s v="reported"/>
    <n v="21209.701639999999"/>
    <n v="32241"/>
    <n v="10977.88169"/>
    <n v="12702.04016"/>
    <n v="11556.02693"/>
    <n v="13779.026599999999"/>
    <x v="38"/>
    <s v="Jul-2020"/>
  </r>
  <r>
    <x v="39"/>
    <s v="COL"/>
    <x v="0"/>
    <x v="7"/>
    <x v="7"/>
    <s v="reported"/>
    <n v="20793.874049999999"/>
    <n v="32925"/>
    <n v="12077.709279999999"/>
    <n v="24779.74944"/>
    <n v="23557.733100000001"/>
    <n v="25980.407350000001"/>
    <x v="38"/>
    <s v="Aug-2020"/>
  </r>
  <r>
    <x v="39"/>
    <s v="COL"/>
    <x v="0"/>
    <x v="8"/>
    <x v="8"/>
    <s v="reported"/>
    <n v="19914.219140000001"/>
    <n v="27179"/>
    <n v="7211.3641909999997"/>
    <n v="31991.11363"/>
    <n v="30700.274229999999"/>
    <n v="33272.02865"/>
    <x v="38"/>
    <s v="Sep-2020"/>
  </r>
  <r>
    <x v="39"/>
    <s v="COL"/>
    <x v="0"/>
    <x v="9"/>
    <x v="9"/>
    <s v="reported"/>
    <n v="20433.0501"/>
    <n v="27510"/>
    <n v="7023.5332340000004"/>
    <n v="39014.646860000001"/>
    <n v="37668.410089999998"/>
    <n v="40351.373469999999"/>
    <x v="38"/>
    <s v="Oct-2020"/>
  </r>
  <r>
    <x v="39"/>
    <s v="COL"/>
    <x v="0"/>
    <x v="10"/>
    <x v="10"/>
    <s v="reported"/>
    <n v="20261.810320000001"/>
    <n v="26832"/>
    <n v="6516.7730099999999"/>
    <n v="45531.419869999998"/>
    <n v="44068.698859999997"/>
    <n v="46908.28815"/>
    <x v="38"/>
    <s v="Nov-2020"/>
  </r>
  <r>
    <x v="39"/>
    <s v="COL"/>
    <x v="0"/>
    <x v="11"/>
    <x v="11"/>
    <s v="reported"/>
    <n v="22095.83959"/>
    <n v="30504"/>
    <n v="8354.7437439999994"/>
    <n v="53886.163610000003"/>
    <n v="52416.112370000003"/>
    <n v="55308.773439999997"/>
    <x v="38"/>
    <s v="Dec-2020"/>
  </r>
  <r>
    <x v="39"/>
    <s v="COL"/>
    <x v="1"/>
    <x v="0"/>
    <x v="0"/>
    <s v="reported"/>
    <n v="22148.329699999998"/>
    <n v="36295"/>
    <n v="14039.003629999999"/>
    <n v="67925.167249999999"/>
    <n v="66386.576749999993"/>
    <n v="69424.89589"/>
    <x v="38"/>
    <s v="Jan-2021"/>
  </r>
  <r>
    <x v="39"/>
    <s v="COL"/>
    <x v="1"/>
    <x v="1"/>
    <x v="1"/>
    <s v="reported"/>
    <n v="19016.031729999999"/>
    <n v="25093"/>
    <n v="5969.3016049999997"/>
    <n v="73894.468850000005"/>
    <n v="72316.398060000007"/>
    <n v="75444.11361"/>
    <x v="38"/>
    <s v="Feb-2021"/>
  </r>
  <r>
    <x v="39"/>
    <s v="COL"/>
    <x v="1"/>
    <x v="2"/>
    <x v="2"/>
    <s v="reported"/>
    <n v="20957.228439999999"/>
    <n v="25471"/>
    <n v="4406.1048979999996"/>
    <n v="78300.573749999996"/>
    <n v="76540.25288"/>
    <n v="80033.312569999995"/>
    <x v="38"/>
    <s v="Mar-2021"/>
  </r>
  <r>
    <x v="39"/>
    <s v="COL"/>
    <x v="1"/>
    <x v="3"/>
    <x v="3"/>
    <s v="reported"/>
    <n v="20237.9823"/>
    <n v="34738"/>
    <n v="14392.35103"/>
    <n v="92692.924780000001"/>
    <n v="90885.803950000001"/>
    <n v="94485.955709999995"/>
    <x v="38"/>
    <s v="Apr-2021"/>
  </r>
  <r>
    <x v="39"/>
    <s v="COL"/>
    <x v="1"/>
    <x v="4"/>
    <x v="4"/>
    <s v="reported"/>
    <n v="21564.317230000001"/>
    <n v="40497"/>
    <n v="18825.01611"/>
    <n v="111517.9409"/>
    <n v="109571.5143"/>
    <n v="113301.9455"/>
    <x v="38"/>
    <s v="May-2021"/>
  </r>
  <r>
    <x v="39"/>
    <s v="COL"/>
    <x v="1"/>
    <x v="5"/>
    <x v="5"/>
    <s v="reported"/>
    <n v="21506.092929999999"/>
    <n v="44289"/>
    <n v="22675.240409999999"/>
    <n v="134193.1813"/>
    <n v="132105.31580000001"/>
    <n v="136030.20929999999"/>
    <x v="38"/>
    <s v="Jun-2021"/>
  </r>
  <r>
    <x v="39"/>
    <s v="COL"/>
    <x v="1"/>
    <x v="6"/>
    <x v="6"/>
    <s v="reported"/>
    <n v="21750.832350000001"/>
    <n v="38439"/>
    <n v="16580.500980000001"/>
    <n v="150773.68229999999"/>
    <n v="148707.6127"/>
    <n v="152757.14019999999"/>
    <x v="38"/>
    <s v="Jul-2021"/>
  </r>
  <r>
    <x v="39"/>
    <s v="COL"/>
    <x v="1"/>
    <x v="7"/>
    <x v="7"/>
    <s v="reported"/>
    <n v="21357.717710000001"/>
    <n v="25821"/>
    <n v="4355.6156209999999"/>
    <n v="155129.29790000001"/>
    <n v="153006.5667"/>
    <n v="157234.818"/>
    <x v="38"/>
    <s v="Aug-2021"/>
  </r>
  <r>
    <x v="39"/>
    <s v="COL"/>
    <x v="1"/>
    <x v="8"/>
    <x v="8"/>
    <s v="reported"/>
    <n v="20433.485939999999"/>
    <n v="21941"/>
    <n v="1399.8473980000001"/>
    <n v="156529.1453"/>
    <n v="154385.01730000001"/>
    <n v="158645.20300000001"/>
    <x v="38"/>
    <s v="Sep-2021"/>
  </r>
  <r>
    <x v="39"/>
    <s v="COL"/>
    <x v="1"/>
    <x v="9"/>
    <x v="9"/>
    <s v="reported"/>
    <n v="20985.147280000001"/>
    <n v="22571"/>
    <n v="1478.1860509999999"/>
    <n v="158007.3314"/>
    <n v="155822.6526"/>
    <n v="160357.55410000001"/>
    <x v="38"/>
    <s v="Oct-2021"/>
  </r>
  <r>
    <x v="39"/>
    <s v="COL"/>
    <x v="1"/>
    <x v="10"/>
    <x v="10"/>
    <s v="reported"/>
    <n v="20812.886829999999"/>
    <n v="22676"/>
    <n v="1755.4465009999999"/>
    <n v="159762.77789999999"/>
    <n v="157479.09450000001"/>
    <n v="162158.43909999999"/>
    <x v="38"/>
    <s v="Nov-2021"/>
  </r>
  <r>
    <x v="39"/>
    <s v="COL"/>
    <x v="1"/>
    <x v="11"/>
    <x v="11"/>
    <s v="reported"/>
    <n v="22683.540410000001"/>
    <n v="25247"/>
    <n v="2455.7929220000001"/>
    <n v="162218.57079999999"/>
    <n v="159894.37830000001"/>
    <n v="164612.94140000001"/>
    <x v="38"/>
    <s v="Dec-2021"/>
  </r>
  <r>
    <x v="40"/>
    <s v="COM"/>
    <x v="0"/>
    <x v="0"/>
    <x v="0"/>
    <s v="predicted"/>
    <n v="419.58644079999999"/>
    <n v="429.95699999999999"/>
    <n v="10.370559200000001"/>
    <n v="10.370559200000001"/>
    <n v="-97.749812210000002"/>
    <n v="145.1934541"/>
    <x v="39"/>
    <s v="Jan-2020"/>
  </r>
  <r>
    <x v="40"/>
    <s v="COM"/>
    <x v="0"/>
    <x v="1"/>
    <x v="1"/>
    <s v="predicted"/>
    <n v="418.5784127"/>
    <n v="422.85199999999998"/>
    <n v="4.2735872989999999"/>
    <n v="14.6441465"/>
    <n v="-143.06320099999999"/>
    <n v="192.90565219999999"/>
    <x v="39"/>
    <s v="Feb-2020"/>
  </r>
  <r>
    <x v="40"/>
    <s v="COM"/>
    <x v="0"/>
    <x v="2"/>
    <x v="2"/>
    <s v="predicted"/>
    <n v="418.11490149999997"/>
    <n v="423.39299999999997"/>
    <n v="5.2780984870000003"/>
    <n v="19.922244989999999"/>
    <n v="-177.27514450000001"/>
    <n v="238.21471310000001"/>
    <x v="39"/>
    <s v="Mar-2020"/>
  </r>
  <r>
    <x v="40"/>
    <s v="COM"/>
    <x v="0"/>
    <x v="3"/>
    <x v="3"/>
    <s v="predicted"/>
    <n v="418.3298054"/>
    <n v="429.92"/>
    <n v="11.590194609999999"/>
    <n v="31.51243959"/>
    <n v="-199.64792299999999"/>
    <n v="276.3053951"/>
    <x v="39"/>
    <s v="Apr-2020"/>
  </r>
  <r>
    <x v="40"/>
    <s v="COM"/>
    <x v="0"/>
    <x v="4"/>
    <x v="4"/>
    <s v="predicted"/>
    <n v="420.92151689999997"/>
    <n v="459.077"/>
    <n v="38.155483070000002"/>
    <n v="69.667922660000002"/>
    <n v="-182.6914812"/>
    <n v="351.9848265"/>
    <x v="39"/>
    <s v="May-2020"/>
  </r>
  <r>
    <x v="40"/>
    <s v="COM"/>
    <x v="0"/>
    <x v="5"/>
    <x v="5"/>
    <s v="predicted"/>
    <n v="424.2657724"/>
    <n v="463.95600000000002"/>
    <n v="39.6902276"/>
    <n v="109.35815030000001"/>
    <n v="-177.34786740000001"/>
    <n v="439.79395520000003"/>
    <x v="39"/>
    <s v="Jun-2020"/>
  </r>
  <r>
    <x v="40"/>
    <s v="COM"/>
    <x v="0"/>
    <x v="6"/>
    <x v="6"/>
    <s v="predicted"/>
    <n v="426.71176029999998"/>
    <n v="416.42500000000001"/>
    <n v="-10.28676029"/>
    <n v="99.071389980000006"/>
    <n v="-197.99595389999999"/>
    <n v="446.27249469999998"/>
    <x v="39"/>
    <s v="Jul-2020"/>
  </r>
  <r>
    <x v="40"/>
    <s v="COM"/>
    <x v="0"/>
    <x v="7"/>
    <x v="7"/>
    <s v="predicted"/>
    <n v="425.9490088"/>
    <n v="420.06799999999998"/>
    <n v="-5.8810087649999998"/>
    <n v="93.190381220000006"/>
    <n v="-240.34186940000001"/>
    <n v="472.62470300000001"/>
    <x v="39"/>
    <s v="Aug-2020"/>
  </r>
  <r>
    <x v="40"/>
    <s v="COM"/>
    <x v="0"/>
    <x v="8"/>
    <x v="8"/>
    <s v="predicted"/>
    <n v="425.19196599999998"/>
    <n v="422.11799999999999"/>
    <n v="-3.0739659580000001"/>
    <n v="90.116415259999997"/>
    <n v="-266.2021221"/>
    <n v="488.96182670000002"/>
    <x v="39"/>
    <s v="Sep-2020"/>
  </r>
  <r>
    <x v="40"/>
    <s v="COM"/>
    <x v="0"/>
    <x v="9"/>
    <x v="9"/>
    <s v="predicted"/>
    <n v="421.1367869"/>
    <n v="417.88200000000001"/>
    <n v="-3.2547869299999999"/>
    <n v="86.861628330000002"/>
    <n v="-301.32912950000002"/>
    <n v="513.12985960000003"/>
    <x v="39"/>
    <s v="Oct-2020"/>
  </r>
  <r>
    <x v="40"/>
    <s v="COM"/>
    <x v="0"/>
    <x v="10"/>
    <x v="10"/>
    <s v="predicted"/>
    <n v="418.8081722"/>
    <n v="412.63299999999998"/>
    <n v="-6.1751721750000002"/>
    <n v="80.686456149999998"/>
    <n v="-328.99009030000002"/>
    <n v="509.3492172"/>
    <x v="39"/>
    <s v="Nov-2020"/>
  </r>
  <r>
    <x v="40"/>
    <s v="COM"/>
    <x v="0"/>
    <x v="11"/>
    <x v="11"/>
    <s v="predicted"/>
    <n v="418.46154159999998"/>
    <n v="439.83600000000001"/>
    <n v="21.37445838"/>
    <n v="102.0609145"/>
    <n v="-306.83075100000002"/>
    <n v="548.76287239999999"/>
    <x v="39"/>
    <s v="Dec-2020"/>
  </r>
  <r>
    <x v="40"/>
    <s v="COM"/>
    <x v="1"/>
    <x v="0"/>
    <x v="0"/>
    <s v="predicted"/>
    <n v="421.45010660000003"/>
    <n v="570.81899999999996"/>
    <n v="149.36889339999999"/>
    <n v="251.42980789999999"/>
    <n v="-185.1118323"/>
    <n v="728.60314059999996"/>
    <x v="39"/>
    <s v="Jan-2021"/>
  </r>
  <r>
    <x v="40"/>
    <s v="COM"/>
    <x v="1"/>
    <x v="1"/>
    <x v="1"/>
    <s v="predicted"/>
    <n v="420.36164389999999"/>
    <n v="546.298"/>
    <n v="125.9363561"/>
    <n v="377.36616409999999"/>
    <n v="-77.960359850000003"/>
    <n v="879.22258620000002"/>
    <x v="39"/>
    <s v="Feb-2021"/>
  </r>
  <r>
    <x v="40"/>
    <s v="COM"/>
    <x v="1"/>
    <x v="2"/>
    <x v="2"/>
    <s v="predicted"/>
    <n v="419.67736589999998"/>
    <n v="447.791"/>
    <n v="28.113634090000001"/>
    <n v="405.4797982"/>
    <n v="-71.674744189999998"/>
    <n v="938.13432320000004"/>
    <x v="39"/>
    <s v="Mar-2021"/>
  </r>
  <r>
    <x v="40"/>
    <s v="COM"/>
    <x v="1"/>
    <x v="3"/>
    <x v="3"/>
    <s v="predicted"/>
    <n v="420.04583159999999"/>
    <n v="420.01299999999998"/>
    <n v="-3.2831568999999998E-2"/>
    <n v="405.4469666"/>
    <n v="-68.534713600000003"/>
    <n v="935.93643880000002"/>
    <x v="39"/>
    <s v="Apr-2021"/>
  </r>
  <r>
    <x v="40"/>
    <s v="COM"/>
    <x v="1"/>
    <x v="4"/>
    <x v="4"/>
    <s v="predicted"/>
    <n v="422.5490332"/>
    <n v="420.00900000000001"/>
    <n v="-2.5400331860000001"/>
    <n v="402.90693340000001"/>
    <n v="-100.8882148"/>
    <n v="953.38178749999997"/>
    <x v="39"/>
    <s v="May-2021"/>
  </r>
  <r>
    <x v="40"/>
    <s v="COM"/>
    <x v="1"/>
    <x v="5"/>
    <x v="5"/>
    <s v="predicted"/>
    <n v="425.97576350000003"/>
    <n v="429.17599999999999"/>
    <n v="3.2002365359999998"/>
    <n v="406.10716989999997"/>
    <n v="-132.29530539999999"/>
    <n v="976.54459599999996"/>
    <x v="39"/>
    <s v="Jun-2021"/>
  </r>
  <r>
    <x v="40"/>
    <s v="COM"/>
    <x v="1"/>
    <x v="6"/>
    <x v="6"/>
    <s v="predicted"/>
    <n v="428.3354539"/>
    <n v="455.12299999999999"/>
    <n v="26.78754605"/>
    <n v="432.89471600000002"/>
    <n v="-104.53001810000001"/>
    <n v="1001.166557"/>
    <x v="39"/>
    <s v="Jul-2021"/>
  </r>
  <r>
    <x v="40"/>
    <s v="COM"/>
    <x v="1"/>
    <x v="7"/>
    <x v="7"/>
    <s v="predicted"/>
    <n v="427.494326"/>
    <n v="432.10199999999998"/>
    <n v="4.6076739760000001"/>
    <n v="437.50238999999999"/>
    <n v="-105.79900960000001"/>
    <n v="1057.454753"/>
    <x v="39"/>
    <s v="Aug-2021"/>
  </r>
  <r>
    <x v="40"/>
    <s v="COM"/>
    <x v="1"/>
    <x v="8"/>
    <x v="8"/>
    <s v="predicted"/>
    <n v="426.65173179999999"/>
    <n v="429.73599999999999"/>
    <n v="3.0842681729999999"/>
    <n v="440.58665810000002"/>
    <n v="-87.660151139999996"/>
    <n v="1067.6398139999999"/>
    <x v="39"/>
    <s v="Sep-2021"/>
  </r>
  <r>
    <x v="40"/>
    <s v="COM"/>
    <x v="1"/>
    <x v="9"/>
    <x v="9"/>
    <s v="predicted"/>
    <n v="423.01670530000001"/>
    <n v="431.81200000000001"/>
    <n v="8.7952947350000006"/>
    <n v="449.38195289999999"/>
    <n v="-111.2918095"/>
    <n v="1087.9395010000001"/>
    <x v="39"/>
    <s v="Oct-2021"/>
  </r>
  <r>
    <x v="40"/>
    <s v="COM"/>
    <x v="1"/>
    <x v="10"/>
    <x v="10"/>
    <s v="predicted"/>
    <n v="420.48062570000002"/>
    <n v="451.48700000000002"/>
    <n v="31.00637425"/>
    <n v="480.38832710000003"/>
    <n v="-82.373051099999998"/>
    <n v="1122.7001829999999"/>
    <x v="39"/>
    <s v="Nov-2021"/>
  </r>
  <r>
    <x v="40"/>
    <s v="COM"/>
    <x v="1"/>
    <x v="11"/>
    <x v="11"/>
    <s v="predicted"/>
    <n v="420.04509760000002"/>
    <n v="468.88200000000001"/>
    <n v="48.836902379999998"/>
    <n v="529.22522949999995"/>
    <n v="-66.938031659999993"/>
    <n v="1170.487001"/>
    <x v="39"/>
    <s v="Dec-2021"/>
  </r>
  <r>
    <x v="41"/>
    <s v="CPV"/>
    <x v="0"/>
    <x v="0"/>
    <x v="0"/>
    <s v="reported"/>
    <n v="238.51387389999999"/>
    <n v="250"/>
    <n v="11.4861261"/>
    <n v="11.4861261"/>
    <n v="-3.9547441669999999"/>
    <n v="26.850999760000001"/>
    <x v="40"/>
    <s v="Jan-2020"/>
  </r>
  <r>
    <x v="41"/>
    <s v="CPV"/>
    <x v="0"/>
    <x v="1"/>
    <x v="1"/>
    <s v="reported"/>
    <n v="238.41428139999999"/>
    <n v="226"/>
    <n v="-12.414281369999999"/>
    <n v="-0.92815526400000004"/>
    <n v="-25.654093150000001"/>
    <n v="22.805968480000001"/>
    <x v="40"/>
    <s v="Feb-2020"/>
  </r>
  <r>
    <x v="41"/>
    <s v="CPV"/>
    <x v="0"/>
    <x v="2"/>
    <x v="2"/>
    <s v="reported"/>
    <n v="234.47220770000001"/>
    <n v="212"/>
    <n v="-22.472207699999998"/>
    <n v="-23.40036297"/>
    <n v="-54.492401059999999"/>
    <n v="8.532063205"/>
    <x v="40"/>
    <s v="Mar-2020"/>
  </r>
  <r>
    <x v="41"/>
    <s v="CPV"/>
    <x v="0"/>
    <x v="3"/>
    <x v="3"/>
    <s v="reported"/>
    <n v="220.81566269999999"/>
    <n v="221"/>
    <n v="0.18433729500000001"/>
    <n v="-23.216025670000001"/>
    <n v="-58.483083469999997"/>
    <n v="11.87745576"/>
    <x v="40"/>
    <s v="Apr-2020"/>
  </r>
  <r>
    <x v="41"/>
    <s v="CPV"/>
    <x v="0"/>
    <x v="4"/>
    <x v="4"/>
    <s v="reported"/>
    <n v="211.4837225"/>
    <n v="206"/>
    <n v="-5.4837224600000001"/>
    <n v="-28.69974813"/>
    <n v="-68.767273720000006"/>
    <n v="11.748505339999999"/>
    <x v="40"/>
    <s v="May-2020"/>
  </r>
  <r>
    <x v="41"/>
    <s v="CPV"/>
    <x v="0"/>
    <x v="5"/>
    <x v="5"/>
    <s v="reported"/>
    <n v="210.9861358"/>
    <n v="245"/>
    <n v="34.013864230000003"/>
    <n v="5.3141160999999997"/>
    <n v="-39.242539960000002"/>
    <n v="48.83517423"/>
    <x v="40"/>
    <s v="Jun-2020"/>
  </r>
  <r>
    <x v="41"/>
    <s v="CPV"/>
    <x v="0"/>
    <x v="6"/>
    <x v="6"/>
    <s v="reported"/>
    <n v="222.17731019999999"/>
    <n v="227"/>
    <n v="4.8226898230000002"/>
    <n v="10.13680592"/>
    <n v="-39.74576948"/>
    <n v="56.913899710000003"/>
    <x v="40"/>
    <s v="Jul-2020"/>
  </r>
  <r>
    <x v="41"/>
    <s v="CPV"/>
    <x v="0"/>
    <x v="7"/>
    <x v="7"/>
    <s v="reported"/>
    <n v="234.0966335"/>
    <n v="259"/>
    <n v="24.903366479999999"/>
    <n v="35.040172400000003"/>
    <n v="-14.926091"/>
    <n v="85.009934220000005"/>
    <x v="40"/>
    <s v="Aug-2020"/>
  </r>
  <r>
    <x v="41"/>
    <s v="CPV"/>
    <x v="0"/>
    <x v="8"/>
    <x v="8"/>
    <s v="reported"/>
    <n v="237.0169147"/>
    <n v="283"/>
    <n v="45.983085289999998"/>
    <n v="81.023257689999994"/>
    <n v="29.804324189999999"/>
    <n v="136.82079630000001"/>
    <x v="40"/>
    <s v="Sep-2020"/>
  </r>
  <r>
    <x v="41"/>
    <s v="CPV"/>
    <x v="0"/>
    <x v="9"/>
    <x v="9"/>
    <s v="reported"/>
    <n v="235.5761267"/>
    <n v="293"/>
    <n v="57.423873350000001"/>
    <n v="138.44713100000001"/>
    <n v="81.296434000000005"/>
    <n v="200.53910049999999"/>
    <x v="40"/>
    <s v="Oct-2020"/>
  </r>
  <r>
    <x v="41"/>
    <s v="CPV"/>
    <x v="0"/>
    <x v="10"/>
    <x v="10"/>
    <s v="reported"/>
    <n v="235.98403980000001"/>
    <n v="264"/>
    <n v="28.015960199999999"/>
    <n v="166.46309120000001"/>
    <n v="107.32601099999999"/>
    <n v="229.59446600000001"/>
    <x v="40"/>
    <s v="Nov-2020"/>
  </r>
  <r>
    <x v="41"/>
    <s v="CPV"/>
    <x v="0"/>
    <x v="11"/>
    <x v="11"/>
    <s v="reported"/>
    <n v="240.3419744"/>
    <n v="273"/>
    <n v="32.658025559999999"/>
    <n v="199.12111680000001"/>
    <n v="133.44930239999999"/>
    <n v="263.5116458"/>
    <x v="40"/>
    <s v="Dec-2020"/>
  </r>
  <r>
    <x v="41"/>
    <s v="CPV"/>
    <x v="1"/>
    <x v="0"/>
    <x v="0"/>
    <s v="predicted"/>
    <n v="240.5933718"/>
    <n v="284.24799999999999"/>
    <n v="43.654628160000001"/>
    <n v="242.775745"/>
    <n v="134.36084049999999"/>
    <n v="363.3917404"/>
    <x v="40"/>
    <s v="Jan-2021"/>
  </r>
  <r>
    <x v="41"/>
    <s v="CPV"/>
    <x v="1"/>
    <x v="1"/>
    <x v="1"/>
    <s v="predicted"/>
    <n v="240.36123559999999"/>
    <n v="276.89999999999998"/>
    <n v="36.538764440000001"/>
    <n v="279.31450940000002"/>
    <n v="130.04656750000001"/>
    <n v="441.05991649999999"/>
    <x v="40"/>
    <s v="Feb-2021"/>
  </r>
  <r>
    <x v="41"/>
    <s v="CPV"/>
    <x v="1"/>
    <x v="2"/>
    <x v="2"/>
    <s v="predicted"/>
    <n v="235.9098414"/>
    <n v="286.49900000000002"/>
    <n v="50.589158599999998"/>
    <n v="329.90366799999998"/>
    <n v="143.45895010000001"/>
    <n v="538.57675099999994"/>
    <x v="40"/>
    <s v="Mar-2021"/>
  </r>
  <r>
    <x v="41"/>
    <s v="CPV"/>
    <x v="1"/>
    <x v="3"/>
    <x v="3"/>
    <s v="predicted"/>
    <n v="223.16864720000001"/>
    <n v="283.67599999999999"/>
    <n v="60.507352840000003"/>
    <n v="390.41102080000002"/>
    <n v="174.5966114"/>
    <n v="649.67699819999996"/>
    <x v="40"/>
    <s v="Apr-2021"/>
  </r>
  <r>
    <x v="41"/>
    <s v="CPV"/>
    <x v="1"/>
    <x v="4"/>
    <x v="4"/>
    <s v="predicted"/>
    <n v="212.89454449999999"/>
    <n v="271.05799999999999"/>
    <n v="58.163455470000002"/>
    <n v="448.57447630000001"/>
    <n v="188.15218899999999"/>
    <n v="743.63148899999999"/>
    <x v="40"/>
    <s v="May-2021"/>
  </r>
  <r>
    <x v="41"/>
    <s v="CPV"/>
    <x v="1"/>
    <x v="5"/>
    <x v="5"/>
    <s v="predicted"/>
    <n v="213.27406920000001"/>
    <n v="249.65"/>
    <n v="36.375930779999997"/>
    <n v="484.95040710000001"/>
    <n v="192.10137889999999"/>
    <n v="815.65525239999999"/>
    <x v="40"/>
    <s v="Jun-2021"/>
  </r>
  <r>
    <x v="41"/>
    <s v="CPV"/>
    <x v="1"/>
    <x v="6"/>
    <x v="6"/>
    <s v="predicted"/>
    <n v="223.74368000000001"/>
    <n v="255.34"/>
    <n v="31.596319990000001"/>
    <n v="516.5467271"/>
    <n v="200.0845242"/>
    <n v="883.4317873"/>
    <x v="40"/>
    <s v="Jul-2021"/>
  </r>
  <r>
    <x v="41"/>
    <s v="CPV"/>
    <x v="1"/>
    <x v="7"/>
    <x v="7"/>
    <s v="predicted"/>
    <n v="235.76295089999999"/>
    <n v="272.51799999999997"/>
    <n v="36.75504909"/>
    <n v="553.30177619999995"/>
    <n v="207.826109"/>
    <n v="953.28641719999996"/>
    <x v="40"/>
    <s v="Aug-2021"/>
  </r>
  <r>
    <x v="41"/>
    <s v="CPV"/>
    <x v="1"/>
    <x v="8"/>
    <x v="8"/>
    <s v="predicted"/>
    <n v="238.36277380000001"/>
    <n v="284.30599999999998"/>
    <n v="45.943226199999998"/>
    <n v="599.24500239999998"/>
    <n v="210.9457069"/>
    <n v="1040.0257650000001"/>
    <x v="40"/>
    <s v="Sep-2021"/>
  </r>
  <r>
    <x v="41"/>
    <s v="CPV"/>
    <x v="1"/>
    <x v="9"/>
    <x v="9"/>
    <s v="predicted"/>
    <n v="237.2576962"/>
    <n v="256.70600000000002"/>
    <n v="19.448303840000001"/>
    <n v="618.69330620000005"/>
    <n v="205.10237900000001"/>
    <n v="1078.985915"/>
    <x v="40"/>
    <s v="Oct-2021"/>
  </r>
  <r>
    <x v="41"/>
    <s v="CPV"/>
    <x v="1"/>
    <x v="10"/>
    <x v="10"/>
    <s v="predicted"/>
    <n v="237.85101929999999"/>
    <n v="235.20400000000001"/>
    <n v="-2.6470193069999999"/>
    <n v="616.04628690000004"/>
    <n v="173.2677305"/>
    <n v="1097.0835259999999"/>
    <x v="40"/>
    <s v="Nov-2021"/>
  </r>
  <r>
    <x v="41"/>
    <s v="CPV"/>
    <x v="1"/>
    <x v="11"/>
    <x v="11"/>
    <s v="predicted"/>
    <n v="242.61200579999999"/>
    <n v="260.75700000000001"/>
    <n v="18.144994189999998"/>
    <n v="634.19128109999997"/>
    <n v="160.8139031"/>
    <n v="1144.539679"/>
    <x v="40"/>
    <s v="Dec-2021"/>
  </r>
  <r>
    <x v="42"/>
    <s v="CRI"/>
    <x v="0"/>
    <x v="0"/>
    <x v="0"/>
    <s v="reported"/>
    <n v="2251.2165879999998"/>
    <n v="2160"/>
    <n v="-91.216588299999998"/>
    <n v="-91.216588299999998"/>
    <n v="-163.6853112"/>
    <n v="-18.888326679999999"/>
    <x v="41"/>
    <s v="Jan-2020"/>
  </r>
  <r>
    <x v="42"/>
    <s v="CRI"/>
    <x v="0"/>
    <x v="1"/>
    <x v="1"/>
    <s v="reported"/>
    <n v="1914.3786439999999"/>
    <n v="1914"/>
    <n v="-0.37864355399999999"/>
    <n v="-91.595231850000005"/>
    <n v="-206.22500629999999"/>
    <n v="21.0626243"/>
    <x v="41"/>
    <s v="Feb-2020"/>
  </r>
  <r>
    <x v="42"/>
    <s v="CRI"/>
    <x v="0"/>
    <x v="2"/>
    <x v="2"/>
    <s v="reported"/>
    <n v="2044.116268"/>
    <n v="2003"/>
    <n v="-41.116267929999999"/>
    <n v="-132.71149980000001"/>
    <n v="-276.71957120000002"/>
    <n v="2.4469867920000001"/>
    <x v="41"/>
    <s v="Mar-2020"/>
  </r>
  <r>
    <x v="42"/>
    <s v="CRI"/>
    <x v="0"/>
    <x v="3"/>
    <x v="3"/>
    <s v="reported"/>
    <n v="2047.618692"/>
    <n v="1881"/>
    <n v="-166.61869200000001"/>
    <n v="-299.3301917"/>
    <n v="-471.44897450000002"/>
    <n v="-134.27143280000001"/>
    <x v="41"/>
    <s v="Apr-2020"/>
  </r>
  <r>
    <x v="42"/>
    <s v="CRI"/>
    <x v="0"/>
    <x v="4"/>
    <x v="4"/>
    <s v="reported"/>
    <n v="2104.0465009999998"/>
    <n v="1862"/>
    <n v="-242.04650079999999"/>
    <n v="-541.37669259999996"/>
    <n v="-741.31909499999995"/>
    <n v="-346.86368299999998"/>
    <x v="41"/>
    <s v="May-2020"/>
  </r>
  <r>
    <x v="42"/>
    <s v="CRI"/>
    <x v="0"/>
    <x v="5"/>
    <x v="5"/>
    <s v="reported"/>
    <n v="2116.8160400000002"/>
    <n v="1857"/>
    <n v="-259.81604010000001"/>
    <n v="-801.19273269999997"/>
    <n v="-1017.660566"/>
    <n v="-581.52637240000001"/>
    <x v="41"/>
    <s v="Jun-2020"/>
  </r>
  <r>
    <x v="42"/>
    <s v="CRI"/>
    <x v="0"/>
    <x v="6"/>
    <x v="6"/>
    <s v="reported"/>
    <n v="2111.1693919999998"/>
    <n v="2059"/>
    <n v="-52.169392360000003"/>
    <n v="-853.36212499999999"/>
    <n v="-1102.978376"/>
    <n v="-621.81391989999997"/>
    <x v="41"/>
    <s v="Jul-2020"/>
  </r>
  <r>
    <x v="42"/>
    <s v="CRI"/>
    <x v="0"/>
    <x v="7"/>
    <x v="7"/>
    <s v="reported"/>
    <n v="2123.5125720000001"/>
    <n v="2273"/>
    <n v="149.48742820000001"/>
    <n v="-703.87469680000004"/>
    <n v="-966.17291990000001"/>
    <n v="-440.09540390000001"/>
    <x v="41"/>
    <s v="Aug-2020"/>
  </r>
  <r>
    <x v="42"/>
    <s v="CRI"/>
    <x v="0"/>
    <x v="8"/>
    <x v="8"/>
    <s v="reported"/>
    <n v="2088.3941460000001"/>
    <n v="2536"/>
    <n v="447.6058539"/>
    <n v="-256.26884289999998"/>
    <n v="-542.44501539999999"/>
    <n v="26.870226250000002"/>
    <x v="41"/>
    <s v="Sep-2020"/>
  </r>
  <r>
    <x v="42"/>
    <s v="CRI"/>
    <x v="0"/>
    <x v="9"/>
    <x v="9"/>
    <s v="reported"/>
    <n v="2150.0261350000001"/>
    <n v="2467"/>
    <n v="316.97386460000001"/>
    <n v="60.705021760000001"/>
    <n v="-248.7605585"/>
    <n v="354.6202811"/>
    <x v="41"/>
    <s v="Oct-2020"/>
  </r>
  <r>
    <x v="42"/>
    <s v="CRI"/>
    <x v="0"/>
    <x v="10"/>
    <x v="10"/>
    <s v="reported"/>
    <n v="2196.5643770000001"/>
    <n v="2300"/>
    <n v="103.43562319999999"/>
    <n v="164.14064500000001"/>
    <n v="-165.8773353"/>
    <n v="457.00517500000001"/>
    <x v="41"/>
    <s v="Nov-2020"/>
  </r>
  <r>
    <x v="42"/>
    <s v="CRI"/>
    <x v="0"/>
    <x v="11"/>
    <x v="11"/>
    <s v="reported"/>
    <n v="2323.090072"/>
    <n v="2897"/>
    <n v="573.90992779999999"/>
    <n v="738.05057280000005"/>
    <n v="416.93749609999998"/>
    <n v="1040.6395680000001"/>
    <x v="41"/>
    <s v="Dec-2020"/>
  </r>
  <r>
    <x v="42"/>
    <s v="CRI"/>
    <x v="1"/>
    <x v="0"/>
    <x v="0"/>
    <s v="reported"/>
    <n v="2329.271299"/>
    <n v="2676"/>
    <n v="346.14536779999997"/>
    <n v="1084.1959409999999"/>
    <n v="746.64471590000005"/>
    <n v="1410.0502240000001"/>
    <x v="41"/>
    <s v="Jan-2021"/>
  </r>
  <r>
    <x v="42"/>
    <s v="CRI"/>
    <x v="1"/>
    <x v="1"/>
    <x v="1"/>
    <s v="reported"/>
    <n v="1985.2270269999999"/>
    <n v="2076"/>
    <n v="90.189639880000001"/>
    <n v="1174.3855799999999"/>
    <n v="824.23264329999995"/>
    <n v="1509.066423"/>
    <x v="41"/>
    <s v="Feb-2021"/>
  </r>
  <r>
    <x v="42"/>
    <s v="CRI"/>
    <x v="1"/>
    <x v="2"/>
    <x v="2"/>
    <s v="reported"/>
    <n v="2117.268826"/>
    <n v="2274"/>
    <n v="156.14784069999999"/>
    <n v="1330.5334210000001"/>
    <n v="976.63509069999998"/>
    <n v="1690.0151269999999"/>
    <x v="41"/>
    <s v="Mar-2021"/>
  </r>
  <r>
    <x v="42"/>
    <s v="CRI"/>
    <x v="1"/>
    <x v="3"/>
    <x v="3"/>
    <s v="reported"/>
    <n v="2119.1042379999999"/>
    <n v="2314"/>
    <n v="194.31242900000001"/>
    <n v="1524.8458499999999"/>
    <n v="1149.1480300000001"/>
    <n v="1887.10392"/>
    <x v="41"/>
    <s v="Apr-2021"/>
  </r>
  <r>
    <x v="42"/>
    <s v="CRI"/>
    <x v="1"/>
    <x v="4"/>
    <x v="4"/>
    <s v="reported"/>
    <n v="2179.5241599999999"/>
    <n v="3022"/>
    <n v="841.89250660000005"/>
    <n v="2366.7383570000002"/>
    <n v="1987.6349809999999"/>
    <n v="2764.4692639999998"/>
    <x v="41"/>
    <s v="May-2021"/>
  </r>
  <r>
    <x v="42"/>
    <s v="CRI"/>
    <x v="1"/>
    <x v="5"/>
    <x v="5"/>
    <s v="reported"/>
    <n v="2188.9735529999998"/>
    <n v="2636"/>
    <n v="446.44311320000003"/>
    <n v="2813.18147"/>
    <n v="2406.812156"/>
    <n v="3218.92454"/>
    <x v="41"/>
    <s v="Jun-2021"/>
  </r>
  <r>
    <x v="42"/>
    <s v="CRI"/>
    <x v="1"/>
    <x v="6"/>
    <x v="6"/>
    <s v="reported"/>
    <n v="2185.534255"/>
    <n v="2486"/>
    <n v="299.88241149999999"/>
    <n v="3113.063881"/>
    <n v="2680.1824230000002"/>
    <n v="3536.323684"/>
    <x v="41"/>
    <s v="Jul-2021"/>
  </r>
  <r>
    <x v="42"/>
    <s v="CRI"/>
    <x v="1"/>
    <x v="7"/>
    <x v="7"/>
    <s v="reported"/>
    <n v="2197.8773099999999"/>
    <n v="2742"/>
    <n v="543.53935679999995"/>
    <n v="3656.6032380000001"/>
    <n v="3234.4927389999998"/>
    <n v="4100.027951"/>
    <x v="41"/>
    <s v="Aug-2021"/>
  </r>
  <r>
    <x v="42"/>
    <s v="CRI"/>
    <x v="1"/>
    <x v="8"/>
    <x v="8"/>
    <s v="reported"/>
    <n v="2158.814018"/>
    <n v="3169"/>
    <n v="1009.602649"/>
    <n v="4666.2058870000001"/>
    <n v="4211.4238960000002"/>
    <n v="5112.3375429999996"/>
    <x v="41"/>
    <s v="Sep-2021"/>
  </r>
  <r>
    <x v="42"/>
    <s v="CRI"/>
    <x v="1"/>
    <x v="9"/>
    <x v="9"/>
    <s v="reported"/>
    <n v="2229.7884989999998"/>
    <n v="2958"/>
    <n v="727.62816729999997"/>
    <n v="5393.8340539999999"/>
    <n v="4933.1382020000001"/>
    <n v="5852.577303"/>
    <x v="41"/>
    <s v="Oct-2021"/>
  </r>
  <r>
    <x v="42"/>
    <s v="CRI"/>
    <x v="1"/>
    <x v="10"/>
    <x v="10"/>
    <s v="reported"/>
    <n v="2272.9159030000001"/>
    <n v="2360"/>
    <n v="86.500764059999995"/>
    <n v="5480.3348180000003"/>
    <n v="5000.6312209999996"/>
    <n v="5948.9578879999999"/>
    <x v="41"/>
    <s v="Nov-2021"/>
  </r>
  <r>
    <x v="42"/>
    <s v="CRI"/>
    <x v="1"/>
    <x v="11"/>
    <x v="11"/>
    <s v="reported"/>
    <n v="2405.3644140000001"/>
    <n v="2368"/>
    <n v="-37.947747530000001"/>
    <n v="5442.3870710000001"/>
    <n v="4980.5695669999996"/>
    <n v="5924.9055120000003"/>
    <x v="41"/>
    <s v="Dec-2021"/>
  </r>
  <r>
    <x v="43"/>
    <s v="CUB"/>
    <x v="0"/>
    <x v="0"/>
    <x v="0"/>
    <s v="reported"/>
    <n v="9565.7307149999997"/>
    <n v="9920"/>
    <n v="353.93595199999999"/>
    <n v="353.93595199999999"/>
    <n v="11.3532218"/>
    <n v="695.58457490000001"/>
    <x v="42"/>
    <s v="Jan-2020"/>
  </r>
  <r>
    <x v="43"/>
    <s v="CUB"/>
    <x v="0"/>
    <x v="1"/>
    <x v="1"/>
    <s v="reported"/>
    <n v="9362.9779849999995"/>
    <n v="9134"/>
    <n v="-229.31131830000001"/>
    <n v="124.6246337"/>
    <n v="-435.59960100000001"/>
    <n v="671.29379700000004"/>
    <x v="42"/>
    <s v="Feb-2020"/>
  </r>
  <r>
    <x v="43"/>
    <s v="CUB"/>
    <x v="0"/>
    <x v="2"/>
    <x v="2"/>
    <s v="reported"/>
    <n v="9097.0686029999997"/>
    <n v="10022"/>
    <n v="924.59806400000002"/>
    <n v="1049.222698"/>
    <n v="368.57419440000001"/>
    <n v="1759.4227490000001"/>
    <x v="42"/>
    <s v="Mar-2020"/>
  </r>
  <r>
    <x v="43"/>
    <s v="CUB"/>
    <x v="0"/>
    <x v="3"/>
    <x v="3"/>
    <s v="reported"/>
    <n v="8884.4186389999995"/>
    <n v="9330"/>
    <n v="445.24802729999999"/>
    <n v="1494.4707249999999"/>
    <n v="713.71660280000003"/>
    <n v="2280.2467830000001"/>
    <x v="42"/>
    <s v="Apr-2020"/>
  </r>
  <r>
    <x v="43"/>
    <s v="CUB"/>
    <x v="0"/>
    <x v="4"/>
    <x v="4"/>
    <s v="reported"/>
    <n v="8976.9068979999993"/>
    <n v="8544"/>
    <n v="-433.24023089999997"/>
    <n v="1061.2304939999999"/>
    <n v="106.2105047"/>
    <n v="1943.1526260000001"/>
    <x v="42"/>
    <s v="May-2020"/>
  </r>
  <r>
    <x v="43"/>
    <s v="CUB"/>
    <x v="0"/>
    <x v="5"/>
    <x v="5"/>
    <s v="reported"/>
    <n v="9301.3189259999999"/>
    <n v="8722"/>
    <n v="-579.6522592"/>
    <n v="481.57823500000001"/>
    <n v="-482.5379026"/>
    <n v="1408.9809270000001"/>
    <x v="42"/>
    <s v="Jun-2020"/>
  </r>
  <r>
    <x v="43"/>
    <s v="CUB"/>
    <x v="0"/>
    <x v="6"/>
    <x v="6"/>
    <s v="reported"/>
    <n v="9621.1952340000007"/>
    <n v="9290"/>
    <n v="-331.52856680000002"/>
    <n v="150.04966809999999"/>
    <n v="-884.64692649999995"/>
    <n v="1160.0093770000001"/>
    <x v="42"/>
    <s v="Jul-2020"/>
  </r>
  <r>
    <x v="43"/>
    <s v="CUB"/>
    <x v="0"/>
    <x v="7"/>
    <x v="7"/>
    <s v="reported"/>
    <n v="9472.1111619999992"/>
    <n v="9405"/>
    <n v="-67.444495200000006"/>
    <n v="82.605172929999995"/>
    <n v="-992.16245530000003"/>
    <n v="1224.378404"/>
    <x v="42"/>
    <s v="Aug-2020"/>
  </r>
  <r>
    <x v="43"/>
    <s v="CUB"/>
    <x v="0"/>
    <x v="8"/>
    <x v="8"/>
    <s v="reported"/>
    <n v="9152.9767749999992"/>
    <n v="8349"/>
    <n v="-804.31010860000004"/>
    <n v="-721.70493569999996"/>
    <n v="-1877.796208"/>
    <n v="467.87615169999998"/>
    <x v="42"/>
    <s v="Sep-2020"/>
  </r>
  <r>
    <x v="43"/>
    <s v="CUB"/>
    <x v="0"/>
    <x v="9"/>
    <x v="9"/>
    <s v="reported"/>
    <n v="9189.6434730000001"/>
    <n v="9081"/>
    <n v="-108.9768067"/>
    <n v="-830.68174239999996"/>
    <n v="-2062.3617509999999"/>
    <n v="430.19524910000001"/>
    <x v="42"/>
    <s v="Oct-2020"/>
  </r>
  <r>
    <x v="43"/>
    <s v="CUB"/>
    <x v="0"/>
    <x v="10"/>
    <x v="10"/>
    <s v="reported"/>
    <n v="9470.1050300000006"/>
    <n v="9460"/>
    <n v="-10.438363470000001"/>
    <n v="-841.1201059"/>
    <n v="-2168.0535209999998"/>
    <n v="477.35629089999998"/>
    <x v="42"/>
    <s v="Nov-2020"/>
  </r>
  <r>
    <x v="43"/>
    <s v="CUB"/>
    <x v="0"/>
    <x v="11"/>
    <x v="11"/>
    <s v="reported"/>
    <n v="9774.2065210000001"/>
    <n v="11192"/>
    <n v="1417.4601459999999"/>
    <n v="576.34004010000001"/>
    <n v="-801.35337800000002"/>
    <n v="1930.3996079999999"/>
    <x v="42"/>
    <s v="Dec-2020"/>
  </r>
  <r>
    <x v="43"/>
    <s v="CUB"/>
    <x v="1"/>
    <x v="0"/>
    <x v="0"/>
    <s v="reported"/>
    <n v="9790.8815900000009"/>
    <n v="11968"/>
    <n v="2176.2017430000001"/>
    <n v="2752.5417830000001"/>
    <n v="1315.089039"/>
    <n v="4195.4226740000004"/>
    <x v="42"/>
    <s v="Jan-2021"/>
  </r>
  <r>
    <x v="43"/>
    <s v="CUB"/>
    <x v="1"/>
    <x v="1"/>
    <x v="1"/>
    <s v="reported"/>
    <n v="9586.6580630000008"/>
    <n v="10689"/>
    <n v="1101.42527"/>
    <n v="3853.9670529999999"/>
    <n v="2358.9880589999998"/>
    <n v="5399.7858770000003"/>
    <x v="42"/>
    <s v="Feb-2021"/>
  </r>
  <r>
    <x v="43"/>
    <s v="CUB"/>
    <x v="1"/>
    <x v="2"/>
    <x v="2"/>
    <s v="reported"/>
    <n v="9313.4219940000003"/>
    <n v="10610"/>
    <n v="1295.661339"/>
    <n v="5149.6283919999996"/>
    <n v="3553.8231919999998"/>
    <n v="6707.0095060000003"/>
    <x v="42"/>
    <s v="Mar-2021"/>
  </r>
  <r>
    <x v="43"/>
    <s v="CUB"/>
    <x v="1"/>
    <x v="3"/>
    <x v="3"/>
    <s v="reported"/>
    <n v="9098.7738040000004"/>
    <n v="10332"/>
    <n v="1232.30953"/>
    <n v="6381.9379209999997"/>
    <n v="4718.0636869999998"/>
    <n v="8071.808771"/>
    <x v="42"/>
    <s v="Apr-2021"/>
  </r>
  <r>
    <x v="43"/>
    <s v="CUB"/>
    <x v="1"/>
    <x v="4"/>
    <x v="4"/>
    <s v="reported"/>
    <n v="9178.9957310000009"/>
    <n v="10542"/>
    <n v="1362.0876020000001"/>
    <n v="7744.0255239999997"/>
    <n v="5966.3383540000004"/>
    <n v="9540.1551369999997"/>
    <x v="42"/>
    <s v="May-2021"/>
  </r>
  <r>
    <x v="43"/>
    <s v="CUB"/>
    <x v="1"/>
    <x v="5"/>
    <x v="5"/>
    <s v="reported"/>
    <n v="9515.4085489999998"/>
    <n v="10641"/>
    <n v="1124.6747849999999"/>
    <n v="8868.7003089999998"/>
    <n v="6999.3908869999996"/>
    <n v="10669.173220000001"/>
    <x v="42"/>
    <s v="Jun-2021"/>
  </r>
  <r>
    <x v="43"/>
    <s v="CUB"/>
    <x v="1"/>
    <x v="6"/>
    <x v="6"/>
    <s v="reported"/>
    <n v="9859.7241740000009"/>
    <n v="18450"/>
    <n v="8589.35916"/>
    <n v="17458.05947"/>
    <n v="15509.73525"/>
    <n v="19301.249749999999"/>
    <x v="42"/>
    <s v="Jul-2021"/>
  </r>
  <r>
    <x v="43"/>
    <s v="CUB"/>
    <x v="1"/>
    <x v="7"/>
    <x v="7"/>
    <s v="reported"/>
    <n v="9687.0639080000001"/>
    <n v="28655"/>
    <n v="18967.019420000001"/>
    <n v="36425.078889999997"/>
    <n v="34474.722269999998"/>
    <n v="38312.449930000002"/>
    <x v="42"/>
    <s v="Aug-2021"/>
  </r>
  <r>
    <x v="43"/>
    <s v="CUB"/>
    <x v="1"/>
    <x v="8"/>
    <x v="8"/>
    <s v="reported"/>
    <n v="9355.1110189999999"/>
    <n v="22921"/>
    <n v="13564.972309999999"/>
    <n v="49990.051209999998"/>
    <n v="47951.555540000001"/>
    <n v="51978.987820000002"/>
    <x v="42"/>
    <s v="Sep-2021"/>
  </r>
  <r>
    <x v="43"/>
    <s v="CUB"/>
    <x v="1"/>
    <x v="9"/>
    <x v="9"/>
    <s v="reported"/>
    <n v="9426.0841110000001"/>
    <n v="12583"/>
    <n v="3155.9992219999999"/>
    <n v="53146.050430000003"/>
    <n v="51019.312299999998"/>
    <n v="55077.249730000003"/>
    <x v="42"/>
    <s v="Oct-2021"/>
  </r>
  <r>
    <x v="43"/>
    <s v="CUB"/>
    <x v="1"/>
    <x v="10"/>
    <x v="10"/>
    <s v="reported"/>
    <n v="9712.6995019999995"/>
    <n v="10008"/>
    <n v="294.3838318"/>
    <n v="53440.434260000002"/>
    <n v="51283.740660000003"/>
    <n v="55461.295639999997"/>
    <x v="42"/>
    <s v="Nov-2021"/>
  </r>
  <r>
    <x v="43"/>
    <s v="CUB"/>
    <x v="1"/>
    <x v="11"/>
    <x v="11"/>
    <s v="reported"/>
    <n v="10012.293890000001"/>
    <n v="10246"/>
    <n v="232.78943960000001"/>
    <n v="53673.223700000002"/>
    <n v="51371.33799"/>
    <n v="55711.695820000001"/>
    <x v="42"/>
    <s v="Dec-2021"/>
  </r>
  <r>
    <x v="44"/>
    <s v="CYP"/>
    <x v="0"/>
    <x v="0"/>
    <x v="0"/>
    <s v="reported"/>
    <n v="598.18995729999995"/>
    <n v="718"/>
    <n v="119.8100427"/>
    <n v="119.8100427"/>
    <n v="87.907522450000002"/>
    <n v="152.1079819"/>
    <x v="43"/>
    <s v="Jan-2020"/>
  </r>
  <r>
    <x v="44"/>
    <s v="CYP"/>
    <x v="0"/>
    <x v="1"/>
    <x v="1"/>
    <s v="reported"/>
    <n v="617.74132320000001"/>
    <n v="592"/>
    <n v="-25.741323170000001"/>
    <n v="94.0687195"/>
    <n v="41.109136280000001"/>
    <n v="143.68079929999999"/>
    <x v="43"/>
    <s v="Feb-2020"/>
  </r>
  <r>
    <x v="44"/>
    <s v="CYP"/>
    <x v="0"/>
    <x v="2"/>
    <x v="2"/>
    <s v="reported"/>
    <n v="583.50733149999996"/>
    <n v="599"/>
    <n v="15.492668500000001"/>
    <n v="109.56138799999999"/>
    <n v="42.202696150000001"/>
    <n v="170.71733649999999"/>
    <x v="43"/>
    <s v="Mar-2020"/>
  </r>
  <r>
    <x v="44"/>
    <s v="CYP"/>
    <x v="0"/>
    <x v="3"/>
    <x v="3"/>
    <s v="reported"/>
    <n v="533.49800159999995"/>
    <n v="525"/>
    <n v="-8.4980015980000001"/>
    <n v="101.0633864"/>
    <n v="25.289829099999999"/>
    <n v="171.403468"/>
    <x v="43"/>
    <s v="Apr-2020"/>
  </r>
  <r>
    <x v="44"/>
    <s v="CYP"/>
    <x v="0"/>
    <x v="4"/>
    <x v="4"/>
    <s v="reported"/>
    <n v="491.26931439999998"/>
    <n v="609"/>
    <n v="117.7306856"/>
    <n v="218.794072"/>
    <n v="135.29831050000001"/>
    <n v="297.61850199999998"/>
    <x v="43"/>
    <s v="May-2020"/>
  </r>
  <r>
    <x v="44"/>
    <s v="CYP"/>
    <x v="0"/>
    <x v="5"/>
    <x v="5"/>
    <s v="reported"/>
    <n v="466.6910029"/>
    <n v="468"/>
    <n v="1.308997108"/>
    <n v="220.1030691"/>
    <n v="129.35068039999999"/>
    <n v="303.47189700000001"/>
    <x v="43"/>
    <s v="Jun-2020"/>
  </r>
  <r>
    <x v="44"/>
    <s v="CYP"/>
    <x v="0"/>
    <x v="6"/>
    <x v="6"/>
    <s v="reported"/>
    <n v="477.65717330000001"/>
    <n v="509"/>
    <n v="31.342826710000001"/>
    <n v="251.44589579999999"/>
    <n v="155.47221379999999"/>
    <n v="335.82061069999997"/>
    <x v="43"/>
    <s v="Jul-2020"/>
  </r>
  <r>
    <x v="44"/>
    <s v="CYP"/>
    <x v="0"/>
    <x v="7"/>
    <x v="7"/>
    <s v="reported"/>
    <n v="475.42581469999999"/>
    <n v="468"/>
    <n v="-7.4258147409999999"/>
    <n v="244.0200811"/>
    <n v="141.14252909999999"/>
    <n v="337.15413719999998"/>
    <x v="43"/>
    <s v="Aug-2020"/>
  </r>
  <r>
    <x v="44"/>
    <s v="CYP"/>
    <x v="0"/>
    <x v="8"/>
    <x v="8"/>
    <s v="reported"/>
    <n v="459.19834750000001"/>
    <n v="470"/>
    <n v="10.80165253"/>
    <n v="254.82173359999999"/>
    <n v="146.5847594"/>
    <n v="356.83877289999998"/>
    <x v="43"/>
    <s v="Sep-2020"/>
  </r>
  <r>
    <x v="44"/>
    <s v="CYP"/>
    <x v="0"/>
    <x v="9"/>
    <x v="9"/>
    <s v="reported"/>
    <n v="469.45898749999998"/>
    <n v="500"/>
    <n v="30.541012479999999"/>
    <n v="285.36274609999998"/>
    <n v="177.93082899999999"/>
    <n v="391.61212069999999"/>
    <x v="43"/>
    <s v="Oct-2020"/>
  </r>
  <r>
    <x v="44"/>
    <s v="CYP"/>
    <x v="0"/>
    <x v="10"/>
    <x v="10"/>
    <s v="reported"/>
    <n v="518.02215539999997"/>
    <n v="543"/>
    <n v="24.977844600000001"/>
    <n v="310.34059070000001"/>
    <n v="198.5502572"/>
    <n v="425.26939529999999"/>
    <x v="43"/>
    <s v="Nov-2020"/>
  </r>
  <r>
    <x v="44"/>
    <s v="CYP"/>
    <x v="0"/>
    <x v="11"/>
    <x v="11"/>
    <s v="reported"/>
    <n v="607.5358162"/>
    <n v="687"/>
    <n v="79.464183770000005"/>
    <n v="389.80477450000001"/>
    <n v="273.75934489999997"/>
    <n v="510.7960003"/>
    <x v="43"/>
    <s v="Dec-2020"/>
  </r>
  <r>
    <x v="44"/>
    <s v="CYP"/>
    <x v="1"/>
    <x v="0"/>
    <x v="0"/>
    <s v="reported"/>
    <n v="607.2108485"/>
    <n v="694"/>
    <n v="86.447670059999993"/>
    <n v="476.25244450000002"/>
    <n v="348.42459170000001"/>
    <n v="603.8487672"/>
    <x v="43"/>
    <s v="Jan-2021"/>
  </r>
  <r>
    <x v="44"/>
    <s v="CYP"/>
    <x v="1"/>
    <x v="1"/>
    <x v="1"/>
    <s v="reported"/>
    <n v="626.40882299999998"/>
    <n v="566"/>
    <n v="-60.750304409999998"/>
    <n v="415.50214010000002"/>
    <n v="273.34472879999998"/>
    <n v="545.58388160000004"/>
    <x v="43"/>
    <s v="Feb-2021"/>
  </r>
  <r>
    <x v="44"/>
    <s v="CYP"/>
    <x v="1"/>
    <x v="2"/>
    <x v="2"/>
    <s v="reported"/>
    <n v="592.40680550000002"/>
    <n v="585"/>
    <n v="-7.7482869579999996"/>
    <n v="407.75385319999998"/>
    <n v="259.0099128"/>
    <n v="547.61494440000001"/>
    <x v="43"/>
    <s v="Mar-2021"/>
  </r>
  <r>
    <x v="44"/>
    <s v="CYP"/>
    <x v="1"/>
    <x v="3"/>
    <x v="3"/>
    <s v="reported"/>
    <n v="542.7087272"/>
    <n v="666"/>
    <n v="122.9497914"/>
    <n v="530.7036445"/>
    <n v="377.34313980000002"/>
    <n v="676.44818150000003"/>
    <x v="43"/>
    <s v="Apr-2021"/>
  </r>
  <r>
    <x v="44"/>
    <s v="CYP"/>
    <x v="1"/>
    <x v="4"/>
    <x v="4"/>
    <s v="reported"/>
    <n v="496.92107720000001"/>
    <n v="561"/>
    <n v="63.737441320000002"/>
    <n v="594.44108589999996"/>
    <n v="441.13174249999997"/>
    <n v="749.3334261"/>
    <x v="43"/>
    <s v="May-2021"/>
  </r>
  <r>
    <x v="44"/>
    <s v="CYP"/>
    <x v="1"/>
    <x v="5"/>
    <x v="5"/>
    <s v="reported"/>
    <n v="472.62533580000002"/>
    <n v="510"/>
    <n v="37.033182750000002"/>
    <n v="631.47426859999996"/>
    <n v="477.59949360000002"/>
    <n v="790.08316709999997"/>
    <x v="43"/>
    <s v="Jun-2021"/>
  </r>
  <r>
    <x v="44"/>
    <s v="CYP"/>
    <x v="1"/>
    <x v="6"/>
    <x v="6"/>
    <s v="reported"/>
    <n v="484.76032370000001"/>
    <n v="661"/>
    <n v="175.89819489999999"/>
    <n v="807.37246349999998"/>
    <n v="650.78819099999998"/>
    <n v="972.60608569999999"/>
    <x v="43"/>
    <s v="Jul-2021"/>
  </r>
  <r>
    <x v="44"/>
    <s v="CYP"/>
    <x v="1"/>
    <x v="7"/>
    <x v="7"/>
    <s v="reported"/>
    <n v="482.79835750000001"/>
    <n v="711"/>
    <n v="227.86016100000001"/>
    <n v="1035.2326250000001"/>
    <n v="876.29342880000002"/>
    <n v="1205.0791859999999"/>
    <x v="43"/>
    <s v="Aug-2021"/>
  </r>
  <r>
    <x v="44"/>
    <s v="CYP"/>
    <x v="1"/>
    <x v="8"/>
    <x v="8"/>
    <s v="reported"/>
    <n v="468.66392669999999"/>
    <n v="570"/>
    <n v="100.99459179999999"/>
    <n v="1136.227216"/>
    <n v="971.4620208"/>
    <n v="1306.5850379999999"/>
    <x v="43"/>
    <s v="Sep-2021"/>
  </r>
  <r>
    <x v="44"/>
    <s v="CYP"/>
    <x v="1"/>
    <x v="9"/>
    <x v="9"/>
    <s v="reported"/>
    <n v="476.19901490000001"/>
    <n v="555"/>
    <n v="78.459503639999994"/>
    <n v="1214.6867199999999"/>
    <n v="1046.9988470000001"/>
    <n v="1381.6670959999999"/>
    <x v="43"/>
    <s v="Oct-2021"/>
  </r>
  <r>
    <x v="44"/>
    <s v="CYP"/>
    <x v="1"/>
    <x v="10"/>
    <x v="10"/>
    <s v="reported"/>
    <n v="527.25842499999999"/>
    <n v="602"/>
    <n v="74.400093530000007"/>
    <n v="1289.086814"/>
    <n v="1114.8749419999999"/>
    <n v="1464.0757040000001"/>
    <x v="43"/>
    <s v="Nov-2021"/>
  </r>
  <r>
    <x v="44"/>
    <s v="CYP"/>
    <x v="1"/>
    <x v="11"/>
    <x v="11"/>
    <s v="reported"/>
    <n v="616.65818950000005"/>
    <n v="727"/>
    <n v="110.00032899999999"/>
    <n v="1399.087143"/>
    <n v="1224.185571"/>
    <n v="1584.533719"/>
    <x v="43"/>
    <s v="Dec-2021"/>
  </r>
  <r>
    <x v="45"/>
    <s v="CZE"/>
    <x v="0"/>
    <x v="0"/>
    <x v="0"/>
    <s v="reported"/>
    <n v="10036.749169999999"/>
    <n v="10241"/>
    <n v="203.2508311"/>
    <n v="203.2508311"/>
    <n v="-195.04269719999999"/>
    <n v="584.62991669999997"/>
    <x v="44"/>
    <s v="Jan-2020"/>
  </r>
  <r>
    <x v="45"/>
    <s v="CZE"/>
    <x v="0"/>
    <x v="1"/>
    <x v="1"/>
    <s v="reported"/>
    <n v="10273.86715"/>
    <n v="9794"/>
    <n v="-480.8671473"/>
    <n v="-277.61631620000003"/>
    <n v="-887.57768869999995"/>
    <n v="312.05996870000001"/>
    <x v="44"/>
    <s v="Feb-2020"/>
  </r>
  <r>
    <x v="45"/>
    <s v="CZE"/>
    <x v="0"/>
    <x v="2"/>
    <x v="2"/>
    <s v="reported"/>
    <n v="10077.243109999999"/>
    <n v="10211"/>
    <n v="132.7568885"/>
    <n v="-144.8594277"/>
    <n v="-935.54396150000002"/>
    <n v="644.63108209999996"/>
    <x v="44"/>
    <s v="Mar-2020"/>
  </r>
  <r>
    <x v="45"/>
    <s v="CZE"/>
    <x v="0"/>
    <x v="3"/>
    <x v="3"/>
    <s v="reported"/>
    <n v="9425.8315380000004"/>
    <n v="9267"/>
    <n v="-159.83153820000001"/>
    <n v="-304.69096580000001"/>
    <n v="-1187.7255459999999"/>
    <n v="626.97859459999995"/>
    <x v="44"/>
    <s v="Apr-2020"/>
  </r>
  <r>
    <x v="45"/>
    <s v="CZE"/>
    <x v="0"/>
    <x v="4"/>
    <x v="4"/>
    <s v="reported"/>
    <n v="8939.0067620000009"/>
    <n v="8787"/>
    <n v="-153.00676250000001"/>
    <n v="-457.69772829999999"/>
    <n v="-1471.3834899999999"/>
    <n v="601.98493759999997"/>
    <x v="44"/>
    <s v="May-2020"/>
  </r>
  <r>
    <x v="45"/>
    <s v="CZE"/>
    <x v="0"/>
    <x v="5"/>
    <x v="5"/>
    <s v="reported"/>
    <n v="8734.3751900000007"/>
    <n v="8825"/>
    <n v="89.624810449999998"/>
    <n v="-368.07291789999999"/>
    <n v="-1438.0948490000001"/>
    <n v="681.52479879999999"/>
    <x v="44"/>
    <s v="Jun-2020"/>
  </r>
  <r>
    <x v="45"/>
    <s v="CZE"/>
    <x v="0"/>
    <x v="6"/>
    <x v="6"/>
    <s v="reported"/>
    <n v="8843.2787000000008"/>
    <n v="9175"/>
    <n v="330.72130019999997"/>
    <n v="-37.35161763"/>
    <n v="-1215.6628579999999"/>
    <n v="1090.712123"/>
    <x v="44"/>
    <s v="Jul-2020"/>
  </r>
  <r>
    <x v="45"/>
    <s v="CZE"/>
    <x v="0"/>
    <x v="7"/>
    <x v="7"/>
    <s v="reported"/>
    <n v="8882.4149199999993"/>
    <n v="9417"/>
    <n v="533.58508019999999"/>
    <n v="496.2334626"/>
    <n v="-797.84612179999999"/>
    <n v="1708.6924280000001"/>
    <x v="44"/>
    <s v="Aug-2020"/>
  </r>
  <r>
    <x v="45"/>
    <s v="CZE"/>
    <x v="0"/>
    <x v="8"/>
    <x v="8"/>
    <s v="reported"/>
    <n v="8881.9613730000001"/>
    <n v="9468"/>
    <n v="585.03862700000002"/>
    <n v="1081.2720899999999"/>
    <n v="-287.11889530000002"/>
    <n v="2384.852398"/>
    <x v="44"/>
    <s v="Sep-2020"/>
  </r>
  <r>
    <x v="45"/>
    <s v="CZE"/>
    <x v="0"/>
    <x v="9"/>
    <x v="9"/>
    <s v="reported"/>
    <n v="9091.3493990000006"/>
    <n v="14185"/>
    <n v="5092.6506010000003"/>
    <n v="6173.9226909999998"/>
    <n v="4819.3401050000002"/>
    <n v="7535.2320300000001"/>
    <x v="44"/>
    <s v="Oct-2020"/>
  </r>
  <r>
    <x v="45"/>
    <s v="CZE"/>
    <x v="0"/>
    <x v="10"/>
    <x v="10"/>
    <s v="reported"/>
    <n v="9457.7893550000008"/>
    <n v="15730"/>
    <n v="6271.2106450000001"/>
    <n v="12445.13334"/>
    <n v="10969.385410000001"/>
    <n v="13806.383529999999"/>
    <x v="44"/>
    <s v="Nov-2020"/>
  </r>
  <r>
    <x v="45"/>
    <s v="CZE"/>
    <x v="0"/>
    <x v="11"/>
    <x v="11"/>
    <s v="reported"/>
    <n v="10071.47752"/>
    <n v="14227"/>
    <n v="4154.5224799999996"/>
    <n v="16599.65582"/>
    <n v="15155.88459"/>
    <n v="17977.779879999998"/>
    <x v="44"/>
    <s v="Dec-2020"/>
  </r>
  <r>
    <x v="45"/>
    <s v="CZE"/>
    <x v="1"/>
    <x v="0"/>
    <x v="0"/>
    <s v="reported"/>
    <n v="10087.936750000001"/>
    <n v="16152"/>
    <n v="6063.4799160000002"/>
    <n v="22663.135730000002"/>
    <n v="21109.076010000001"/>
    <n v="24143.423409999999"/>
    <x v="44"/>
    <s v="Jan-2021"/>
  </r>
  <r>
    <x v="45"/>
    <s v="CZE"/>
    <x v="1"/>
    <x v="1"/>
    <x v="1"/>
    <s v="reported"/>
    <n v="10320.32656"/>
    <n v="13820"/>
    <n v="3499.0901100000001"/>
    <n v="26162.225839999999"/>
    <n v="24457.930690000001"/>
    <n v="27773.231739999999"/>
    <x v="44"/>
    <s v="Feb-2021"/>
  </r>
  <r>
    <x v="45"/>
    <s v="CZE"/>
    <x v="1"/>
    <x v="2"/>
    <x v="2"/>
    <s v="reported"/>
    <n v="10120.77865"/>
    <n v="16704"/>
    <n v="6582.6380200000003"/>
    <n v="32744.863860000001"/>
    <n v="30963.741590000001"/>
    <n v="34521.501609999999"/>
    <x v="44"/>
    <s v="Mar-2021"/>
  </r>
  <r>
    <x v="45"/>
    <s v="CZE"/>
    <x v="1"/>
    <x v="3"/>
    <x v="3"/>
    <s v="reported"/>
    <n v="9473.3799760000002"/>
    <n v="11801"/>
    <n v="2327.0366899999999"/>
    <n v="35071.900549999998"/>
    <n v="33322.247840000004"/>
    <n v="37007.697679999997"/>
    <x v="44"/>
    <s v="Apr-2021"/>
  </r>
  <r>
    <x v="45"/>
    <s v="CZE"/>
    <x v="1"/>
    <x v="4"/>
    <x v="4"/>
    <s v="reported"/>
    <n v="8993.6184529999991"/>
    <n v="9564"/>
    <n v="569.79821349999997"/>
    <n v="35641.698770000003"/>
    <n v="33839.481520000001"/>
    <n v="37624.844349999999"/>
    <x v="44"/>
    <s v="May-2021"/>
  </r>
  <r>
    <x v="45"/>
    <s v="CZE"/>
    <x v="1"/>
    <x v="5"/>
    <x v="5"/>
    <s v="reported"/>
    <n v="8779.685082"/>
    <n v="8593"/>
    <n v="-187.2684151"/>
    <n v="35454.430350000002"/>
    <n v="33574.492319999998"/>
    <n v="37455.607949999998"/>
    <x v="44"/>
    <s v="Jun-2021"/>
  </r>
  <r>
    <x v="45"/>
    <s v="CZE"/>
    <x v="1"/>
    <x v="6"/>
    <x v="6"/>
    <s v="reported"/>
    <n v="8875.8271519999998"/>
    <n v="8808"/>
    <n v="-68.410485640000005"/>
    <n v="35386.01986"/>
    <n v="33488.186759999997"/>
    <n v="37534.110820000002"/>
    <x v="44"/>
    <s v="Jul-2021"/>
  </r>
  <r>
    <x v="45"/>
    <s v="CZE"/>
    <x v="1"/>
    <x v="7"/>
    <x v="7"/>
    <s v="reported"/>
    <n v="8922.3742910000001"/>
    <n v="8754"/>
    <n v="-168.95762400000001"/>
    <n v="35217.062239999999"/>
    <n v="33371.975989999999"/>
    <n v="37418.189789999997"/>
    <x v="44"/>
    <s v="Aug-2021"/>
  </r>
  <r>
    <x v="45"/>
    <s v="CZE"/>
    <x v="1"/>
    <x v="8"/>
    <x v="8"/>
    <s v="reported"/>
    <n v="8897.751483"/>
    <n v="8910"/>
    <n v="11.665184"/>
    <n v="35228.727420000003"/>
    <n v="33220.117700000003"/>
    <n v="37437.440219999997"/>
    <x v="44"/>
    <s v="Sep-2021"/>
  </r>
  <r>
    <x v="45"/>
    <s v="CZE"/>
    <x v="1"/>
    <x v="9"/>
    <x v="9"/>
    <s v="reported"/>
    <n v="9149.6123889999999"/>
    <n v="10099"/>
    <n v="948.80427810000003"/>
    <n v="36177.5317"/>
    <n v="33984.207649999997"/>
    <n v="38466.228470000002"/>
    <x v="44"/>
    <s v="Oct-2021"/>
  </r>
  <r>
    <x v="45"/>
    <s v="CZE"/>
    <x v="1"/>
    <x v="10"/>
    <x v="10"/>
    <s v="reported"/>
    <n v="9476.2450420000005"/>
    <n v="12824"/>
    <n v="3347.1716240000001"/>
    <n v="39524.703329999997"/>
    <n v="37251.212339999998"/>
    <n v="41794.138160000002"/>
    <x v="44"/>
    <s v="Nov-2021"/>
  </r>
  <r>
    <x v="45"/>
    <s v="CZE"/>
    <x v="1"/>
    <x v="11"/>
    <x v="11"/>
    <s v="reported"/>
    <n v="10123.18147"/>
    <n v="13847"/>
    <n v="3723.235193"/>
    <n v="43247.938520000003"/>
    <n v="41029.658880000003"/>
    <n v="45650.64084"/>
    <x v="44"/>
    <s v="Dec-2021"/>
  </r>
  <r>
    <x v="46"/>
    <s v="DEU"/>
    <x v="0"/>
    <x v="0"/>
    <x v="0"/>
    <s v="reported"/>
    <n v="84611.589540000001"/>
    <n v="84800"/>
    <n v="187.2437947"/>
    <n v="187.2437947"/>
    <n v="-2856.1212439999999"/>
    <n v="3203.7432709999998"/>
    <x v="45"/>
    <s v="Jan-2020"/>
  </r>
  <r>
    <x v="46"/>
    <s v="DEU"/>
    <x v="0"/>
    <x v="1"/>
    <x v="1"/>
    <s v="reported"/>
    <n v="88331.838080000001"/>
    <n v="80007"/>
    <n v="-8326.0047450000002"/>
    <n v="-8138.7609499999999"/>
    <n v="-13200.62061"/>
    <n v="-3196.6167829999999"/>
    <x v="45"/>
    <s v="Feb-2020"/>
  </r>
  <r>
    <x v="46"/>
    <s v="DEU"/>
    <x v="0"/>
    <x v="2"/>
    <x v="2"/>
    <s v="reported"/>
    <n v="88633.819380000001"/>
    <n v="87606"/>
    <n v="-1028.986046"/>
    <n v="-9167.7469959999999"/>
    <n v="-15796.309080000001"/>
    <n v="-3027.8596440000001"/>
    <x v="45"/>
    <s v="Mar-2020"/>
  </r>
  <r>
    <x v="46"/>
    <s v="DEU"/>
    <x v="0"/>
    <x v="3"/>
    <x v="3"/>
    <s v="reported"/>
    <n v="80406.568379999997"/>
    <n v="83319"/>
    <n v="2911.264948"/>
    <n v="-6256.4820470000004"/>
    <n v="-13391.39899"/>
    <n v="1471.9646540000001"/>
    <x v="45"/>
    <s v="Apr-2020"/>
  </r>
  <r>
    <x v="46"/>
    <s v="DEU"/>
    <x v="0"/>
    <x v="4"/>
    <x v="4"/>
    <s v="reported"/>
    <n v="75132.907250000004"/>
    <n v="76271"/>
    <n v="1136.9260810000001"/>
    <n v="-5119.5559670000002"/>
    <n v="-12855.15019"/>
    <n v="3155.3420999999998"/>
    <x v="45"/>
    <s v="May-2020"/>
  </r>
  <r>
    <x v="46"/>
    <s v="DEU"/>
    <x v="0"/>
    <x v="5"/>
    <x v="5"/>
    <s v="reported"/>
    <n v="73111.394799999995"/>
    <n v="72259"/>
    <n v="-853.5614703"/>
    <n v="-5973.1174369999999"/>
    <n v="-14546.64899"/>
    <n v="2785.4658519999998"/>
    <x v="45"/>
    <s v="Jun-2020"/>
  </r>
  <r>
    <x v="46"/>
    <s v="DEU"/>
    <x v="0"/>
    <x v="6"/>
    <x v="6"/>
    <s v="reported"/>
    <n v="74515.897979999994"/>
    <n v="73773"/>
    <n v="-744.0646438"/>
    <n v="-6717.1820809999999"/>
    <n v="-15665.280280000001"/>
    <n v="2407.4122889999999"/>
    <x v="45"/>
    <s v="Jul-2020"/>
  </r>
  <r>
    <x v="46"/>
    <s v="DEU"/>
    <x v="0"/>
    <x v="7"/>
    <x v="7"/>
    <s v="reported"/>
    <n v="73972.381739999997"/>
    <n v="78784"/>
    <n v="4810.4515970000002"/>
    <n v="-1906.7304839999999"/>
    <n v="-11979.12264"/>
    <n v="7792.3252469999998"/>
    <x v="45"/>
    <s v="Aug-2020"/>
  </r>
  <r>
    <x v="46"/>
    <s v="DEU"/>
    <x v="0"/>
    <x v="8"/>
    <x v="8"/>
    <s v="reported"/>
    <n v="72629.614449999994"/>
    <n v="74095"/>
    <n v="1464.218883"/>
    <n v="-442.51160069999997"/>
    <n v="-10501.246709999999"/>
    <n v="10318.455980000001"/>
    <x v="45"/>
    <s v="Sep-2020"/>
  </r>
  <r>
    <x v="46"/>
    <s v="DEU"/>
    <x v="0"/>
    <x v="9"/>
    <x v="9"/>
    <s v="reported"/>
    <n v="75419.693780000001"/>
    <n v="79837"/>
    <n v="4416.1395549999997"/>
    <n v="3973.6279549999999"/>
    <n v="-6426.9452499999998"/>
    <n v="14794.66574"/>
    <x v="45"/>
    <s v="Oct-2020"/>
  </r>
  <r>
    <x v="46"/>
    <s v="DEU"/>
    <x v="0"/>
    <x v="10"/>
    <x v="10"/>
    <s v="reported"/>
    <n v="78652.26827"/>
    <n v="86104"/>
    <n v="7450.5650660000001"/>
    <n v="11424.193020000001"/>
    <n v="739.01291089999995"/>
    <n v="22859.97897"/>
    <x v="45"/>
    <s v="Nov-2020"/>
  </r>
  <r>
    <x v="46"/>
    <s v="DEU"/>
    <x v="0"/>
    <x v="11"/>
    <x v="11"/>
    <s v="reported"/>
    <n v="85159.838109999997"/>
    <n v="108251"/>
    <n v="23089.995220000001"/>
    <n v="34514.188240000003"/>
    <n v="22598.756270000002"/>
    <n v="46423.36694"/>
    <x v="45"/>
    <s v="Dec-2020"/>
  </r>
  <r>
    <x v="46"/>
    <s v="DEU"/>
    <x v="1"/>
    <x v="0"/>
    <x v="0"/>
    <s v="reported"/>
    <n v="85191.109089999998"/>
    <n v="107200"/>
    <n v="21991.057580000001"/>
    <n v="56505.245819999996"/>
    <n v="44360.534849999996"/>
    <n v="68726.873940000005"/>
    <x v="45"/>
    <s v="Jan-2021"/>
  </r>
  <r>
    <x v="46"/>
    <s v="DEU"/>
    <x v="1"/>
    <x v="1"/>
    <x v="1"/>
    <s v="reported"/>
    <n v="88917.083039999998"/>
    <n v="82191"/>
    <n v="-6743.9163689999996"/>
    <n v="49761.329449999997"/>
    <n v="37028.072189999999"/>
    <n v="63073.94586"/>
    <x v="45"/>
    <s v="Feb-2021"/>
  </r>
  <r>
    <x v="46"/>
    <s v="DEU"/>
    <x v="1"/>
    <x v="2"/>
    <x v="2"/>
    <s v="reported"/>
    <n v="89226.492610000001"/>
    <n v="81809"/>
    <n v="-7435.3259449999996"/>
    <n v="42326.003510000002"/>
    <n v="29693.545010000002"/>
    <n v="56588.554629999999"/>
    <x v="45"/>
    <s v="Mar-2021"/>
  </r>
  <r>
    <x v="46"/>
    <s v="DEU"/>
    <x v="1"/>
    <x v="3"/>
    <x v="3"/>
    <s v="reported"/>
    <n v="80840.599069999997"/>
    <n v="81804"/>
    <n v="945.56759980000004"/>
    <n v="43271.571109999997"/>
    <n v="29174.404289999999"/>
    <n v="58704.280319999998"/>
    <x v="45"/>
    <s v="Apr-2021"/>
  </r>
  <r>
    <x v="46"/>
    <s v="DEU"/>
    <x v="1"/>
    <x v="4"/>
    <x v="4"/>
    <s v="reported"/>
    <n v="75633.124129999997"/>
    <n v="81098"/>
    <n v="5447.0425320000004"/>
    <n v="48718.613640000003"/>
    <n v="33575.681660000002"/>
    <n v="64809.746570000003"/>
    <x v="45"/>
    <s v="May-2021"/>
  </r>
  <r>
    <x v="46"/>
    <s v="DEU"/>
    <x v="1"/>
    <x v="5"/>
    <x v="5"/>
    <s v="reported"/>
    <n v="73568.097869999998"/>
    <n v="76593"/>
    <n v="3007.068792"/>
    <n v="51725.682430000001"/>
    <n v="36687.122130000003"/>
    <n v="67976.710909999994"/>
    <x v="45"/>
    <s v="Jun-2021"/>
  </r>
  <r>
    <x v="46"/>
    <s v="DEU"/>
    <x v="1"/>
    <x v="6"/>
    <x v="6"/>
    <s v="reported"/>
    <n v="75050.923790000001"/>
    <n v="76743"/>
    <n v="1674.242872"/>
    <n v="53399.925309999999"/>
    <n v="37740.361109999998"/>
    <n v="70180.228000000003"/>
    <x v="45"/>
    <s v="Jul-2021"/>
  </r>
  <r>
    <x v="46"/>
    <s v="DEU"/>
    <x v="1"/>
    <x v="7"/>
    <x v="7"/>
    <s v="reported"/>
    <n v="74333.911949999994"/>
    <n v="76646"/>
    <n v="2294.254719"/>
    <n v="55694.18002"/>
    <n v="39892.870759999998"/>
    <n v="73255.663079999998"/>
    <x v="45"/>
    <s v="Aug-2021"/>
  </r>
  <r>
    <x v="46"/>
    <s v="DEU"/>
    <x v="1"/>
    <x v="8"/>
    <x v="8"/>
    <s v="reported"/>
    <n v="72961.085420000003"/>
    <n v="77839"/>
    <n v="4860.0812509999996"/>
    <n v="60554.261279999999"/>
    <n v="44435.395799999998"/>
    <n v="78659.137040000001"/>
    <x v="45"/>
    <s v="Sep-2021"/>
  </r>
  <r>
    <x v="46"/>
    <s v="DEU"/>
    <x v="1"/>
    <x v="9"/>
    <x v="9"/>
    <s v="reported"/>
    <n v="75870.818400000004"/>
    <n v="85076"/>
    <n v="9187.3482660000009"/>
    <n v="69741.609540000005"/>
    <n v="52822.728640000001"/>
    <n v="87420.857010000007"/>
    <x v="45"/>
    <s v="Oct-2021"/>
  </r>
  <r>
    <x v="46"/>
    <s v="DEU"/>
    <x v="1"/>
    <x v="10"/>
    <x v="10"/>
    <s v="reported"/>
    <n v="79233.444810000001"/>
    <n v="94024"/>
    <n v="14772.72186"/>
    <n v="84514.331399999995"/>
    <n v="66646.179130000004"/>
    <n v="103286.07670000001"/>
    <x v="45"/>
    <s v="Nov-2021"/>
  </r>
  <r>
    <x v="46"/>
    <s v="DEU"/>
    <x v="1"/>
    <x v="11"/>
    <x v="11"/>
    <s v="reported"/>
    <n v="85621.523740000004"/>
    <n v="102630"/>
    <n v="16990.642930000002"/>
    <n v="101504.9743"/>
    <n v="82702.571259999997"/>
    <n v="120724.6275"/>
    <x v="45"/>
    <s v="Dec-2021"/>
  </r>
  <r>
    <x v="47"/>
    <s v="DJI"/>
    <x v="0"/>
    <x v="0"/>
    <x v="0"/>
    <s v="predicted"/>
    <n v="622.48033850000002"/>
    <n v="640.13599999999997"/>
    <n v="17.655661469999998"/>
    <n v="17.655661469999998"/>
    <n v="-146.36643810000001"/>
    <n v="223.4162374"/>
    <x v="46"/>
    <s v="Jan-2020"/>
  </r>
  <r>
    <x v="47"/>
    <s v="DJI"/>
    <x v="0"/>
    <x v="1"/>
    <x v="1"/>
    <s v="predicted"/>
    <n v="615.7687095"/>
    <n v="619.25599999999997"/>
    <n v="3.4872905080000001"/>
    <n v="21.142951979999999"/>
    <n v="-214.92903229999999"/>
    <n v="279.29262660000001"/>
    <x v="46"/>
    <s v="Feb-2020"/>
  </r>
  <r>
    <x v="47"/>
    <s v="DJI"/>
    <x v="0"/>
    <x v="2"/>
    <x v="2"/>
    <s v="predicted"/>
    <n v="608.91333440000005"/>
    <n v="619.25900000000001"/>
    <n v="10.34566557"/>
    <n v="31.488617550000001"/>
    <n v="-253.05708000000001"/>
    <n v="354.40292820000002"/>
    <x v="46"/>
    <s v="Mar-2020"/>
  </r>
  <r>
    <x v="47"/>
    <s v="DJI"/>
    <x v="0"/>
    <x v="3"/>
    <x v="3"/>
    <s v="predicted"/>
    <n v="605.18547509999996"/>
    <n v="577.06700000000001"/>
    <n v="-28.118475069999999"/>
    <n v="3.3701424819999999"/>
    <n v="-322.62318620000002"/>
    <n v="362.30533819999999"/>
    <x v="46"/>
    <s v="Apr-2020"/>
  </r>
  <r>
    <x v="47"/>
    <s v="DJI"/>
    <x v="0"/>
    <x v="4"/>
    <x v="4"/>
    <s v="predicted"/>
    <n v="596.29041129999996"/>
    <n v="676.48900000000003"/>
    <n v="80.198588670000007"/>
    <n v="83.568731150000005"/>
    <n v="-287.18659339999999"/>
    <n v="510.80452989999998"/>
    <x v="46"/>
    <s v="May-2020"/>
  </r>
  <r>
    <x v="47"/>
    <s v="DJI"/>
    <x v="0"/>
    <x v="5"/>
    <x v="5"/>
    <s v="predicted"/>
    <n v="590.62048010000001"/>
    <n v="747.48199999999997"/>
    <n v="156.86151989999999"/>
    <n v="240.43025109999999"/>
    <n v="-185.79768910000001"/>
    <n v="724.57307820000005"/>
    <x v="46"/>
    <s v="Jun-2020"/>
  </r>
  <r>
    <x v="47"/>
    <s v="DJI"/>
    <x v="0"/>
    <x v="6"/>
    <x v="6"/>
    <s v="predicted"/>
    <n v="584.41675450000002"/>
    <n v="670.30600000000004"/>
    <n v="85.889245450000004"/>
    <n v="326.31949650000001"/>
    <n v="-139.0428613"/>
    <n v="869.99654720000001"/>
    <x v="46"/>
    <s v="Jul-2020"/>
  </r>
  <r>
    <x v="47"/>
    <s v="DJI"/>
    <x v="0"/>
    <x v="7"/>
    <x v="7"/>
    <s v="predicted"/>
    <n v="588.06566310000005"/>
    <n v="638.80100000000004"/>
    <n v="50.735336889999999"/>
    <n v="377.05483340000001"/>
    <n v="-132.32392139999999"/>
    <n v="944.72320330000002"/>
    <x v="46"/>
    <s v="Aug-2020"/>
  </r>
  <r>
    <x v="47"/>
    <s v="DJI"/>
    <x v="0"/>
    <x v="8"/>
    <x v="8"/>
    <s v="predicted"/>
    <n v="594.56683820000001"/>
    <n v="612.01499999999999"/>
    <n v="17.448161769999999"/>
    <n v="394.50299519999999"/>
    <n v="-143.35687390000001"/>
    <n v="973.68197759999998"/>
    <x v="46"/>
    <s v="Sep-2020"/>
  </r>
  <r>
    <x v="47"/>
    <s v="DJI"/>
    <x v="0"/>
    <x v="9"/>
    <x v="9"/>
    <s v="predicted"/>
    <n v="603.33771609999997"/>
    <n v="595.36"/>
    <n v="-7.977716128"/>
    <n v="386.52527900000001"/>
    <n v="-181.9480068"/>
    <n v="969.29241460000003"/>
    <x v="46"/>
    <s v="Oct-2020"/>
  </r>
  <r>
    <x v="47"/>
    <s v="DJI"/>
    <x v="0"/>
    <x v="10"/>
    <x v="10"/>
    <s v="predicted"/>
    <n v="612.26321370000005"/>
    <n v="597.00599999999997"/>
    <n v="-15.257213719999999"/>
    <n v="371.26806529999999"/>
    <n v="-223.66595580000001"/>
    <n v="999.69021599999996"/>
    <x v="46"/>
    <s v="Nov-2020"/>
  </r>
  <r>
    <x v="47"/>
    <s v="DJI"/>
    <x v="0"/>
    <x v="11"/>
    <x v="11"/>
    <s v="predicted"/>
    <n v="615.6524766"/>
    <n v="614.18899999999996"/>
    <n v="-1.4634766459999999"/>
    <n v="369.80458870000001"/>
    <n v="-242.89858749999999"/>
    <n v="1030.9946210000001"/>
    <x v="46"/>
    <s v="Dec-2020"/>
  </r>
  <r>
    <x v="47"/>
    <s v="DJI"/>
    <x v="1"/>
    <x v="0"/>
    <x v="0"/>
    <s v="predicted"/>
    <n v="625.59113109999998"/>
    <n v="651.29700000000003"/>
    <n v="25.705868850000002"/>
    <n v="395.51045749999997"/>
    <n v="-236.74921889999999"/>
    <n v="1082.7452949999999"/>
    <x v="46"/>
    <s v="Jan-2021"/>
  </r>
  <r>
    <x v="47"/>
    <s v="DJI"/>
    <x v="1"/>
    <x v="1"/>
    <x v="1"/>
    <s v="predicted"/>
    <n v="618.75713270000006"/>
    <n v="655.94"/>
    <n v="37.182867280000004"/>
    <n v="432.69332480000003"/>
    <n v="-230.24193700000001"/>
    <n v="1121.8131920000001"/>
    <x v="46"/>
    <s v="Feb-2021"/>
  </r>
  <r>
    <x v="47"/>
    <s v="DJI"/>
    <x v="1"/>
    <x v="2"/>
    <x v="2"/>
    <s v="predicted"/>
    <n v="611.77641640000002"/>
    <n v="695.31600000000003"/>
    <n v="83.539583559999997"/>
    <n v="516.23290840000004"/>
    <n v="-187.9926471"/>
    <n v="1237.6350050000001"/>
    <x v="46"/>
    <s v="Mar-2021"/>
  </r>
  <r>
    <x v="47"/>
    <s v="DJI"/>
    <x v="1"/>
    <x v="3"/>
    <x v="3"/>
    <s v="predicted"/>
    <n v="608.10006829999998"/>
    <n v="822.971"/>
    <n v="214.8709317"/>
    <n v="731.10384009999996"/>
    <n v="-7.633315477"/>
    <n v="1509.6707510000001"/>
    <x v="46"/>
    <s v="Apr-2021"/>
  </r>
  <r>
    <x v="47"/>
    <s v="DJI"/>
    <x v="1"/>
    <x v="4"/>
    <x v="4"/>
    <s v="predicted"/>
    <n v="599.33671179999999"/>
    <n v="703.18700000000001"/>
    <n v="103.85028819999999"/>
    <n v="834.95412829999998"/>
    <n v="65.009270029999996"/>
    <n v="1667.5881079999999"/>
    <x v="46"/>
    <s v="May-2021"/>
  </r>
  <r>
    <x v="47"/>
    <s v="DJI"/>
    <x v="1"/>
    <x v="5"/>
    <x v="5"/>
    <s v="predicted"/>
    <n v="593.94301949999999"/>
    <n v="654.28499999999997"/>
    <n v="60.341980499999998"/>
    <n v="895.29610879999996"/>
    <n v="74.942877449999997"/>
    <n v="1755.8959789999999"/>
    <x v="46"/>
    <s v="Jun-2021"/>
  </r>
  <r>
    <x v="47"/>
    <s v="DJI"/>
    <x v="1"/>
    <x v="6"/>
    <x v="6"/>
    <s v="predicted"/>
    <n v="587.46365370000001"/>
    <n v="635.11900000000003"/>
    <n v="47.655346340000001"/>
    <n v="942.95145509999998"/>
    <n v="136.17453019999999"/>
    <n v="1814.7911730000001"/>
    <x v="46"/>
    <s v="Jul-2021"/>
  </r>
  <r>
    <x v="47"/>
    <s v="DJI"/>
    <x v="1"/>
    <x v="7"/>
    <x v="7"/>
    <s v="predicted"/>
    <n v="591.09190690000003"/>
    <n v="635.10900000000004"/>
    <n v="44.017093080000002"/>
    <n v="986.96854819999999"/>
    <n v="178.4135153"/>
    <n v="1951.792093"/>
    <x v="46"/>
    <s v="Aug-2021"/>
  </r>
  <r>
    <x v="47"/>
    <s v="DJI"/>
    <x v="1"/>
    <x v="8"/>
    <x v="8"/>
    <s v="predicted"/>
    <n v="597.43159930000002"/>
    <n v="659.13699999999994"/>
    <n v="61.705400670000003"/>
    <n v="1048.673949"/>
    <n v="213.64012629999999"/>
    <n v="1995.895933"/>
    <x v="46"/>
    <s v="Sep-2021"/>
  </r>
  <r>
    <x v="47"/>
    <s v="DJI"/>
    <x v="1"/>
    <x v="9"/>
    <x v="9"/>
    <s v="predicted"/>
    <n v="606.26032420000001"/>
    <n v="651.78899999999999"/>
    <n v="45.528675849999999"/>
    <n v="1094.2026249999999"/>
    <n v="220.04502909999999"/>
    <n v="2058.7127650000002"/>
    <x v="46"/>
    <s v="Oct-2021"/>
  </r>
  <r>
    <x v="47"/>
    <s v="DJI"/>
    <x v="1"/>
    <x v="10"/>
    <x v="10"/>
    <s v="predicted"/>
    <n v="615.49743009999997"/>
    <n v="646.78"/>
    <n v="31.282569890000001"/>
    <n v="1125.485195"/>
    <n v="267.27270859999999"/>
    <n v="2107.9193009999999"/>
    <x v="46"/>
    <s v="Nov-2021"/>
  </r>
  <r>
    <x v="47"/>
    <s v="DJI"/>
    <x v="1"/>
    <x v="11"/>
    <x v="11"/>
    <s v="predicted"/>
    <n v="619.13834080000004"/>
    <n v="652.05999999999995"/>
    <n v="32.921659210000001"/>
    <n v="1158.4068540000001"/>
    <n v="256.50163020000002"/>
    <n v="2167.097237"/>
    <x v="46"/>
    <s v="Dec-2021"/>
  </r>
  <r>
    <x v="48"/>
    <s v="DMA"/>
    <x v="0"/>
    <x v="0"/>
    <x v="0"/>
    <s v="predicted"/>
    <n v="44.950088880000003"/>
    <n v="46.566000000000003"/>
    <n v="1.615911119"/>
    <n v="1.615911119"/>
    <n v="-16.868354310000001"/>
    <n v="22.455621910000001"/>
    <x v="47"/>
    <s v="Jan-2020"/>
  </r>
  <r>
    <x v="48"/>
    <s v="DMA"/>
    <x v="0"/>
    <x v="1"/>
    <x v="1"/>
    <s v="predicted"/>
    <n v="45.069248829999999"/>
    <n v="45.709000000000003"/>
    <n v="0.63975117000000004"/>
    <n v="2.2556622879999999"/>
    <n v="-24.65193859"/>
    <n v="30.388205020000001"/>
    <x v="47"/>
    <s v="Feb-2020"/>
  </r>
  <r>
    <x v="48"/>
    <s v="DMA"/>
    <x v="0"/>
    <x v="2"/>
    <x v="2"/>
    <s v="predicted"/>
    <n v="45.360343149999999"/>
    <n v="45.831000000000003"/>
    <n v="0.47065684600000002"/>
    <n v="2.7263191349999998"/>
    <n v="-30.786232909999999"/>
    <n v="40.215346019999998"/>
    <x v="47"/>
    <s v="Mar-2020"/>
  </r>
  <r>
    <x v="48"/>
    <s v="DMA"/>
    <x v="0"/>
    <x v="3"/>
    <x v="3"/>
    <s v="predicted"/>
    <n v="45.007168669999999"/>
    <n v="38.927999999999997"/>
    <n v="-6.0791686650000001"/>
    <n v="-3.3528495299999999"/>
    <n v="-40.58703328"/>
    <n v="38.318155339999997"/>
    <x v="47"/>
    <s v="Apr-2020"/>
  </r>
  <r>
    <x v="48"/>
    <s v="DMA"/>
    <x v="0"/>
    <x v="4"/>
    <x v="4"/>
    <s v="predicted"/>
    <n v="44.772731090000001"/>
    <n v="41.191000000000003"/>
    <n v="-3.5817310880000002"/>
    <n v="-6.934580618"/>
    <n v="-50.15791042"/>
    <n v="39.78648432"/>
    <x v="47"/>
    <s v="May-2020"/>
  </r>
  <r>
    <x v="48"/>
    <s v="DMA"/>
    <x v="0"/>
    <x v="5"/>
    <x v="5"/>
    <s v="predicted"/>
    <n v="44.497910249999997"/>
    <n v="43.039000000000001"/>
    <n v="-1.458910245"/>
    <n v="-8.3934908630000002"/>
    <n v="-52.585902869999998"/>
    <n v="43.190799259999999"/>
    <x v="47"/>
    <s v="Jun-2020"/>
  </r>
  <r>
    <x v="48"/>
    <s v="DMA"/>
    <x v="0"/>
    <x v="6"/>
    <x v="6"/>
    <s v="predicted"/>
    <n v="44.438773730000001"/>
    <n v="43.341000000000001"/>
    <n v="-1.097773731"/>
    <n v="-9.4912645950000005"/>
    <n v="-59.505905470000002"/>
    <n v="46.27945347"/>
    <x v="47"/>
    <s v="Jul-2020"/>
  </r>
  <r>
    <x v="48"/>
    <s v="DMA"/>
    <x v="0"/>
    <x v="7"/>
    <x v="7"/>
    <s v="predicted"/>
    <n v="44.369028049999997"/>
    <n v="44.09"/>
    <n v="-0.279028049"/>
    <n v="-9.7702926429999994"/>
    <n v="-61.85906971"/>
    <n v="47.630898979999998"/>
    <x v="47"/>
    <s v="Aug-2020"/>
  </r>
  <r>
    <x v="48"/>
    <s v="DMA"/>
    <x v="0"/>
    <x v="8"/>
    <x v="8"/>
    <s v="predicted"/>
    <n v="44.33792425"/>
    <n v="44.54"/>
    <n v="0.20207575"/>
    <n v="-9.5682168940000007"/>
    <n v="-68.714710519999997"/>
    <n v="53.136497540000001"/>
    <x v="47"/>
    <s v="Sep-2020"/>
  </r>
  <r>
    <x v="48"/>
    <s v="DMA"/>
    <x v="0"/>
    <x v="9"/>
    <x v="9"/>
    <s v="predicted"/>
    <n v="44.825598849999999"/>
    <n v="44.195"/>
    <n v="-0.63059885299999996"/>
    <n v="-10.19881575"/>
    <n v="-68.813373429999999"/>
    <n v="59.562746310000001"/>
    <x v="47"/>
    <s v="Oct-2020"/>
  </r>
  <r>
    <x v="48"/>
    <s v="DMA"/>
    <x v="0"/>
    <x v="10"/>
    <x v="10"/>
    <s v="predicted"/>
    <n v="44.868071180000001"/>
    <n v="44.341000000000001"/>
    <n v="-0.52707118500000005"/>
    <n v="-10.72588693"/>
    <n v="-73.221567710000002"/>
    <n v="58.994204830000001"/>
    <x v="47"/>
    <s v="Nov-2020"/>
  </r>
  <r>
    <x v="48"/>
    <s v="DMA"/>
    <x v="0"/>
    <x v="11"/>
    <x v="11"/>
    <s v="predicted"/>
    <n v="44.995396960000001"/>
    <n v="44.923999999999999"/>
    <n v="-7.1396955999999998E-2"/>
    <n v="-10.797283889999999"/>
    <n v="-71.9789028"/>
    <n v="60.557420559999997"/>
    <x v="47"/>
    <s v="Dec-2020"/>
  </r>
  <r>
    <x v="48"/>
    <s v="DMA"/>
    <x v="1"/>
    <x v="0"/>
    <x v="0"/>
    <s v="predicted"/>
    <n v="40.943027100000002"/>
    <n v="42.404000000000003"/>
    <n v="1.4609729010000001"/>
    <n v="-9.3363109869999992"/>
    <n v="-78.607193760000001"/>
    <n v="63.384002840000001"/>
    <x v="47"/>
    <s v="Jan-2021"/>
  </r>
  <r>
    <x v="48"/>
    <s v="DMA"/>
    <x v="1"/>
    <x v="1"/>
    <x v="1"/>
    <s v="predicted"/>
    <n v="40.856007630000001"/>
    <n v="42.043999999999997"/>
    <n v="1.1879923750000001"/>
    <n v="-8.1483186120000006"/>
    <n v="-80.38373215"/>
    <n v="64.21939347"/>
    <x v="47"/>
    <s v="Feb-2021"/>
  </r>
  <r>
    <x v="48"/>
    <s v="DMA"/>
    <x v="1"/>
    <x v="2"/>
    <x v="2"/>
    <s v="predicted"/>
    <n v="41.177309190000003"/>
    <n v="41.777999999999999"/>
    <n v="0.60069081000000002"/>
    <n v="-7.5476278020000001"/>
    <n v="-83.814726050000004"/>
    <n v="68.93876186"/>
    <x v="47"/>
    <s v="Mar-2021"/>
  </r>
  <r>
    <x v="48"/>
    <s v="DMA"/>
    <x v="1"/>
    <x v="3"/>
    <x v="3"/>
    <s v="predicted"/>
    <n v="41.168424309999999"/>
    <n v="42.834000000000003"/>
    <n v="1.6655756850000001"/>
    <n v="-5.8820521169999997"/>
    <n v="-82.293738739999995"/>
    <n v="72.625293830000004"/>
    <x v="47"/>
    <s v="Apr-2021"/>
  </r>
  <r>
    <x v="48"/>
    <s v="DMA"/>
    <x v="1"/>
    <x v="4"/>
    <x v="4"/>
    <s v="predicted"/>
    <n v="40.61492904"/>
    <n v="42.357999999999997"/>
    <n v="1.743070957"/>
    <n v="-4.1389811590000001"/>
    <n v="-83.440019000000007"/>
    <n v="80.944109909999995"/>
    <x v="47"/>
    <s v="May-2021"/>
  </r>
  <r>
    <x v="48"/>
    <s v="DMA"/>
    <x v="1"/>
    <x v="5"/>
    <x v="5"/>
    <s v="predicted"/>
    <n v="40.317905850000002"/>
    <n v="41.896999999999998"/>
    <n v="1.5790941510000001"/>
    <n v="-2.559887008"/>
    <n v="-84.917182850000003"/>
    <n v="81.846570180000001"/>
    <x v="47"/>
    <s v="Jun-2021"/>
  </r>
  <r>
    <x v="48"/>
    <s v="DMA"/>
    <x v="1"/>
    <x v="6"/>
    <x v="6"/>
    <s v="predicted"/>
    <n v="40.502798640000002"/>
    <n v="41.33"/>
    <n v="0.82720136300000002"/>
    <n v="-1.7326856450000001"/>
    <n v="-87.988647229999998"/>
    <n v="83.133607389999995"/>
    <x v="47"/>
    <s v="Jul-2021"/>
  </r>
  <r>
    <x v="48"/>
    <s v="DMA"/>
    <x v="1"/>
    <x v="7"/>
    <x v="7"/>
    <s v="predicted"/>
    <n v="40.367960490000002"/>
    <n v="51.341999999999999"/>
    <n v="10.974039510000001"/>
    <n v="9.2413538650000007"/>
    <n v="-79.131289510000002"/>
    <n v="95.59844579"/>
    <x v="47"/>
    <s v="Aug-2021"/>
  </r>
  <r>
    <x v="48"/>
    <s v="DMA"/>
    <x v="1"/>
    <x v="8"/>
    <x v="8"/>
    <s v="predicted"/>
    <n v="40.584946780000003"/>
    <n v="59.673000000000002"/>
    <n v="19.088053219999999"/>
    <n v="28.329407079999999"/>
    <n v="-64.261406899999997"/>
    <n v="120.4815085"/>
    <x v="47"/>
    <s v="Sep-2021"/>
  </r>
  <r>
    <x v="48"/>
    <s v="DMA"/>
    <x v="1"/>
    <x v="9"/>
    <x v="9"/>
    <s v="predicted"/>
    <n v="40.746107979999998"/>
    <n v="60.603999999999999"/>
    <n v="19.857892020000001"/>
    <n v="48.187299099999997"/>
    <n v="-45.145520230000002"/>
    <n v="144.1060603"/>
    <x v="47"/>
    <s v="Oct-2021"/>
  </r>
  <r>
    <x v="48"/>
    <s v="DMA"/>
    <x v="1"/>
    <x v="10"/>
    <x v="10"/>
    <s v="predicted"/>
    <n v="40.887112350000002"/>
    <n v="50.704000000000001"/>
    <n v="9.8168876459999996"/>
    <n v="58.004186750000002"/>
    <n v="-40.93215026"/>
    <n v="157.40801350000001"/>
    <x v="47"/>
    <s v="Nov-2021"/>
  </r>
  <r>
    <x v="48"/>
    <s v="DMA"/>
    <x v="1"/>
    <x v="11"/>
    <x v="11"/>
    <s v="predicted"/>
    <n v="40.993500470000001"/>
    <n v="52.968000000000004"/>
    <n v="11.974499529999999"/>
    <n v="69.978686280000005"/>
    <n v="-29.584358739999999"/>
    <n v="173.16468470000001"/>
    <x v="47"/>
    <s v="Dec-2021"/>
  </r>
  <r>
    <x v="49"/>
    <s v="DNK"/>
    <x v="0"/>
    <x v="0"/>
    <x v="0"/>
    <s v="reported"/>
    <n v="4894.4895159999996"/>
    <n v="4833"/>
    <n v="-61.572849089999998"/>
    <n v="-61.572849089999998"/>
    <n v="-196.28020549999999"/>
    <n v="61.41107513"/>
    <x v="48"/>
    <s v="Jan-2020"/>
  </r>
  <r>
    <x v="49"/>
    <s v="DNK"/>
    <x v="0"/>
    <x v="1"/>
    <x v="1"/>
    <s v="reported"/>
    <n v="4852.4665530000002"/>
    <n v="4363"/>
    <n v="-489.5498867"/>
    <n v="-551.12273579999999"/>
    <n v="-761.46375339999997"/>
    <n v="-351.5474931"/>
    <x v="48"/>
    <s v="Feb-2020"/>
  </r>
  <r>
    <x v="49"/>
    <s v="DNK"/>
    <x v="0"/>
    <x v="2"/>
    <x v="2"/>
    <s v="reported"/>
    <n v="5113.9481029999997"/>
    <n v="4856"/>
    <n v="-258.03143679999999"/>
    <n v="-809.15417260000004"/>
    <n v="-1071.114703"/>
    <n v="-580.95130440000003"/>
    <x v="48"/>
    <s v="Mar-2020"/>
  </r>
  <r>
    <x v="49"/>
    <s v="DNK"/>
    <x v="0"/>
    <x v="3"/>
    <x v="3"/>
    <s v="reported"/>
    <n v="4610.5652659999996"/>
    <n v="4732"/>
    <n v="121.351401"/>
    <n v="-687.80277160000003"/>
    <n v="-981.96242050000001"/>
    <n v="-401.51882000000001"/>
    <x v="48"/>
    <s v="Apr-2020"/>
  </r>
  <r>
    <x v="49"/>
    <s v="DNK"/>
    <x v="0"/>
    <x v="4"/>
    <x v="4"/>
    <s v="reported"/>
    <n v="4487.0461640000003"/>
    <n v="4389"/>
    <n v="-98.129497200000003"/>
    <n v="-785.93226879999997"/>
    <n v="-1114.629293"/>
    <n v="-446.38319589999998"/>
    <x v="48"/>
    <s v="May-2020"/>
  </r>
  <r>
    <x v="49"/>
    <s v="DNK"/>
    <x v="0"/>
    <x v="5"/>
    <x v="5"/>
    <s v="reported"/>
    <n v="4265.3280969999996"/>
    <n v="4179"/>
    <n v="-86.411430469999999"/>
    <n v="-872.34369930000003"/>
    <n v="-1234.157177"/>
    <n v="-507.93701170000003"/>
    <x v="48"/>
    <s v="Jun-2020"/>
  </r>
  <r>
    <x v="49"/>
    <s v="DNK"/>
    <x v="0"/>
    <x v="6"/>
    <x v="6"/>
    <s v="reported"/>
    <n v="4335.8868730000004"/>
    <n v="4341"/>
    <n v="5.0297933290000003"/>
    <n v="-867.31390599999997"/>
    <n v="-1270.774091"/>
    <n v="-482.4424927"/>
    <x v="48"/>
    <s v="Jul-2020"/>
  </r>
  <r>
    <x v="49"/>
    <s v="DNK"/>
    <x v="0"/>
    <x v="7"/>
    <x v="7"/>
    <s v="reported"/>
    <n v="4329.1569799999997"/>
    <n v="4320"/>
    <n v="-9.2403130850000004"/>
    <n v="-876.55421899999999"/>
    <n v="-1303.5151579999999"/>
    <n v="-457.69113040000002"/>
    <x v="48"/>
    <s v="Aug-2020"/>
  </r>
  <r>
    <x v="49"/>
    <s v="DNK"/>
    <x v="0"/>
    <x v="8"/>
    <x v="8"/>
    <s v="reported"/>
    <n v="4242.2550520000004"/>
    <n v="4311"/>
    <n v="68.661614409999999"/>
    <n v="-807.89260460000003"/>
    <n v="-1265.364018"/>
    <n v="-375.80122219999998"/>
    <x v="48"/>
    <s v="Sep-2020"/>
  </r>
  <r>
    <x v="49"/>
    <s v="DNK"/>
    <x v="0"/>
    <x v="9"/>
    <x v="9"/>
    <s v="reported"/>
    <n v="4440.5836810000001"/>
    <n v="4450"/>
    <n v="9.332985485"/>
    <n v="-798.55961920000004"/>
    <n v="-1296.7345640000001"/>
    <n v="-342.28262910000001"/>
    <x v="48"/>
    <s v="Oct-2020"/>
  </r>
  <r>
    <x v="49"/>
    <s v="DNK"/>
    <x v="0"/>
    <x v="10"/>
    <x v="10"/>
    <s v="reported"/>
    <n v="4516.4071979999999"/>
    <n v="4600"/>
    <n v="83.509469069999994"/>
    <n v="-715.0501501"/>
    <n v="-1206.5098949999999"/>
    <n v="-231.56262910000001"/>
    <x v="48"/>
    <s v="Nov-2020"/>
  </r>
  <r>
    <x v="49"/>
    <s v="DNK"/>
    <x v="0"/>
    <x v="11"/>
    <x v="11"/>
    <s v="reported"/>
    <n v="4931.831486"/>
    <n v="5247"/>
    <n v="315.08518029999999"/>
    <n v="-399.96496980000001"/>
    <n v="-911.99361680000004"/>
    <n v="126.43049120000001"/>
    <x v="48"/>
    <s v="Dec-2020"/>
  </r>
  <r>
    <x v="49"/>
    <s v="DNK"/>
    <x v="1"/>
    <x v="0"/>
    <x v="0"/>
    <s v="reported"/>
    <n v="4936.984058"/>
    <n v="5475"/>
    <n v="538.01594179999995"/>
    <n v="138.050972"/>
    <n v="-405.31154989999999"/>
    <n v="670.42188439999995"/>
    <x v="48"/>
    <s v="Jan-2021"/>
  </r>
  <r>
    <x v="49"/>
    <s v="DNK"/>
    <x v="1"/>
    <x v="1"/>
    <x v="1"/>
    <s v="reported"/>
    <n v="4898.6055070000002"/>
    <n v="4352"/>
    <n v="-546.60550739999996"/>
    <n v="-408.55453540000002"/>
    <n v="-956.84960599999999"/>
    <n v="139.4455926"/>
    <x v="48"/>
    <s v="Feb-2021"/>
  </r>
  <r>
    <x v="49"/>
    <s v="DNK"/>
    <x v="1"/>
    <x v="2"/>
    <x v="2"/>
    <s v="reported"/>
    <n v="5153.1599379999998"/>
    <n v="4445"/>
    <n v="-708.15993839999999"/>
    <n v="-1116.7144740000001"/>
    <n v="-1663.0250639999999"/>
    <n v="-544.14037080000003"/>
    <x v="48"/>
    <s v="Mar-2021"/>
  </r>
  <r>
    <x v="49"/>
    <s v="DNK"/>
    <x v="1"/>
    <x v="3"/>
    <x v="3"/>
    <s v="reported"/>
    <n v="4652.5748510000003"/>
    <n v="4344"/>
    <n v="-308.57485109999999"/>
    <n v="-1425.289325"/>
    <n v="-2030.3448840000001"/>
    <n v="-855.37941530000001"/>
    <x v="48"/>
    <s v="Apr-2021"/>
  </r>
  <r>
    <x v="49"/>
    <s v="DNK"/>
    <x v="1"/>
    <x v="4"/>
    <x v="4"/>
    <s v="reported"/>
    <n v="4521.690063"/>
    <n v="4684"/>
    <n v="162.30993699999999"/>
    <n v="-1262.979388"/>
    <n v="-1909.676847"/>
    <n v="-688.95342000000005"/>
    <x v="48"/>
    <s v="May-2021"/>
  </r>
  <r>
    <x v="49"/>
    <s v="DNK"/>
    <x v="1"/>
    <x v="5"/>
    <x v="5"/>
    <s v="reported"/>
    <n v="4303.1453380000003"/>
    <n v="4397"/>
    <n v="93.854662300000001"/>
    <n v="-1169.124726"/>
    <n v="-1827.376751"/>
    <n v="-553.52501910000001"/>
    <x v="48"/>
    <s v="Jun-2021"/>
  </r>
  <r>
    <x v="49"/>
    <s v="DNK"/>
    <x v="1"/>
    <x v="6"/>
    <x v="6"/>
    <s v="reported"/>
    <n v="4378.6247100000001"/>
    <n v="4594"/>
    <n v="215.37529019999999"/>
    <n v="-953.74943540000004"/>
    <n v="-1631.0972340000001"/>
    <n v="-318.77704189999997"/>
    <x v="48"/>
    <s v="Jul-2021"/>
  </r>
  <r>
    <x v="49"/>
    <s v="DNK"/>
    <x v="1"/>
    <x v="7"/>
    <x v="7"/>
    <s v="reported"/>
    <n v="4368.7961560000003"/>
    <n v="4783"/>
    <n v="414.20384419999999"/>
    <n v="-539.54559119999999"/>
    <n v="-1230.046155"/>
    <n v="99.282493389999999"/>
    <x v="48"/>
    <s v="Aug-2021"/>
  </r>
  <r>
    <x v="49"/>
    <s v="DNK"/>
    <x v="1"/>
    <x v="8"/>
    <x v="8"/>
    <s v="reported"/>
    <n v="4284.718895"/>
    <n v="4596"/>
    <n v="311.28110470000001"/>
    <n v="-228.2644865"/>
    <n v="-949.83533399999999"/>
    <n v="434.79912389999998"/>
    <x v="48"/>
    <s v="Sep-2021"/>
  </r>
  <r>
    <x v="49"/>
    <s v="DNK"/>
    <x v="1"/>
    <x v="9"/>
    <x v="9"/>
    <s v="reported"/>
    <n v="4481.7928940000002"/>
    <n v="4981"/>
    <n v="499.2071057"/>
    <n v="270.9426191"/>
    <n v="-469.8283467"/>
    <n v="957.72065039999995"/>
    <x v="48"/>
    <s v="Oct-2021"/>
  </r>
  <r>
    <x v="49"/>
    <s v="DNK"/>
    <x v="1"/>
    <x v="10"/>
    <x v="10"/>
    <s v="reported"/>
    <n v="4555.8916250000002"/>
    <n v="4971"/>
    <n v="415.1083749"/>
    <n v="686.05099399999995"/>
    <n v="-83.706501099999997"/>
    <n v="1394.928257"/>
    <x v="48"/>
    <s v="Nov-2021"/>
  </r>
  <r>
    <x v="49"/>
    <s v="DNK"/>
    <x v="1"/>
    <x v="11"/>
    <x v="11"/>
    <s v="reported"/>
    <n v="4980.8922709999997"/>
    <n v="5592"/>
    <n v="611.10772940000004"/>
    <n v="1297.158723"/>
    <n v="537.32563709999999"/>
    <n v="2055.249339"/>
    <x v="48"/>
    <s v="Dec-2021"/>
  </r>
  <r>
    <x v="50"/>
    <s v="DOM"/>
    <x v="0"/>
    <x v="0"/>
    <x v="0"/>
    <s v="reported"/>
    <n v="5112.7814319999998"/>
    <n v="5680"/>
    <n v="565.63205789999995"/>
    <n v="565.63205789999995"/>
    <n v="414.5907709"/>
    <n v="728.88727670000003"/>
    <x v="49"/>
    <s v="Jan-2020"/>
  </r>
  <r>
    <x v="50"/>
    <s v="DOM"/>
    <x v="0"/>
    <x v="1"/>
    <x v="1"/>
    <s v="reported"/>
    <n v="5087.5439690000003"/>
    <n v="5027"/>
    <n v="-62.13047873"/>
    <n v="503.50157919999998"/>
    <n v="268.42051020000002"/>
    <n v="741.04475439999999"/>
    <x v="49"/>
    <s v="Feb-2020"/>
  </r>
  <r>
    <x v="50"/>
    <s v="DOM"/>
    <x v="0"/>
    <x v="2"/>
    <x v="2"/>
    <s v="reported"/>
    <n v="5034.9985239999996"/>
    <n v="4800"/>
    <n v="-236.5850342"/>
    <n v="266.91654499999999"/>
    <n v="-28.676014009999999"/>
    <n v="564.26941639999995"/>
    <x v="49"/>
    <s v="Mar-2020"/>
  </r>
  <r>
    <x v="50"/>
    <s v="DOM"/>
    <x v="0"/>
    <x v="3"/>
    <x v="3"/>
    <s v="reported"/>
    <n v="4953.913458"/>
    <n v="4157"/>
    <n v="-798.49996850000002"/>
    <n v="-531.58342349999998"/>
    <n v="-853.95553640000003"/>
    <n v="-188.4883619"/>
    <x v="49"/>
    <s v="Apr-2020"/>
  </r>
  <r>
    <x v="50"/>
    <s v="DOM"/>
    <x v="0"/>
    <x v="4"/>
    <x v="4"/>
    <s v="reported"/>
    <n v="4900.6029209999997"/>
    <n v="4227"/>
    <n v="-675.18943130000002"/>
    <n v="-1206.7728549999999"/>
    <n v="-1576.2172149999999"/>
    <n v="-827.8246044"/>
    <x v="49"/>
    <s v="May-2020"/>
  </r>
  <r>
    <x v="50"/>
    <s v="DOM"/>
    <x v="0"/>
    <x v="5"/>
    <x v="5"/>
    <s v="reported"/>
    <n v="4878.1963100000003"/>
    <n v="5247"/>
    <n v="367.21718019999997"/>
    <n v="-839.55567459999997"/>
    <n v="-1241.464422"/>
    <n v="-436.0148423"/>
    <x v="49"/>
    <s v="Jun-2020"/>
  </r>
  <r>
    <x v="50"/>
    <s v="DOM"/>
    <x v="0"/>
    <x v="6"/>
    <x v="6"/>
    <s v="reported"/>
    <n v="4890.2142260000001"/>
    <n v="6770"/>
    <n v="1878.1992640000001"/>
    <n v="1038.643589"/>
    <n v="586.85462399999994"/>
    <n v="1473.716187"/>
    <x v="49"/>
    <s v="Jul-2020"/>
  </r>
  <r>
    <x v="50"/>
    <s v="DOM"/>
    <x v="0"/>
    <x v="7"/>
    <x v="7"/>
    <s v="reported"/>
    <n v="4911.0726290000002"/>
    <n v="6203"/>
    <n v="1290.3408609999999"/>
    <n v="2328.9844499999999"/>
    <n v="1857.9093439999999"/>
    <n v="2792.7468720000002"/>
    <x v="49"/>
    <s v="Aug-2020"/>
  </r>
  <r>
    <x v="50"/>
    <s v="DOM"/>
    <x v="0"/>
    <x v="8"/>
    <x v="8"/>
    <s v="reported"/>
    <n v="4955.9065559999999"/>
    <n v="4852"/>
    <n v="-105.493066"/>
    <n v="2223.4913839999999"/>
    <n v="1756.9697679999999"/>
    <n v="2721.9659069999998"/>
    <x v="49"/>
    <s v="Sep-2020"/>
  </r>
  <r>
    <x v="50"/>
    <s v="DOM"/>
    <x v="0"/>
    <x v="9"/>
    <x v="9"/>
    <s v="reported"/>
    <n v="5037.8349959999996"/>
    <n v="4843"/>
    <n v="-196.42150570000001"/>
    <n v="2027.069878"/>
    <n v="1502.422726"/>
    <n v="2570.1425610000001"/>
    <x v="49"/>
    <s v="Oct-2020"/>
  </r>
  <r>
    <x v="50"/>
    <s v="DOM"/>
    <x v="0"/>
    <x v="10"/>
    <x v="10"/>
    <s v="reported"/>
    <n v="5107.2931870000002"/>
    <n v="4919"/>
    <n v="-189.8796973"/>
    <n v="1837.1901809999999"/>
    <n v="1300.659527"/>
    <n v="2414.0880400000001"/>
    <x v="49"/>
    <s v="Nov-2020"/>
  </r>
  <r>
    <x v="50"/>
    <s v="DOM"/>
    <x v="0"/>
    <x v="11"/>
    <x v="11"/>
    <s v="reported"/>
    <n v="5135.525584"/>
    <n v="5633"/>
    <n v="495.88790610000001"/>
    <n v="2333.0780869999999"/>
    <n v="1750.855505"/>
    <n v="2907.4295950000001"/>
    <x v="49"/>
    <s v="Dec-2020"/>
  </r>
  <r>
    <x v="50"/>
    <s v="DOM"/>
    <x v="1"/>
    <x v="0"/>
    <x v="0"/>
    <s v="reported"/>
    <n v="5144.2182519999997"/>
    <n v="6402"/>
    <n v="1257.4417820000001"/>
    <n v="3590.5198679999999"/>
    <n v="2994.6417929999998"/>
    <n v="4226.5132839999997"/>
    <x v="49"/>
    <s v="Jan-2021"/>
  </r>
  <r>
    <x v="50"/>
    <s v="DOM"/>
    <x v="1"/>
    <x v="1"/>
    <x v="1"/>
    <s v="reported"/>
    <n v="5111.0847640000002"/>
    <n v="4947"/>
    <n v="-164.42473079999999"/>
    <n v="3426.0951380000001"/>
    <n v="2771.8096529999998"/>
    <n v="4085.9488120000001"/>
    <x v="49"/>
    <s v="Feb-2021"/>
  </r>
  <r>
    <x v="50"/>
    <s v="DOM"/>
    <x v="1"/>
    <x v="2"/>
    <x v="2"/>
    <s v="reported"/>
    <n v="5057.9076640000003"/>
    <n v="5314"/>
    <n v="255.75236910000001"/>
    <n v="3681.847507"/>
    <n v="2980.4649909999998"/>
    <n v="4364.5628610000003"/>
    <x v="49"/>
    <s v="Mar-2021"/>
  </r>
  <r>
    <x v="50"/>
    <s v="DOM"/>
    <x v="1"/>
    <x v="3"/>
    <x v="3"/>
    <s v="reported"/>
    <n v="4975.4003110000003"/>
    <n v="5013"/>
    <n v="37.259722439999997"/>
    <n v="3719.1072290000002"/>
    <n v="2963.4455870000002"/>
    <n v="4395.1520860000001"/>
    <x v="49"/>
    <s v="Apr-2021"/>
  </r>
  <r>
    <x v="50"/>
    <s v="DOM"/>
    <x v="1"/>
    <x v="4"/>
    <x v="4"/>
    <s v="reported"/>
    <n v="4919.0642749999997"/>
    <n v="5901"/>
    <n v="981.59575810000001"/>
    <n v="4700.7029869999997"/>
    <n v="3932.9387510000001"/>
    <n v="5404.9696249999997"/>
    <x v="49"/>
    <s v="May-2021"/>
  </r>
  <r>
    <x v="50"/>
    <s v="DOM"/>
    <x v="1"/>
    <x v="5"/>
    <x v="5"/>
    <s v="reported"/>
    <n v="4906.9453249999997"/>
    <n v="6551"/>
    <n v="1643.7147090000001"/>
    <n v="6344.4176960000004"/>
    <n v="5536.1042699999998"/>
    <n v="7083.259454"/>
    <x v="49"/>
    <s v="Jun-2021"/>
  </r>
  <r>
    <x v="50"/>
    <s v="DOM"/>
    <x v="1"/>
    <x v="6"/>
    <x v="6"/>
    <s v="reported"/>
    <n v="4907.7998960000004"/>
    <n v="5616"/>
    <n v="707.86013800000001"/>
    <n v="7052.2778340000004"/>
    <n v="6225.7856890000003"/>
    <n v="7819.9025270000002"/>
    <x v="49"/>
    <s v="Jul-2021"/>
  </r>
  <r>
    <x v="50"/>
    <s v="DOM"/>
    <x v="1"/>
    <x v="7"/>
    <x v="7"/>
    <s v="reported"/>
    <n v="4933.2334179999998"/>
    <n v="5123"/>
    <n v="189.4266154"/>
    <n v="7241.7044500000002"/>
    <n v="6376.5011260000001"/>
    <n v="8068.1414839999998"/>
    <x v="49"/>
    <s v="Aug-2021"/>
  </r>
  <r>
    <x v="50"/>
    <s v="DOM"/>
    <x v="1"/>
    <x v="8"/>
    <x v="8"/>
    <s v="reported"/>
    <n v="4985.878224"/>
    <n v="5015"/>
    <n v="28.781809540000001"/>
    <n v="7270.4862590000002"/>
    <n v="6356.9376750000001"/>
    <n v="8143.666733"/>
    <x v="49"/>
    <s v="Sep-2021"/>
  </r>
  <r>
    <x v="50"/>
    <s v="DOM"/>
    <x v="1"/>
    <x v="9"/>
    <x v="9"/>
    <s v="reported"/>
    <n v="5062.3023819999999"/>
    <n v="5734"/>
    <n v="671.35765119999996"/>
    <n v="7941.8439099999996"/>
    <n v="7064.9350560000003"/>
    <n v="8828.3481140000004"/>
    <x v="49"/>
    <s v="Oct-2021"/>
  </r>
  <r>
    <x v="50"/>
    <s v="DOM"/>
    <x v="1"/>
    <x v="10"/>
    <x v="10"/>
    <s v="predicted"/>
    <n v="5134.9207379999998"/>
    <n v="5744.3639999999996"/>
    <n v="609.10329520000005"/>
    <n v="8550.9472060000007"/>
    <n v="6925.0385630000001"/>
    <n v="10497.27527"/>
    <x v="49"/>
    <s v="Nov-2021"/>
  </r>
  <r>
    <x v="50"/>
    <s v="DOM"/>
    <x v="1"/>
    <x v="11"/>
    <x v="11"/>
    <s v="predicted"/>
    <n v="5166.866884"/>
    <n v="5638.3469999999998"/>
    <n v="471.14014980000002"/>
    <n v="9022.0873549999997"/>
    <n v="6802.4424410000001"/>
    <n v="11444.18002"/>
    <x v="49"/>
    <s v="Dec-2021"/>
  </r>
  <r>
    <x v="51"/>
    <s v="DZA"/>
    <x v="0"/>
    <x v="0"/>
    <x v="0"/>
    <s v="reported"/>
    <n v="18614.94802"/>
    <n v="19573"/>
    <n v="951.98088129999996"/>
    <n v="951.98088129999996"/>
    <n v="260.55730770000002"/>
    <n v="1627.1960509999999"/>
    <x v="50"/>
    <s v="Jan-2020"/>
  </r>
  <r>
    <x v="51"/>
    <s v="DZA"/>
    <x v="0"/>
    <x v="1"/>
    <x v="1"/>
    <s v="reported"/>
    <n v="18257.195779999998"/>
    <n v="17997"/>
    <n v="-266.26687629999998"/>
    <n v="685.71400500000004"/>
    <n v="-486.26247619999998"/>
    <n v="1858.105924"/>
    <x v="50"/>
    <s v="Feb-2020"/>
  </r>
  <r>
    <x v="51"/>
    <s v="DZA"/>
    <x v="0"/>
    <x v="2"/>
    <x v="2"/>
    <s v="reported"/>
    <n v="17504.21687"/>
    <n v="18078"/>
    <n v="567.71203439999999"/>
    <n v="1253.4260389999999"/>
    <n v="-201.10972860000001"/>
    <n v="2737.8928919999998"/>
    <x v="50"/>
    <s v="Mar-2020"/>
  </r>
  <r>
    <x v="51"/>
    <s v="DZA"/>
    <x v="0"/>
    <x v="3"/>
    <x v="3"/>
    <s v="reported"/>
    <n v="16779.82965"/>
    <n v="17097"/>
    <n v="311.09925290000001"/>
    <n v="1564.525292"/>
    <n v="-132.36436639999999"/>
    <n v="3258.0881260000001"/>
    <x v="50"/>
    <s v="Apr-2020"/>
  </r>
  <r>
    <x v="51"/>
    <s v="DZA"/>
    <x v="0"/>
    <x v="4"/>
    <x v="4"/>
    <s v="reported"/>
    <n v="16420.74811"/>
    <n v="16884"/>
    <n v="457.18079490000002"/>
    <n v="2021.706087"/>
    <n v="81.604483250000001"/>
    <n v="3914.0883859999999"/>
    <x v="50"/>
    <s v="May-2020"/>
  </r>
  <r>
    <x v="51"/>
    <s v="DZA"/>
    <x v="0"/>
    <x v="5"/>
    <x v="5"/>
    <s v="reported"/>
    <n v="16445.28802"/>
    <n v="20603"/>
    <n v="4151.6408869999996"/>
    <n v="6173.346974"/>
    <n v="4010.5998679999998"/>
    <n v="8377.3052779999998"/>
    <x v="50"/>
    <s v="Jun-2020"/>
  </r>
  <r>
    <x v="51"/>
    <s v="DZA"/>
    <x v="0"/>
    <x v="6"/>
    <x v="6"/>
    <s v="reported"/>
    <n v="16804.377639999999"/>
    <n v="36620"/>
    <n v="19809.55127"/>
    <n v="25982.898239999999"/>
    <n v="23718.484789999999"/>
    <n v="28290.24193"/>
    <x v="50"/>
    <s v="Jul-2020"/>
  </r>
  <r>
    <x v="51"/>
    <s v="DZA"/>
    <x v="0"/>
    <x v="7"/>
    <x v="7"/>
    <s v="reported"/>
    <n v="16761.350419999999"/>
    <n v="26651"/>
    <n v="9883.5784810000005"/>
    <n v="35866.476719999999"/>
    <n v="33435.555130000001"/>
    <n v="38288.620849999999"/>
    <x v="50"/>
    <s v="Aug-2020"/>
  </r>
  <r>
    <x v="51"/>
    <s v="DZA"/>
    <x v="0"/>
    <x v="8"/>
    <x v="8"/>
    <s v="reported"/>
    <n v="16438.020970000001"/>
    <n v="19400"/>
    <n v="2955.9079379999998"/>
    <n v="38822.384660000003"/>
    <n v="36328.217250000002"/>
    <n v="41311.713900000002"/>
    <x v="50"/>
    <s v="Sep-2020"/>
  </r>
  <r>
    <x v="51"/>
    <s v="DZA"/>
    <x v="0"/>
    <x v="9"/>
    <x v="9"/>
    <s v="reported"/>
    <n v="16881.766039999999"/>
    <n v="21246"/>
    <n v="4358.1628689999998"/>
    <n v="43180.547530000003"/>
    <n v="40589.962379999997"/>
    <n v="45730.458680000003"/>
    <x v="50"/>
    <s v="Oct-2020"/>
  </r>
  <r>
    <x v="51"/>
    <s v="DZA"/>
    <x v="0"/>
    <x v="10"/>
    <x v="10"/>
    <s v="reported"/>
    <n v="17824.570049999998"/>
    <n v="29710"/>
    <n v="11879.35886"/>
    <n v="55059.906389999996"/>
    <n v="52174.303549999997"/>
    <n v="57785.462870000003"/>
    <x v="50"/>
    <s v="Nov-2020"/>
  </r>
  <r>
    <x v="51"/>
    <s v="DZA"/>
    <x v="0"/>
    <x v="11"/>
    <x v="11"/>
    <s v="reported"/>
    <n v="18815.746640000001"/>
    <n v="24356"/>
    <n v="5534.1822620000003"/>
    <n v="60594.088649999998"/>
    <n v="57637.348080000003"/>
    <n v="63490.723769999997"/>
    <x v="50"/>
    <s v="Dec-2020"/>
  </r>
  <r>
    <x v="51"/>
    <s v="DZA"/>
    <x v="1"/>
    <x v="0"/>
    <x v="0"/>
    <s v="predicted"/>
    <n v="18823.21514"/>
    <n v="19737.582999999999"/>
    <n v="899.28498179999997"/>
    <n v="61493.373630000002"/>
    <n v="55537.12861"/>
    <n v="68283.630239999999"/>
    <x v="50"/>
    <s v="Jan-2021"/>
  </r>
  <r>
    <x v="51"/>
    <s v="DZA"/>
    <x v="1"/>
    <x v="1"/>
    <x v="1"/>
    <s v="predicted"/>
    <n v="18444.250169999999"/>
    <n v="18522.246999999999"/>
    <n v="62.913956740000003"/>
    <n v="61556.28759"/>
    <n v="53554.415359999999"/>
    <n v="70508.542119999998"/>
    <x v="50"/>
    <s v="Feb-2021"/>
  </r>
  <r>
    <x v="51"/>
    <s v="DZA"/>
    <x v="1"/>
    <x v="2"/>
    <x v="2"/>
    <s v="predicted"/>
    <n v="17720.52219"/>
    <n v="18016.684000000001"/>
    <n v="281.0789327"/>
    <n v="61837.366520000003"/>
    <n v="52133.348209999996"/>
    <n v="72813.191909999994"/>
    <x v="50"/>
    <s v="Mar-2021"/>
  </r>
  <r>
    <x v="51"/>
    <s v="DZA"/>
    <x v="1"/>
    <x v="3"/>
    <x v="3"/>
    <s v="predicted"/>
    <n v="16964.595730000001"/>
    <n v="17238.395"/>
    <n v="258.71639690000001"/>
    <n v="62096.082920000001"/>
    <n v="50878.05631"/>
    <n v="74004.761450000005"/>
    <x v="50"/>
    <s v="Apr-2021"/>
  </r>
  <r>
    <x v="51"/>
    <s v="DZA"/>
    <x v="1"/>
    <x v="4"/>
    <x v="4"/>
    <s v="predicted"/>
    <n v="16602.69973"/>
    <n v="17194.991000000002"/>
    <n v="577.20839030000002"/>
    <n v="62673.291310000001"/>
    <n v="50006.53802"/>
    <n v="76520.063720000006"/>
    <x v="50"/>
    <s v="May-2021"/>
  </r>
  <r>
    <x v="51"/>
    <s v="DZA"/>
    <x v="1"/>
    <x v="5"/>
    <x v="5"/>
    <s v="predicted"/>
    <n v="16650.789919999999"/>
    <n v="18275.444"/>
    <n v="1609.5712020000001"/>
    <n v="64282.862509999999"/>
    <n v="50650.726589999998"/>
    <n v="79788.632559999998"/>
    <x v="50"/>
    <s v="Jun-2021"/>
  </r>
  <r>
    <x v="51"/>
    <s v="DZA"/>
    <x v="1"/>
    <x v="6"/>
    <x v="6"/>
    <s v="predicted"/>
    <n v="16994.478770000002"/>
    <n v="20284.310000000001"/>
    <n v="3274.7483560000001"/>
    <n v="67557.610870000004"/>
    <n v="51511.634660000003"/>
    <n v="84388.440589999998"/>
    <x v="50"/>
    <s v="Jul-2021"/>
  </r>
  <r>
    <x v="51"/>
    <s v="DZA"/>
    <x v="1"/>
    <x v="7"/>
    <x v="7"/>
    <s v="predicted"/>
    <n v="16958.198489999999"/>
    <n v="21035.672999999999"/>
    <n v="4062.3916370000002"/>
    <n v="71620.002500000002"/>
    <n v="54113.449860000001"/>
    <n v="90245.735549999998"/>
    <x v="50"/>
    <s v="Aug-2021"/>
  </r>
  <r>
    <x v="51"/>
    <s v="DZA"/>
    <x v="1"/>
    <x v="8"/>
    <x v="8"/>
    <s v="predicted"/>
    <n v="16650.172569999999"/>
    <n v="18723.687000000002"/>
    <n v="2058.4315569999999"/>
    <n v="73678.43406"/>
    <n v="55097.665099999998"/>
    <n v="92993.379409999994"/>
    <x v="50"/>
    <s v="Sep-2021"/>
  </r>
  <r>
    <x v="51"/>
    <s v="DZA"/>
    <x v="1"/>
    <x v="9"/>
    <x v="9"/>
    <s v="predicted"/>
    <n v="17063.353080000001"/>
    <n v="17817.932000000001"/>
    <n v="739.49604369999997"/>
    <n v="74417.930110000001"/>
    <n v="53756.290480000003"/>
    <n v="94966.515400000004"/>
    <x v="50"/>
    <s v="Oct-2021"/>
  </r>
  <r>
    <x v="51"/>
    <s v="DZA"/>
    <x v="1"/>
    <x v="10"/>
    <x v="10"/>
    <s v="predicted"/>
    <n v="18068.886450000002"/>
    <n v="19092.355"/>
    <n v="1008.38567"/>
    <n v="75426.315780000004"/>
    <n v="53785.812980000002"/>
    <n v="97709.170759999994"/>
    <x v="50"/>
    <s v="Nov-2021"/>
  </r>
  <r>
    <x v="51"/>
    <s v="DZA"/>
    <x v="1"/>
    <x v="11"/>
    <x v="11"/>
    <s v="predicted"/>
    <n v="18991.426459999999"/>
    <n v="21210.769"/>
    <n v="2204.2596589999998"/>
    <n v="77630.575429999997"/>
    <n v="54810.679150000004"/>
    <n v="100871.4711"/>
    <x v="50"/>
    <s v="Dec-2021"/>
  </r>
  <r>
    <x v="52"/>
    <s v="ECU"/>
    <x v="0"/>
    <x v="0"/>
    <x v="0"/>
    <s v="reported"/>
    <n v="7060.8851400000003"/>
    <n v="7342"/>
    <n v="281.1148604"/>
    <n v="281.1148604"/>
    <n v="80.061209079999998"/>
    <n v="479.55995619999999"/>
    <x v="51"/>
    <s v="Jan-2020"/>
  </r>
  <r>
    <x v="52"/>
    <s v="ECU"/>
    <x v="0"/>
    <x v="1"/>
    <x v="1"/>
    <s v="reported"/>
    <n v="7149.6683370000001"/>
    <n v="6964"/>
    <n v="-185.66833729999999"/>
    <n v="95.446523069999998"/>
    <n v="-183.19550799999999"/>
    <n v="384.67101250000002"/>
    <x v="51"/>
    <s v="Feb-2020"/>
  </r>
  <r>
    <x v="52"/>
    <s v="ECU"/>
    <x v="0"/>
    <x v="2"/>
    <x v="2"/>
    <s v="reported"/>
    <n v="7232.829487"/>
    <n v="12794"/>
    <n v="5561.170513"/>
    <n v="5656.6170359999996"/>
    <n v="5271.1767490000002"/>
    <n v="6024.701658"/>
    <x v="51"/>
    <s v="Mar-2020"/>
  </r>
  <r>
    <x v="52"/>
    <s v="ECU"/>
    <x v="0"/>
    <x v="3"/>
    <x v="3"/>
    <s v="reported"/>
    <n v="7228.4638100000002"/>
    <n v="23265"/>
    <n v="16036.536190000001"/>
    <n v="21693.15323"/>
    <n v="21254.17974"/>
    <n v="22151.79998"/>
    <x v="51"/>
    <s v="Apr-2020"/>
  </r>
  <r>
    <x v="52"/>
    <s v="ECU"/>
    <x v="0"/>
    <x v="4"/>
    <x v="4"/>
    <s v="reported"/>
    <n v="7141.3742940000002"/>
    <n v="11716"/>
    <n v="4574.6257059999998"/>
    <n v="26267.77893"/>
    <n v="25745.380669999999"/>
    <n v="26771.537120000001"/>
    <x v="51"/>
    <s v="May-2020"/>
  </r>
  <r>
    <x v="52"/>
    <s v="ECU"/>
    <x v="0"/>
    <x v="5"/>
    <x v="5"/>
    <s v="reported"/>
    <n v="7057.5726670000004"/>
    <n v="10424"/>
    <n v="3366.4273330000001"/>
    <n v="29634.206259999999"/>
    <n v="29081.297589999998"/>
    <n v="30209.498029999999"/>
    <x v="51"/>
    <s v="Jun-2020"/>
  </r>
  <r>
    <x v="52"/>
    <s v="ECU"/>
    <x v="0"/>
    <x v="6"/>
    <x v="6"/>
    <s v="reported"/>
    <n v="6992.5727539999998"/>
    <n v="12425"/>
    <n v="5432.4272460000002"/>
    <n v="35066.63351"/>
    <n v="34467.794970000003"/>
    <n v="35704.29696"/>
    <x v="51"/>
    <s v="Jul-2020"/>
  </r>
  <r>
    <x v="52"/>
    <s v="ECU"/>
    <x v="0"/>
    <x v="7"/>
    <x v="7"/>
    <s v="reported"/>
    <n v="6935.812911"/>
    <n v="11415"/>
    <n v="4479.187089"/>
    <n v="39545.820599999999"/>
    <n v="38881.765939999997"/>
    <n v="40179.678419999997"/>
    <x v="51"/>
    <s v="Aug-2020"/>
  </r>
  <r>
    <x v="52"/>
    <s v="ECU"/>
    <x v="0"/>
    <x v="8"/>
    <x v="8"/>
    <s v="reported"/>
    <n v="6914.9663330000003"/>
    <n v="9116"/>
    <n v="2201.0336670000002"/>
    <n v="41746.854270000003"/>
    <n v="41054.833720000002"/>
    <n v="42415.340450000003"/>
    <x v="51"/>
    <s v="Sep-2020"/>
  </r>
  <r>
    <x v="52"/>
    <s v="ECU"/>
    <x v="0"/>
    <x v="9"/>
    <x v="9"/>
    <s v="reported"/>
    <n v="6935.7307229999997"/>
    <n v="8719"/>
    <n v="1783.2692770000001"/>
    <n v="43530.123540000001"/>
    <n v="42802.219270000001"/>
    <n v="44226.096969999999"/>
    <x v="51"/>
    <s v="Oct-2020"/>
  </r>
  <r>
    <x v="52"/>
    <s v="ECU"/>
    <x v="0"/>
    <x v="10"/>
    <x v="10"/>
    <s v="reported"/>
    <n v="7028.9227709999996"/>
    <n v="8453"/>
    <n v="1424.077229"/>
    <n v="44954.200770000003"/>
    <n v="44205.208919999997"/>
    <n v="45670.98835"/>
    <x v="51"/>
    <s v="Nov-2020"/>
  </r>
  <r>
    <x v="52"/>
    <s v="ECU"/>
    <x v="0"/>
    <x v="11"/>
    <x v="11"/>
    <s v="reported"/>
    <n v="7157.536212"/>
    <n v="8910"/>
    <n v="1752.463788"/>
    <n v="46706.664559999997"/>
    <n v="45955.58726"/>
    <n v="47453.18417"/>
    <x v="51"/>
    <s v="Dec-2020"/>
  </r>
  <r>
    <x v="52"/>
    <s v="ECU"/>
    <x v="1"/>
    <x v="0"/>
    <x v="0"/>
    <s v="reported"/>
    <n v="7172.6350590000002"/>
    <n v="10888"/>
    <n v="3713.198766"/>
    <n v="50419.86333"/>
    <n v="49620.485370000002"/>
    <n v="51240.432220000002"/>
    <x v="51"/>
    <s v="Jan-2021"/>
  </r>
  <r>
    <x v="52"/>
    <s v="ECU"/>
    <x v="1"/>
    <x v="1"/>
    <x v="1"/>
    <s v="reported"/>
    <n v="7259.8721370000003"/>
    <n v="10160"/>
    <n v="2897.961687"/>
    <n v="53317.82501"/>
    <n v="52476.680099999998"/>
    <n v="54149.829819999999"/>
    <x v="51"/>
    <s v="Feb-2021"/>
  </r>
  <r>
    <x v="52"/>
    <s v="ECU"/>
    <x v="1"/>
    <x v="2"/>
    <x v="2"/>
    <s v="reported"/>
    <n v="7347.8599869999998"/>
    <n v="12798"/>
    <n v="5447.9738369999995"/>
    <n v="58765.798849999999"/>
    <n v="57888.723440000002"/>
    <n v="59709.004070000003"/>
    <x v="51"/>
    <s v="Mar-2021"/>
  </r>
  <r>
    <x v="52"/>
    <s v="ECU"/>
    <x v="1"/>
    <x v="3"/>
    <x v="3"/>
    <s v="reported"/>
    <n v="7331.0927799999999"/>
    <n v="15095"/>
    <n v="7761.7410449999998"/>
    <n v="66527.539900000003"/>
    <n v="65586.493870000006"/>
    <n v="67485.953580000001"/>
    <x v="51"/>
    <s v="Apr-2021"/>
  </r>
  <r>
    <x v="52"/>
    <s v="ECU"/>
    <x v="1"/>
    <x v="4"/>
    <x v="4"/>
    <s v="reported"/>
    <n v="7249.3823830000001"/>
    <n v="12530"/>
    <n v="5278.4514410000002"/>
    <n v="71805.991339999993"/>
    <n v="70802.633100000006"/>
    <n v="72785.951159999997"/>
    <x v="51"/>
    <s v="May-2021"/>
  </r>
  <r>
    <x v="52"/>
    <s v="ECU"/>
    <x v="1"/>
    <x v="5"/>
    <x v="5"/>
    <s v="reported"/>
    <n v="7163.7496179999998"/>
    <n v="9401"/>
    <n v="2235.084206"/>
    <n v="74041.075540000005"/>
    <n v="72969.194300000003"/>
    <n v="75043.405360000004"/>
    <x v="51"/>
    <s v="Jun-2021"/>
  </r>
  <r>
    <x v="52"/>
    <s v="ECU"/>
    <x v="1"/>
    <x v="6"/>
    <x v="6"/>
    <s v="reported"/>
    <n v="7095.1027059999997"/>
    <n v="9054"/>
    <n v="1956.7311179999999"/>
    <n v="75997.806660000002"/>
    <n v="74851.988310000001"/>
    <n v="77039.566919999997"/>
    <x v="51"/>
    <s v="Jul-2021"/>
  </r>
  <r>
    <x v="52"/>
    <s v="ECU"/>
    <x v="1"/>
    <x v="7"/>
    <x v="7"/>
    <s v="reported"/>
    <n v="7049.2612810000001"/>
    <n v="7989"/>
    <n v="937.57254309999996"/>
    <n v="76935.379199999996"/>
    <n v="75757.165599999993"/>
    <n v="78008.750709999993"/>
    <x v="51"/>
    <s v="Aug-2021"/>
  </r>
  <r>
    <x v="52"/>
    <s v="ECU"/>
    <x v="1"/>
    <x v="8"/>
    <x v="8"/>
    <s v="reported"/>
    <n v="7017.6508409999997"/>
    <n v="7502"/>
    <n v="482.18298299999998"/>
    <n v="77417.562189999997"/>
    <n v="76180.357820000005"/>
    <n v="78566.12586"/>
    <x v="51"/>
    <s v="Sep-2021"/>
  </r>
  <r>
    <x v="52"/>
    <s v="ECU"/>
    <x v="1"/>
    <x v="9"/>
    <x v="9"/>
    <s v="reported"/>
    <n v="7037.6494089999997"/>
    <n v="7572"/>
    <n v="532.18441559999997"/>
    <n v="77949.746599999999"/>
    <n v="76736.623460000003"/>
    <n v="79105.283420000007"/>
    <x v="51"/>
    <s v="Oct-2021"/>
  </r>
  <r>
    <x v="52"/>
    <s v="ECU"/>
    <x v="1"/>
    <x v="10"/>
    <x v="10"/>
    <s v="reported"/>
    <n v="7135.1306789999999"/>
    <n v="7594"/>
    <n v="456.70314489999998"/>
    <n v="78406.44975"/>
    <n v="77167.731249999997"/>
    <n v="79605.371960000004"/>
    <x v="51"/>
    <s v="Nov-2021"/>
  </r>
  <r>
    <x v="52"/>
    <s v="ECU"/>
    <x v="1"/>
    <x v="11"/>
    <x v="11"/>
    <s v="reported"/>
    <n v="7265.8355730000003"/>
    <n v="8443"/>
    <n v="1174.998251"/>
    <n v="79581.448000000004"/>
    <n v="78277.862150000001"/>
    <n v="80763.702120000002"/>
    <x v="51"/>
    <s v="Dec-2021"/>
  </r>
  <r>
    <x v="53"/>
    <s v="EGY"/>
    <x v="0"/>
    <x v="0"/>
    <x v="0"/>
    <s v="reported"/>
    <n v="54654.376259999997"/>
    <n v="56964"/>
    <n v="2254.1237409999999"/>
    <n v="2254.1237409999999"/>
    <n v="-294.2577316"/>
    <n v="4746.6026279999996"/>
    <x v="52"/>
    <s v="Jan-2020"/>
  </r>
  <r>
    <x v="53"/>
    <s v="EGY"/>
    <x v="0"/>
    <x v="1"/>
    <x v="1"/>
    <s v="reported"/>
    <n v="49036.358760000003"/>
    <n v="49835"/>
    <n v="743.14123989999996"/>
    <n v="2997.2649809999998"/>
    <n v="-870.02154229999996"/>
    <n v="6754.0634440000003"/>
    <x v="52"/>
    <s v="Feb-2020"/>
  </r>
  <r>
    <x v="53"/>
    <s v="EGY"/>
    <x v="0"/>
    <x v="2"/>
    <x v="2"/>
    <s v="reported"/>
    <n v="45517.844640000003"/>
    <n v="49131"/>
    <n v="3557.6553610000001"/>
    <n v="6554.9203420000003"/>
    <n v="1629.835949"/>
    <n v="11334.221659999999"/>
    <x v="52"/>
    <s v="Mar-2020"/>
  </r>
  <r>
    <x v="53"/>
    <s v="EGY"/>
    <x v="0"/>
    <x v="3"/>
    <x v="3"/>
    <s v="reported"/>
    <n v="42552.712460000002"/>
    <n v="42078"/>
    <n v="-530.21246080000003"/>
    <n v="6024.7078819999997"/>
    <n v="407.35571340000001"/>
    <n v="11295.65437"/>
    <x v="52"/>
    <s v="Apr-2020"/>
  </r>
  <r>
    <x v="53"/>
    <s v="EGY"/>
    <x v="0"/>
    <x v="4"/>
    <x v="4"/>
    <s v="reported"/>
    <n v="42914.114849999998"/>
    <n v="56747"/>
    <n v="13777.38515"/>
    <n v="19802.09303"/>
    <n v="13426.5602"/>
    <n v="25630.184560000002"/>
    <x v="52"/>
    <s v="May-2020"/>
  </r>
  <r>
    <x v="53"/>
    <s v="EGY"/>
    <x v="0"/>
    <x v="5"/>
    <x v="5"/>
    <s v="reported"/>
    <n v="43321.017030000003"/>
    <n v="79078"/>
    <n v="35701.482969999997"/>
    <n v="55503.576000000001"/>
    <n v="49256.265700000004"/>
    <n v="62285.608780000002"/>
    <x v="52"/>
    <s v="Jun-2020"/>
  </r>
  <r>
    <x v="53"/>
    <s v="EGY"/>
    <x v="0"/>
    <x v="6"/>
    <x v="6"/>
    <s v="reported"/>
    <n v="46898.22709"/>
    <n v="61079"/>
    <n v="14125.27291"/>
    <n v="69628.848910000001"/>
    <n v="62695.17265"/>
    <n v="76949.986210000003"/>
    <x v="52"/>
    <s v="Jul-2020"/>
  </r>
  <r>
    <x v="53"/>
    <s v="EGY"/>
    <x v="0"/>
    <x v="7"/>
    <x v="7"/>
    <s v="reported"/>
    <n v="48537.088150000003"/>
    <n v="56515"/>
    <n v="7922.4118470000003"/>
    <n v="77551.260750000001"/>
    <n v="70049.867230000003"/>
    <n v="85412.513080000004"/>
    <x v="52"/>
    <s v="Aug-2020"/>
  </r>
  <r>
    <x v="53"/>
    <s v="EGY"/>
    <x v="0"/>
    <x v="8"/>
    <x v="8"/>
    <s v="reported"/>
    <n v="43006.360639999999"/>
    <n v="49351"/>
    <n v="6289.139365"/>
    <n v="83840.400120000006"/>
    <n v="75941.499760000006"/>
    <n v="92329.411529999998"/>
    <x v="52"/>
    <s v="Sep-2020"/>
  </r>
  <r>
    <x v="53"/>
    <s v="EGY"/>
    <x v="0"/>
    <x v="9"/>
    <x v="9"/>
    <s v="reported"/>
    <n v="42124.694819999997"/>
    <n v="45897"/>
    <n v="3716.8051799999998"/>
    <n v="87557.205300000001"/>
    <n v="79392.299960000004"/>
    <n v="96371.242469999997"/>
    <x v="52"/>
    <s v="Oct-2020"/>
  </r>
  <r>
    <x v="53"/>
    <s v="EGY"/>
    <x v="0"/>
    <x v="10"/>
    <x v="10"/>
    <s v="reported"/>
    <n v="44926.189339999997"/>
    <n v="50681"/>
    <n v="5699.3106550000002"/>
    <n v="93256.515950000001"/>
    <n v="84253.0484"/>
    <n v="102288.2224"/>
    <x v="52"/>
    <s v="Nov-2020"/>
  </r>
  <r>
    <x v="53"/>
    <s v="EGY"/>
    <x v="0"/>
    <x v="11"/>
    <x v="11"/>
    <s v="reported"/>
    <n v="54521.015010000003"/>
    <n v="68844"/>
    <n v="14267.484990000001"/>
    <n v="107524.0009"/>
    <n v="98142.919609999997"/>
    <n v="117054.4866"/>
    <x v="52"/>
    <s v="Dec-2020"/>
  </r>
  <r>
    <x v="53"/>
    <s v="EGY"/>
    <x v="1"/>
    <x v="0"/>
    <x v="0"/>
    <s v="reported"/>
    <n v="54521.666039999996"/>
    <n v="69452"/>
    <n v="14900.167289999999"/>
    <n v="122424.1682"/>
    <n v="112627.7798"/>
    <n v="133001.90340000001"/>
    <x v="52"/>
    <s v="Jan-2021"/>
  </r>
  <r>
    <x v="53"/>
    <s v="EGY"/>
    <x v="1"/>
    <x v="1"/>
    <x v="1"/>
    <s v="reported"/>
    <n v="49062.498740000003"/>
    <n v="54184"/>
    <n v="5091.3345959999997"/>
    <n v="127515.5028"/>
    <n v="117629.18309999999"/>
    <n v="138476.8958"/>
    <x v="52"/>
    <s v="Feb-2021"/>
  </r>
  <r>
    <x v="53"/>
    <s v="EGY"/>
    <x v="1"/>
    <x v="2"/>
    <x v="2"/>
    <s v="reported"/>
    <n v="45460.60585"/>
    <n v="60592"/>
    <n v="15101.22748"/>
    <n v="142616.7303"/>
    <n v="131880.23670000001"/>
    <n v="154127.58360000001"/>
    <x v="52"/>
    <s v="Mar-2021"/>
  </r>
  <r>
    <x v="53"/>
    <s v="EGY"/>
    <x v="1"/>
    <x v="3"/>
    <x v="3"/>
    <s v="reported"/>
    <n v="42380.195670000001"/>
    <n v="67163"/>
    <n v="24752.63766"/>
    <n v="167369.36799999999"/>
    <n v="156434.33439999999"/>
    <n v="178778.48560000001"/>
    <x v="52"/>
    <s v="Apr-2021"/>
  </r>
  <r>
    <x v="53"/>
    <s v="EGY"/>
    <x v="1"/>
    <x v="4"/>
    <x v="4"/>
    <s v="reported"/>
    <n v="42901.83541"/>
    <n v="73447"/>
    <n v="30514.997930000001"/>
    <n v="197884.3659"/>
    <n v="186407.60750000001"/>
    <n v="209517.67879999999"/>
    <x v="52"/>
    <s v="May-2021"/>
  </r>
  <r>
    <x v="53"/>
    <s v="EGY"/>
    <x v="1"/>
    <x v="5"/>
    <x v="5"/>
    <s v="reported"/>
    <n v="43285.041019999997"/>
    <n v="54580"/>
    <n v="11264.792310000001"/>
    <n v="209149.15820000001"/>
    <n v="197374.39249999999"/>
    <n v="221516.5999"/>
    <x v="52"/>
    <s v="Jun-2021"/>
  </r>
  <r>
    <x v="53"/>
    <s v="EGY"/>
    <x v="1"/>
    <x v="6"/>
    <x v="6"/>
    <s v="reported"/>
    <n v="46946.067519999997"/>
    <n v="54861"/>
    <n v="7884.7658090000004"/>
    <n v="217033.924"/>
    <n v="204405.46249999999"/>
    <n v="229036.36550000001"/>
    <x v="52"/>
    <s v="Jul-2021"/>
  </r>
  <r>
    <x v="53"/>
    <s v="EGY"/>
    <x v="1"/>
    <x v="7"/>
    <x v="7"/>
    <s v="reported"/>
    <n v="48555.031210000001"/>
    <n v="56235"/>
    <n v="7649.8021239999998"/>
    <n v="224683.7262"/>
    <n v="211080.57029999999"/>
    <n v="237112.19810000001"/>
    <x v="52"/>
    <s v="Aug-2021"/>
  </r>
  <r>
    <x v="53"/>
    <s v="EGY"/>
    <x v="1"/>
    <x v="8"/>
    <x v="8"/>
    <s v="reported"/>
    <n v="42957.079259999999"/>
    <n v="57300"/>
    <n v="14312.754080000001"/>
    <n v="238996.48019999999"/>
    <n v="225059.65830000001"/>
    <n v="252152.78959999999"/>
    <x v="52"/>
    <s v="Sep-2021"/>
  </r>
  <r>
    <x v="53"/>
    <s v="EGY"/>
    <x v="1"/>
    <x v="9"/>
    <x v="9"/>
    <s v="reported"/>
    <n v="42063.710630000001"/>
    <n v="65500"/>
    <n v="23406.1227"/>
    <n v="262402.6029"/>
    <n v="248605.62359999999"/>
    <n v="276848.03989999997"/>
    <x v="52"/>
    <s v="Oct-2021"/>
  </r>
  <r>
    <x v="53"/>
    <s v="EGY"/>
    <x v="1"/>
    <x v="10"/>
    <x v="10"/>
    <s v="reported"/>
    <n v="44687.526420000002"/>
    <n v="61200"/>
    <n v="16482.306909999999"/>
    <n v="278884.90980000002"/>
    <n v="264326.86239999998"/>
    <n v="293030.37040000001"/>
    <x v="52"/>
    <s v="Nov-2021"/>
  </r>
  <r>
    <x v="53"/>
    <s v="EGY"/>
    <x v="1"/>
    <x v="11"/>
    <x v="11"/>
    <s v="reported"/>
    <n v="54468.592929999999"/>
    <n v="60400"/>
    <n v="5901.2404029999998"/>
    <n v="284786.15019999997"/>
    <n v="269208.2966"/>
    <n v="299221.18609999999"/>
    <x v="52"/>
    <s v="Dec-2021"/>
  </r>
  <r>
    <x v="54"/>
    <s v="ERI"/>
    <x v="0"/>
    <x v="0"/>
    <x v="0"/>
    <s v="predicted"/>
    <n v="2378.174364"/>
    <n v="2443.3409999999999"/>
    <n v="65.166635729999996"/>
    <n v="65.166635729999996"/>
    <n v="-512.20960909999997"/>
    <n v="754.29796929999998"/>
    <x v="53"/>
    <s v="Jan-2020"/>
  </r>
  <r>
    <x v="54"/>
    <s v="ERI"/>
    <x v="0"/>
    <x v="1"/>
    <x v="1"/>
    <s v="predicted"/>
    <n v="2344.9502640000001"/>
    <n v="2362.8670000000002"/>
    <n v="17.916736239999999"/>
    <n v="83.083371970000002"/>
    <n v="-793.05527529999995"/>
    <n v="1045.3505680000001"/>
    <x v="53"/>
    <s v="Feb-2020"/>
  </r>
  <r>
    <x v="54"/>
    <s v="ERI"/>
    <x v="0"/>
    <x v="2"/>
    <x v="2"/>
    <s v="predicted"/>
    <n v="2313.0804800000001"/>
    <n v="2347.2919999999999"/>
    <n v="34.211520389999997"/>
    <n v="117.29489239999999"/>
    <n v="-960.28396740000005"/>
    <n v="1312.7451820000001"/>
    <x v="53"/>
    <s v="Mar-2020"/>
  </r>
  <r>
    <x v="54"/>
    <s v="ERI"/>
    <x v="0"/>
    <x v="3"/>
    <x v="3"/>
    <s v="predicted"/>
    <n v="2294.7190519999999"/>
    <n v="2387.6480000000001"/>
    <n v="92.928947609999994"/>
    <n v="210.22384"/>
    <n v="-1058.7682159999999"/>
    <n v="1634.0568229999999"/>
    <x v="53"/>
    <s v="Apr-2020"/>
  </r>
  <r>
    <x v="54"/>
    <s v="ERI"/>
    <x v="0"/>
    <x v="4"/>
    <x v="4"/>
    <s v="predicted"/>
    <n v="2269.5545339999999"/>
    <n v="2399.0830000000001"/>
    <n v="129.5284662"/>
    <n v="339.7523061"/>
    <n v="-1060.702638"/>
    <n v="1880.5688889999999"/>
    <x v="53"/>
    <s v="May-2020"/>
  </r>
  <r>
    <x v="54"/>
    <s v="ERI"/>
    <x v="0"/>
    <x v="5"/>
    <x v="5"/>
    <s v="predicted"/>
    <n v="2262.7728480000001"/>
    <n v="2392.7510000000002"/>
    <n v="129.9781515"/>
    <n v="469.73045760000002"/>
    <n v="-1082.125548"/>
    <n v="2191.949079"/>
    <x v="53"/>
    <s v="Jun-2020"/>
  </r>
  <r>
    <x v="54"/>
    <s v="ERI"/>
    <x v="0"/>
    <x v="6"/>
    <x v="6"/>
    <s v="predicted"/>
    <n v="2260.78971"/>
    <n v="2348.9520000000002"/>
    <n v="88.162290029999994"/>
    <n v="557.89274769999997"/>
    <n v="-1090.2744990000001"/>
    <n v="2322.5760369999998"/>
    <x v="53"/>
    <s v="Jul-2020"/>
  </r>
  <r>
    <x v="54"/>
    <s v="ERI"/>
    <x v="0"/>
    <x v="7"/>
    <x v="7"/>
    <s v="predicted"/>
    <n v="2283.4342120000001"/>
    <n v="2325.3870000000002"/>
    <n v="41.952788089999999"/>
    <n v="599.84553579999999"/>
    <n v="-1188.6894600000001"/>
    <n v="2362.7028799999998"/>
    <x v="53"/>
    <s v="Aug-2020"/>
  </r>
  <r>
    <x v="54"/>
    <s v="ERI"/>
    <x v="0"/>
    <x v="8"/>
    <x v="8"/>
    <s v="predicted"/>
    <n v="2281.9653029999999"/>
    <n v="2292.174"/>
    <n v="10.208697409999999"/>
    <n v="610.0542332"/>
    <n v="-1351.4827720000001"/>
    <n v="2514.2039030000001"/>
    <x v="53"/>
    <s v="Sep-2020"/>
  </r>
  <r>
    <x v="54"/>
    <s v="ERI"/>
    <x v="0"/>
    <x v="9"/>
    <x v="9"/>
    <s v="predicted"/>
    <n v="2283.423511"/>
    <n v="2240.0329999999999"/>
    <n v="-43.390511480000001"/>
    <n v="566.6637217"/>
    <n v="-1493.8483799999999"/>
    <n v="2572.488456"/>
    <x v="53"/>
    <s v="Oct-2020"/>
  </r>
  <r>
    <x v="54"/>
    <s v="ERI"/>
    <x v="0"/>
    <x v="10"/>
    <x v="10"/>
    <s v="predicted"/>
    <n v="2318.013042"/>
    <n v="2317.596"/>
    <n v="-0.41704193899999997"/>
    <n v="566.24667969999996"/>
    <n v="-1617.1616670000001"/>
    <n v="2730.354507"/>
    <x v="53"/>
    <s v="Nov-2020"/>
  </r>
  <r>
    <x v="54"/>
    <s v="ERI"/>
    <x v="0"/>
    <x v="11"/>
    <x v="11"/>
    <s v="predicted"/>
    <n v="2324.859966"/>
    <n v="2384.7840000000001"/>
    <n v="59.924034319999997"/>
    <n v="626.17071410000005"/>
    <n v="-1589.038679"/>
    <n v="2895.7580659999999"/>
    <x v="53"/>
    <s v="Dec-2020"/>
  </r>
  <r>
    <x v="54"/>
    <s v="ERI"/>
    <x v="1"/>
    <x v="0"/>
    <x v="0"/>
    <s v="predicted"/>
    <n v="2365.1552729999999"/>
    <n v="2479.2890000000002"/>
    <n v="114.1337269"/>
    <n v="740.30444090000003"/>
    <n v="-1804.1032720000001"/>
    <n v="3291.6493089999999"/>
    <x v="53"/>
    <s v="Jan-2021"/>
  </r>
  <r>
    <x v="54"/>
    <s v="ERI"/>
    <x v="1"/>
    <x v="1"/>
    <x v="1"/>
    <s v="predicted"/>
    <n v="2331.0287739999999"/>
    <n v="2393.672"/>
    <n v="62.643226300000002"/>
    <n v="802.94766719999996"/>
    <n v="-1760.142902"/>
    <n v="3380.7387319999998"/>
    <x v="53"/>
    <s v="Feb-2021"/>
  </r>
  <r>
    <x v="54"/>
    <s v="ERI"/>
    <x v="1"/>
    <x v="2"/>
    <x v="2"/>
    <s v="predicted"/>
    <n v="2299.2399409999998"/>
    <n v="2412.9830000000002"/>
    <n v="113.7430591"/>
    <n v="916.69072630000005"/>
    <n v="-1831.978394"/>
    <n v="3484.8066589999999"/>
    <x v="53"/>
    <s v="Mar-2021"/>
  </r>
  <r>
    <x v="54"/>
    <s v="ERI"/>
    <x v="1"/>
    <x v="3"/>
    <x v="3"/>
    <s v="predicted"/>
    <n v="2281.2594960000001"/>
    <n v="2297.2809999999999"/>
    <n v="16.02150417"/>
    <n v="932.71223050000003"/>
    <n v="-1808.1886219999999"/>
    <n v="3539.935477"/>
    <x v="53"/>
    <s v="Apr-2021"/>
  </r>
  <r>
    <x v="54"/>
    <s v="ERI"/>
    <x v="1"/>
    <x v="4"/>
    <x v="4"/>
    <s v="predicted"/>
    <n v="2255.215256"/>
    <n v="2340.2170000000001"/>
    <n v="85.001744430000002"/>
    <n v="1017.713975"/>
    <n v="-1797.826024"/>
    <n v="3570.6324340000001"/>
    <x v="53"/>
    <s v="May-2021"/>
  </r>
  <r>
    <x v="54"/>
    <s v="ERI"/>
    <x v="1"/>
    <x v="5"/>
    <x v="5"/>
    <s v="predicted"/>
    <n v="2249.385217"/>
    <n v="2429.335"/>
    <n v="179.9497829"/>
    <n v="1197.6637579999999"/>
    <n v="-1828.1307159999999"/>
    <n v="3884.4581330000001"/>
    <x v="53"/>
    <s v="Jun-2021"/>
  </r>
  <r>
    <x v="54"/>
    <s v="ERI"/>
    <x v="1"/>
    <x v="6"/>
    <x v="6"/>
    <s v="predicted"/>
    <n v="2246.9577079999999"/>
    <n v="2479.2130000000002"/>
    <n v="232.25529180000001"/>
    <n v="1429.91905"/>
    <n v="-1642.316695"/>
    <n v="4250.2748959999999"/>
    <x v="53"/>
    <s v="Jul-2021"/>
  </r>
  <r>
    <x v="54"/>
    <s v="ERI"/>
    <x v="1"/>
    <x v="7"/>
    <x v="7"/>
    <s v="predicted"/>
    <n v="2269.9372739999999"/>
    <n v="2429.8910000000001"/>
    <n v="159.95372570000001"/>
    <n v="1589.872775"/>
    <n v="-1475.505328"/>
    <n v="4529.7833959999998"/>
    <x v="53"/>
    <s v="Aug-2021"/>
  </r>
  <r>
    <x v="54"/>
    <s v="ERI"/>
    <x v="1"/>
    <x v="8"/>
    <x v="8"/>
    <s v="predicted"/>
    <n v="2267.920595"/>
    <n v="2369.645"/>
    <n v="101.7244051"/>
    <n v="1691.59718"/>
    <n v="-1478.4365"/>
    <n v="4634.9288960000003"/>
    <x v="53"/>
    <s v="Sep-2021"/>
  </r>
  <r>
    <x v="54"/>
    <s v="ERI"/>
    <x v="1"/>
    <x v="9"/>
    <x v="9"/>
    <s v="predicted"/>
    <n v="2269.4988499999999"/>
    <n v="2312.2240000000002"/>
    <n v="42.725149520000002"/>
    <n v="1734.32233"/>
    <n v="-1392.7331630000001"/>
    <n v="4806.7020089999996"/>
    <x v="53"/>
    <s v="Oct-2021"/>
  </r>
  <r>
    <x v="54"/>
    <s v="ERI"/>
    <x v="1"/>
    <x v="10"/>
    <x v="10"/>
    <s v="predicted"/>
    <n v="2301.4188770000001"/>
    <n v="2422.3159999999998"/>
    <n v="120.8971229"/>
    <n v="1855.2194529999999"/>
    <n v="-1373.891631"/>
    <n v="5110.0242440000002"/>
    <x v="53"/>
    <s v="Nov-2021"/>
  </r>
  <r>
    <x v="54"/>
    <s v="ERI"/>
    <x v="1"/>
    <x v="11"/>
    <x v="11"/>
    <s v="predicted"/>
    <n v="2309.4073549999998"/>
    <n v="2494.9270000000001"/>
    <n v="185.5196454"/>
    <n v="2040.739098"/>
    <n v="-1145.1554080000001"/>
    <n v="5393.4131909999996"/>
    <x v="53"/>
    <s v="Dec-2021"/>
  </r>
  <r>
    <x v="55"/>
    <s v="ESP"/>
    <x v="0"/>
    <x v="0"/>
    <x v="0"/>
    <s v="reported"/>
    <n v="40573.424590000002"/>
    <n v="42615"/>
    <n v="2040.0754099999999"/>
    <n v="2040.0754099999999"/>
    <n v="269.26767819999998"/>
    <n v="3754.2784069999998"/>
    <x v="54"/>
    <s v="Jan-2020"/>
  </r>
  <r>
    <x v="55"/>
    <s v="ESP"/>
    <x v="0"/>
    <x v="1"/>
    <x v="1"/>
    <s v="reported"/>
    <n v="39393.837140000003"/>
    <n v="36476"/>
    <n v="-2919.3371379999999"/>
    <n v="-879.26172789999998"/>
    <n v="-3686.6495410000002"/>
    <n v="1825.426917"/>
    <x v="54"/>
    <s v="Feb-2020"/>
  </r>
  <r>
    <x v="55"/>
    <s v="ESP"/>
    <x v="0"/>
    <x v="2"/>
    <x v="2"/>
    <s v="reported"/>
    <n v="37144.536319999999"/>
    <n v="57805"/>
    <n v="20658.963680000001"/>
    <n v="19779.701949999999"/>
    <n v="16232.80359"/>
    <n v="23079.867620000001"/>
    <x v="54"/>
    <s v="Mar-2020"/>
  </r>
  <r>
    <x v="55"/>
    <s v="ESP"/>
    <x v="0"/>
    <x v="3"/>
    <x v="3"/>
    <s v="reported"/>
    <n v="34122.2183"/>
    <n v="61145"/>
    <n v="27021.2817"/>
    <n v="46800.983650000002"/>
    <n v="42857.171110000003"/>
    <n v="50703.236570000001"/>
    <x v="54"/>
    <s v="Apr-2020"/>
  </r>
  <r>
    <x v="55"/>
    <s v="ESP"/>
    <x v="0"/>
    <x v="4"/>
    <x v="4"/>
    <s v="reported"/>
    <n v="32654.25806"/>
    <n v="35118"/>
    <n v="2462.2419359999999"/>
    <n v="49263.225590000002"/>
    <n v="44977.514309999999"/>
    <n v="53776.755989999998"/>
    <x v="54"/>
    <s v="May-2020"/>
  </r>
  <r>
    <x v="55"/>
    <s v="ESP"/>
    <x v="0"/>
    <x v="5"/>
    <x v="5"/>
    <s v="reported"/>
    <n v="31876.09808"/>
    <n v="30718"/>
    <n v="-1159.5980770000001"/>
    <n v="48103.627509999998"/>
    <n v="43505.224800000004"/>
    <n v="53043.181969999998"/>
    <x v="54"/>
    <s v="Jun-2020"/>
  </r>
  <r>
    <x v="55"/>
    <s v="ESP"/>
    <x v="0"/>
    <x v="6"/>
    <x v="6"/>
    <s v="reported"/>
    <n v="32609.44226"/>
    <n v="34710"/>
    <n v="2099.0577370000001"/>
    <n v="50202.685250000002"/>
    <n v="45378.955370000003"/>
    <n v="55438.185160000001"/>
    <x v="54"/>
    <s v="Jul-2020"/>
  </r>
  <r>
    <x v="55"/>
    <s v="ESP"/>
    <x v="0"/>
    <x v="7"/>
    <x v="7"/>
    <s v="reported"/>
    <n v="31548.24884"/>
    <n v="35969"/>
    <n v="4419.251158"/>
    <n v="54621.936410000002"/>
    <n v="49433.521569999997"/>
    <n v="59970.51958"/>
    <x v="54"/>
    <s v="Aug-2020"/>
  </r>
  <r>
    <x v="55"/>
    <s v="ESP"/>
    <x v="0"/>
    <x v="8"/>
    <x v="8"/>
    <s v="reported"/>
    <n v="30164.513620000002"/>
    <n v="34405"/>
    <n v="4238.9863759999998"/>
    <n v="58860.922780000001"/>
    <n v="53285.994050000001"/>
    <n v="64359.03355"/>
    <x v="54"/>
    <s v="Sep-2020"/>
  </r>
  <r>
    <x v="55"/>
    <s v="ESP"/>
    <x v="0"/>
    <x v="9"/>
    <x v="9"/>
    <s v="reported"/>
    <n v="31596.669870000002"/>
    <n v="39561"/>
    <n v="7962.8301309999997"/>
    <n v="66823.752919999999"/>
    <n v="61103.397210000003"/>
    <n v="72522.670100000003"/>
    <x v="54"/>
    <s v="Oct-2020"/>
  </r>
  <r>
    <x v="55"/>
    <s v="ESP"/>
    <x v="0"/>
    <x v="10"/>
    <x v="10"/>
    <s v="reported"/>
    <n v="34817.086609999998"/>
    <n v="42309"/>
    <n v="7490.4133890000003"/>
    <n v="74314.166310000001"/>
    <n v="67748.678199999995"/>
    <n v="80515.861399999994"/>
    <x v="54"/>
    <s v="Nov-2020"/>
  </r>
  <r>
    <x v="55"/>
    <s v="ESP"/>
    <x v="0"/>
    <x v="11"/>
    <x v="11"/>
    <s v="reported"/>
    <n v="40567.003909999999"/>
    <n v="41456"/>
    <n v="887.49608599999999"/>
    <n v="75201.662389999998"/>
    <n v="68663.685200000007"/>
    <n v="81927.803839999993"/>
    <x v="54"/>
    <s v="Dec-2020"/>
  </r>
  <r>
    <x v="55"/>
    <s v="ESP"/>
    <x v="1"/>
    <x v="0"/>
    <x v="0"/>
    <s v="reported"/>
    <n v="40538.897270000001"/>
    <n v="52061"/>
    <n v="11519.352730000001"/>
    <n v="86721.015119999996"/>
    <n v="79801.811740000005"/>
    <n v="93980.952850000001"/>
    <x v="54"/>
    <s v="Jan-2021"/>
  </r>
  <r>
    <x v="55"/>
    <s v="ESP"/>
    <x v="1"/>
    <x v="1"/>
    <x v="1"/>
    <s v="reported"/>
    <n v="39311.367489999997"/>
    <n v="40459"/>
    <n v="1144.882505"/>
    <n v="87865.897620000003"/>
    <n v="80751.219660000002"/>
    <n v="95563.265299999999"/>
    <x v="54"/>
    <s v="Feb-2021"/>
  </r>
  <r>
    <x v="55"/>
    <s v="ESP"/>
    <x v="1"/>
    <x v="2"/>
    <x v="2"/>
    <s v="reported"/>
    <n v="37042.087729999999"/>
    <n v="36638"/>
    <n v="-406.8377347"/>
    <n v="87459.059890000004"/>
    <n v="79871.465450000003"/>
    <n v="95317.314039999997"/>
    <x v="54"/>
    <s v="Mar-2021"/>
  </r>
  <r>
    <x v="55"/>
    <s v="ESP"/>
    <x v="1"/>
    <x v="3"/>
    <x v="3"/>
    <s v="reported"/>
    <n v="34117.663419999997"/>
    <n v="34413"/>
    <n v="292.58658459999998"/>
    <n v="87751.646470000007"/>
    <n v="79781.228770000002"/>
    <n v="96067.011150000006"/>
    <x v="54"/>
    <s v="Apr-2021"/>
  </r>
  <r>
    <x v="55"/>
    <s v="ESP"/>
    <x v="1"/>
    <x v="4"/>
    <x v="4"/>
    <s v="reported"/>
    <n v="32645.403679999999"/>
    <n v="34141"/>
    <n v="1492.846315"/>
    <n v="89244.492790000004"/>
    <n v="80732.025169999994"/>
    <n v="98479.640140000003"/>
    <x v="54"/>
    <s v="May-2021"/>
  </r>
  <r>
    <x v="55"/>
    <s v="ESP"/>
    <x v="1"/>
    <x v="5"/>
    <x v="5"/>
    <s v="reported"/>
    <n v="31880.45336"/>
    <n v="32335"/>
    <n v="451.79664159999999"/>
    <n v="89696.289430000004"/>
    <n v="81388.715760000006"/>
    <n v="98854.171109999996"/>
    <x v="54"/>
    <s v="Jun-2021"/>
  </r>
  <r>
    <x v="55"/>
    <s v="ESP"/>
    <x v="1"/>
    <x v="6"/>
    <x v="6"/>
    <s v="reported"/>
    <n v="32633.24467"/>
    <n v="35074"/>
    <n v="2438.0053269999999"/>
    <n v="92134.294760000004"/>
    <n v="83433.375889999996"/>
    <n v="101514.9632"/>
    <x v="54"/>
    <s v="Jul-2021"/>
  </r>
  <r>
    <x v="55"/>
    <s v="ESP"/>
    <x v="1"/>
    <x v="7"/>
    <x v="7"/>
    <s v="reported"/>
    <n v="31583.91563"/>
    <n v="37944"/>
    <n v="6357.3343720000003"/>
    <n v="98491.629130000001"/>
    <n v="89233.422839999999"/>
    <n v="108354.5533"/>
    <x v="54"/>
    <s v="Aug-2021"/>
  </r>
  <r>
    <x v="55"/>
    <s v="ESP"/>
    <x v="1"/>
    <x v="8"/>
    <x v="8"/>
    <s v="reported"/>
    <n v="30066.244449999998"/>
    <n v="32811"/>
    <n v="2742.0055510000002"/>
    <n v="101233.6347"/>
    <n v="92027.618359999993"/>
    <n v="110864.9932"/>
    <x v="54"/>
    <s v="Sep-2021"/>
  </r>
  <r>
    <x v="55"/>
    <s v="ESP"/>
    <x v="1"/>
    <x v="9"/>
    <x v="9"/>
    <s v="reported"/>
    <n v="31589.234380000002"/>
    <n v="34270"/>
    <n v="2678.0156189999998"/>
    <n v="103911.65029999999"/>
    <n v="94606.051449999999"/>
    <n v="113784.7283"/>
    <x v="54"/>
    <s v="Oct-2021"/>
  </r>
  <r>
    <x v="55"/>
    <s v="ESP"/>
    <x v="1"/>
    <x v="10"/>
    <x v="10"/>
    <s v="reported"/>
    <n v="34758.061690000002"/>
    <n v="36859"/>
    <n v="2098.1883090000001"/>
    <n v="106009.8386"/>
    <n v="96069.174750000006"/>
    <n v="115970.6376"/>
    <x v="54"/>
    <s v="Nov-2021"/>
  </r>
  <r>
    <x v="55"/>
    <s v="ESP"/>
    <x v="1"/>
    <x v="11"/>
    <x v="11"/>
    <s v="reported"/>
    <n v="40505.343379999998"/>
    <n v="42036"/>
    <n v="1527.906618"/>
    <n v="107537.7452"/>
    <n v="97414.334950000004"/>
    <n v="118092.44190000001"/>
    <x v="54"/>
    <s v="Dec-2021"/>
  </r>
  <r>
    <x v="56"/>
    <s v="EST"/>
    <x v="0"/>
    <x v="0"/>
    <x v="0"/>
    <s v="reported"/>
    <n v="1368.381187"/>
    <n v="1350"/>
    <n v="-18.381187050000001"/>
    <n v="-18.381187050000001"/>
    <n v="-69.002013959999999"/>
    <n v="34.440675030000001"/>
    <x v="55"/>
    <s v="Jan-2020"/>
  </r>
  <r>
    <x v="56"/>
    <s v="EST"/>
    <x v="0"/>
    <x v="1"/>
    <x v="1"/>
    <s v="reported"/>
    <n v="1385.4673680000001"/>
    <n v="1271"/>
    <n v="-114.46736749999999"/>
    <n v="-132.8485546"/>
    <n v="-208.90514859999999"/>
    <n v="-49.916104539999999"/>
    <x v="55"/>
    <s v="Feb-2020"/>
  </r>
  <r>
    <x v="56"/>
    <s v="EST"/>
    <x v="0"/>
    <x v="2"/>
    <x v="2"/>
    <s v="reported"/>
    <n v="1366.9898049999999"/>
    <n v="1401"/>
    <n v="34.010195199999998"/>
    <n v="-98.838359389999994"/>
    <n v="-198.55160359999999"/>
    <n v="-6.4736934249999996"/>
    <x v="55"/>
    <s v="Mar-2020"/>
  </r>
  <r>
    <x v="56"/>
    <s v="EST"/>
    <x v="0"/>
    <x v="3"/>
    <x v="3"/>
    <s v="reported"/>
    <n v="1305.255701"/>
    <n v="1325"/>
    <n v="19.744298619999999"/>
    <n v="-79.094060769999999"/>
    <n v="-200.91222920000001"/>
    <n v="40.926356839999997"/>
    <x v="55"/>
    <s v="Apr-2020"/>
  </r>
  <r>
    <x v="56"/>
    <s v="EST"/>
    <x v="0"/>
    <x v="4"/>
    <x v="4"/>
    <s v="reported"/>
    <n v="1242.0145709999999"/>
    <n v="1291"/>
    <n v="48.985429289999999"/>
    <n v="-30.10863148"/>
    <n v="-168.0337016"/>
    <n v="101.31493450000001"/>
    <x v="55"/>
    <s v="May-2020"/>
  </r>
  <r>
    <x v="56"/>
    <s v="EST"/>
    <x v="0"/>
    <x v="5"/>
    <x v="5"/>
    <s v="reported"/>
    <n v="1189.575955"/>
    <n v="1174"/>
    <n v="-15.57595536"/>
    <n v="-45.684586840000001"/>
    <n v="-195.76438899999999"/>
    <n v="99.584893089999994"/>
    <x v="55"/>
    <s v="Jun-2020"/>
  </r>
  <r>
    <x v="56"/>
    <s v="EST"/>
    <x v="0"/>
    <x v="6"/>
    <x v="6"/>
    <s v="reported"/>
    <n v="1177.0005639999999"/>
    <n v="1249"/>
    <n v="71.999435689999999"/>
    <n v="26.314848850000001"/>
    <n v="-129.91628890000001"/>
    <n v="193.39473799999999"/>
    <x v="55"/>
    <s v="Jul-2020"/>
  </r>
  <r>
    <x v="56"/>
    <s v="EST"/>
    <x v="0"/>
    <x v="7"/>
    <x v="7"/>
    <s v="reported"/>
    <n v="1185.311338"/>
    <n v="1254"/>
    <n v="68.688661940000003"/>
    <n v="95.003510790000007"/>
    <n v="-70.149896839999997"/>
    <n v="259.3730066"/>
    <x v="55"/>
    <s v="Aug-2020"/>
  </r>
  <r>
    <x v="56"/>
    <s v="EST"/>
    <x v="0"/>
    <x v="8"/>
    <x v="8"/>
    <s v="reported"/>
    <n v="1202.835018"/>
    <n v="1261"/>
    <n v="58.164981849999997"/>
    <n v="153.16849260000001"/>
    <n v="-17.983510039999999"/>
    <n v="332.46201050000002"/>
    <x v="55"/>
    <s v="Sep-2020"/>
  </r>
  <r>
    <x v="56"/>
    <s v="EST"/>
    <x v="0"/>
    <x v="9"/>
    <x v="9"/>
    <s v="reported"/>
    <n v="1243.3302309999999"/>
    <n v="1284"/>
    <n v="40.669768920000003"/>
    <n v="193.83826160000001"/>
    <n v="13.797713659999999"/>
    <n v="376.34375649999998"/>
    <x v="55"/>
    <s v="Oct-2020"/>
  </r>
  <r>
    <x v="56"/>
    <s v="EST"/>
    <x v="0"/>
    <x v="10"/>
    <x v="10"/>
    <s v="reported"/>
    <n v="1294.328078"/>
    <n v="1311"/>
    <n v="16.67192227"/>
    <n v="210.51018379999999"/>
    <n v="10.84802638"/>
    <n v="407.16119429999998"/>
    <x v="55"/>
    <s v="Nov-2020"/>
  </r>
  <r>
    <x v="56"/>
    <s v="EST"/>
    <x v="0"/>
    <x v="11"/>
    <x v="11"/>
    <s v="reported"/>
    <n v="1368.9306429999999"/>
    <n v="1535"/>
    <n v="166.06935720000001"/>
    <n v="376.57954100000001"/>
    <n v="171.75592829999999"/>
    <n v="581.81220519999999"/>
    <x v="55"/>
    <s v="Dec-2020"/>
  </r>
  <r>
    <x v="56"/>
    <s v="EST"/>
    <x v="1"/>
    <x v="0"/>
    <x v="0"/>
    <s v="reported"/>
    <n v="1370.091332"/>
    <n v="1666"/>
    <n v="295.82533480000001"/>
    <n v="672.40487580000001"/>
    <n v="452.81930080000001"/>
    <n v="882.71467659999996"/>
    <x v="55"/>
    <s v="Jan-2021"/>
  </r>
  <r>
    <x v="56"/>
    <s v="EST"/>
    <x v="1"/>
    <x v="1"/>
    <x v="1"/>
    <s v="reported"/>
    <n v="1386.201149"/>
    <n v="1457"/>
    <n v="70.715518009999997"/>
    <n v="743.12039379999999"/>
    <n v="514.8383685"/>
    <n v="967.90012190000004"/>
    <x v="55"/>
    <s v="Feb-2021"/>
  </r>
  <r>
    <x v="56"/>
    <s v="EST"/>
    <x v="1"/>
    <x v="2"/>
    <x v="2"/>
    <s v="reported"/>
    <n v="1365.1474390000001"/>
    <n v="1819"/>
    <n v="453.7692275"/>
    <n v="1196.889621"/>
    <n v="963.86842409999997"/>
    <n v="1433.365147"/>
    <x v="55"/>
    <s v="Mar-2021"/>
  </r>
  <r>
    <x v="56"/>
    <s v="EST"/>
    <x v="1"/>
    <x v="3"/>
    <x v="3"/>
    <s v="reported"/>
    <n v="1301.8743300000001"/>
    <n v="1595"/>
    <n v="293.04233629999999"/>
    <n v="1489.9319579999999"/>
    <n v="1244.5495530000001"/>
    <n v="1736.7683030000001"/>
    <x v="55"/>
    <s v="Apr-2021"/>
  </r>
  <r>
    <x v="56"/>
    <s v="EST"/>
    <x v="1"/>
    <x v="4"/>
    <x v="4"/>
    <s v="reported"/>
    <n v="1243.757801"/>
    <n v="1440"/>
    <n v="196.15886599999999"/>
    <n v="1686.0908240000001"/>
    <n v="1421.805989"/>
    <n v="1935.8042780000001"/>
    <x v="55"/>
    <s v="May-2021"/>
  </r>
  <r>
    <x v="56"/>
    <s v="EST"/>
    <x v="1"/>
    <x v="5"/>
    <x v="5"/>
    <s v="reported"/>
    <n v="1188.151719"/>
    <n v="1367"/>
    <n v="178.76494740000001"/>
    <n v="1864.855771"/>
    <n v="1597.470372"/>
    <n v="2130.0064200000002"/>
    <x v="55"/>
    <s v="Jun-2021"/>
  </r>
  <r>
    <x v="56"/>
    <s v="EST"/>
    <x v="1"/>
    <x v="6"/>
    <x v="6"/>
    <s v="reported"/>
    <n v="1175.1155409999999"/>
    <n v="1356"/>
    <n v="180.80112579999999"/>
    <n v="2045.6568970000001"/>
    <n v="1770.576928"/>
    <n v="2313.3548540000002"/>
    <x v="55"/>
    <s v="Jul-2021"/>
  </r>
  <r>
    <x v="56"/>
    <s v="EST"/>
    <x v="1"/>
    <x v="7"/>
    <x v="7"/>
    <s v="reported"/>
    <n v="1182.1241170000001"/>
    <n v="1311"/>
    <n v="128.79254950000001"/>
    <n v="2174.4494460000001"/>
    <n v="1879.8303759999999"/>
    <n v="2450.6781989999999"/>
    <x v="55"/>
    <s v="Aug-2021"/>
  </r>
  <r>
    <x v="56"/>
    <s v="EST"/>
    <x v="1"/>
    <x v="8"/>
    <x v="8"/>
    <s v="reported"/>
    <n v="1202.6756989999999"/>
    <n v="1391"/>
    <n v="188.24096800000001"/>
    <n v="2362.6904140000001"/>
    <n v="2075.9692700000001"/>
    <n v="2646.1940030000001"/>
    <x v="55"/>
    <s v="Sep-2021"/>
  </r>
  <r>
    <x v="56"/>
    <s v="EST"/>
    <x v="1"/>
    <x v="9"/>
    <x v="9"/>
    <s v="reported"/>
    <n v="1241.3453770000001"/>
    <n v="1591"/>
    <n v="349.57128940000001"/>
    <n v="2712.261704"/>
    <n v="2412.1070410000002"/>
    <n v="3005.9022749999999"/>
    <x v="55"/>
    <s v="Oct-2021"/>
  </r>
  <r>
    <x v="56"/>
    <s v="EST"/>
    <x v="1"/>
    <x v="10"/>
    <x v="10"/>
    <s v="reported"/>
    <n v="1293.8453870000001"/>
    <n v="1710"/>
    <n v="416.07127980000001"/>
    <n v="3128.3329840000001"/>
    <n v="2811.0381339999999"/>
    <n v="3437.871314"/>
    <x v="55"/>
    <s v="Nov-2021"/>
  </r>
  <r>
    <x v="56"/>
    <s v="EST"/>
    <x v="1"/>
    <x v="11"/>
    <x v="11"/>
    <s v="reported"/>
    <n v="1366.057609"/>
    <n v="1652"/>
    <n v="285.85905810000003"/>
    <n v="3414.1920420000001"/>
    <n v="3097.2491190000001"/>
    <n v="3720.3152030000001"/>
    <x v="55"/>
    <s v="Dec-2021"/>
  </r>
  <r>
    <x v="57"/>
    <s v="ETH"/>
    <x v="0"/>
    <x v="0"/>
    <x v="0"/>
    <s v="predicted"/>
    <n v="52783.377399999998"/>
    <n v="54619.656000000003"/>
    <n v="1836.278601"/>
    <n v="1836.278601"/>
    <n v="-10825.194299999999"/>
    <n v="17725.324329999999"/>
    <x v="56"/>
    <s v="Jan-2020"/>
  </r>
  <r>
    <x v="57"/>
    <s v="ETH"/>
    <x v="0"/>
    <x v="1"/>
    <x v="1"/>
    <s v="predicted"/>
    <n v="52217.673970000003"/>
    <n v="52245.337"/>
    <n v="27.663031060000002"/>
    <n v="1863.941632"/>
    <n v="-16522.342970000002"/>
    <n v="23019.215810000002"/>
    <x v="56"/>
    <s v="Feb-2020"/>
  </r>
  <r>
    <x v="57"/>
    <s v="ETH"/>
    <x v="0"/>
    <x v="2"/>
    <x v="2"/>
    <s v="predicted"/>
    <n v="51653.302640000002"/>
    <n v="48763.322999999997"/>
    <n v="-2889.979636"/>
    <n v="-1026.038004"/>
    <n v="-24774.62126"/>
    <n v="23875.95422"/>
    <x v="56"/>
    <s v="Mar-2020"/>
  </r>
  <r>
    <x v="57"/>
    <s v="ETH"/>
    <x v="0"/>
    <x v="3"/>
    <x v="3"/>
    <s v="predicted"/>
    <n v="51847.758730000001"/>
    <n v="47591.258999999998"/>
    <n v="-4256.4997329999997"/>
    <n v="-5282.5377369999997"/>
    <n v="-32636.089840000001"/>
    <n v="23709.539570000001"/>
    <x v="56"/>
    <s v="Apr-2020"/>
  </r>
  <r>
    <x v="57"/>
    <s v="ETH"/>
    <x v="0"/>
    <x v="4"/>
    <x v="4"/>
    <s v="predicted"/>
    <n v="51646.579030000001"/>
    <n v="47977.588000000003"/>
    <n v="-3668.9910319999999"/>
    <n v="-8951.5287690000005"/>
    <n v="-39012.653180000001"/>
    <n v="22958.16747"/>
    <x v="56"/>
    <s v="May-2020"/>
  </r>
  <r>
    <x v="57"/>
    <s v="ETH"/>
    <x v="0"/>
    <x v="5"/>
    <x v="5"/>
    <s v="predicted"/>
    <n v="51920.902090000003"/>
    <n v="51563.156999999999"/>
    <n v="-357.74509360000002"/>
    <n v="-9309.2738630000003"/>
    <n v="-41364.774559999998"/>
    <n v="26313.23256"/>
    <x v="56"/>
    <s v="Jun-2020"/>
  </r>
  <r>
    <x v="57"/>
    <s v="ETH"/>
    <x v="0"/>
    <x v="6"/>
    <x v="6"/>
    <s v="predicted"/>
    <n v="51991.313069999997"/>
    <n v="53778.642999999996"/>
    <n v="1787.329933"/>
    <n v="-7521.9439300000004"/>
    <n v="-42107.276460000001"/>
    <n v="32823.902540000003"/>
    <x v="56"/>
    <s v="Jul-2020"/>
  </r>
  <r>
    <x v="57"/>
    <s v="ETH"/>
    <x v="0"/>
    <x v="7"/>
    <x v="7"/>
    <s v="predicted"/>
    <n v="52206.316200000001"/>
    <n v="55870.228999999999"/>
    <n v="3663.9127990000002"/>
    <n v="-3858.0311310000002"/>
    <n v="-43369.562839999999"/>
    <n v="36959.104339999998"/>
    <x v="56"/>
    <s v="Aug-2020"/>
  </r>
  <r>
    <x v="57"/>
    <s v="ETH"/>
    <x v="0"/>
    <x v="8"/>
    <x v="8"/>
    <s v="predicted"/>
    <n v="52051.951569999997"/>
    <n v="55167.659"/>
    <n v="3115.7074299999999"/>
    <n v="-742.32370060000005"/>
    <n v="-41333.684399999998"/>
    <n v="44140.11148"/>
    <x v="56"/>
    <s v="Sep-2020"/>
  </r>
  <r>
    <x v="57"/>
    <s v="ETH"/>
    <x v="0"/>
    <x v="9"/>
    <x v="9"/>
    <s v="predicted"/>
    <n v="52097.94814"/>
    <n v="54855.476000000002"/>
    <n v="2757.5278619999999"/>
    <n v="2015.204162"/>
    <n v="-42727.316200000001"/>
    <n v="49499.579980000002"/>
    <x v="56"/>
    <s v="Oct-2020"/>
  </r>
  <r>
    <x v="57"/>
    <s v="ETH"/>
    <x v="0"/>
    <x v="10"/>
    <x v="10"/>
    <s v="predicted"/>
    <n v="52540.674749999998"/>
    <n v="54464.514000000003"/>
    <n v="1923.839252"/>
    <n v="3939.0434129999999"/>
    <n v="-41264.738420000001"/>
    <n v="53519.434280000001"/>
    <x v="56"/>
    <s v="Nov-2020"/>
  </r>
  <r>
    <x v="57"/>
    <s v="ETH"/>
    <x v="0"/>
    <x v="11"/>
    <x v="11"/>
    <s v="predicted"/>
    <n v="52407.724349999997"/>
    <n v="54270.99"/>
    <n v="1863.2656480000001"/>
    <n v="5802.3090609999999"/>
    <n v="-45514.374680000001"/>
    <n v="56510.570500000002"/>
    <x v="56"/>
    <s v="Dec-2020"/>
  </r>
  <r>
    <x v="57"/>
    <s v="ETH"/>
    <x v="1"/>
    <x v="0"/>
    <x v="0"/>
    <s v="predicted"/>
    <n v="52674.180500000002"/>
    <n v="54474.949000000001"/>
    <n v="1800.7685019999999"/>
    <n v="7603.0775629999998"/>
    <n v="-44995.673139999999"/>
    <n v="59024.337169999999"/>
    <x v="56"/>
    <s v="Jan-2021"/>
  </r>
  <r>
    <x v="57"/>
    <s v="ETH"/>
    <x v="1"/>
    <x v="1"/>
    <x v="1"/>
    <s v="predicted"/>
    <n v="52142.041279999998"/>
    <n v="55852.375999999997"/>
    <n v="3710.3347239999998"/>
    <n v="11313.41229"/>
    <n v="-41791.429300000003"/>
    <n v="69770.490909999993"/>
    <x v="56"/>
    <s v="Feb-2021"/>
  </r>
  <r>
    <x v="57"/>
    <s v="ETH"/>
    <x v="1"/>
    <x v="2"/>
    <x v="2"/>
    <s v="predicted"/>
    <n v="51543.49007"/>
    <n v="58590.587"/>
    <n v="7047.0969340000001"/>
    <n v="18360.50922"/>
    <n v="-38325.395900000003"/>
    <n v="76921.388219999993"/>
    <x v="56"/>
    <s v="Mar-2021"/>
  </r>
  <r>
    <x v="57"/>
    <s v="ETH"/>
    <x v="1"/>
    <x v="3"/>
    <x v="3"/>
    <s v="predicted"/>
    <n v="51756.979420000003"/>
    <n v="61782.73"/>
    <n v="10025.75058"/>
    <n v="28386.2598"/>
    <n v="-30119.095710000001"/>
    <n v="88933.153909999994"/>
    <x v="56"/>
    <s v="Apr-2021"/>
  </r>
  <r>
    <x v="57"/>
    <s v="ETH"/>
    <x v="1"/>
    <x v="4"/>
    <x v="4"/>
    <s v="predicted"/>
    <n v="51557.178469999999"/>
    <n v="56539.491999999998"/>
    <n v="4982.3135350000002"/>
    <n v="33368.573329999999"/>
    <n v="-25920.362550000002"/>
    <n v="96896.253119999994"/>
    <x v="56"/>
    <s v="May-2021"/>
  </r>
  <r>
    <x v="57"/>
    <s v="ETH"/>
    <x v="1"/>
    <x v="5"/>
    <x v="5"/>
    <s v="predicted"/>
    <n v="51811.164449999997"/>
    <n v="52898.326999999997"/>
    <n v="1087.1625529999999"/>
    <n v="34455.73588"/>
    <n v="-25971.55473"/>
    <n v="97936.005470000004"/>
    <x v="56"/>
    <s v="Jun-2021"/>
  </r>
  <r>
    <x v="57"/>
    <s v="ETH"/>
    <x v="1"/>
    <x v="6"/>
    <x v="6"/>
    <s v="predicted"/>
    <n v="51899.317770000001"/>
    <n v="51222.571000000004"/>
    <n v="-676.74677369999995"/>
    <n v="33778.989110000002"/>
    <n v="-26687.88034"/>
    <n v="97109.988289999994"/>
    <x v="56"/>
    <s v="Jul-2021"/>
  </r>
  <r>
    <x v="57"/>
    <s v="ETH"/>
    <x v="1"/>
    <x v="7"/>
    <x v="7"/>
    <s v="predicted"/>
    <n v="52081.440289999999"/>
    <n v="54836.461000000003"/>
    <n v="2755.0207150000001"/>
    <n v="36534.009830000003"/>
    <n v="-24133.773290000001"/>
    <n v="105305.09849999999"/>
    <x v="56"/>
    <s v="Aug-2021"/>
  </r>
  <r>
    <x v="57"/>
    <s v="ETH"/>
    <x v="1"/>
    <x v="8"/>
    <x v="8"/>
    <s v="predicted"/>
    <n v="51950.328079999999"/>
    <n v="58307.500999999997"/>
    <n v="6357.1729189999996"/>
    <n v="42891.182739999997"/>
    <n v="-21070.12991"/>
    <n v="112097.7022"/>
    <x v="56"/>
    <s v="Sep-2021"/>
  </r>
  <r>
    <x v="57"/>
    <s v="ETH"/>
    <x v="1"/>
    <x v="9"/>
    <x v="9"/>
    <s v="predicted"/>
    <n v="52000.708850000003"/>
    <n v="56018.766000000003"/>
    <n v="4018.0571530000002"/>
    <n v="46909.2399"/>
    <n v="-16668.66201"/>
    <n v="119643.58839999999"/>
    <x v="56"/>
    <s v="Oct-2021"/>
  </r>
  <r>
    <x v="57"/>
    <s v="ETH"/>
    <x v="1"/>
    <x v="10"/>
    <x v="10"/>
    <s v="predicted"/>
    <n v="52398.228660000001"/>
    <n v="54503.821000000004"/>
    <n v="2105.592341"/>
    <n v="49014.832240000003"/>
    <n v="-15380.39868"/>
    <n v="122802.9207"/>
    <x v="56"/>
    <s v="Nov-2021"/>
  </r>
  <r>
    <x v="57"/>
    <s v="ETH"/>
    <x v="1"/>
    <x v="11"/>
    <x v="11"/>
    <s v="predicted"/>
    <n v="52284.322260000001"/>
    <n v="55480.618000000002"/>
    <n v="3196.29574"/>
    <n v="52211.127979999997"/>
    <n v="-15628.08862"/>
    <n v="125842.9348"/>
    <x v="56"/>
    <s v="Dec-2021"/>
  </r>
  <r>
    <x v="58"/>
    <s v="FIN"/>
    <x v="0"/>
    <x v="0"/>
    <x v="0"/>
    <s v="reported"/>
    <n v="5003.5441000000001"/>
    <n v="4685"/>
    <n v="-318.6274335"/>
    <n v="-318.6274335"/>
    <n v="-454.93660399999999"/>
    <n v="-180.9419978"/>
    <x v="57"/>
    <s v="Jan-2020"/>
  </r>
  <r>
    <x v="58"/>
    <s v="FIN"/>
    <x v="0"/>
    <x v="1"/>
    <x v="1"/>
    <s v="reported"/>
    <n v="4632.5267190000004"/>
    <n v="4511"/>
    <n v="-121.6100526"/>
    <n v="-440.23748610000001"/>
    <n v="-654.95811809999998"/>
    <n v="-225.6019311"/>
    <x v="57"/>
    <s v="Feb-2020"/>
  </r>
  <r>
    <x v="58"/>
    <s v="FIN"/>
    <x v="0"/>
    <x v="2"/>
    <x v="2"/>
    <s v="reported"/>
    <n v="4870.4144539999998"/>
    <n v="4908"/>
    <n v="37.502212540000002"/>
    <n v="-402.73527350000001"/>
    <n v="-691.49307650000003"/>
    <n v="-124.99409110000001"/>
    <x v="57"/>
    <s v="Mar-2020"/>
  </r>
  <r>
    <x v="58"/>
    <s v="FIN"/>
    <x v="0"/>
    <x v="3"/>
    <x v="3"/>
    <s v="reported"/>
    <n v="4592.0633619999999"/>
    <n v="4856"/>
    <n v="263.85330470000002"/>
    <n v="-138.88196880000001"/>
    <n v="-482.8415"/>
    <n v="184.98612550000001"/>
    <x v="57"/>
    <s v="Apr-2020"/>
  </r>
  <r>
    <x v="58"/>
    <s v="FIN"/>
    <x v="0"/>
    <x v="4"/>
    <x v="4"/>
    <s v="reported"/>
    <n v="4401.2150240000001"/>
    <n v="4610"/>
    <n v="208.7016429"/>
    <n v="69.819674140000004"/>
    <n v="-339.43243130000002"/>
    <n v="433.95925779999999"/>
    <x v="57"/>
    <s v="May-2020"/>
  </r>
  <r>
    <x v="58"/>
    <s v="FIN"/>
    <x v="0"/>
    <x v="5"/>
    <x v="5"/>
    <s v="reported"/>
    <n v="4195.503487"/>
    <n v="4361"/>
    <n v="165.41318000000001"/>
    <n v="235.2328541"/>
    <n v="-184.77911700000001"/>
    <n v="621.32388300000002"/>
    <x v="57"/>
    <s v="Jun-2020"/>
  </r>
  <r>
    <x v="58"/>
    <s v="FIN"/>
    <x v="0"/>
    <x v="6"/>
    <x v="6"/>
    <s v="reported"/>
    <n v="4281.1301000000003"/>
    <n v="4342"/>
    <n v="60.786566319999999"/>
    <n v="296.01942050000002"/>
    <n v="-161.92397919999999"/>
    <n v="712.46051150000005"/>
    <x v="57"/>
    <s v="Jul-2020"/>
  </r>
  <r>
    <x v="58"/>
    <s v="FIN"/>
    <x v="0"/>
    <x v="7"/>
    <x v="7"/>
    <s v="reported"/>
    <n v="4257.5538909999996"/>
    <n v="4356"/>
    <n v="98.362775189999994"/>
    <n v="394.38219559999999"/>
    <n v="-92.695419630000004"/>
    <n v="848.78107850000004"/>
    <x v="57"/>
    <s v="Aug-2020"/>
  </r>
  <r>
    <x v="58"/>
    <s v="FIN"/>
    <x v="0"/>
    <x v="8"/>
    <x v="8"/>
    <s v="reported"/>
    <n v="4275.3938010000002"/>
    <n v="4517"/>
    <n v="241.52286580000001"/>
    <n v="635.90506140000002"/>
    <n v="90.208336520000003"/>
    <n v="1092.404579"/>
    <x v="57"/>
    <s v="Sep-2020"/>
  </r>
  <r>
    <x v="58"/>
    <s v="FIN"/>
    <x v="0"/>
    <x v="9"/>
    <x v="9"/>
    <s v="reported"/>
    <n v="4551.0410689999999"/>
    <n v="4657"/>
    <n v="105.87559760000001"/>
    <n v="741.78065909999998"/>
    <n v="168.83277709999999"/>
    <n v="1239.7880950000001"/>
    <x v="57"/>
    <s v="Oct-2020"/>
  </r>
  <r>
    <x v="58"/>
    <s v="FIN"/>
    <x v="0"/>
    <x v="10"/>
    <x v="10"/>
    <s v="reported"/>
    <n v="4457.2333689999996"/>
    <n v="4617"/>
    <n v="159.68329729999999"/>
    <n v="901.46395640000003"/>
    <n v="305.66524049999998"/>
    <n v="1430.340872"/>
    <x v="57"/>
    <s v="Nov-2020"/>
  </r>
  <r>
    <x v="58"/>
    <s v="FIN"/>
    <x v="0"/>
    <x v="11"/>
    <x v="11"/>
    <s v="reported"/>
    <n v="5017.0949899999996"/>
    <n v="5015"/>
    <n v="-2.1783229569999998"/>
    <n v="899.28563340000005"/>
    <n v="289.35512490000002"/>
    <n v="1454.3135239999999"/>
    <x v="57"/>
    <s v="Dec-2020"/>
  </r>
  <r>
    <x v="58"/>
    <s v="FIN"/>
    <x v="1"/>
    <x v="0"/>
    <x v="0"/>
    <s v="reported"/>
    <n v="5023.7521120000001"/>
    <n v="5101"/>
    <n v="77.164554980000005"/>
    <n v="976.4501884"/>
    <n v="370.27571519999998"/>
    <n v="1557.3709060000001"/>
    <x v="57"/>
    <s v="Jan-2021"/>
  </r>
  <r>
    <x v="58"/>
    <s v="FIN"/>
    <x v="1"/>
    <x v="1"/>
    <x v="1"/>
    <s v="reported"/>
    <n v="4657.8162259999999"/>
    <n v="4452"/>
    <n v="-205.89955929999999"/>
    <n v="770.55062910000004"/>
    <n v="130.4449802"/>
    <n v="1360.4921959999999"/>
    <x v="57"/>
    <s v="Feb-2021"/>
  </r>
  <r>
    <x v="58"/>
    <s v="FIN"/>
    <x v="1"/>
    <x v="2"/>
    <x v="2"/>
    <s v="reported"/>
    <n v="4897.0290969999996"/>
    <n v="4703"/>
    <n v="-194.1124307"/>
    <n v="576.43819840000003"/>
    <n v="-114.5324389"/>
    <n v="1225.5499649999999"/>
    <x v="57"/>
    <s v="Mar-2021"/>
  </r>
  <r>
    <x v="58"/>
    <s v="FIN"/>
    <x v="1"/>
    <x v="3"/>
    <x v="3"/>
    <s v="reported"/>
    <n v="4626.7543809999997"/>
    <n v="4466"/>
    <n v="-160.83771419999999"/>
    <n v="415.60048419999998"/>
    <n v="-269.53516960000002"/>
    <n v="1050.076867"/>
    <x v="57"/>
    <s v="Apr-2021"/>
  </r>
  <r>
    <x v="58"/>
    <s v="FIN"/>
    <x v="1"/>
    <x v="4"/>
    <x v="4"/>
    <s v="reported"/>
    <n v="4428.280017"/>
    <n v="4622"/>
    <n v="193.63664919999999"/>
    <n v="609.23713339999995"/>
    <n v="-100.9070474"/>
    <n v="1247.351324"/>
    <x v="57"/>
    <s v="May-2021"/>
  </r>
  <r>
    <x v="58"/>
    <s v="FIN"/>
    <x v="1"/>
    <x v="5"/>
    <x v="5"/>
    <s v="reported"/>
    <n v="4209.6642039999997"/>
    <n v="4371"/>
    <n v="161.2524626"/>
    <n v="770.48959600000001"/>
    <n v="34.296996999999998"/>
    <n v="1424.3174469999999"/>
    <x v="57"/>
    <s v="Jun-2021"/>
  </r>
  <r>
    <x v="58"/>
    <s v="FIN"/>
    <x v="1"/>
    <x v="6"/>
    <x v="6"/>
    <s v="reported"/>
    <n v="4307.1751160000003"/>
    <n v="4713"/>
    <n v="405.74155089999999"/>
    <n v="1176.231147"/>
    <n v="439.7294498"/>
    <n v="1846.001297"/>
    <x v="57"/>
    <s v="Jul-2021"/>
  </r>
  <r>
    <x v="58"/>
    <s v="FIN"/>
    <x v="1"/>
    <x v="7"/>
    <x v="7"/>
    <s v="reported"/>
    <n v="4284.0508339999997"/>
    <n v="4765"/>
    <n v="480.86583309999997"/>
    <n v="1657.09698"/>
    <n v="887.01455450000003"/>
    <n v="2411.0399640000001"/>
    <x v="57"/>
    <s v="Aug-2021"/>
  </r>
  <r>
    <x v="58"/>
    <s v="FIN"/>
    <x v="1"/>
    <x v="8"/>
    <x v="8"/>
    <s v="reported"/>
    <n v="4298.9185639999996"/>
    <n v="4752"/>
    <n v="452.99810280000003"/>
    <n v="2110.0950830000002"/>
    <n v="1292.180104"/>
    <n v="2880.7538530000002"/>
    <x v="57"/>
    <s v="Sep-2021"/>
  </r>
  <r>
    <x v="58"/>
    <s v="FIN"/>
    <x v="1"/>
    <x v="9"/>
    <x v="9"/>
    <s v="reported"/>
    <n v="4574.1951600000002"/>
    <n v="5140"/>
    <n v="565.72150639999995"/>
    <n v="2675.816589"/>
    <n v="1846.048286"/>
    <n v="3496.3911440000002"/>
    <x v="57"/>
    <s v="Oct-2021"/>
  </r>
  <r>
    <x v="58"/>
    <s v="FIN"/>
    <x v="1"/>
    <x v="10"/>
    <x v="10"/>
    <s v="reported"/>
    <n v="4483.1835149999997"/>
    <n v="5023"/>
    <n v="539.73315130000003"/>
    <n v="3215.5497409999998"/>
    <n v="2388.2184120000002"/>
    <n v="4076.8811310000001"/>
    <x v="57"/>
    <s v="Nov-2021"/>
  </r>
  <r>
    <x v="58"/>
    <s v="FIN"/>
    <x v="1"/>
    <x v="11"/>
    <x v="11"/>
    <s v="reported"/>
    <n v="5043.158684"/>
    <n v="5595"/>
    <n v="551.75798220000001"/>
    <n v="3767.3077229999999"/>
    <n v="2945.5593909999998"/>
    <n v="4590.0311750000001"/>
    <x v="57"/>
    <s v="Dec-2021"/>
  </r>
  <r>
    <x v="59"/>
    <s v="FJI"/>
    <x v="0"/>
    <x v="0"/>
    <x v="0"/>
    <s v="predicted"/>
    <n v="601.56706489999999"/>
    <n v="593.85799999999995"/>
    <n v="-7.7090649429999996"/>
    <n v="-7.7090649429999996"/>
    <n v="-155.6741778"/>
    <n v="174.7549941"/>
    <x v="58"/>
    <s v="Jan-2020"/>
  </r>
  <r>
    <x v="59"/>
    <s v="FJI"/>
    <x v="0"/>
    <x v="1"/>
    <x v="1"/>
    <s v="predicted"/>
    <n v="599.44655569999998"/>
    <n v="579.50800000000004"/>
    <n v="-19.93855568"/>
    <n v="-27.647620620000001"/>
    <n v="-240.69221669999999"/>
    <n v="213.89903519999999"/>
    <x v="58"/>
    <s v="Feb-2020"/>
  </r>
  <r>
    <x v="59"/>
    <s v="FJI"/>
    <x v="0"/>
    <x v="2"/>
    <x v="2"/>
    <s v="predicted"/>
    <n v="599.57804880000003"/>
    <n v="580.15300000000002"/>
    <n v="-19.425048839999999"/>
    <n v="-47.07266946"/>
    <n v="-318.2942481"/>
    <n v="229.21620390000001"/>
    <x v="58"/>
    <s v="Mar-2020"/>
  </r>
  <r>
    <x v="59"/>
    <s v="FJI"/>
    <x v="0"/>
    <x v="3"/>
    <x v="3"/>
    <s v="predicted"/>
    <n v="600.78362630000004"/>
    <n v="542.09"/>
    <n v="-58.693626299999998"/>
    <n v="-105.76629579999999"/>
    <n v="-429.84887930000002"/>
    <n v="248.0014846"/>
    <x v="58"/>
    <s v="Apr-2020"/>
  </r>
  <r>
    <x v="59"/>
    <s v="FJI"/>
    <x v="0"/>
    <x v="4"/>
    <x v="4"/>
    <s v="predicted"/>
    <n v="606.46009330000004"/>
    <n v="588.93299999999999"/>
    <n v="-17.52709325"/>
    <n v="-123.293389"/>
    <n v="-498.52196229999998"/>
    <n v="244.37711820000001"/>
    <x v="58"/>
    <s v="May-2020"/>
  </r>
  <r>
    <x v="59"/>
    <s v="FJI"/>
    <x v="0"/>
    <x v="5"/>
    <x v="5"/>
    <s v="predicted"/>
    <n v="607.92272509999998"/>
    <n v="630.18399999999997"/>
    <n v="22.26127486"/>
    <n v="-101.0321142"/>
    <n v="-526.92433689999996"/>
    <n v="306.62293949999997"/>
    <x v="58"/>
    <s v="Jun-2020"/>
  </r>
  <r>
    <x v="59"/>
    <s v="FJI"/>
    <x v="0"/>
    <x v="6"/>
    <x v="6"/>
    <s v="predicted"/>
    <n v="610.82980090000001"/>
    <n v="645.65099999999995"/>
    <n v="34.821199059999998"/>
    <n v="-66.21091509"/>
    <n v="-518.36924590000001"/>
    <n v="384.70022970000002"/>
    <x v="58"/>
    <s v="Jul-2020"/>
  </r>
  <r>
    <x v="59"/>
    <s v="FJI"/>
    <x v="0"/>
    <x v="7"/>
    <x v="7"/>
    <s v="predicted"/>
    <n v="609.12149460000001"/>
    <n v="677.87900000000002"/>
    <n v="68.757505420000001"/>
    <n v="2.5465903249999999"/>
    <n v="-484.0169009"/>
    <n v="487.4244281"/>
    <x v="58"/>
    <s v="Aug-2020"/>
  </r>
  <r>
    <x v="59"/>
    <s v="FJI"/>
    <x v="0"/>
    <x v="8"/>
    <x v="8"/>
    <s v="predicted"/>
    <n v="609.81102280000005"/>
    <n v="647.54999999999995"/>
    <n v="37.738977169999998"/>
    <n v="40.285567489999998"/>
    <n v="-480.31452530000001"/>
    <n v="567.58570220000001"/>
    <x v="58"/>
    <s v="Sep-2020"/>
  </r>
  <r>
    <x v="59"/>
    <s v="FJI"/>
    <x v="0"/>
    <x v="9"/>
    <x v="9"/>
    <s v="predicted"/>
    <n v="606.36206019999997"/>
    <n v="623.74699999999996"/>
    <n v="17.384939849999999"/>
    <n v="57.67050734"/>
    <n v="-509.42208160000001"/>
    <n v="636.62245640000003"/>
    <x v="58"/>
    <s v="Oct-2020"/>
  </r>
  <r>
    <x v="59"/>
    <s v="FJI"/>
    <x v="0"/>
    <x v="10"/>
    <x v="10"/>
    <s v="predicted"/>
    <n v="603.58627969999998"/>
    <n v="617.18499999999995"/>
    <n v="13.59872026"/>
    <n v="71.269227599999994"/>
    <n v="-528.74779769999998"/>
    <n v="666.93644429999995"/>
    <x v="58"/>
    <s v="Nov-2020"/>
  </r>
  <r>
    <x v="59"/>
    <s v="FJI"/>
    <x v="0"/>
    <x v="11"/>
    <x v="11"/>
    <s v="predicted"/>
    <n v="601.72075810000001"/>
    <n v="608.21600000000001"/>
    <n v="6.4952418769999998"/>
    <n v="77.764469480000002"/>
    <n v="-538.03413420000004"/>
    <n v="690.38932890000001"/>
    <x v="58"/>
    <s v="Dec-2020"/>
  </r>
  <r>
    <x v="59"/>
    <s v="FJI"/>
    <x v="1"/>
    <x v="0"/>
    <x v="0"/>
    <s v="predicted"/>
    <n v="613.63211409999997"/>
    <n v="620.55799999999999"/>
    <n v="6.9258858700000001"/>
    <n v="84.690355350000004"/>
    <n v="-560.25296230000004"/>
    <n v="738.84573850000004"/>
    <x v="58"/>
    <s v="Jan-2021"/>
  </r>
  <r>
    <x v="59"/>
    <s v="FJI"/>
    <x v="1"/>
    <x v="1"/>
    <x v="1"/>
    <s v="predicted"/>
    <n v="611.15330110000002"/>
    <n v="618.20600000000002"/>
    <n v="7.0526989269999998"/>
    <n v="91.743054270000002"/>
    <n v="-575.58692910000002"/>
    <n v="763.55716389999998"/>
    <x v="58"/>
    <s v="Feb-2021"/>
  </r>
  <r>
    <x v="59"/>
    <s v="FJI"/>
    <x v="1"/>
    <x v="2"/>
    <x v="2"/>
    <s v="predicted"/>
    <n v="611.76171250000004"/>
    <n v="611.04700000000003"/>
    <n v="-0.71471253499999998"/>
    <n v="91.028341740000002"/>
    <n v="-575.01438380000002"/>
    <n v="820.84920320000003"/>
    <x v="58"/>
    <s v="Mar-2021"/>
  </r>
  <r>
    <x v="59"/>
    <s v="FJI"/>
    <x v="1"/>
    <x v="3"/>
    <x v="3"/>
    <s v="predicted"/>
    <n v="612.55208800000003"/>
    <n v="601.16499999999996"/>
    <n v="-11.387088029999999"/>
    <n v="79.641253710000001"/>
    <n v="-631.22286250000002"/>
    <n v="821.44702340000003"/>
    <x v="58"/>
    <s v="Apr-2021"/>
  </r>
  <r>
    <x v="59"/>
    <s v="FJI"/>
    <x v="1"/>
    <x v="4"/>
    <x v="4"/>
    <s v="predicted"/>
    <n v="619.18626630000006"/>
    <n v="646.00800000000004"/>
    <n v="26.821733689999999"/>
    <n v="106.4629874"/>
    <n v="-596.17544789999999"/>
    <n v="878.35659840000005"/>
    <x v="58"/>
    <s v="May-2021"/>
  </r>
  <r>
    <x v="59"/>
    <s v="FJI"/>
    <x v="1"/>
    <x v="5"/>
    <x v="5"/>
    <s v="predicted"/>
    <n v="620.49098149999998"/>
    <n v="682.89300000000003"/>
    <n v="62.402018529999999"/>
    <n v="168.8650059"/>
    <n v="-551.80427220000001"/>
    <n v="1011.42144"/>
    <x v="58"/>
    <s v="Jun-2021"/>
  </r>
  <r>
    <x v="59"/>
    <s v="FJI"/>
    <x v="1"/>
    <x v="6"/>
    <x v="6"/>
    <s v="predicted"/>
    <n v="623.14839830000005"/>
    <n v="990.49699999999996"/>
    <n v="367.34860170000002"/>
    <n v="536.21360760000005"/>
    <n v="-218.92445710000001"/>
    <n v="1400.912777"/>
    <x v="58"/>
    <s v="Jul-2021"/>
  </r>
  <r>
    <x v="59"/>
    <s v="FJI"/>
    <x v="1"/>
    <x v="7"/>
    <x v="7"/>
    <s v="predicted"/>
    <n v="621.54334919999997"/>
    <n v="1110"/>
    <n v="488.45665079999998"/>
    <n v="1024.6702580000001"/>
    <n v="170.60967160000001"/>
    <n v="1941.6010699999999"/>
    <x v="58"/>
    <s v="Aug-2021"/>
  </r>
  <r>
    <x v="59"/>
    <s v="FJI"/>
    <x v="1"/>
    <x v="8"/>
    <x v="8"/>
    <s v="predicted"/>
    <n v="622.41017969999996"/>
    <n v="939.48900000000003"/>
    <n v="317.07882030000002"/>
    <n v="1341.7490789999999"/>
    <n v="429.53207359999999"/>
    <n v="2287.0371500000001"/>
    <x v="58"/>
    <s v="Sep-2021"/>
  </r>
  <r>
    <x v="59"/>
    <s v="FJI"/>
    <x v="1"/>
    <x v="9"/>
    <x v="9"/>
    <s v="predicted"/>
    <n v="618.2799953"/>
    <n v="780.08900000000006"/>
    <n v="161.8090047"/>
    <n v="1503.558084"/>
    <n v="585.18562559999998"/>
    <n v="2463.2620860000002"/>
    <x v="58"/>
    <s v="Oct-2021"/>
  </r>
  <r>
    <x v="59"/>
    <s v="FJI"/>
    <x v="1"/>
    <x v="10"/>
    <x v="10"/>
    <s v="predicted"/>
    <n v="615.29509829999995"/>
    <n v="738.29499999999996"/>
    <n v="122.9999017"/>
    <n v="1626.5579849999999"/>
    <n v="698.80890939999995"/>
    <n v="2640.5648150000002"/>
    <x v="58"/>
    <s v="Nov-2021"/>
  </r>
  <r>
    <x v="59"/>
    <s v="FJI"/>
    <x v="1"/>
    <x v="11"/>
    <x v="11"/>
    <s v="predicted"/>
    <n v="613.51774880000005"/>
    <n v="709.83"/>
    <n v="96.312251180000004"/>
    <n v="1722.870236"/>
    <n v="743.73212239999998"/>
    <n v="2762.9104419999999"/>
    <x v="58"/>
    <s v="Dec-2021"/>
  </r>
  <r>
    <x v="60"/>
    <s v="FRA"/>
    <x v="0"/>
    <x v="0"/>
    <x v="0"/>
    <s v="reported"/>
    <n v="55949.195339999998"/>
    <n v="56185"/>
    <n v="73.721325230000005"/>
    <n v="73.721325230000005"/>
    <n v="-1870.7750940000001"/>
    <n v="2033.48498"/>
    <x v="59"/>
    <s v="Jan-2020"/>
  </r>
  <r>
    <x v="60"/>
    <s v="FRA"/>
    <x v="0"/>
    <x v="1"/>
    <x v="1"/>
    <s v="reported"/>
    <n v="55263.947809999998"/>
    <n v="50408"/>
    <n v="-5018.0311430000002"/>
    <n v="-4944.3098179999997"/>
    <n v="-8098.8170090000003"/>
    <n v="-1930.699243"/>
    <x v="59"/>
    <s v="Feb-2020"/>
  </r>
  <r>
    <x v="60"/>
    <s v="FRA"/>
    <x v="0"/>
    <x v="2"/>
    <x v="2"/>
    <s v="reported"/>
    <n v="53418.967559999997"/>
    <n v="61913"/>
    <n v="8331.9491020000005"/>
    <n v="3387.6392839999999"/>
    <n v="-484.95128149999999"/>
    <n v="7316.984203"/>
    <x v="59"/>
    <s v="Mar-2020"/>
  </r>
  <r>
    <x v="60"/>
    <s v="FRA"/>
    <x v="0"/>
    <x v="3"/>
    <x v="3"/>
    <s v="reported"/>
    <n v="49621.734239999998"/>
    <n v="65646"/>
    <n v="15862.182430000001"/>
    <n v="19249.82171"/>
    <n v="14641.53671"/>
    <n v="23560.81278"/>
    <x v="59"/>
    <s v="Apr-2020"/>
  </r>
  <r>
    <x v="60"/>
    <s v="FRA"/>
    <x v="0"/>
    <x v="4"/>
    <x v="4"/>
    <s v="reported"/>
    <n v="47129.391860000003"/>
    <n v="48161"/>
    <n v="869.52480709999998"/>
    <n v="20119.346519999999"/>
    <n v="15243.382799999999"/>
    <n v="24883.43087"/>
    <x v="59"/>
    <s v="May-2020"/>
  </r>
  <r>
    <x v="60"/>
    <s v="FRA"/>
    <x v="0"/>
    <x v="5"/>
    <x v="5"/>
    <s v="reported"/>
    <n v="45722.967770000003"/>
    <n v="45153"/>
    <n v="-732.05110720000005"/>
    <n v="19387.295409999999"/>
    <n v="13831.535330000001"/>
    <n v="24663.320169999999"/>
    <x v="59"/>
    <s v="Jun-2020"/>
  </r>
  <r>
    <x v="60"/>
    <s v="FRA"/>
    <x v="0"/>
    <x v="6"/>
    <x v="6"/>
    <s v="reported"/>
    <n v="46326.255100000002"/>
    <n v="45906"/>
    <n v="-582.33843109999998"/>
    <n v="18804.956979999999"/>
    <n v="12656.332689999999"/>
    <n v="24718.359949999998"/>
    <x v="59"/>
    <s v="Jul-2020"/>
  </r>
  <r>
    <x v="60"/>
    <s v="FRA"/>
    <x v="0"/>
    <x v="7"/>
    <x v="7"/>
    <s v="reported"/>
    <n v="45983.008130000002"/>
    <n v="48130"/>
    <n v="1984.9085359999999"/>
    <n v="20789.86551"/>
    <n v="14568.621279999999"/>
    <n v="27027.943039999998"/>
    <x v="59"/>
    <s v="Aug-2020"/>
  </r>
  <r>
    <x v="60"/>
    <s v="FRA"/>
    <x v="0"/>
    <x v="8"/>
    <x v="8"/>
    <s v="reported"/>
    <n v="46299.109839999997"/>
    <n v="48035"/>
    <n v="1573.8068270000001"/>
    <n v="22363.672340000001"/>
    <n v="15745.38128"/>
    <n v="28697.013050000001"/>
    <x v="59"/>
    <s v="Sep-2020"/>
  </r>
  <r>
    <x v="60"/>
    <s v="FRA"/>
    <x v="0"/>
    <x v="9"/>
    <x v="9"/>
    <s v="reported"/>
    <n v="48810.569190000002"/>
    <n v="56997"/>
    <n v="8024.3474770000003"/>
    <n v="30388.019820000001"/>
    <n v="23276.22207"/>
    <n v="37119.661690000001"/>
    <x v="59"/>
    <s v="Oct-2020"/>
  </r>
  <r>
    <x v="60"/>
    <s v="FRA"/>
    <x v="0"/>
    <x v="10"/>
    <x v="10"/>
    <s v="reported"/>
    <n v="51607.148849999998"/>
    <n v="64930"/>
    <n v="13160.767819999999"/>
    <n v="43548.787640000002"/>
    <n v="36050.782749999998"/>
    <n v="50671.330679999999"/>
    <x v="59"/>
    <s v="Nov-2020"/>
  </r>
  <r>
    <x v="60"/>
    <s v="FRA"/>
    <x v="0"/>
    <x v="11"/>
    <x v="11"/>
    <s v="reported"/>
    <n v="56262.586109999997"/>
    <n v="63076"/>
    <n v="6651.3305529999998"/>
    <n v="50200.118190000001"/>
    <n v="42719.269410000001"/>
    <n v="57426.538670000002"/>
    <x v="59"/>
    <s v="Dec-2020"/>
  </r>
  <r>
    <x v="60"/>
    <s v="FRA"/>
    <x v="1"/>
    <x v="0"/>
    <x v="0"/>
    <s v="reported"/>
    <n v="56265.029710000003"/>
    <n v="65408"/>
    <n v="9139.9702899999993"/>
    <n v="59340.088479999999"/>
    <n v="51119.247439999999"/>
    <n v="67259.027700000006"/>
    <x v="59"/>
    <s v="Jan-2021"/>
  </r>
  <r>
    <x v="60"/>
    <s v="FRA"/>
    <x v="1"/>
    <x v="1"/>
    <x v="1"/>
    <s v="reported"/>
    <n v="55601.273730000001"/>
    <n v="56048"/>
    <n v="443.72627399999999"/>
    <n v="59783.814749999998"/>
    <n v="51320.015330000002"/>
    <n v="68009.890549999996"/>
    <x v="59"/>
    <s v="Feb-2021"/>
  </r>
  <r>
    <x v="60"/>
    <s v="FRA"/>
    <x v="1"/>
    <x v="2"/>
    <x v="2"/>
    <s v="reported"/>
    <n v="53707.124360000002"/>
    <n v="57186"/>
    <n v="3475.8756450000001"/>
    <n v="63259.690399999999"/>
    <n v="54194.226179999998"/>
    <n v="71465.471860000005"/>
    <x v="59"/>
    <s v="Mar-2021"/>
  </r>
  <r>
    <x v="60"/>
    <s v="FRA"/>
    <x v="1"/>
    <x v="3"/>
    <x v="3"/>
    <s v="reported"/>
    <n v="49921.744359999997"/>
    <n v="55983"/>
    <n v="6058.2556379999996"/>
    <n v="69317.946039999995"/>
    <n v="59734.721940000003"/>
    <n v="77883.848530000003"/>
    <x v="59"/>
    <s v="Apr-2021"/>
  </r>
  <r>
    <x v="60"/>
    <s v="FRA"/>
    <x v="1"/>
    <x v="4"/>
    <x v="4"/>
    <s v="reported"/>
    <n v="47487.199919999999"/>
    <n v="51498"/>
    <n v="4007.8000820000002"/>
    <n v="73325.746119999996"/>
    <n v="63113.110099999998"/>
    <n v="82184.745420000007"/>
    <x v="59"/>
    <s v="May-2021"/>
  </r>
  <r>
    <x v="60"/>
    <s v="FRA"/>
    <x v="1"/>
    <x v="5"/>
    <x v="5"/>
    <s v="reported"/>
    <n v="46032.212619999998"/>
    <n v="45016"/>
    <n v="-1019.212617"/>
    <n v="72306.533500000005"/>
    <n v="61783.740120000002"/>
    <n v="81456.702210000003"/>
    <x v="59"/>
    <s v="Jun-2021"/>
  </r>
  <r>
    <x v="60"/>
    <s v="FRA"/>
    <x v="1"/>
    <x v="6"/>
    <x v="6"/>
    <s v="reported"/>
    <n v="46560.9548"/>
    <n v="47270"/>
    <n v="706.04520430000002"/>
    <n v="73012.578710000002"/>
    <n v="62299.296479999997"/>
    <n v="82383.653720000002"/>
    <x v="59"/>
    <s v="Jul-2021"/>
  </r>
  <r>
    <x v="60"/>
    <s v="FRA"/>
    <x v="1"/>
    <x v="7"/>
    <x v="7"/>
    <s v="reported"/>
    <n v="46356.206969999999"/>
    <n v="49078"/>
    <n v="2718.7930329999999"/>
    <n v="75731.371740000002"/>
    <n v="65052.03067"/>
    <n v="85641.111900000004"/>
    <x v="59"/>
    <s v="Aug-2021"/>
  </r>
  <r>
    <x v="60"/>
    <s v="FRA"/>
    <x v="1"/>
    <x v="8"/>
    <x v="8"/>
    <s v="reported"/>
    <n v="46595.940049999997"/>
    <n v="48256"/>
    <n v="1657.0599520000001"/>
    <n v="77388.431689999998"/>
    <n v="66928.57372"/>
    <n v="87645.671329999997"/>
    <x v="59"/>
    <s v="Sep-2021"/>
  </r>
  <r>
    <x v="60"/>
    <s v="FRA"/>
    <x v="1"/>
    <x v="9"/>
    <x v="9"/>
    <s v="reported"/>
    <n v="49089.355300000003"/>
    <n v="52561"/>
    <n v="3468.6446959999998"/>
    <n v="80857.076390000002"/>
    <n v="70147.859129999997"/>
    <n v="91695.201979999998"/>
    <x v="59"/>
    <s v="Oct-2021"/>
  </r>
  <r>
    <x v="60"/>
    <s v="FRA"/>
    <x v="1"/>
    <x v="10"/>
    <x v="10"/>
    <s v="reported"/>
    <n v="51950.909299999999"/>
    <n v="52786"/>
    <n v="832.09070359999998"/>
    <n v="81689.167090000003"/>
    <n v="69887.884760000001"/>
    <n v="93141.856979999997"/>
    <x v="59"/>
    <s v="Nov-2021"/>
  </r>
  <r>
    <x v="60"/>
    <s v="FRA"/>
    <x v="1"/>
    <x v="11"/>
    <x v="11"/>
    <s v="reported"/>
    <n v="56698.691250000003"/>
    <n v="62658"/>
    <n v="5956.3087500000001"/>
    <n v="87645.475839999999"/>
    <n v="75720.039319999996"/>
    <n v="99266.867490000004"/>
    <x v="59"/>
    <s v="Dec-2021"/>
  </r>
  <r>
    <x v="61"/>
    <s v="FSM"/>
    <x v="0"/>
    <x v="0"/>
    <x v="0"/>
    <s v="predicted"/>
    <n v="87.243446719999994"/>
    <n v="87.813999999999993"/>
    <n v="0.57055327700000003"/>
    <n v="0.57055327700000003"/>
    <n v="-27.469998090000001"/>
    <n v="35.668836120000002"/>
    <x v="60"/>
    <s v="Jan-2020"/>
  </r>
  <r>
    <x v="61"/>
    <s v="FSM"/>
    <x v="0"/>
    <x v="1"/>
    <x v="1"/>
    <s v="predicted"/>
    <n v="87.108044939999999"/>
    <n v="86.882999999999996"/>
    <n v="-0.225044943"/>
    <n v="0.34550833399999997"/>
    <n v="-41.222685149999997"/>
    <n v="48.785597260000003"/>
    <x v="60"/>
    <s v="Feb-2020"/>
  </r>
  <r>
    <x v="61"/>
    <s v="FSM"/>
    <x v="0"/>
    <x v="2"/>
    <x v="2"/>
    <s v="predicted"/>
    <n v="87.192976830000006"/>
    <n v="88.29"/>
    <n v="1.097023173"/>
    <n v="1.442531507"/>
    <n v="-47.838404480000001"/>
    <n v="59.390563960000001"/>
    <x v="60"/>
    <s v="Mar-2020"/>
  </r>
  <r>
    <x v="61"/>
    <s v="FSM"/>
    <x v="0"/>
    <x v="3"/>
    <x v="3"/>
    <s v="predicted"/>
    <n v="87.111166960000006"/>
    <n v="90.704999999999998"/>
    <n v="3.593833042"/>
    <n v="5.036364549"/>
    <n v="-53.161799330000001"/>
    <n v="67.935469490000003"/>
    <x v="60"/>
    <s v="Apr-2020"/>
  </r>
  <r>
    <x v="61"/>
    <s v="FSM"/>
    <x v="0"/>
    <x v="4"/>
    <x v="4"/>
    <s v="predicted"/>
    <n v="87.053732049999994"/>
    <n v="92.364999999999995"/>
    <n v="5.3112679500000004"/>
    <n v="10.3476325"/>
    <n v="-57.496242940000002"/>
    <n v="81.030164110000001"/>
    <x v="60"/>
    <s v="May-2020"/>
  </r>
  <r>
    <x v="61"/>
    <s v="FSM"/>
    <x v="0"/>
    <x v="5"/>
    <x v="5"/>
    <s v="predicted"/>
    <n v="87.304544660000005"/>
    <n v="93.433999999999997"/>
    <n v="6.1294553379999996"/>
    <n v="16.477087839999999"/>
    <n v="-60.108838540000001"/>
    <n v="92.279831459999997"/>
    <x v="60"/>
    <s v="Jun-2020"/>
  </r>
  <r>
    <x v="61"/>
    <s v="FSM"/>
    <x v="0"/>
    <x v="6"/>
    <x v="6"/>
    <s v="predicted"/>
    <n v="87.244763079999998"/>
    <n v="92.710999999999999"/>
    <n v="5.4662369220000002"/>
    <n v="21.943324759999999"/>
    <n v="-66.786954600000001"/>
    <n v="106.43409269999999"/>
    <x v="60"/>
    <s v="Jul-2020"/>
  </r>
  <r>
    <x v="61"/>
    <s v="FSM"/>
    <x v="0"/>
    <x v="7"/>
    <x v="7"/>
    <s v="predicted"/>
    <n v="87.096171459999994"/>
    <n v="91.400999999999996"/>
    <n v="4.3048285369999997"/>
    <n v="26.248153299999998"/>
    <n v="-67.688570189999993"/>
    <n v="119.6599616"/>
    <x v="60"/>
    <s v="Aug-2020"/>
  </r>
  <r>
    <x v="61"/>
    <s v="FSM"/>
    <x v="0"/>
    <x v="8"/>
    <x v="8"/>
    <s v="predicted"/>
    <n v="87.338670539999995"/>
    <n v="91.483000000000004"/>
    <n v="4.1443294599999998"/>
    <n v="30.39248276"/>
    <n v="-70.618535719999997"/>
    <n v="130.4986504"/>
    <x v="60"/>
    <s v="Sep-2020"/>
  </r>
  <r>
    <x v="61"/>
    <s v="FSM"/>
    <x v="0"/>
    <x v="9"/>
    <x v="9"/>
    <s v="predicted"/>
    <n v="87.096518340000003"/>
    <n v="90.087999999999994"/>
    <n v="2.9914816609999999"/>
    <n v="33.383964419999998"/>
    <n v="-76.139171669999996"/>
    <n v="136.26168519999999"/>
    <x v="60"/>
    <s v="Oct-2020"/>
  </r>
  <r>
    <x v="61"/>
    <s v="FSM"/>
    <x v="0"/>
    <x v="10"/>
    <x v="10"/>
    <s v="predicted"/>
    <n v="87.553723520000005"/>
    <n v="89.813000000000002"/>
    <n v="2.2592764750000001"/>
    <n v="35.643240890000001"/>
    <n v="-73.416723439999998"/>
    <n v="147.19509110000001"/>
    <x v="60"/>
    <s v="Nov-2020"/>
  </r>
  <r>
    <x v="61"/>
    <s v="FSM"/>
    <x v="0"/>
    <x v="11"/>
    <x v="11"/>
    <s v="predicted"/>
    <n v="87.405226760000005"/>
    <n v="90.483000000000004"/>
    <n v="3.0777732420000001"/>
    <n v="38.72101413"/>
    <n v="-78.164373780000005"/>
    <n v="154.1286891"/>
    <x v="60"/>
    <s v="Dec-2020"/>
  </r>
  <r>
    <x v="61"/>
    <s v="FSM"/>
    <x v="1"/>
    <x v="0"/>
    <x v="0"/>
    <s v="predicted"/>
    <n v="89.124458259999997"/>
    <n v="90.076999999999998"/>
    <n v="0.95254173900000005"/>
    <n v="39.673555870000001"/>
    <n v="-73.272663730000005"/>
    <n v="154.01041620000001"/>
    <x v="60"/>
    <s v="Jan-2021"/>
  </r>
  <r>
    <x v="61"/>
    <s v="FSM"/>
    <x v="1"/>
    <x v="1"/>
    <x v="1"/>
    <s v="predicted"/>
    <n v="89.181147050000007"/>
    <n v="91.067999999999998"/>
    <n v="1.8868529489999999"/>
    <n v="41.560408819999999"/>
    <n v="-73.337084529999998"/>
    <n v="157.71349190000001"/>
    <x v="60"/>
    <s v="Feb-2021"/>
  </r>
  <r>
    <x v="61"/>
    <s v="FSM"/>
    <x v="1"/>
    <x v="2"/>
    <x v="2"/>
    <s v="predicted"/>
    <n v="89.078388570000001"/>
    <n v="87.855000000000004"/>
    <n v="-1.2233885710000001"/>
    <n v="40.337020250000002"/>
    <n v="-81.210862599999999"/>
    <n v="162.7776235"/>
    <x v="60"/>
    <s v="Mar-2021"/>
  </r>
  <r>
    <x v="61"/>
    <s v="FSM"/>
    <x v="1"/>
    <x v="3"/>
    <x v="3"/>
    <s v="predicted"/>
    <n v="88.965134599999999"/>
    <n v="89.227000000000004"/>
    <n v="0.26186539800000003"/>
    <n v="40.59888565"/>
    <n v="-88.718224759999998"/>
    <n v="162.7576402"/>
    <x v="60"/>
    <s v="Apr-2021"/>
  </r>
  <r>
    <x v="61"/>
    <s v="FSM"/>
    <x v="1"/>
    <x v="4"/>
    <x v="4"/>
    <s v="predicted"/>
    <n v="89.144081150000005"/>
    <n v="89.322000000000003"/>
    <n v="0.17791884899999999"/>
    <n v="40.776804499999997"/>
    <n v="-91.308370339999996"/>
    <n v="172.40158149999999"/>
    <x v="60"/>
    <s v="May-2021"/>
  </r>
  <r>
    <x v="61"/>
    <s v="FSM"/>
    <x v="1"/>
    <x v="5"/>
    <x v="5"/>
    <s v="predicted"/>
    <n v="89.257779830000004"/>
    <n v="90.727999999999994"/>
    <n v="1.4702201660000001"/>
    <n v="42.247024660000001"/>
    <n v="-93.136075070000004"/>
    <n v="177.06442910000001"/>
    <x v="60"/>
    <s v="Jun-2021"/>
  </r>
  <r>
    <x v="61"/>
    <s v="FSM"/>
    <x v="1"/>
    <x v="6"/>
    <x v="6"/>
    <s v="predicted"/>
    <n v="89.119626499999995"/>
    <n v="93.561999999999998"/>
    <n v="4.4423734970000002"/>
    <n v="46.689398160000003"/>
    <n v="-88.193698850000004"/>
    <n v="186.93522139999999"/>
    <x v="60"/>
    <s v="Jul-2021"/>
  </r>
  <r>
    <x v="61"/>
    <s v="FSM"/>
    <x v="1"/>
    <x v="7"/>
    <x v="7"/>
    <s v="predicted"/>
    <n v="89.075521269999996"/>
    <n v="93.698999999999998"/>
    <n v="4.6234787280000003"/>
    <n v="51.312876889999998"/>
    <n v="-87.979986839999995"/>
    <n v="194.69020380000001"/>
    <x v="60"/>
    <s v="Aug-2021"/>
  </r>
  <r>
    <x v="61"/>
    <s v="FSM"/>
    <x v="1"/>
    <x v="8"/>
    <x v="8"/>
    <s v="predicted"/>
    <n v="89.456958400000005"/>
    <n v="93.89"/>
    <n v="4.4330415959999998"/>
    <n v="55.745918490000001"/>
    <n v="-85.474901299999999"/>
    <n v="204.54795590000001"/>
    <x v="60"/>
    <s v="Sep-2021"/>
  </r>
  <r>
    <x v="61"/>
    <s v="FSM"/>
    <x v="1"/>
    <x v="9"/>
    <x v="9"/>
    <s v="predicted"/>
    <n v="89.16674476"/>
    <n v="93.683000000000007"/>
    <n v="4.5162552380000003"/>
    <n v="60.26217372"/>
    <n v="-87.994611680000006"/>
    <n v="214.63410020000001"/>
    <x v="60"/>
    <s v="Oct-2021"/>
  </r>
  <r>
    <x v="61"/>
    <s v="FSM"/>
    <x v="1"/>
    <x v="10"/>
    <x v="10"/>
    <s v="predicted"/>
    <n v="89.734727910000004"/>
    <n v="95.933000000000007"/>
    <n v="6.1982720880000004"/>
    <n v="66.460445809999996"/>
    <n v="-80.886528960000007"/>
    <n v="226.12936139999999"/>
    <x v="60"/>
    <s v="Nov-2021"/>
  </r>
  <r>
    <x v="61"/>
    <s v="FSM"/>
    <x v="1"/>
    <x v="11"/>
    <x v="11"/>
    <s v="predicted"/>
    <n v="89.548021680000005"/>
    <n v="98.087999999999994"/>
    <n v="8.5399783199999995"/>
    <n v="75.000424129999999"/>
    <n v="-76.534761070000002"/>
    <n v="241.23598279999999"/>
    <x v="60"/>
    <s v="Dec-2021"/>
  </r>
  <r>
    <x v="62"/>
    <s v="GAB"/>
    <x v="0"/>
    <x v="0"/>
    <x v="0"/>
    <s v="predicted"/>
    <n v="1184.4825510000001"/>
    <n v="1210.499"/>
    <n v="26.01644877"/>
    <n v="26.01644877"/>
    <n v="-275.81544129999997"/>
    <n v="379.25444959999999"/>
    <x v="61"/>
    <s v="Jan-2020"/>
  </r>
  <r>
    <x v="62"/>
    <s v="GAB"/>
    <x v="0"/>
    <x v="1"/>
    <x v="1"/>
    <s v="predicted"/>
    <n v="1184.3136099999999"/>
    <n v="1177.222"/>
    <n v="-7.0916098759999997"/>
    <n v="18.92483889"/>
    <n v="-422.27258590000002"/>
    <n v="507.29270150000002"/>
    <x v="61"/>
    <s v="Feb-2020"/>
  </r>
  <r>
    <x v="62"/>
    <s v="GAB"/>
    <x v="0"/>
    <x v="2"/>
    <x v="2"/>
    <s v="predicted"/>
    <n v="1183.5852239999999"/>
    <n v="1183.4559999999999"/>
    <n v="-0.12922430100000001"/>
    <n v="18.79561459"/>
    <n v="-526.78230689999998"/>
    <n v="606.81980020000003"/>
    <x v="61"/>
    <s v="Mar-2020"/>
  </r>
  <r>
    <x v="62"/>
    <s v="GAB"/>
    <x v="0"/>
    <x v="3"/>
    <x v="3"/>
    <s v="predicted"/>
    <n v="1182.709155"/>
    <n v="1111.318"/>
    <n v="-71.391155280000007"/>
    <n v="-52.59554069"/>
    <n v="-635.52775469999995"/>
    <n v="598.79170939999995"/>
    <x v="61"/>
    <s v="Apr-2020"/>
  </r>
  <r>
    <x v="62"/>
    <s v="GAB"/>
    <x v="0"/>
    <x v="4"/>
    <x v="4"/>
    <s v="predicted"/>
    <n v="1186.1899080000001"/>
    <n v="1233.1489999999999"/>
    <n v="46.959091739999998"/>
    <n v="-5.6364489549999996"/>
    <n v="-705.37399259999995"/>
    <n v="727.06970809999996"/>
    <x v="61"/>
    <s v="May-2020"/>
  </r>
  <r>
    <x v="62"/>
    <s v="GAB"/>
    <x v="0"/>
    <x v="5"/>
    <x v="5"/>
    <s v="predicted"/>
    <n v="1199.395671"/>
    <n v="1320.67"/>
    <n v="121.2743286"/>
    <n v="115.6378797"/>
    <n v="-681.97680119999995"/>
    <n v="895.12309419999997"/>
    <x v="61"/>
    <s v="Jun-2020"/>
  </r>
  <r>
    <x v="62"/>
    <s v="GAB"/>
    <x v="0"/>
    <x v="6"/>
    <x v="6"/>
    <s v="predicted"/>
    <n v="1203.4358569999999"/>
    <n v="1281.5920000000001"/>
    <n v="78.156143040000003"/>
    <n v="193.7940227"/>
    <n v="-680.43224970000006"/>
    <n v="1102.2205899999999"/>
    <x v="61"/>
    <s v="Jul-2020"/>
  </r>
  <r>
    <x v="62"/>
    <s v="GAB"/>
    <x v="0"/>
    <x v="7"/>
    <x v="7"/>
    <s v="predicted"/>
    <n v="1201.7780439999999"/>
    <n v="1276.5940000000001"/>
    <n v="74.815956159999999"/>
    <n v="268.60997889999999"/>
    <n v="-688.82124090000002"/>
    <n v="1260.163192"/>
    <x v="61"/>
    <s v="Aug-2020"/>
  </r>
  <r>
    <x v="62"/>
    <s v="GAB"/>
    <x v="0"/>
    <x v="8"/>
    <x v="8"/>
    <s v="predicted"/>
    <n v="1197.188304"/>
    <n v="1240.7660000000001"/>
    <n v="43.577696500000002"/>
    <n v="312.18767539999999"/>
    <n v="-660.70023849999995"/>
    <n v="1344.6488999999999"/>
    <x v="61"/>
    <s v="Sep-2020"/>
  </r>
  <r>
    <x v="62"/>
    <s v="GAB"/>
    <x v="0"/>
    <x v="9"/>
    <x v="9"/>
    <s v="predicted"/>
    <n v="1191.5429320000001"/>
    <n v="1212.152"/>
    <n v="20.609068229999998"/>
    <n v="332.79674360000001"/>
    <n v="-687.62753559999999"/>
    <n v="1400.3009440000001"/>
    <x v="61"/>
    <s v="Oct-2020"/>
  </r>
  <r>
    <x v="62"/>
    <s v="GAB"/>
    <x v="0"/>
    <x v="10"/>
    <x v="10"/>
    <s v="predicted"/>
    <n v="1193.8313470000001"/>
    <n v="1220.6300000000001"/>
    <n v="26.79865255"/>
    <n v="359.59539610000002"/>
    <n v="-737.48449649999998"/>
    <n v="1467.219832"/>
    <x v="61"/>
    <s v="Nov-2020"/>
  </r>
  <r>
    <x v="62"/>
    <s v="GAB"/>
    <x v="0"/>
    <x v="11"/>
    <x v="11"/>
    <s v="predicted"/>
    <n v="1192.959779"/>
    <n v="1211.1959999999999"/>
    <n v="18.23622104"/>
    <n v="377.83161719999998"/>
    <n v="-699.87311120000004"/>
    <n v="1536.739032"/>
    <x v="61"/>
    <s v="Dec-2020"/>
  </r>
  <r>
    <x v="62"/>
    <s v="GAB"/>
    <x v="1"/>
    <x v="0"/>
    <x v="0"/>
    <s v="predicted"/>
    <n v="1187.2753970000001"/>
    <n v="1213.0550000000001"/>
    <n v="25.779602839999999"/>
    <n v="403.61122"/>
    <n v="-744.98665840000001"/>
    <n v="1698.7743969999999"/>
    <x v="61"/>
    <s v="Jan-2021"/>
  </r>
  <r>
    <x v="62"/>
    <s v="GAB"/>
    <x v="1"/>
    <x v="1"/>
    <x v="1"/>
    <s v="predicted"/>
    <n v="1187.121069"/>
    <n v="1270.421"/>
    <n v="83.299931360000002"/>
    <n v="486.91115139999999"/>
    <n v="-684.07010000000002"/>
    <n v="1783.542672"/>
    <x v="61"/>
    <s v="Feb-2021"/>
  </r>
  <r>
    <x v="62"/>
    <s v="GAB"/>
    <x v="1"/>
    <x v="2"/>
    <x v="2"/>
    <s v="predicted"/>
    <n v="1186.910302"/>
    <n v="1302.662"/>
    <n v="115.751698"/>
    <n v="602.66284940000003"/>
    <n v="-677.12187229999995"/>
    <n v="1977.029583"/>
    <x v="61"/>
    <s v="Mar-2021"/>
  </r>
  <r>
    <x v="62"/>
    <s v="GAB"/>
    <x v="1"/>
    <x v="3"/>
    <x v="3"/>
    <s v="predicted"/>
    <n v="1185.7236150000001"/>
    <n v="1279.32"/>
    <n v="93.596384779999994"/>
    <n v="696.25923420000004"/>
    <n v="-670.24133319999999"/>
    <n v="2159.3383950000002"/>
    <x v="61"/>
    <s v="Apr-2021"/>
  </r>
  <r>
    <x v="62"/>
    <s v="GAB"/>
    <x v="1"/>
    <x v="4"/>
    <x v="4"/>
    <s v="predicted"/>
    <n v="1188.961505"/>
    <n v="1249.846"/>
    <n v="60.884494959999998"/>
    <n v="757.14372909999997"/>
    <n v="-636.10696040000005"/>
    <n v="2293.6415609999999"/>
    <x v="61"/>
    <s v="May-2021"/>
  </r>
  <r>
    <x v="62"/>
    <s v="GAB"/>
    <x v="1"/>
    <x v="5"/>
    <x v="5"/>
    <s v="predicted"/>
    <n v="1201.978018"/>
    <n v="1243.6690000000001"/>
    <n v="41.690981860000001"/>
    <n v="798.83471099999997"/>
    <n v="-693.20862090000003"/>
    <n v="2378.2478150000002"/>
    <x v="61"/>
    <s v="Jun-2021"/>
  </r>
  <r>
    <x v="62"/>
    <s v="GAB"/>
    <x v="1"/>
    <x v="6"/>
    <x v="6"/>
    <s v="predicted"/>
    <n v="1206.1495050000001"/>
    <n v="1219.5709999999999"/>
    <n v="13.42149451"/>
    <n v="812.25620549999996"/>
    <n v="-675.82833960000005"/>
    <n v="2373.653472"/>
    <x v="61"/>
    <s v="Jul-2021"/>
  </r>
  <r>
    <x v="62"/>
    <s v="GAB"/>
    <x v="1"/>
    <x v="7"/>
    <x v="7"/>
    <s v="predicted"/>
    <n v="1204.8023029999999"/>
    <n v="1180.6130000000001"/>
    <n v="-24.189302739999999"/>
    <n v="788.06690279999998"/>
    <n v="-761.02071969999997"/>
    <n v="2429.7813489999999"/>
    <x v="61"/>
    <s v="Aug-2021"/>
  </r>
  <r>
    <x v="62"/>
    <s v="GAB"/>
    <x v="1"/>
    <x v="8"/>
    <x v="8"/>
    <s v="predicted"/>
    <n v="1200.5034479999999"/>
    <n v="1290.25"/>
    <n v="89.74655181"/>
    <n v="877.8134546"/>
    <n v="-711.52143639999997"/>
    <n v="2568.6971589999998"/>
    <x v="61"/>
    <s v="Sep-2021"/>
  </r>
  <r>
    <x v="62"/>
    <s v="GAB"/>
    <x v="1"/>
    <x v="9"/>
    <x v="9"/>
    <s v="predicted"/>
    <n v="1194.8237790000001"/>
    <n v="1349.3109999999999"/>
    <n v="154.48722119999999"/>
    <n v="1032.3006760000001"/>
    <n v="-599.65355209999996"/>
    <n v="2841.2209929999999"/>
    <x v="61"/>
    <s v="Oct-2021"/>
  </r>
  <r>
    <x v="62"/>
    <s v="GAB"/>
    <x v="1"/>
    <x v="10"/>
    <x v="10"/>
    <s v="predicted"/>
    <n v="1197.195657"/>
    <n v="1329.0119999999999"/>
    <n v="131.81634320000001"/>
    <n v="1164.117019"/>
    <n v="-485.73205669999999"/>
    <n v="2917.7978119999998"/>
    <x v="61"/>
    <s v="Nov-2021"/>
  </r>
  <r>
    <x v="62"/>
    <s v="GAB"/>
    <x v="1"/>
    <x v="11"/>
    <x v="11"/>
    <s v="predicted"/>
    <n v="1196.675297"/>
    <n v="1270.6659999999999"/>
    <n v="73.990702870000007"/>
    <n v="1238.107722"/>
    <n v="-408.15381239999999"/>
    <n v="3074.418064"/>
    <x v="61"/>
    <s v="Dec-2021"/>
  </r>
  <r>
    <x v="63"/>
    <s v="GBR"/>
    <x v="0"/>
    <x v="0"/>
    <x v="0"/>
    <s v="reported"/>
    <n v="56093.790260000002"/>
    <n v="63190"/>
    <n v="6882.9597370000001"/>
    <n v="6882.9597370000001"/>
    <n v="4116.7860650000002"/>
    <n v="9409.9072080000005"/>
    <x v="62"/>
    <s v="Jan-2020"/>
  </r>
  <r>
    <x v="63"/>
    <s v="GBR"/>
    <x v="0"/>
    <x v="1"/>
    <x v="1"/>
    <s v="reported"/>
    <n v="55361.388290000003"/>
    <n v="51353"/>
    <n v="-4221.6382949999997"/>
    <n v="2661.3214419999999"/>
    <n v="-1145.2344450000001"/>
    <n v="6368.4747260000004"/>
    <x v="62"/>
    <s v="Feb-2020"/>
  </r>
  <r>
    <x v="63"/>
    <s v="GBR"/>
    <x v="0"/>
    <x v="2"/>
    <x v="2"/>
    <s v="reported"/>
    <n v="53331.47984"/>
    <n v="58407"/>
    <n v="4862.2701619999998"/>
    <n v="7523.5916040000002"/>
    <n v="3041.0449840000001"/>
    <n v="12162.317580000001"/>
    <x v="62"/>
    <s v="Mar-2020"/>
  </r>
  <r>
    <x v="63"/>
    <s v="GBR"/>
    <x v="0"/>
    <x v="3"/>
    <x v="3"/>
    <s v="reported"/>
    <n v="50717.931830000001"/>
    <n v="95072"/>
    <n v="44140.818169999999"/>
    <n v="51664.409769999998"/>
    <n v="46161.811179999997"/>
    <n v="57106.737869999997"/>
    <x v="62"/>
    <s v="Apr-2020"/>
  </r>
  <r>
    <x v="63"/>
    <s v="GBR"/>
    <x v="0"/>
    <x v="4"/>
    <x v="4"/>
    <s v="reported"/>
    <n v="48100.426780000002"/>
    <n v="62249"/>
    <n v="13935.32322"/>
    <n v="65599.732990000004"/>
    <n v="59093.30874"/>
    <n v="71816.260150000002"/>
    <x v="62"/>
    <s v="May-2020"/>
  </r>
  <r>
    <x v="63"/>
    <s v="GBR"/>
    <x v="0"/>
    <x v="5"/>
    <x v="5"/>
    <s v="reported"/>
    <n v="46174.331230000003"/>
    <n v="46875"/>
    <n v="487.4187743"/>
    <n v="66087.151769999997"/>
    <n v="59254.869429999999"/>
    <n v="72422.643630000006"/>
    <x v="62"/>
    <s v="Jun-2020"/>
  </r>
  <r>
    <x v="63"/>
    <s v="GBR"/>
    <x v="0"/>
    <x v="6"/>
    <x v="6"/>
    <s v="reported"/>
    <n v="45311.231079999998"/>
    <n v="44922"/>
    <n v="-602.48108079999997"/>
    <n v="65484.670689999999"/>
    <n v="58110.010990000002"/>
    <n v="72761.595979999998"/>
    <x v="62"/>
    <s v="Jul-2020"/>
  </r>
  <r>
    <x v="63"/>
    <s v="GBR"/>
    <x v="0"/>
    <x v="7"/>
    <x v="7"/>
    <s v="reported"/>
    <n v="44962.060310000001"/>
    <n v="46056"/>
    <n v="880.68969349999998"/>
    <n v="66365.360379999998"/>
    <n v="58406.099159999998"/>
    <n v="73533.030530000004"/>
    <x v="62"/>
    <s v="Aug-2020"/>
  </r>
  <r>
    <x v="63"/>
    <s v="GBR"/>
    <x v="0"/>
    <x v="8"/>
    <x v="8"/>
    <s v="reported"/>
    <n v="45873.466139999997"/>
    <n v="46210"/>
    <n v="123.2838603"/>
    <n v="66488.644239999994"/>
    <n v="57988.336349999998"/>
    <n v="74501.745490000001"/>
    <x v="62"/>
    <s v="Sep-2020"/>
  </r>
  <r>
    <x v="63"/>
    <s v="GBR"/>
    <x v="0"/>
    <x v="9"/>
    <x v="9"/>
    <s v="reported"/>
    <n v="48605.013559999999"/>
    <n v="53352"/>
    <n v="4533.7364449999995"/>
    <n v="71022.380680000002"/>
    <n v="61777.190399999999"/>
    <n v="79607.523910000004"/>
    <x v="62"/>
    <s v="Oct-2020"/>
  </r>
  <r>
    <x v="63"/>
    <s v="GBR"/>
    <x v="0"/>
    <x v="10"/>
    <x v="10"/>
    <s v="reported"/>
    <n v="52371.407270000003"/>
    <n v="59943"/>
    <n v="7358.3427339999998"/>
    <n v="78380.723419999995"/>
    <n v="68770.445919999998"/>
    <n v="87441.421910000005"/>
    <x v="62"/>
    <s v="Nov-2020"/>
  </r>
  <r>
    <x v="63"/>
    <s v="GBR"/>
    <x v="0"/>
    <x v="11"/>
    <x v="11"/>
    <s v="reported"/>
    <n v="55985.799209999997"/>
    <n v="59553"/>
    <n v="3353.9507910000002"/>
    <n v="81734.674209999997"/>
    <n v="71480.86563"/>
    <n v="90893.970799999996"/>
    <x v="62"/>
    <s v="Dec-2020"/>
  </r>
  <r>
    <x v="63"/>
    <s v="GBR"/>
    <x v="1"/>
    <x v="0"/>
    <x v="0"/>
    <s v="reported"/>
    <n v="56095.009689999999"/>
    <n v="88401"/>
    <n v="32305.573649999998"/>
    <n v="114040.2479"/>
    <n v="103590.5162"/>
    <n v="123956.575"/>
    <x v="62"/>
    <s v="Jan-2021"/>
  </r>
  <r>
    <x v="63"/>
    <s v="GBR"/>
    <x v="1"/>
    <x v="1"/>
    <x v="1"/>
    <s v="reported"/>
    <n v="55295.149740000001"/>
    <n v="64454"/>
    <n v="9158.4335929999997"/>
    <n v="123198.6814"/>
    <n v="112335.31200000001"/>
    <n v="133550.85750000001"/>
    <x v="62"/>
    <s v="Feb-2021"/>
  </r>
  <r>
    <x v="63"/>
    <s v="GBR"/>
    <x v="1"/>
    <x v="2"/>
    <x v="2"/>
    <s v="reported"/>
    <n v="53242.268450000003"/>
    <n v="51724"/>
    <n v="-1518.6851200000001"/>
    <n v="121679.9963"/>
    <n v="110002.8573"/>
    <n v="132341.25640000001"/>
    <x v="62"/>
    <s v="Mar-2021"/>
  </r>
  <r>
    <x v="63"/>
    <s v="GBR"/>
    <x v="1"/>
    <x v="3"/>
    <x v="3"/>
    <s v="reported"/>
    <n v="50634.122860000003"/>
    <n v="45959"/>
    <n v="-4675.539522"/>
    <n v="117004.4568"/>
    <n v="104575.20299999999"/>
    <n v="127886.7539"/>
    <x v="62"/>
    <s v="Apr-2021"/>
  </r>
  <r>
    <x v="63"/>
    <s v="GBR"/>
    <x v="1"/>
    <x v="4"/>
    <x v="4"/>
    <s v="reported"/>
    <n v="48044.462930000002"/>
    <n v="46894"/>
    <n v="-1150.8796"/>
    <n v="115853.5772"/>
    <n v="103346.4789"/>
    <n v="126870.15549999999"/>
    <x v="62"/>
    <s v="May-2021"/>
  </r>
  <r>
    <x v="63"/>
    <s v="GBR"/>
    <x v="1"/>
    <x v="5"/>
    <x v="5"/>
    <s v="reported"/>
    <n v="46120.288079999998"/>
    <n v="44985"/>
    <n v="-1135.704751"/>
    <n v="114717.8725"/>
    <n v="101707.66529999999"/>
    <n v="126181.4991"/>
    <x v="62"/>
    <s v="Jun-2021"/>
  </r>
  <r>
    <x v="63"/>
    <s v="GBR"/>
    <x v="1"/>
    <x v="6"/>
    <x v="6"/>
    <s v="reported"/>
    <n v="45142.436829999999"/>
    <n v="49516"/>
    <n v="4373.1465040000003"/>
    <n v="119091.019"/>
    <n v="105813.3514"/>
    <n v="130824.9232"/>
    <x v="62"/>
    <s v="Jul-2021"/>
  </r>
  <r>
    <x v="63"/>
    <s v="GBR"/>
    <x v="1"/>
    <x v="7"/>
    <x v="7"/>
    <s v="reported"/>
    <n v="44891.642119999997"/>
    <n v="50865"/>
    <n v="5972.9412160000002"/>
    <n v="125063.9602"/>
    <n v="111863.77"/>
    <n v="137001.69080000001"/>
    <x v="62"/>
    <s v="Aug-2021"/>
  </r>
  <r>
    <x v="63"/>
    <s v="GBR"/>
    <x v="1"/>
    <x v="8"/>
    <x v="8"/>
    <s v="reported"/>
    <n v="45820.03499"/>
    <n v="52279"/>
    <n v="6458.5483409999997"/>
    <n v="131522.5085"/>
    <n v="118203.1703"/>
    <n v="144098.58910000001"/>
    <x v="62"/>
    <s v="Sep-2021"/>
  </r>
  <r>
    <x v="63"/>
    <s v="GBR"/>
    <x v="1"/>
    <x v="9"/>
    <x v="9"/>
    <s v="reported"/>
    <n v="48484.419990000002"/>
    <n v="56469"/>
    <n v="7984.1633389999997"/>
    <n v="139506.67189999999"/>
    <n v="125935.30899999999"/>
    <n v="152190.00940000001"/>
    <x v="62"/>
    <s v="Oct-2021"/>
  </r>
  <r>
    <x v="63"/>
    <s v="GBR"/>
    <x v="1"/>
    <x v="10"/>
    <x v="10"/>
    <s v="reported"/>
    <n v="52271.802589999999"/>
    <n v="57794"/>
    <n v="5521.780745"/>
    <n v="145028.45259999999"/>
    <n v="131349.93479999999"/>
    <n v="158260.1249"/>
    <x v="62"/>
    <s v="Nov-2021"/>
  </r>
  <r>
    <x v="63"/>
    <s v="GBR"/>
    <x v="1"/>
    <x v="11"/>
    <x v="11"/>
    <s v="reported"/>
    <n v="55921.053879999999"/>
    <n v="57978"/>
    <n v="2056.5294490000001"/>
    <n v="147084.98199999999"/>
    <n v="132915.76920000001"/>
    <n v="160802.23699999999"/>
    <x v="62"/>
    <s v="Dec-2021"/>
  </r>
  <r>
    <x v="64"/>
    <s v="GEO"/>
    <x v="0"/>
    <x v="0"/>
    <x v="0"/>
    <s v="reported"/>
    <n v="4943.1823940000004"/>
    <n v="5293"/>
    <n v="348.10254789999999"/>
    <n v="348.10254789999999"/>
    <n v="153.25941320000001"/>
    <n v="541.66724869999996"/>
    <x v="63"/>
    <s v="Jan-2020"/>
  </r>
  <r>
    <x v="64"/>
    <s v="GEO"/>
    <x v="0"/>
    <x v="1"/>
    <x v="1"/>
    <s v="reported"/>
    <n v="4600.919656"/>
    <n v="4728"/>
    <n v="125.3652864"/>
    <n v="473.46783429999999"/>
    <n v="171.92060570000001"/>
    <n v="778.59402560000001"/>
    <x v="63"/>
    <s v="Feb-2020"/>
  </r>
  <r>
    <x v="64"/>
    <s v="GEO"/>
    <x v="0"/>
    <x v="2"/>
    <x v="2"/>
    <s v="reported"/>
    <n v="4632.0864959999999"/>
    <n v="4574"/>
    <n v="-59.801554260000003"/>
    <n v="413.66628009999999"/>
    <n v="23.798017439999999"/>
    <n v="781.02370199999996"/>
    <x v="63"/>
    <s v="Mar-2020"/>
  </r>
  <r>
    <x v="64"/>
    <s v="GEO"/>
    <x v="0"/>
    <x v="3"/>
    <x v="3"/>
    <s v="reported"/>
    <n v="4493.2849020000003"/>
    <n v="4166"/>
    <n v="-328.99995969999998"/>
    <n v="84.666320339999999"/>
    <n v="-391.37316220000002"/>
    <n v="533.8006891"/>
    <x v="63"/>
    <s v="Apr-2020"/>
  </r>
  <r>
    <x v="64"/>
    <s v="GEO"/>
    <x v="0"/>
    <x v="4"/>
    <x v="4"/>
    <s v="reported"/>
    <n v="4325.0516610000004"/>
    <n v="4413"/>
    <n v="86.233281489999996"/>
    <n v="170.8996018"/>
    <n v="-345.75838290000002"/>
    <n v="657.105277"/>
    <x v="63"/>
    <s v="May-2020"/>
  </r>
  <r>
    <x v="64"/>
    <s v="GEO"/>
    <x v="0"/>
    <x v="5"/>
    <x v="5"/>
    <s v="reported"/>
    <n v="4033.3386310000001"/>
    <n v="4028"/>
    <n v="-7.053688384"/>
    <n v="163.84591349999999"/>
    <n v="-382.3513542"/>
    <n v="708.94557589999999"/>
    <x v="63"/>
    <s v="Jun-2020"/>
  </r>
  <r>
    <x v="64"/>
    <s v="GEO"/>
    <x v="0"/>
    <x v="6"/>
    <x v="6"/>
    <s v="reported"/>
    <n v="3945.9073349999999"/>
    <n v="4237"/>
    <n v="289.3776072"/>
    <n v="453.22352069999999"/>
    <n v="-131.8831648"/>
    <n v="1039.544768"/>
    <x v="63"/>
    <s v="Jul-2020"/>
  </r>
  <r>
    <x v="64"/>
    <s v="GEO"/>
    <x v="0"/>
    <x v="7"/>
    <x v="7"/>
    <s v="reported"/>
    <n v="3918.1212780000001"/>
    <n v="3842"/>
    <n v="-77.836336110000005"/>
    <n v="375.38718460000001"/>
    <n v="-248.6619312"/>
    <n v="969.75538830000005"/>
    <x v="63"/>
    <s v="Aug-2020"/>
  </r>
  <r>
    <x v="64"/>
    <s v="GEO"/>
    <x v="0"/>
    <x v="8"/>
    <x v="8"/>
    <s v="reported"/>
    <n v="3730.7208989999999"/>
    <n v="3771"/>
    <n v="38.564043130000002"/>
    <n v="413.9512277"/>
    <n v="-247.76821290000001"/>
    <n v="1057.458464"/>
    <x v="63"/>
    <s v="Sep-2020"/>
  </r>
  <r>
    <x v="64"/>
    <s v="GEO"/>
    <x v="0"/>
    <x v="9"/>
    <x v="9"/>
    <s v="reported"/>
    <n v="4053.118927"/>
    <n v="4670"/>
    <n v="615.16601549999996"/>
    <n v="1029.1172429999999"/>
    <n v="334.56495039999999"/>
    <n v="1718.8180970000001"/>
    <x v="63"/>
    <s v="Oct-2020"/>
  </r>
  <r>
    <x v="64"/>
    <s v="GEO"/>
    <x v="0"/>
    <x v="10"/>
    <x v="10"/>
    <s v="reported"/>
    <n v="4462.3874539999997"/>
    <n v="6779"/>
    <n v="2314.897489"/>
    <n v="3344.0147320000001"/>
    <n v="2599.0322630000001"/>
    <n v="4051.8122010000002"/>
    <x v="63"/>
    <s v="Nov-2020"/>
  </r>
  <r>
    <x v="64"/>
    <s v="GEO"/>
    <x v="0"/>
    <x v="11"/>
    <x v="11"/>
    <s v="reported"/>
    <n v="4879.1067700000003"/>
    <n v="7275"/>
    <n v="2394.1781719999999"/>
    <n v="5738.1929040000005"/>
    <n v="4942.6268250000003"/>
    <n v="6497.3223150000003"/>
    <x v="63"/>
    <s v="Dec-2020"/>
  </r>
  <r>
    <x v="64"/>
    <s v="GEO"/>
    <x v="1"/>
    <x v="0"/>
    <x v="0"/>
    <s v="reported"/>
    <n v="4869.5322859999997"/>
    <n v="5870"/>
    <n v="1000.467714"/>
    <n v="6738.6606179999999"/>
    <n v="5918.6503089999997"/>
    <n v="7519.2812459999996"/>
    <x v="63"/>
    <s v="Jan-2021"/>
  </r>
  <r>
    <x v="64"/>
    <s v="GEO"/>
    <x v="1"/>
    <x v="1"/>
    <x v="1"/>
    <s v="reported"/>
    <n v="4523.7517820000003"/>
    <n v="4450"/>
    <n v="-73.751782059999996"/>
    <n v="6664.9088359999996"/>
    <n v="5806.0219100000004"/>
    <n v="7516.5568190000004"/>
    <x v="63"/>
    <s v="Feb-2021"/>
  </r>
  <r>
    <x v="64"/>
    <s v="GEO"/>
    <x v="1"/>
    <x v="2"/>
    <x v="2"/>
    <s v="reported"/>
    <n v="4555.4591380000002"/>
    <n v="4937"/>
    <n v="381.540862"/>
    <n v="7046.4496980000004"/>
    <n v="6165.6425639999998"/>
    <n v="7934.1020859999999"/>
    <x v="63"/>
    <s v="Mar-2021"/>
  </r>
  <r>
    <x v="64"/>
    <s v="GEO"/>
    <x v="1"/>
    <x v="3"/>
    <x v="3"/>
    <s v="reported"/>
    <n v="4423.6651629999997"/>
    <n v="4767"/>
    <n v="343.33483660000002"/>
    <n v="7389.7845349999998"/>
    <n v="6452.3509240000003"/>
    <n v="8285.0991450000001"/>
    <x v="63"/>
    <s v="Apr-2021"/>
  </r>
  <r>
    <x v="64"/>
    <s v="GEO"/>
    <x v="1"/>
    <x v="4"/>
    <x v="4"/>
    <s v="reported"/>
    <n v="4257.8183090000002"/>
    <n v="5210"/>
    <n v="952.181691"/>
    <n v="8341.9662260000005"/>
    <n v="7355.2037380000002"/>
    <n v="9289.8441600000006"/>
    <x v="63"/>
    <s v="May-2021"/>
  </r>
  <r>
    <x v="64"/>
    <s v="GEO"/>
    <x v="1"/>
    <x v="5"/>
    <x v="5"/>
    <s v="reported"/>
    <n v="3980.4788440000002"/>
    <n v="4710"/>
    <n v="729.52115579999997"/>
    <n v="9071.4873810000008"/>
    <n v="8026.5306419999997"/>
    <n v="10118.86774"/>
    <x v="63"/>
    <s v="Jun-2021"/>
  </r>
  <r>
    <x v="64"/>
    <s v="GEO"/>
    <x v="1"/>
    <x v="6"/>
    <x v="6"/>
    <s v="reported"/>
    <n v="3881.3424879999998"/>
    <n v="4805"/>
    <n v="923.657512"/>
    <n v="9995.1448930000006"/>
    <n v="8890.8257269999995"/>
    <n v="11096.751969999999"/>
    <x v="63"/>
    <s v="Jul-2021"/>
  </r>
  <r>
    <x v="64"/>
    <s v="GEO"/>
    <x v="1"/>
    <x v="7"/>
    <x v="7"/>
    <s v="reported"/>
    <n v="3866.195361"/>
    <n v="6833"/>
    <n v="2966.804639"/>
    <n v="12961.94953"/>
    <n v="11823.39669"/>
    <n v="14082.286840000001"/>
    <x v="63"/>
    <s v="Aug-2021"/>
  </r>
  <r>
    <x v="64"/>
    <s v="GEO"/>
    <x v="1"/>
    <x v="8"/>
    <x v="8"/>
    <s v="reported"/>
    <n v="3680.7621960000001"/>
    <n v="6070"/>
    <n v="2389.2378039999999"/>
    <n v="15351.18734"/>
    <n v="14251.64813"/>
    <n v="16471.61046"/>
    <x v="63"/>
    <s v="Sep-2021"/>
  </r>
  <r>
    <x v="64"/>
    <s v="GEO"/>
    <x v="1"/>
    <x v="9"/>
    <x v="9"/>
    <s v="reported"/>
    <n v="3986.5979689999999"/>
    <n v="6414"/>
    <n v="2427.4020310000001"/>
    <n v="17778.589370000002"/>
    <n v="16633.4012"/>
    <n v="18910.173559999999"/>
    <x v="63"/>
    <s v="Oct-2021"/>
  </r>
  <r>
    <x v="64"/>
    <s v="GEO"/>
    <x v="1"/>
    <x v="10"/>
    <x v="10"/>
    <s v="reported"/>
    <n v="4403.7953799999996"/>
    <n v="7503"/>
    <n v="3099.20462"/>
    <n v="20877.793989999998"/>
    <n v="19706.297460000002"/>
    <n v="22018.376100000001"/>
    <x v="63"/>
    <s v="Nov-2021"/>
  </r>
  <r>
    <x v="64"/>
    <s v="GEO"/>
    <x v="1"/>
    <x v="11"/>
    <x v="11"/>
    <s v="reported"/>
    <n v="4803.8364760000004"/>
    <n v="6920"/>
    <n v="2116.1635240000001"/>
    <n v="22993.95751"/>
    <n v="21780.656589999999"/>
    <n v="24209.805939999998"/>
    <x v="63"/>
    <s v="Dec-2021"/>
  </r>
  <r>
    <x v="65"/>
    <s v="GHA"/>
    <x v="0"/>
    <x v="0"/>
    <x v="0"/>
    <s v="predicted"/>
    <n v="15848.93341"/>
    <n v="16252.598"/>
    <n v="403.6645901"/>
    <n v="403.6645901"/>
    <n v="-3509.3886649999999"/>
    <n v="5151.6655810000002"/>
    <x v="64"/>
    <s v="Jan-2020"/>
  </r>
  <r>
    <x v="65"/>
    <s v="GHA"/>
    <x v="0"/>
    <x v="1"/>
    <x v="1"/>
    <s v="predicted"/>
    <n v="15630.703170000001"/>
    <n v="15627.842000000001"/>
    <n v="-2.8611710800000001"/>
    <n v="400.80341909999999"/>
    <n v="-5248.0058760000002"/>
    <n v="6859.4848840000004"/>
    <x v="64"/>
    <s v="Feb-2020"/>
  </r>
  <r>
    <x v="65"/>
    <s v="GHA"/>
    <x v="0"/>
    <x v="2"/>
    <x v="2"/>
    <s v="predicted"/>
    <n v="15546.22861"/>
    <n v="14798.004000000001"/>
    <n v="-748.22460650000005"/>
    <n v="-347.42118749999997"/>
    <n v="-7001.617808"/>
    <n v="7002.6828690000002"/>
    <x v="64"/>
    <s v="Mar-2020"/>
  </r>
  <r>
    <x v="65"/>
    <s v="GHA"/>
    <x v="0"/>
    <x v="3"/>
    <x v="3"/>
    <s v="predicted"/>
    <n v="15599.62516"/>
    <n v="14055.293"/>
    <n v="-1544.3321599999999"/>
    <n v="-1891.753348"/>
    <n v="-9476.681928"/>
    <n v="6156.2532869999995"/>
    <x v="64"/>
    <s v="Apr-2020"/>
  </r>
  <r>
    <x v="65"/>
    <s v="GHA"/>
    <x v="0"/>
    <x v="4"/>
    <x v="4"/>
    <s v="predicted"/>
    <n v="15700.258180000001"/>
    <n v="15326.763999999999"/>
    <n v="-373.4941776"/>
    <n v="-2265.2475250000002"/>
    <n v="-10426.084290000001"/>
    <n v="7079.1140809999997"/>
    <x v="64"/>
    <s v="May-2020"/>
  </r>
  <r>
    <x v="65"/>
    <s v="GHA"/>
    <x v="0"/>
    <x v="5"/>
    <x v="5"/>
    <s v="predicted"/>
    <n v="15869.591759999999"/>
    <n v="16146.102999999999"/>
    <n v="276.51123869999998"/>
    <n v="-1988.7362869999999"/>
    <n v="-10826.063829999999"/>
    <n v="8832.5744140000006"/>
    <x v="64"/>
    <s v="Jun-2020"/>
  </r>
  <r>
    <x v="65"/>
    <s v="GHA"/>
    <x v="0"/>
    <x v="6"/>
    <x v="6"/>
    <s v="predicted"/>
    <n v="15987.462450000001"/>
    <n v="17180.739000000001"/>
    <n v="1193.276552"/>
    <n v="-795.45973500000002"/>
    <n v="-11043.158729999999"/>
    <n v="11479.71254"/>
    <x v="64"/>
    <s v="Jul-2020"/>
  </r>
  <r>
    <x v="65"/>
    <s v="GHA"/>
    <x v="0"/>
    <x v="7"/>
    <x v="7"/>
    <s v="predicted"/>
    <n v="16053.16992"/>
    <n v="17306.842000000001"/>
    <n v="1253.6720760000001"/>
    <n v="458.21234129999999"/>
    <n v="-10854.983099999999"/>
    <n v="13023.486430000001"/>
    <x v="64"/>
    <s v="Aug-2020"/>
  </r>
  <r>
    <x v="65"/>
    <s v="GHA"/>
    <x v="0"/>
    <x v="8"/>
    <x v="8"/>
    <s v="predicted"/>
    <n v="16002.33603"/>
    <n v="17692.620999999999"/>
    <n v="1690.2849670000001"/>
    <n v="2148.497308"/>
    <n v="-9937.7924330000005"/>
    <n v="15806.83785"/>
    <x v="64"/>
    <s v="Sep-2020"/>
  </r>
  <r>
    <x v="65"/>
    <s v="GHA"/>
    <x v="0"/>
    <x v="9"/>
    <x v="9"/>
    <s v="predicted"/>
    <n v="15928.28147"/>
    <n v="16300.816999999999"/>
    <n v="372.53552760000002"/>
    <n v="2521.032835"/>
    <n v="-10557.619650000001"/>
    <n v="16911.55501"/>
    <x v="64"/>
    <s v="Oct-2020"/>
  </r>
  <r>
    <x v="65"/>
    <s v="GHA"/>
    <x v="0"/>
    <x v="10"/>
    <x v="10"/>
    <s v="predicted"/>
    <n v="15827.900079999999"/>
    <n v="16162.054"/>
    <n v="334.15392329999997"/>
    <n v="2855.1867590000002"/>
    <n v="-10821.75288"/>
    <n v="18162.862089999999"/>
    <x v="64"/>
    <s v="Nov-2020"/>
  </r>
  <r>
    <x v="65"/>
    <s v="GHA"/>
    <x v="0"/>
    <x v="11"/>
    <x v="11"/>
    <s v="predicted"/>
    <n v="15813.084199999999"/>
    <n v="16212.8"/>
    <n v="399.7157977"/>
    <n v="3254.902556"/>
    <n v="-11266.47913"/>
    <n v="18084.938849999999"/>
    <x v="64"/>
    <s v="Dec-2020"/>
  </r>
  <r>
    <x v="65"/>
    <s v="GHA"/>
    <x v="1"/>
    <x v="0"/>
    <x v="0"/>
    <s v="predicted"/>
    <n v="15816.57987"/>
    <n v="17016.84"/>
    <n v="1200.2601299999999"/>
    <n v="4455.162687"/>
    <n v="-10681.66207"/>
    <n v="20016.782220000001"/>
    <x v="64"/>
    <s v="Jan-2021"/>
  </r>
  <r>
    <x v="65"/>
    <s v="GHA"/>
    <x v="1"/>
    <x v="1"/>
    <x v="1"/>
    <s v="predicted"/>
    <n v="15606.26046"/>
    <n v="17774.637999999999"/>
    <n v="2168.3775350000001"/>
    <n v="6623.5402219999996"/>
    <n v="-9457.5279069999997"/>
    <n v="23282.847000000002"/>
    <x v="64"/>
    <s v="Feb-2021"/>
  </r>
  <r>
    <x v="65"/>
    <s v="GHA"/>
    <x v="1"/>
    <x v="2"/>
    <x v="2"/>
    <s v="predicted"/>
    <n v="15520.440490000001"/>
    <n v="16860.484"/>
    <n v="1340.043514"/>
    <n v="7963.5837359999996"/>
    <n v="-8558.1431979999998"/>
    <n v="24244.596939999999"/>
    <x v="64"/>
    <s v="Mar-2021"/>
  </r>
  <r>
    <x v="65"/>
    <s v="GHA"/>
    <x v="1"/>
    <x v="3"/>
    <x v="3"/>
    <s v="predicted"/>
    <n v="15566.88185"/>
    <n v="15916.924999999999"/>
    <n v="350.04315170000001"/>
    <n v="8313.6268880000007"/>
    <n v="-8914.8033450000003"/>
    <n v="25849.112590000001"/>
    <x v="64"/>
    <s v="Apr-2021"/>
  </r>
  <r>
    <x v="65"/>
    <s v="GHA"/>
    <x v="1"/>
    <x v="4"/>
    <x v="4"/>
    <s v="predicted"/>
    <n v="15676.45527"/>
    <n v="15648.411"/>
    <n v="-28.04426999"/>
    <n v="8285.5826180000004"/>
    <n v="-9367.9681959999998"/>
    <n v="26021.189180000001"/>
    <x v="64"/>
    <s v="May-2021"/>
  </r>
  <r>
    <x v="65"/>
    <s v="GHA"/>
    <x v="1"/>
    <x v="5"/>
    <x v="5"/>
    <s v="predicted"/>
    <n v="15838.620999999999"/>
    <n v="15899.281000000001"/>
    <n v="60.659998229999999"/>
    <n v="8346.2426159999995"/>
    <n v="-10493.761630000001"/>
    <n v="26883.090329999999"/>
    <x v="64"/>
    <s v="Jun-2021"/>
  </r>
  <r>
    <x v="65"/>
    <s v="GHA"/>
    <x v="1"/>
    <x v="6"/>
    <x v="6"/>
    <s v="predicted"/>
    <n v="15958.77771"/>
    <n v="16280.905000000001"/>
    <n v="322.1272912"/>
    <n v="8668.3699070000002"/>
    <n v="-10499.13998"/>
    <n v="27653.110280000001"/>
    <x v="64"/>
    <s v="Jul-2021"/>
  </r>
  <r>
    <x v="65"/>
    <s v="GHA"/>
    <x v="1"/>
    <x v="7"/>
    <x v="7"/>
    <s v="predicted"/>
    <n v="16025.153700000001"/>
    <n v="17505.468000000001"/>
    <n v="1480.314304"/>
    <n v="10148.684209999999"/>
    <n v="-9584.7058469999993"/>
    <n v="29999.34203"/>
    <x v="64"/>
    <s v="Aug-2021"/>
  </r>
  <r>
    <x v="65"/>
    <s v="GHA"/>
    <x v="1"/>
    <x v="8"/>
    <x v="8"/>
    <s v="predicted"/>
    <n v="15975.52564"/>
    <n v="16997.069"/>
    <n v="1021.543364"/>
    <n v="11170.227580000001"/>
    <n v="-9234.3711770000009"/>
    <n v="32022.56294"/>
    <x v="64"/>
    <s v="Sep-2021"/>
  </r>
  <r>
    <x v="65"/>
    <s v="GHA"/>
    <x v="1"/>
    <x v="9"/>
    <x v="9"/>
    <s v="predicted"/>
    <n v="15899.970869999999"/>
    <n v="16359.450999999999"/>
    <n v="459.48012929999999"/>
    <n v="11629.707700000001"/>
    <n v="-10212.01822"/>
    <n v="33735.252670000002"/>
    <x v="64"/>
    <s v="Oct-2021"/>
  </r>
  <r>
    <x v="65"/>
    <s v="GHA"/>
    <x v="1"/>
    <x v="10"/>
    <x v="10"/>
    <s v="predicted"/>
    <n v="15805.65382"/>
    <n v="16320.021000000001"/>
    <n v="514.36718129999997"/>
    <n v="12144.07489"/>
    <n v="-10497.77583"/>
    <n v="34702.34319"/>
    <x v="64"/>
    <s v="Nov-2021"/>
  </r>
  <r>
    <x v="65"/>
    <s v="GHA"/>
    <x v="1"/>
    <x v="11"/>
    <x v="11"/>
    <s v="predicted"/>
    <n v="15786.993109999999"/>
    <n v="16861.010999999999"/>
    <n v="1074.017893"/>
    <n v="13218.092780000001"/>
    <n v="-9706.6683099999991"/>
    <n v="35917.03314"/>
    <x v="64"/>
    <s v="Dec-2021"/>
  </r>
  <r>
    <x v="66"/>
    <s v="GIN"/>
    <x v="0"/>
    <x v="0"/>
    <x v="0"/>
    <s v="predicted"/>
    <n v="9069.8112440000004"/>
    <n v="9301.4660000000003"/>
    <n v="231.65475599999999"/>
    <n v="231.65475599999999"/>
    <n v="-2013.4457420000001"/>
    <n v="3065.0808969999998"/>
    <x v="65"/>
    <s v="Jan-2020"/>
  </r>
  <r>
    <x v="66"/>
    <s v="GIN"/>
    <x v="0"/>
    <x v="1"/>
    <x v="1"/>
    <s v="predicted"/>
    <n v="8922.9315800000004"/>
    <n v="8746.5949999999993"/>
    <n v="-176.33658009999999"/>
    <n v="55.318175840000002"/>
    <n v="-3359.8319660000002"/>
    <n v="3984.482383"/>
    <x v="65"/>
    <s v="Feb-2020"/>
  </r>
  <r>
    <x v="66"/>
    <s v="GIN"/>
    <x v="0"/>
    <x v="2"/>
    <x v="2"/>
    <s v="predicted"/>
    <n v="8853.7920150000009"/>
    <n v="8752.8670000000002"/>
    <n v="-100.9250152"/>
    <n v="-45.606839319999999"/>
    <n v="-4081.4839379999999"/>
    <n v="4318.5592379999998"/>
    <x v="65"/>
    <s v="Mar-2020"/>
  </r>
  <r>
    <x v="66"/>
    <s v="GIN"/>
    <x v="0"/>
    <x v="3"/>
    <x v="3"/>
    <s v="predicted"/>
    <n v="8814.0846949999996"/>
    <n v="8493.5360000000001"/>
    <n v="-320.54869539999999"/>
    <n v="-366.15553469999998"/>
    <n v="-4684.1265949999997"/>
    <n v="4950.9606940000003"/>
    <x v="65"/>
    <s v="Apr-2020"/>
  </r>
  <r>
    <x v="66"/>
    <s v="GIN"/>
    <x v="0"/>
    <x v="4"/>
    <x v="4"/>
    <s v="predicted"/>
    <n v="8878.1280700000007"/>
    <n v="8993.1020000000008"/>
    <n v="114.97392979999999"/>
    <n v="-251.18160499999999"/>
    <n v="-5348.3104139999996"/>
    <n v="5482.2364630000002"/>
    <x v="65"/>
    <s v="May-2020"/>
  </r>
  <r>
    <x v="66"/>
    <s v="GIN"/>
    <x v="0"/>
    <x v="5"/>
    <x v="5"/>
    <s v="predicted"/>
    <n v="8997.984117"/>
    <n v="9356.2569999999996"/>
    <n v="358.27288279999999"/>
    <n v="107.09127789999999"/>
    <n v="-5851.1944309999999"/>
    <n v="6415.3386870000004"/>
    <x v="65"/>
    <s v="Jun-2020"/>
  </r>
  <r>
    <x v="66"/>
    <s v="GIN"/>
    <x v="0"/>
    <x v="6"/>
    <x v="6"/>
    <s v="predicted"/>
    <n v="9086.3390080000008"/>
    <n v="9787.42"/>
    <n v="701.08099159999995"/>
    <n v="808.1722694"/>
    <n v="-5614.1432560000003"/>
    <n v="7776.3227129999996"/>
    <x v="65"/>
    <s v="Jul-2020"/>
  </r>
  <r>
    <x v="66"/>
    <s v="GIN"/>
    <x v="0"/>
    <x v="7"/>
    <x v="7"/>
    <s v="predicted"/>
    <n v="9102.9945979999993"/>
    <n v="9750.0589999999993"/>
    <n v="647.06440220000002"/>
    <n v="1455.236672"/>
    <n v="-5685.6881679999997"/>
    <n v="9196.1714950000005"/>
    <x v="65"/>
    <s v="Aug-2020"/>
  </r>
  <r>
    <x v="66"/>
    <s v="GIN"/>
    <x v="0"/>
    <x v="8"/>
    <x v="8"/>
    <s v="predicted"/>
    <n v="9100.8312459999997"/>
    <n v="9539.81"/>
    <n v="438.97875379999999"/>
    <n v="1894.215426"/>
    <n v="-5663.2763400000003"/>
    <n v="10192.638660000001"/>
    <x v="65"/>
    <s v="Sep-2020"/>
  </r>
  <r>
    <x v="66"/>
    <s v="GIN"/>
    <x v="0"/>
    <x v="9"/>
    <x v="9"/>
    <s v="predicted"/>
    <n v="9076.4464339999995"/>
    <n v="9334.4459999999999"/>
    <n v="257.9995662"/>
    <n v="2152.2149920000002"/>
    <n v="-5459.2523389999997"/>
    <n v="10556.66092"/>
    <x v="65"/>
    <s v="Oct-2020"/>
  </r>
  <r>
    <x v="66"/>
    <s v="GIN"/>
    <x v="0"/>
    <x v="10"/>
    <x v="10"/>
    <s v="predicted"/>
    <n v="9046.5724850000006"/>
    <n v="9143.4959999999992"/>
    <n v="96.92351506"/>
    <n v="2249.1385070000001"/>
    <n v="-5830.5626469999997"/>
    <n v="11256.3516"/>
    <x v="65"/>
    <s v="Nov-2020"/>
  </r>
  <r>
    <x v="66"/>
    <s v="GIN"/>
    <x v="0"/>
    <x v="11"/>
    <x v="11"/>
    <s v="predicted"/>
    <n v="9027.6016909999998"/>
    <n v="9211.509"/>
    <n v="183.9073089"/>
    <n v="2433.0458159999998"/>
    <n v="-5864.4764869999999"/>
    <n v="11551.776529999999"/>
    <x v="65"/>
    <s v="Dec-2020"/>
  </r>
  <r>
    <x v="66"/>
    <s v="GIN"/>
    <x v="1"/>
    <x v="0"/>
    <x v="0"/>
    <s v="predicted"/>
    <n v="9060.3521290000008"/>
    <n v="9311.7520000000004"/>
    <n v="251.39987070000001"/>
    <n v="2684.445686"/>
    <n v="-5993.2682830000003"/>
    <n v="12088.567580000001"/>
    <x v="65"/>
    <s v="Jan-2021"/>
  </r>
  <r>
    <x v="66"/>
    <s v="GIN"/>
    <x v="1"/>
    <x v="1"/>
    <x v="1"/>
    <s v="predicted"/>
    <n v="8912.4571799999994"/>
    <n v="9390.1560000000009"/>
    <n v="477.69881980000002"/>
    <n v="3162.1445060000001"/>
    <n v="-6606.6788349999997"/>
    <n v="13066.56633"/>
    <x v="65"/>
    <s v="Feb-2021"/>
  </r>
  <r>
    <x v="66"/>
    <s v="GIN"/>
    <x v="1"/>
    <x v="2"/>
    <x v="2"/>
    <s v="predicted"/>
    <n v="8842.9697950000009"/>
    <n v="9402.098"/>
    <n v="559.12820539999996"/>
    <n v="3721.272712"/>
    <n v="-6351.1841180000001"/>
    <n v="13816.15423"/>
    <x v="65"/>
    <s v="Mar-2021"/>
  </r>
  <r>
    <x v="66"/>
    <s v="GIN"/>
    <x v="1"/>
    <x v="3"/>
    <x v="3"/>
    <s v="predicted"/>
    <n v="8800.0878570000004"/>
    <n v="9037.2669999999998"/>
    <n v="237.1791431"/>
    <n v="3958.4518549999998"/>
    <n v="-5986.8987310000002"/>
    <n v="14055.39604"/>
    <x v="65"/>
    <s v="Apr-2021"/>
  </r>
  <r>
    <x v="66"/>
    <s v="GIN"/>
    <x v="1"/>
    <x v="4"/>
    <x v="4"/>
    <s v="predicted"/>
    <n v="8867.003138"/>
    <n v="8862.0229999999992"/>
    <n v="-4.9801376020000001"/>
    <n v="3953.4717169999999"/>
    <n v="-6495.4453869999998"/>
    <n v="14198.93413"/>
    <x v="65"/>
    <s v="May-2021"/>
  </r>
  <r>
    <x v="66"/>
    <s v="GIN"/>
    <x v="1"/>
    <x v="5"/>
    <x v="5"/>
    <s v="predicted"/>
    <n v="8998.9586839999993"/>
    <n v="9117.5789999999997"/>
    <n v="118.62031570000001"/>
    <n v="4072.0920329999999"/>
    <n v="-6538.3506319999997"/>
    <n v="14521.04924"/>
    <x v="65"/>
    <s v="Jun-2021"/>
  </r>
  <r>
    <x v="66"/>
    <s v="GIN"/>
    <x v="1"/>
    <x v="6"/>
    <x v="6"/>
    <s v="predicted"/>
    <n v="9073.8011009999991"/>
    <n v="9672.4439999999995"/>
    <n v="598.64289870000005"/>
    <n v="4670.7349320000003"/>
    <n v="-6149.5175680000002"/>
    <n v="15676.383620000001"/>
    <x v="65"/>
    <s v="Jul-2021"/>
  </r>
  <r>
    <x v="66"/>
    <s v="GIN"/>
    <x v="1"/>
    <x v="7"/>
    <x v="7"/>
    <s v="predicted"/>
    <n v="9096.7875440000007"/>
    <n v="9820.9009999999998"/>
    <n v="724.1134558"/>
    <n v="5394.8483880000003"/>
    <n v="-5938.0625129999999"/>
    <n v="16470.11404"/>
    <x v="65"/>
    <s v="Aug-2021"/>
  </r>
  <r>
    <x v="66"/>
    <s v="GIN"/>
    <x v="1"/>
    <x v="8"/>
    <x v="8"/>
    <s v="predicted"/>
    <n v="9081.1786159999992"/>
    <n v="9466.8760000000002"/>
    <n v="385.69738419999999"/>
    <n v="5780.5457720000004"/>
    <n v="-5615.1854510000003"/>
    <n v="17253.620429999999"/>
    <x v="65"/>
    <s v="Sep-2021"/>
  </r>
  <r>
    <x v="66"/>
    <s v="GIN"/>
    <x v="1"/>
    <x v="9"/>
    <x v="9"/>
    <s v="predicted"/>
    <n v="9064.1643039999999"/>
    <n v="9106.884"/>
    <n v="42.719696470000002"/>
    <n v="5823.2654679999996"/>
    <n v="-5345.2502809999996"/>
    <n v="17670.648710000001"/>
    <x v="65"/>
    <s v="Oct-2021"/>
  </r>
  <r>
    <x v="66"/>
    <s v="GIN"/>
    <x v="1"/>
    <x v="10"/>
    <x v="10"/>
    <s v="predicted"/>
    <n v="9039.1415990000005"/>
    <n v="9160.9529999999995"/>
    <n v="121.8114009"/>
    <n v="5945.0768690000004"/>
    <n v="-5502.047399"/>
    <n v="17798.934550000002"/>
    <x v="65"/>
    <s v="Nov-2021"/>
  </r>
  <r>
    <x v="66"/>
    <s v="GIN"/>
    <x v="1"/>
    <x v="11"/>
    <x v="11"/>
    <s v="predicted"/>
    <n v="9018.984719"/>
    <n v="9596.732"/>
    <n v="577.74728130000005"/>
    <n v="6522.8241500000004"/>
    <n v="-5786.613883"/>
    <n v="18741.850859999999"/>
    <x v="65"/>
    <s v="Dec-2021"/>
  </r>
  <r>
    <x v="67"/>
    <s v="GMB"/>
    <x v="0"/>
    <x v="0"/>
    <x v="0"/>
    <s v="predicted"/>
    <n v="1210.2057420000001"/>
    <n v="1245.787"/>
    <n v="35.581257960000002"/>
    <n v="35.581257960000002"/>
    <n v="-260.84383580000002"/>
    <n v="402.41728640000002"/>
    <x v="66"/>
    <s v="Jan-2020"/>
  </r>
  <r>
    <x v="67"/>
    <s v="GMB"/>
    <x v="0"/>
    <x v="1"/>
    <x v="1"/>
    <s v="predicted"/>
    <n v="1184.611443"/>
    <n v="1180.758"/>
    <n v="-3.8534428420000002"/>
    <n v="31.727815119999999"/>
    <n v="-389.82926989999999"/>
    <n v="561.71905849999996"/>
    <x v="66"/>
    <s v="Feb-2020"/>
  </r>
  <r>
    <x v="67"/>
    <s v="GMB"/>
    <x v="0"/>
    <x v="2"/>
    <x v="2"/>
    <s v="predicted"/>
    <n v="1181.653039"/>
    <n v="1183.998"/>
    <n v="2.3449612759999998"/>
    <n v="34.072776400000002"/>
    <n v="-505.10492399999998"/>
    <n v="615.36291080000001"/>
    <x v="66"/>
    <s v="Mar-2020"/>
  </r>
  <r>
    <x v="67"/>
    <s v="GMB"/>
    <x v="0"/>
    <x v="3"/>
    <x v="3"/>
    <s v="predicted"/>
    <n v="1171.6490719999999"/>
    <n v="1086.5239999999999"/>
    <n v="-85.125071840000004"/>
    <n v="-51.052295450000003"/>
    <n v="-650.05900980000001"/>
    <n v="609.81812820000005"/>
    <x v="66"/>
    <s v="Apr-2020"/>
  </r>
  <r>
    <x v="67"/>
    <s v="GMB"/>
    <x v="0"/>
    <x v="4"/>
    <x v="4"/>
    <s v="predicted"/>
    <n v="1173.3693049999999"/>
    <n v="1136.163"/>
    <n v="-37.206304690000003"/>
    <n v="-88.258600139999999"/>
    <n v="-755.70703300000002"/>
    <n v="653.58492699999999"/>
    <x v="66"/>
    <s v="May-2020"/>
  </r>
  <r>
    <x v="67"/>
    <s v="GMB"/>
    <x v="0"/>
    <x v="5"/>
    <x v="5"/>
    <s v="predicted"/>
    <n v="1174.9246000000001"/>
    <n v="1212.2329999999999"/>
    <n v="37.308400140000003"/>
    <n v="-50.950200000000002"/>
    <n v="-836.46244520000005"/>
    <n v="743.79169330000002"/>
    <x v="66"/>
    <s v="Jun-2020"/>
  </r>
  <r>
    <x v="67"/>
    <s v="GMB"/>
    <x v="0"/>
    <x v="6"/>
    <x v="6"/>
    <s v="predicted"/>
    <n v="1191.66365"/>
    <n v="1263.7380000000001"/>
    <n v="72.074350100000004"/>
    <n v="21.124150100000001"/>
    <n v="-841.18810120000001"/>
    <n v="907.40710309999997"/>
    <x v="66"/>
    <s v="Jul-2020"/>
  </r>
  <r>
    <x v="67"/>
    <s v="GMB"/>
    <x v="0"/>
    <x v="7"/>
    <x v="7"/>
    <s v="predicted"/>
    <n v="1194.998249"/>
    <n v="1261.904"/>
    <n v="66.905750690000005"/>
    <n v="88.029900780000006"/>
    <n v="-802.00431900000001"/>
    <n v="1024.6804729999999"/>
    <x v="66"/>
    <s v="Aug-2020"/>
  </r>
  <r>
    <x v="67"/>
    <s v="GMB"/>
    <x v="0"/>
    <x v="8"/>
    <x v="8"/>
    <s v="predicted"/>
    <n v="1197.1892660000001"/>
    <n v="1248"/>
    <n v="50.810734449999998"/>
    <n v="138.84063520000001"/>
    <n v="-785.68968050000001"/>
    <n v="1143.4777959999999"/>
    <x v="66"/>
    <s v="Sep-2020"/>
  </r>
  <r>
    <x v="67"/>
    <s v="GMB"/>
    <x v="0"/>
    <x v="9"/>
    <x v="9"/>
    <s v="predicted"/>
    <n v="1187.306503"/>
    <n v="1379.1210000000001"/>
    <n v="191.81449670000001"/>
    <n v="330.65513199999998"/>
    <n v="-691.1954988"/>
    <n v="1454.9896739999999"/>
    <x v="66"/>
    <s v="Oct-2020"/>
  </r>
  <r>
    <x v="67"/>
    <s v="GMB"/>
    <x v="0"/>
    <x v="10"/>
    <x v="10"/>
    <s v="predicted"/>
    <n v="1196.315769"/>
    <n v="1218.8109999999999"/>
    <n v="22.495230530000001"/>
    <n v="353.15036250000003"/>
    <n v="-717.46468330000005"/>
    <n v="1529.5673810000001"/>
    <x v="66"/>
    <s v="Nov-2020"/>
  </r>
  <r>
    <x v="67"/>
    <s v="GMB"/>
    <x v="0"/>
    <x v="11"/>
    <x v="11"/>
    <s v="predicted"/>
    <n v="1208.077452"/>
    <n v="1227.383"/>
    <n v="19.305547929999999"/>
    <n v="372.45591039999999"/>
    <n v="-764.87326140000005"/>
    <n v="1584.9690989999999"/>
    <x v="66"/>
    <s v="Dec-2020"/>
  </r>
  <r>
    <x v="67"/>
    <s v="GMB"/>
    <x v="1"/>
    <x v="0"/>
    <x v="0"/>
    <s v="predicted"/>
    <n v="1217.5105880000001"/>
    <n v="1256.386"/>
    <n v="38.875412429999997"/>
    <n v="411.33132289999998"/>
    <n v="-761.3742992"/>
    <n v="1715.8397660000001"/>
    <x v="66"/>
    <s v="Jan-2021"/>
  </r>
  <r>
    <x v="67"/>
    <s v="GMB"/>
    <x v="1"/>
    <x v="1"/>
    <x v="1"/>
    <s v="predicted"/>
    <n v="1191.235132"/>
    <n v="1313.62"/>
    <n v="122.3848685"/>
    <n v="533.71619139999996"/>
    <n v="-731.43390529999999"/>
    <n v="1869.4580060000001"/>
    <x v="66"/>
    <s v="Feb-2021"/>
  </r>
  <r>
    <x v="67"/>
    <s v="GMB"/>
    <x v="1"/>
    <x v="2"/>
    <x v="2"/>
    <s v="predicted"/>
    <n v="1188.4132219999999"/>
    <n v="1294.0119999999999"/>
    <n v="105.5987784"/>
    <n v="639.31496979999997"/>
    <n v="-698.8081535"/>
    <n v="2075.8102600000002"/>
    <x v="66"/>
    <s v="Mar-2021"/>
  </r>
  <r>
    <x v="67"/>
    <s v="GMB"/>
    <x v="1"/>
    <x v="3"/>
    <x v="3"/>
    <s v="predicted"/>
    <n v="1178.0690850000001"/>
    <n v="1268.7670000000001"/>
    <n v="90.697914969999999"/>
    <n v="730.01288480000005"/>
    <n v="-597.2759393"/>
    <n v="2126.840878"/>
    <x v="66"/>
    <s v="Apr-2021"/>
  </r>
  <r>
    <x v="67"/>
    <s v="GMB"/>
    <x v="1"/>
    <x v="4"/>
    <x v="4"/>
    <s v="predicted"/>
    <n v="1180.168553"/>
    <n v="1218.5540000000001"/>
    <n v="38.385446659999999"/>
    <n v="768.39833139999996"/>
    <n v="-572.12996520000002"/>
    <n v="2158.649672"/>
    <x v="66"/>
    <s v="May-2021"/>
  </r>
  <r>
    <x v="67"/>
    <s v="GMB"/>
    <x v="1"/>
    <x v="5"/>
    <x v="5"/>
    <s v="predicted"/>
    <n v="1181.8690879999999"/>
    <n v="1247.1949999999999"/>
    <n v="65.3259118"/>
    <n v="833.72424320000005"/>
    <n v="-498.18627830000003"/>
    <n v="2286.7016600000002"/>
    <x v="66"/>
    <s v="Jun-2021"/>
  </r>
  <r>
    <x v="67"/>
    <s v="GMB"/>
    <x v="1"/>
    <x v="6"/>
    <x v="6"/>
    <s v="predicted"/>
    <n v="1198.795357"/>
    <n v="1445.1780000000001"/>
    <n v="246.382643"/>
    <n v="1080.106886"/>
    <n v="-310.07533530000001"/>
    <n v="2570.8926849999998"/>
    <x v="66"/>
    <s v="Jul-2021"/>
  </r>
  <r>
    <x v="67"/>
    <s v="GMB"/>
    <x v="1"/>
    <x v="7"/>
    <x v="7"/>
    <s v="predicted"/>
    <n v="1201.5406720000001"/>
    <n v="1569.6890000000001"/>
    <n v="368.14832790000003"/>
    <n v="1448.255214"/>
    <n v="-29.50818628"/>
    <n v="3067.86805"/>
    <x v="66"/>
    <s v="Aug-2021"/>
  </r>
  <r>
    <x v="67"/>
    <s v="GMB"/>
    <x v="1"/>
    <x v="8"/>
    <x v="8"/>
    <s v="predicted"/>
    <n v="1204.191358"/>
    <n v="1291.6210000000001"/>
    <n v="87.429641570000001"/>
    <n v="1535.6848560000001"/>
    <n v="18.573392779999999"/>
    <n v="3150.0802939999999"/>
    <x v="66"/>
    <s v="Sep-2021"/>
  </r>
  <r>
    <x v="67"/>
    <s v="GMB"/>
    <x v="1"/>
    <x v="9"/>
    <x v="9"/>
    <s v="predicted"/>
    <n v="1194.106053"/>
    <n v="1198.6410000000001"/>
    <n v="4.5349473959999997"/>
    <n v="1540.219803"/>
    <n v="-33.429601230000003"/>
    <n v="3127.7704469999999"/>
    <x v="66"/>
    <s v="Oct-2021"/>
  </r>
  <r>
    <x v="67"/>
    <s v="GMB"/>
    <x v="1"/>
    <x v="10"/>
    <x v="10"/>
    <s v="predicted"/>
    <n v="1203.3053749999999"/>
    <n v="1217.856"/>
    <n v="14.550624989999999"/>
    <n v="1554.770428"/>
    <n v="-49.664353349999999"/>
    <n v="3252.0117110000001"/>
    <x v="66"/>
    <s v="Nov-2021"/>
  </r>
  <r>
    <x v="67"/>
    <s v="GMB"/>
    <x v="1"/>
    <x v="11"/>
    <x v="11"/>
    <s v="predicted"/>
    <n v="1215.418457"/>
    <n v="1238.9760000000001"/>
    <n v="23.557542730000002"/>
    <n v="1578.3279709999999"/>
    <n v="-111.87359050000001"/>
    <n v="3324.1290610000001"/>
    <x v="66"/>
    <s v="Dec-2021"/>
  </r>
  <r>
    <x v="68"/>
    <s v="GNB"/>
    <x v="0"/>
    <x v="0"/>
    <x v="0"/>
    <s v="predicted"/>
    <n v="1363.852167"/>
    <n v="1382.451"/>
    <n v="18.598833500000001"/>
    <n v="18.598833500000001"/>
    <n v="-298.62571819999999"/>
    <n v="419.91251130000001"/>
    <x v="67"/>
    <s v="Jan-2020"/>
  </r>
  <r>
    <x v="68"/>
    <s v="GNB"/>
    <x v="0"/>
    <x v="1"/>
    <x v="1"/>
    <s v="predicted"/>
    <n v="1335.7788680000001"/>
    <n v="1344.1969999999999"/>
    <n v="8.4181320629999998"/>
    <n v="27.016965559999999"/>
    <n v="-446.7840132"/>
    <n v="579.90519740000002"/>
    <x v="67"/>
    <s v="Feb-2020"/>
  </r>
  <r>
    <x v="68"/>
    <s v="GNB"/>
    <x v="0"/>
    <x v="2"/>
    <x v="2"/>
    <s v="predicted"/>
    <n v="1332.7292849999999"/>
    <n v="1356.5809999999999"/>
    <n v="23.851715299999999"/>
    <n v="50.868680859999998"/>
    <n v="-574.8811402"/>
    <n v="723.74597919999997"/>
    <x v="67"/>
    <s v="Mar-2020"/>
  </r>
  <r>
    <x v="68"/>
    <s v="GNB"/>
    <x v="0"/>
    <x v="3"/>
    <x v="3"/>
    <s v="predicted"/>
    <n v="1321.0602409999999"/>
    <n v="1455.3140000000001"/>
    <n v="134.25375940000001"/>
    <n v="185.1224402"/>
    <n v="-598.82542820000003"/>
    <n v="984.85334009999997"/>
    <x v="67"/>
    <s v="Apr-2020"/>
  </r>
  <r>
    <x v="68"/>
    <s v="GNB"/>
    <x v="0"/>
    <x v="4"/>
    <x v="4"/>
    <s v="predicted"/>
    <n v="1326.5022220000001"/>
    <n v="1542.145"/>
    <n v="215.6427784"/>
    <n v="400.76521869999999"/>
    <n v="-482.82553689999997"/>
    <n v="1308.811989"/>
    <x v="67"/>
    <s v="May-2020"/>
  </r>
  <r>
    <x v="68"/>
    <s v="GNB"/>
    <x v="0"/>
    <x v="5"/>
    <x v="5"/>
    <s v="predicted"/>
    <n v="1337.2145700000001"/>
    <n v="1579.557"/>
    <n v="242.3424297"/>
    <n v="643.10764840000002"/>
    <n v="-379.56696629999999"/>
    <n v="1671.4836539999999"/>
    <x v="67"/>
    <s v="Jun-2020"/>
  </r>
  <r>
    <x v="68"/>
    <s v="GNB"/>
    <x v="0"/>
    <x v="6"/>
    <x v="6"/>
    <s v="predicted"/>
    <n v="1355.6608349999999"/>
    <n v="1458.7270000000001"/>
    <n v="103.0661648"/>
    <n v="746.17381320000004"/>
    <n v="-353.33845450000001"/>
    <n v="1820.2276280000001"/>
    <x v="67"/>
    <s v="Jul-2020"/>
  </r>
  <r>
    <x v="68"/>
    <s v="GNB"/>
    <x v="0"/>
    <x v="7"/>
    <x v="7"/>
    <s v="predicted"/>
    <n v="1358.9331569999999"/>
    <n v="1457.298"/>
    <n v="98.364842980000006"/>
    <n v="844.53865619999999"/>
    <n v="-240.56503269999999"/>
    <n v="2060.2496510000001"/>
    <x v="67"/>
    <s v="Aug-2020"/>
  </r>
  <r>
    <x v="68"/>
    <s v="GNB"/>
    <x v="0"/>
    <x v="8"/>
    <x v="8"/>
    <s v="predicted"/>
    <n v="1356.684923"/>
    <n v="1450.4680000000001"/>
    <n v="93.783076719999997"/>
    <n v="938.32173290000003"/>
    <n v="-227.05586940000001"/>
    <n v="2322.9634900000001"/>
    <x v="67"/>
    <s v="Sep-2020"/>
  </r>
  <r>
    <x v="68"/>
    <s v="GNB"/>
    <x v="0"/>
    <x v="9"/>
    <x v="9"/>
    <s v="predicted"/>
    <n v="1348.921374"/>
    <n v="1389.663"/>
    <n v="40.741625659999997"/>
    <n v="979.06335850000005"/>
    <n v="-249.3306748"/>
    <n v="2381.6418920000001"/>
    <x v="67"/>
    <s v="Oct-2020"/>
  </r>
  <r>
    <x v="68"/>
    <s v="GNB"/>
    <x v="0"/>
    <x v="10"/>
    <x v="10"/>
    <s v="predicted"/>
    <n v="1352.6065860000001"/>
    <n v="1380.6859999999999"/>
    <n v="28.079414249999999"/>
    <n v="1007.142773"/>
    <n v="-307.08275750000001"/>
    <n v="2453.5204669999998"/>
    <x v="67"/>
    <s v="Nov-2020"/>
  </r>
  <r>
    <x v="68"/>
    <s v="GNB"/>
    <x v="0"/>
    <x v="11"/>
    <x v="11"/>
    <s v="predicted"/>
    <n v="1360.9804939999999"/>
    <n v="1425.2429999999999"/>
    <n v="64.262506310000006"/>
    <n v="1071.4052790000001"/>
    <n v="-318.5503875"/>
    <n v="2592.8383520000002"/>
    <x v="67"/>
    <s v="Dec-2020"/>
  </r>
  <r>
    <x v="68"/>
    <s v="GNB"/>
    <x v="1"/>
    <x v="0"/>
    <x v="0"/>
    <s v="predicted"/>
    <n v="1360.4027840000001"/>
    <n v="1386.1790000000001"/>
    <n v="25.776216229999999"/>
    <n v="1097.181495"/>
    <n v="-270.76713510000002"/>
    <n v="2710.8928390000001"/>
    <x v="67"/>
    <s v="Jan-2021"/>
  </r>
  <r>
    <x v="68"/>
    <s v="GNB"/>
    <x v="1"/>
    <x v="1"/>
    <x v="1"/>
    <s v="predicted"/>
    <n v="1331.7623840000001"/>
    <n v="1430.2360000000001"/>
    <n v="98.473616129999996"/>
    <n v="1195.655111"/>
    <n v="-295.22278979999999"/>
    <n v="2896.4448109999998"/>
    <x v="67"/>
    <s v="Feb-2021"/>
  </r>
  <r>
    <x v="68"/>
    <s v="GNB"/>
    <x v="1"/>
    <x v="2"/>
    <x v="2"/>
    <s v="predicted"/>
    <n v="1329.0867310000001"/>
    <n v="1482.624"/>
    <n v="153.5372687"/>
    <n v="1349.19238"/>
    <n v="-181.60246960000001"/>
    <n v="3139.158872"/>
    <x v="67"/>
    <s v="Mar-2021"/>
  </r>
  <r>
    <x v="68"/>
    <s v="GNB"/>
    <x v="1"/>
    <x v="3"/>
    <x v="3"/>
    <s v="predicted"/>
    <n v="1317.1771960000001"/>
    <n v="1379.6780000000001"/>
    <n v="62.500803759999997"/>
    <n v="1411.693184"/>
    <n v="-163.14727479999999"/>
    <n v="3277.895442"/>
    <x v="67"/>
    <s v="Apr-2021"/>
  </r>
  <r>
    <x v="68"/>
    <s v="GNB"/>
    <x v="1"/>
    <x v="4"/>
    <x v="4"/>
    <s v="predicted"/>
    <n v="1323.0469780000001"/>
    <n v="1359.1120000000001"/>
    <n v="36.065021659999999"/>
    <n v="1447.758206"/>
    <n v="-170.0381117"/>
    <n v="3347.9271450000001"/>
    <x v="67"/>
    <s v="May-2021"/>
  </r>
  <r>
    <x v="68"/>
    <s v="GNB"/>
    <x v="1"/>
    <x v="5"/>
    <x v="5"/>
    <s v="predicted"/>
    <n v="1333.345366"/>
    <n v="1395.7729999999999"/>
    <n v="62.42763437"/>
    <n v="1510.1858400000001"/>
    <n v="-131.8318056"/>
    <n v="3462.2673810000001"/>
    <x v="67"/>
    <s v="Jun-2021"/>
  </r>
  <r>
    <x v="68"/>
    <s v="GNB"/>
    <x v="1"/>
    <x v="6"/>
    <x v="6"/>
    <s v="predicted"/>
    <n v="1351.532582"/>
    <n v="1508.2149999999999"/>
    <n v="156.68241760000001"/>
    <n v="1666.868258"/>
    <n v="-9.9946574360000007"/>
    <n v="3724.9445759999999"/>
    <x v="67"/>
    <s v="Jul-2021"/>
  </r>
  <r>
    <x v="68"/>
    <s v="GNB"/>
    <x v="1"/>
    <x v="7"/>
    <x v="7"/>
    <s v="predicted"/>
    <n v="1354.1746290000001"/>
    <n v="1632.18"/>
    <n v="278.00537109999999"/>
    <n v="1944.8736289999999"/>
    <n v="185.17013030000001"/>
    <n v="4075.9509739999999"/>
    <x v="67"/>
    <s v="Aug-2021"/>
  </r>
  <r>
    <x v="68"/>
    <s v="GNB"/>
    <x v="1"/>
    <x v="8"/>
    <x v="8"/>
    <s v="predicted"/>
    <n v="1352.9198690000001"/>
    <n v="1476.499"/>
    <n v="123.5791308"/>
    <n v="2068.4527589999998"/>
    <n v="229.99615120000001"/>
    <n v="4228.0120360000001"/>
    <x v="67"/>
    <s v="Sep-2021"/>
  </r>
  <r>
    <x v="68"/>
    <s v="GNB"/>
    <x v="1"/>
    <x v="9"/>
    <x v="9"/>
    <s v="predicted"/>
    <n v="1344.6482719999999"/>
    <n v="1399.7470000000001"/>
    <n v="55.098728100000002"/>
    <n v="2123.5514880000001"/>
    <n v="264.76528939999997"/>
    <n v="4297.749718"/>
    <x v="67"/>
    <s v="Oct-2021"/>
  </r>
  <r>
    <x v="68"/>
    <s v="GNB"/>
    <x v="1"/>
    <x v="10"/>
    <x v="10"/>
    <s v="predicted"/>
    <n v="1348.9661610000001"/>
    <n v="1419.835"/>
    <n v="70.868838879999998"/>
    <n v="2194.4203259999999"/>
    <n v="249.39033219999999"/>
    <n v="4487.9231419999996"/>
    <x v="67"/>
    <s v="Nov-2021"/>
  </r>
  <r>
    <x v="68"/>
    <s v="GNB"/>
    <x v="1"/>
    <x v="11"/>
    <x v="11"/>
    <s v="predicted"/>
    <n v="1356.977429"/>
    <n v="1432.29"/>
    <n v="75.312571449999993"/>
    <n v="2269.7328980000002"/>
    <n v="307.06415440000001"/>
    <n v="4533.9932310000004"/>
    <x v="67"/>
    <s v="Dec-2021"/>
  </r>
  <r>
    <x v="69"/>
    <s v="GNQ"/>
    <x v="0"/>
    <x v="0"/>
    <x v="0"/>
    <s v="predicted"/>
    <n v="864.54169130000002"/>
    <n v="899.43"/>
    <n v="34.888308680000002"/>
    <n v="34.888308680000002"/>
    <n v="-175.46299859999999"/>
    <n v="313.95627309999998"/>
    <x v="68"/>
    <s v="Jan-2020"/>
  </r>
  <r>
    <x v="69"/>
    <s v="GNQ"/>
    <x v="0"/>
    <x v="1"/>
    <x v="1"/>
    <s v="predicted"/>
    <n v="862.39163350000001"/>
    <n v="868.62800000000004"/>
    <n v="6.2363665179999996"/>
    <n v="41.124675199999999"/>
    <n v="-275.71836489999998"/>
    <n v="400.81082629999997"/>
    <x v="68"/>
    <s v="Feb-2020"/>
  </r>
  <r>
    <x v="69"/>
    <s v="GNQ"/>
    <x v="0"/>
    <x v="2"/>
    <x v="2"/>
    <s v="predicted"/>
    <n v="865.11765409999998"/>
    <n v="879.79600000000005"/>
    <n v="14.678345930000001"/>
    <n v="55.803021129999998"/>
    <n v="-346.90272659999999"/>
    <n v="487.98068690000002"/>
    <x v="68"/>
    <s v="Mar-2020"/>
  </r>
  <r>
    <x v="69"/>
    <s v="GNQ"/>
    <x v="0"/>
    <x v="3"/>
    <x v="3"/>
    <s v="predicted"/>
    <n v="864.75990720000004"/>
    <n v="916.20600000000002"/>
    <n v="51.446092800000002"/>
    <n v="107.2491139"/>
    <n v="-350.32251430000002"/>
    <n v="610.28456859999994"/>
    <x v="68"/>
    <s v="Apr-2020"/>
  </r>
  <r>
    <x v="69"/>
    <s v="GNQ"/>
    <x v="0"/>
    <x v="4"/>
    <x v="4"/>
    <s v="predicted"/>
    <n v="865.31831069999998"/>
    <n v="979.351"/>
    <n v="114.0326893"/>
    <n v="221.28180320000001"/>
    <n v="-313.95944420000001"/>
    <n v="801.34837570000002"/>
    <x v="68"/>
    <s v="May-2020"/>
  </r>
  <r>
    <x v="69"/>
    <s v="GNQ"/>
    <x v="0"/>
    <x v="5"/>
    <x v="5"/>
    <s v="predicted"/>
    <n v="870.79763460000004"/>
    <n v="1013.675"/>
    <n v="142.8773654"/>
    <n v="364.15916859999999"/>
    <n v="-265.33957859999998"/>
    <n v="1009.748212"/>
    <x v="68"/>
    <s v="Jun-2020"/>
  </r>
  <r>
    <x v="69"/>
    <s v="GNQ"/>
    <x v="0"/>
    <x v="6"/>
    <x v="6"/>
    <s v="predicted"/>
    <n v="875.12704799999995"/>
    <n v="994.79899999999998"/>
    <n v="119.671952"/>
    <n v="483.83112060000002"/>
    <n v="-196.49576730000001"/>
    <n v="1181.8047079999999"/>
    <x v="68"/>
    <s v="Jul-2020"/>
  </r>
  <r>
    <x v="69"/>
    <s v="GNQ"/>
    <x v="0"/>
    <x v="7"/>
    <x v="7"/>
    <s v="predicted"/>
    <n v="874.14913769999998"/>
    <n v="844.22900000000004"/>
    <n v="-29.920137669999999"/>
    <n v="453.91098290000002"/>
    <n v="-292.30881269999998"/>
    <n v="1195.060929"/>
    <x v="68"/>
    <s v="Aug-2020"/>
  </r>
  <r>
    <x v="69"/>
    <s v="GNQ"/>
    <x v="0"/>
    <x v="8"/>
    <x v="8"/>
    <s v="predicted"/>
    <n v="872.24989070000004"/>
    <n v="858.26599999999996"/>
    <n v="-13.98389074"/>
    <n v="439.9270922"/>
    <n v="-343.1861384"/>
    <n v="1240.207995"/>
    <x v="68"/>
    <s v="Sep-2020"/>
  </r>
  <r>
    <x v="69"/>
    <s v="GNQ"/>
    <x v="0"/>
    <x v="9"/>
    <x v="9"/>
    <s v="predicted"/>
    <n v="870.93421430000001"/>
    <n v="841.82600000000002"/>
    <n v="-29.10821426"/>
    <n v="410.81887790000002"/>
    <n v="-441.86331239999998"/>
    <n v="1216.1520129999999"/>
    <x v="68"/>
    <s v="Oct-2020"/>
  </r>
  <r>
    <x v="69"/>
    <s v="GNQ"/>
    <x v="0"/>
    <x v="10"/>
    <x v="10"/>
    <s v="predicted"/>
    <n v="869.78410740000004"/>
    <n v="876.03300000000002"/>
    <n v="6.2488926229999997"/>
    <n v="417.06777060000002"/>
    <n v="-454.05576619999999"/>
    <n v="1260.3525950000001"/>
    <x v="68"/>
    <s v="Nov-2020"/>
  </r>
  <r>
    <x v="69"/>
    <s v="GNQ"/>
    <x v="0"/>
    <x v="11"/>
    <x v="11"/>
    <s v="predicted"/>
    <n v="868.65744329999995"/>
    <n v="889.4"/>
    <n v="20.74255668"/>
    <n v="437.81032720000002"/>
    <n v="-439.61579899999998"/>
    <n v="1324.6939749999999"/>
    <x v="68"/>
    <s v="Dec-2020"/>
  </r>
  <r>
    <x v="69"/>
    <s v="GNQ"/>
    <x v="1"/>
    <x v="0"/>
    <x v="0"/>
    <s v="predicted"/>
    <n v="877.22202389999995"/>
    <n v="870.101"/>
    <n v="-7.121023943"/>
    <n v="430.68930330000001"/>
    <n v="-482.58063800000002"/>
    <n v="1300.0649069999999"/>
    <x v="68"/>
    <s v="Jan-2021"/>
  </r>
  <r>
    <x v="69"/>
    <s v="GNQ"/>
    <x v="1"/>
    <x v="1"/>
    <x v="1"/>
    <s v="predicted"/>
    <n v="874.61072609999997"/>
    <n v="926.60900000000004"/>
    <n v="51.998273949999998"/>
    <n v="482.68757729999999"/>
    <n v="-469.39435839999999"/>
    <n v="1355.8063709999999"/>
    <x v="68"/>
    <s v="Feb-2021"/>
  </r>
  <r>
    <x v="69"/>
    <s v="GNQ"/>
    <x v="1"/>
    <x v="2"/>
    <x v="2"/>
    <s v="predicted"/>
    <n v="876.78252869999994"/>
    <n v="937.82299999999998"/>
    <n v="61.040471349999997"/>
    <n v="543.72804859999997"/>
    <n v="-452.41686479999998"/>
    <n v="1485.9000960000001"/>
    <x v="68"/>
    <s v="Mar-2021"/>
  </r>
  <r>
    <x v="69"/>
    <s v="GNQ"/>
    <x v="1"/>
    <x v="3"/>
    <x v="3"/>
    <s v="predicted"/>
    <n v="877.12317440000004"/>
    <n v="927.625"/>
    <n v="50.501825599999997"/>
    <n v="594.22987420000004"/>
    <n v="-461.82359179999997"/>
    <n v="1551.7693059999999"/>
    <x v="68"/>
    <s v="Apr-2021"/>
  </r>
  <r>
    <x v="69"/>
    <s v="GNQ"/>
    <x v="1"/>
    <x v="4"/>
    <x v="4"/>
    <s v="predicted"/>
    <n v="877.98258650000002"/>
    <n v="914.97500000000002"/>
    <n v="36.992413450000001"/>
    <n v="631.22228770000004"/>
    <n v="-410.48846579999997"/>
    <n v="1638.438852"/>
    <x v="68"/>
    <s v="May-2021"/>
  </r>
  <r>
    <x v="69"/>
    <s v="GNQ"/>
    <x v="1"/>
    <x v="5"/>
    <x v="5"/>
    <s v="predicted"/>
    <n v="883.4189738"/>
    <n v="897.09400000000005"/>
    <n v="13.675026190000001"/>
    <n v="644.89731380000001"/>
    <n v="-408.40707270000001"/>
    <n v="1667.9660200000001"/>
    <x v="68"/>
    <s v="Jun-2021"/>
  </r>
  <r>
    <x v="69"/>
    <s v="GNQ"/>
    <x v="1"/>
    <x v="6"/>
    <x v="6"/>
    <s v="predicted"/>
    <n v="887.50031009999998"/>
    <n v="888.74"/>
    <n v="1.2396899370000001"/>
    <n v="646.1370038"/>
    <n v="-418.55907000000002"/>
    <n v="1737.9702070000001"/>
    <x v="68"/>
    <s v="Jul-2021"/>
  </r>
  <r>
    <x v="69"/>
    <s v="GNQ"/>
    <x v="1"/>
    <x v="7"/>
    <x v="7"/>
    <s v="predicted"/>
    <n v="885.94544789999998"/>
    <n v="883.28899999999999"/>
    <n v="-2.6564479259999998"/>
    <n v="643.48055590000001"/>
    <n v="-506.45841159999998"/>
    <n v="1786.9625840000001"/>
    <x v="68"/>
    <s v="Aug-2021"/>
  </r>
  <r>
    <x v="69"/>
    <s v="GNQ"/>
    <x v="1"/>
    <x v="8"/>
    <x v="8"/>
    <s v="predicted"/>
    <n v="884.11311639999997"/>
    <n v="992.40099999999995"/>
    <n v="108.2878836"/>
    <n v="751.76843940000003"/>
    <n v="-373.95385859999999"/>
    <n v="1918.3290019999999"/>
    <x v="68"/>
    <s v="Sep-2021"/>
  </r>
  <r>
    <x v="69"/>
    <s v="GNQ"/>
    <x v="1"/>
    <x v="9"/>
    <x v="9"/>
    <s v="predicted"/>
    <n v="883.37893299999996"/>
    <n v="959.15700000000004"/>
    <n v="75.778066949999996"/>
    <n v="827.5465064"/>
    <n v="-293.88340290000002"/>
    <n v="2035.609316"/>
    <x v="68"/>
    <s v="Oct-2021"/>
  </r>
  <r>
    <x v="69"/>
    <s v="GNQ"/>
    <x v="1"/>
    <x v="10"/>
    <x v="10"/>
    <s v="predicted"/>
    <n v="881.84223159999999"/>
    <n v="928.10900000000004"/>
    <n v="46.266768390000003"/>
    <n v="873.81327480000004"/>
    <n v="-247.9780461"/>
    <n v="2133.18541"/>
    <x v="68"/>
    <s v="Nov-2021"/>
  </r>
  <r>
    <x v="69"/>
    <s v="GNQ"/>
    <x v="1"/>
    <x v="11"/>
    <x v="11"/>
    <s v="predicted"/>
    <n v="881.63535130000002"/>
    <n v="906.86900000000003"/>
    <n v="25.233648729999999"/>
    <n v="899.04692350000005"/>
    <n v="-246.38631939999999"/>
    <n v="2147.7219289999998"/>
    <x v="68"/>
    <s v="Dec-2021"/>
  </r>
  <r>
    <x v="70"/>
    <s v="GRC"/>
    <x v="0"/>
    <x v="0"/>
    <x v="0"/>
    <s v="reported"/>
    <n v="11724.2721"/>
    <n v="12661"/>
    <n v="931.72790280000004"/>
    <n v="931.72790280000004"/>
    <n v="456.6243235"/>
    <n v="1433.450261"/>
    <x v="69"/>
    <s v="Jan-2020"/>
  </r>
  <r>
    <x v="70"/>
    <s v="GRC"/>
    <x v="0"/>
    <x v="1"/>
    <x v="1"/>
    <s v="reported"/>
    <n v="11017.39205"/>
    <n v="11137"/>
    <n v="114.607945"/>
    <n v="1046.3358479999999"/>
    <n v="280.17849319999999"/>
    <n v="1805.85229"/>
    <x v="69"/>
    <s v="Feb-2020"/>
  </r>
  <r>
    <x v="70"/>
    <s v="GRC"/>
    <x v="0"/>
    <x v="2"/>
    <x v="2"/>
    <s v="reported"/>
    <n v="10672.88769"/>
    <n v="11291"/>
    <n v="613.11230690000002"/>
    <n v="1659.448155"/>
    <n v="675.97987260000002"/>
    <n v="2575.261086"/>
    <x v="69"/>
    <s v="Mar-2020"/>
  </r>
  <r>
    <x v="70"/>
    <s v="GRC"/>
    <x v="0"/>
    <x v="3"/>
    <x v="3"/>
    <s v="reported"/>
    <n v="10061.044620000001"/>
    <n v="9904"/>
    <n v="-162.0446154"/>
    <n v="1497.4035389999999"/>
    <n v="300.15108429999998"/>
    <n v="2608.9118979999998"/>
    <x v="69"/>
    <s v="Apr-2020"/>
  </r>
  <r>
    <x v="70"/>
    <s v="GRC"/>
    <x v="0"/>
    <x v="4"/>
    <x v="4"/>
    <s v="reported"/>
    <n v="9689.3812089999992"/>
    <n v="9881"/>
    <n v="186.6187908"/>
    <n v="1684.02233"/>
    <n v="381.69281719999998"/>
    <n v="2876.101377"/>
    <x v="69"/>
    <s v="May-2020"/>
  </r>
  <r>
    <x v="70"/>
    <s v="GRC"/>
    <x v="0"/>
    <x v="5"/>
    <x v="5"/>
    <s v="reported"/>
    <n v="9785.3511479999997"/>
    <n v="9610"/>
    <n v="-180.3511479"/>
    <n v="1503.671182"/>
    <n v="155.87346640000001"/>
    <n v="2848.244377"/>
    <x v="69"/>
    <s v="Jun-2020"/>
  </r>
  <r>
    <x v="70"/>
    <s v="GRC"/>
    <x v="0"/>
    <x v="6"/>
    <x v="6"/>
    <s v="reported"/>
    <n v="10152.47127"/>
    <n v="10522"/>
    <n v="364.52872869999999"/>
    <n v="1868.1999109999999"/>
    <n v="517.75996150000003"/>
    <n v="3239.5200089999998"/>
    <x v="69"/>
    <s v="Jul-2020"/>
  </r>
  <r>
    <x v="70"/>
    <s v="GRC"/>
    <x v="0"/>
    <x v="7"/>
    <x v="7"/>
    <s v="reported"/>
    <n v="9958.6845489999996"/>
    <n v="10660"/>
    <n v="696.31545149999999"/>
    <n v="2564.5153620000001"/>
    <n v="994.80042539999999"/>
    <n v="4059.9789719999999"/>
    <x v="69"/>
    <s v="Aug-2020"/>
  </r>
  <r>
    <x v="70"/>
    <s v="GRC"/>
    <x v="0"/>
    <x v="8"/>
    <x v="8"/>
    <s v="reported"/>
    <n v="9124.7857449999992"/>
    <n v="9643"/>
    <n v="513.21425450000004"/>
    <n v="3077.729617"/>
    <n v="1431.946725"/>
    <n v="4596.6816930000005"/>
    <x v="69"/>
    <s v="Sep-2020"/>
  </r>
  <r>
    <x v="70"/>
    <s v="GRC"/>
    <x v="0"/>
    <x v="9"/>
    <x v="9"/>
    <s v="reported"/>
    <n v="9437.9852510000001"/>
    <n v="9920"/>
    <n v="477.01474919999998"/>
    <n v="3554.7443659999999"/>
    <n v="1766.7494670000001"/>
    <n v="5112.1278920000004"/>
    <x v="69"/>
    <s v="Oct-2020"/>
  </r>
  <r>
    <x v="70"/>
    <s v="GRC"/>
    <x v="0"/>
    <x v="10"/>
    <x v="10"/>
    <s v="reported"/>
    <n v="10305.92337"/>
    <n v="12598"/>
    <n v="2287.076626"/>
    <n v="5841.8209919999999"/>
    <n v="4032.9791970000001"/>
    <n v="7526.0185760000004"/>
    <x v="69"/>
    <s v="Nov-2020"/>
  </r>
  <r>
    <x v="70"/>
    <s v="GRC"/>
    <x v="0"/>
    <x v="11"/>
    <x v="11"/>
    <s v="reported"/>
    <n v="11764.868979999999"/>
    <n v="13206"/>
    <n v="1436.1310189999999"/>
    <n v="7277.9520119999997"/>
    <n v="5263.2490090000001"/>
    <n v="9041.9987899999996"/>
    <x v="69"/>
    <s v="Dec-2020"/>
  </r>
  <r>
    <x v="70"/>
    <s v="GRC"/>
    <x v="1"/>
    <x v="0"/>
    <x v="0"/>
    <s v="reported"/>
    <n v="11774.88207"/>
    <n v="11571"/>
    <n v="-205.13206629999999"/>
    <n v="7072.8199450000002"/>
    <n v="5050.5404870000002"/>
    <n v="9030.7136559999999"/>
    <x v="69"/>
    <s v="Jan-2021"/>
  </r>
  <r>
    <x v="70"/>
    <s v="GRC"/>
    <x v="1"/>
    <x v="1"/>
    <x v="1"/>
    <s v="reported"/>
    <n v="11073.43154"/>
    <n v="10152"/>
    <n v="-922.68154010000001"/>
    <n v="6150.1384049999997"/>
    <n v="3963.024062"/>
    <n v="8218.3933099999995"/>
    <x v="69"/>
    <s v="Feb-2021"/>
  </r>
  <r>
    <x v="70"/>
    <s v="GRC"/>
    <x v="1"/>
    <x v="2"/>
    <x v="2"/>
    <s v="reported"/>
    <n v="10690.3771"/>
    <n v="12176"/>
    <n v="1484.3729020000001"/>
    <n v="7634.5113069999998"/>
    <n v="5479.077558"/>
    <n v="9771.9451669999999"/>
    <x v="69"/>
    <s v="Mar-2021"/>
  </r>
  <r>
    <x v="70"/>
    <s v="GRC"/>
    <x v="1"/>
    <x v="3"/>
    <x v="3"/>
    <s v="reported"/>
    <n v="10127.62355"/>
    <n v="12209"/>
    <n v="2080.126448"/>
    <n v="9714.6377549999997"/>
    <n v="7602.6123379999999"/>
    <n v="11885.851489999999"/>
    <x v="69"/>
    <s v="Apr-2021"/>
  </r>
  <r>
    <x v="70"/>
    <s v="GRC"/>
    <x v="1"/>
    <x v="4"/>
    <x v="4"/>
    <s v="reported"/>
    <n v="9731.5461940000005"/>
    <n v="11590"/>
    <n v="1857.203806"/>
    <n v="11571.841560000001"/>
    <n v="9318.9539029999996"/>
    <n v="13844.342720000001"/>
    <x v="69"/>
    <s v="May-2021"/>
  </r>
  <r>
    <x v="70"/>
    <s v="GRC"/>
    <x v="1"/>
    <x v="5"/>
    <x v="5"/>
    <s v="reported"/>
    <n v="9831.8535580000007"/>
    <n v="11005"/>
    <n v="1171.896442"/>
    <n v="12743.737999999999"/>
    <n v="10352.60799"/>
    <n v="15048.678449999999"/>
    <x v="69"/>
    <s v="Jun-2021"/>
  </r>
  <r>
    <x v="70"/>
    <s v="GRC"/>
    <x v="1"/>
    <x v="6"/>
    <x v="6"/>
    <s v="reported"/>
    <n v="10212.64855"/>
    <n v="12074"/>
    <n v="1860.1014540000001"/>
    <n v="14603.839459999999"/>
    <n v="12187.558080000001"/>
    <n v="16911.47941"/>
    <x v="69"/>
    <s v="Jul-2021"/>
  </r>
  <r>
    <x v="70"/>
    <s v="GRC"/>
    <x v="1"/>
    <x v="7"/>
    <x v="7"/>
    <s v="reported"/>
    <n v="10015.6756"/>
    <n v="13421"/>
    <n v="3404.0744049999998"/>
    <n v="18007.913860000001"/>
    <n v="15488.024659999999"/>
    <n v="20508.899219999999"/>
    <x v="69"/>
    <s v="Aug-2021"/>
  </r>
  <r>
    <x v="70"/>
    <s v="GRC"/>
    <x v="1"/>
    <x v="8"/>
    <x v="8"/>
    <s v="reported"/>
    <n v="9140.5535839999993"/>
    <n v="10904"/>
    <n v="1762.196416"/>
    <n v="19770.110280000001"/>
    <n v="17169.966339999999"/>
    <n v="22313.640660000001"/>
    <x v="69"/>
    <s v="Sep-2021"/>
  </r>
  <r>
    <x v="70"/>
    <s v="GRC"/>
    <x v="1"/>
    <x v="9"/>
    <x v="9"/>
    <s v="reported"/>
    <n v="9509.55321"/>
    <n v="11229"/>
    <n v="1718.19679"/>
    <n v="21488.307069999999"/>
    <n v="18758.312539999999"/>
    <n v="24082.355159999999"/>
    <x v="69"/>
    <s v="Oct-2021"/>
  </r>
  <r>
    <x v="70"/>
    <s v="GRC"/>
    <x v="1"/>
    <x v="10"/>
    <x v="10"/>
    <s v="reported"/>
    <n v="10375.393260000001"/>
    <n v="12913"/>
    <n v="2536.3567389999998"/>
    <n v="24024.663809999998"/>
    <n v="21239.851009999998"/>
    <n v="26672.89558"/>
    <x v="69"/>
    <s v="Nov-2021"/>
  </r>
  <r>
    <x v="70"/>
    <s v="GRC"/>
    <x v="1"/>
    <x v="11"/>
    <x v="11"/>
    <s v="reported"/>
    <n v="11807.709580000001"/>
    <n v="14548"/>
    <n v="2739.0404210000002"/>
    <n v="26763.704229999999"/>
    <n v="23867.030760000001"/>
    <n v="29541.009539999999"/>
    <x v="69"/>
    <s v="Dec-2021"/>
  </r>
  <r>
    <x v="71"/>
    <s v="GRD"/>
    <x v="0"/>
    <x v="0"/>
    <x v="0"/>
    <s v="predicted"/>
    <n v="86.582166380000004"/>
    <n v="67.069999999999993"/>
    <n v="-19.560155630000001"/>
    <n v="-19.560155630000001"/>
    <n v="-35.120183400000002"/>
    <n v="-2.186994662"/>
    <x v="70"/>
    <s v="Jan-2020"/>
  </r>
  <r>
    <x v="71"/>
    <s v="GRD"/>
    <x v="0"/>
    <x v="1"/>
    <x v="1"/>
    <s v="predicted"/>
    <n v="86.318594340000004"/>
    <n v="64.771000000000001"/>
    <n v="-21.505870219999998"/>
    <n v="-41.066025850000003"/>
    <n v="-62.421510099999999"/>
    <n v="-17.548231260000001"/>
    <x v="70"/>
    <s v="Feb-2020"/>
  </r>
  <r>
    <x v="71"/>
    <s v="GRD"/>
    <x v="0"/>
    <x v="2"/>
    <x v="2"/>
    <s v="predicted"/>
    <n v="86.385476240000003"/>
    <n v="67.373999999999995"/>
    <n v="-18.801581079999998"/>
    <n v="-59.867606930000001"/>
    <n v="-85.204744070000004"/>
    <n v="-32.986425590000003"/>
    <x v="70"/>
    <s v="Mar-2020"/>
  </r>
  <r>
    <x v="71"/>
    <s v="GRD"/>
    <x v="0"/>
    <x v="3"/>
    <x v="3"/>
    <s v="predicted"/>
    <n v="85.751657879999996"/>
    <n v="55.369"/>
    <n v="-30.296671830000001"/>
    <n v="-90.164278749999994"/>
    <n v="-116.7830081"/>
    <n v="-60.753835449999997"/>
    <x v="70"/>
    <s v="Apr-2020"/>
  </r>
  <r>
    <x v="71"/>
    <s v="GRD"/>
    <x v="0"/>
    <x v="4"/>
    <x v="4"/>
    <s v="predicted"/>
    <n v="85.161572090000007"/>
    <n v="57.734000000000002"/>
    <n v="-27.534653349999999"/>
    <n v="-117.69893209999999"/>
    <n v="-147.94849540000001"/>
    <n v="-86.913706079999997"/>
    <x v="70"/>
    <s v="May-2020"/>
  </r>
  <r>
    <x v="71"/>
    <s v="GRD"/>
    <x v="0"/>
    <x v="5"/>
    <x v="5"/>
    <s v="predicted"/>
    <n v="85.2135684"/>
    <n v="63.65"/>
    <n v="-21.765997250000002"/>
    <n v="-139.46492939999999"/>
    <n v="-170.0900044"/>
    <n v="-108.2913606"/>
    <x v="70"/>
    <s v="Jun-2020"/>
  </r>
  <r>
    <x v="71"/>
    <s v="GRD"/>
    <x v="0"/>
    <x v="6"/>
    <x v="6"/>
    <s v="predicted"/>
    <n v="85.493440680000006"/>
    <n v="67.787999999999997"/>
    <n v="-17.510030230000002"/>
    <n v="-156.97495960000001"/>
    <n v="-189.21403369999999"/>
    <n v="-124.9047341"/>
    <x v="70"/>
    <s v="Jul-2020"/>
  </r>
  <r>
    <x v="71"/>
    <s v="GRD"/>
    <x v="0"/>
    <x v="7"/>
    <x v="7"/>
    <s v="predicted"/>
    <n v="85.420616949999996"/>
    <n v="67.837999999999994"/>
    <n v="-17.534833880000001"/>
    <n v="-174.5097935"/>
    <n v="-205.46263759999999"/>
    <n v="-143.3520747"/>
    <x v="70"/>
    <s v="Aug-2020"/>
  </r>
  <r>
    <x v="71"/>
    <s v="GRD"/>
    <x v="0"/>
    <x v="8"/>
    <x v="8"/>
    <s v="predicted"/>
    <n v="85.240273540000004"/>
    <n v="64.900999999999996"/>
    <n v="-20.244211140000001"/>
    <n v="-194.7540046"/>
    <n v="-223.7099106"/>
    <n v="-165.46858900000001"/>
    <x v="70"/>
    <s v="Sep-2020"/>
  </r>
  <r>
    <x v="71"/>
    <s v="GRD"/>
    <x v="0"/>
    <x v="9"/>
    <x v="9"/>
    <s v="predicted"/>
    <n v="85.79766884"/>
    <n v="64.111999999999995"/>
    <n v="-21.540891040000002"/>
    <n v="-216.29489559999999"/>
    <n v="-243.445953"/>
    <n v="-189.6067371"/>
    <x v="70"/>
    <s v="Oct-2020"/>
  </r>
  <r>
    <x v="71"/>
    <s v="GRD"/>
    <x v="0"/>
    <x v="10"/>
    <x v="10"/>
    <s v="predicted"/>
    <n v="86.116939560000006"/>
    <n v="64.522000000000006"/>
    <n v="-21.44808596"/>
    <n v="-237.74298160000001"/>
    <n v="-264.4534951"/>
    <n v="-212.78967919999999"/>
    <x v="70"/>
    <s v="Nov-2020"/>
  </r>
  <r>
    <x v="71"/>
    <s v="GRD"/>
    <x v="0"/>
    <x v="11"/>
    <x v="11"/>
    <s v="predicted"/>
    <n v="86.378078369999997"/>
    <n v="70.870999999999995"/>
    <n v="-15.53529825"/>
    <n v="-253.2782799"/>
    <n v="-273.74872329999999"/>
    <n v="-232.7137123"/>
    <x v="70"/>
    <s v="Dec-2020"/>
  </r>
  <r>
    <x v="71"/>
    <s v="GRD"/>
    <x v="1"/>
    <x v="0"/>
    <x v="0"/>
    <s v="predicted"/>
    <n v="86.704831690000006"/>
    <n v="79.962999999999994"/>
    <n v="-6.7418316899999997"/>
    <n v="-260.02011160000001"/>
    <n v="-300.02861680000001"/>
    <n v="-213.51196469999999"/>
    <x v="70"/>
    <s v="Jan-2021"/>
  </r>
  <r>
    <x v="71"/>
    <s v="GRD"/>
    <x v="1"/>
    <x v="1"/>
    <x v="1"/>
    <s v="predicted"/>
    <n v="86.677692480000005"/>
    <n v="73.727999999999994"/>
    <n v="-12.94969248"/>
    <n v="-272.96980400000001"/>
    <n v="-329.10578720000001"/>
    <n v="-205.81602839999999"/>
    <x v="70"/>
    <s v="Feb-2021"/>
  </r>
  <r>
    <x v="71"/>
    <s v="GRD"/>
    <x v="1"/>
    <x v="2"/>
    <x v="2"/>
    <s v="predicted"/>
    <n v="87.152694499999996"/>
    <n v="74.061999999999998"/>
    <n v="-13.0906945"/>
    <n v="-286.06049849999999"/>
    <n v="-358.76296869999999"/>
    <n v="-191.7093241"/>
    <x v="70"/>
    <s v="Mar-2021"/>
  </r>
  <r>
    <x v="71"/>
    <s v="GRD"/>
    <x v="1"/>
    <x v="3"/>
    <x v="3"/>
    <s v="predicted"/>
    <n v="86.22036267"/>
    <n v="73.234999999999999"/>
    <n v="-12.985362670000001"/>
    <n v="-299.04586119999999"/>
    <n v="-387.64041179999998"/>
    <n v="-179.8616227"/>
    <x v="70"/>
    <s v="Apr-2021"/>
  </r>
  <r>
    <x v="71"/>
    <s v="GRD"/>
    <x v="1"/>
    <x v="4"/>
    <x v="4"/>
    <s v="predicted"/>
    <n v="85.781843679999994"/>
    <n v="73.984999999999999"/>
    <n v="-11.79684368"/>
    <n v="-310.8427049"/>
    <n v="-414.33985330000002"/>
    <n v="-175.60991540000001"/>
    <x v="70"/>
    <s v="May-2021"/>
  </r>
  <r>
    <x v="71"/>
    <s v="GRD"/>
    <x v="1"/>
    <x v="5"/>
    <x v="5"/>
    <s v="predicted"/>
    <n v="85.649512540000003"/>
    <n v="74.241"/>
    <n v="-11.40851254"/>
    <n v="-322.25121739999997"/>
    <n v="-445.3822576"/>
    <n v="-165.16067760000001"/>
    <x v="70"/>
    <s v="Jun-2021"/>
  </r>
  <r>
    <x v="71"/>
    <s v="GRD"/>
    <x v="1"/>
    <x v="6"/>
    <x v="6"/>
    <s v="predicted"/>
    <n v="86.070755320000004"/>
    <n v="74.435000000000002"/>
    <n v="-11.635755319999999"/>
    <n v="-333.8869727"/>
    <n v="-476.99723039999998"/>
    <n v="-153.32625110000001"/>
    <x v="70"/>
    <s v="Jul-2021"/>
  </r>
  <r>
    <x v="71"/>
    <s v="GRD"/>
    <x v="1"/>
    <x v="7"/>
    <x v="7"/>
    <s v="predicted"/>
    <n v="86.082573760000002"/>
    <n v="72.88"/>
    <n v="-13.20257376"/>
    <n v="-347.08954649999998"/>
    <n v="-510.09416900000002"/>
    <n v="-146.4040171"/>
    <x v="70"/>
    <s v="Aug-2021"/>
  </r>
  <r>
    <x v="71"/>
    <s v="GRD"/>
    <x v="1"/>
    <x v="8"/>
    <x v="8"/>
    <s v="predicted"/>
    <n v="85.858160209999994"/>
    <n v="195.07900000000001"/>
    <n v="109.22083979999999"/>
    <n v="-237.86870669999999"/>
    <n v="-449.98441209999999"/>
    <n v="17.35138126"/>
    <x v="70"/>
    <s v="Sep-2021"/>
  </r>
  <r>
    <x v="71"/>
    <s v="GRD"/>
    <x v="1"/>
    <x v="9"/>
    <x v="9"/>
    <s v="predicted"/>
    <n v="86.195897650000006"/>
    <n v="130.60599999999999"/>
    <n v="44.410102350000003"/>
    <n v="-193.45860440000001"/>
    <n v="-437.3523758"/>
    <n v="111.4856103"/>
    <x v="70"/>
    <s v="Oct-2021"/>
  </r>
  <r>
    <x v="71"/>
    <s v="GRD"/>
    <x v="1"/>
    <x v="10"/>
    <x v="10"/>
    <s v="predicted"/>
    <n v="86.671149299999996"/>
    <n v="80.879000000000005"/>
    <n v="-5.7921492990000001"/>
    <n v="-199.25075369999999"/>
    <n v="-457.70355119999999"/>
    <n v="116.331261"/>
    <x v="70"/>
    <s v="Nov-2021"/>
  </r>
  <r>
    <x v="71"/>
    <s v="GRD"/>
    <x v="1"/>
    <x v="11"/>
    <x v="11"/>
    <s v="predicted"/>
    <n v="86.945595220000001"/>
    <n v="77.852000000000004"/>
    <n v="-9.0935952199999992"/>
    <n v="-208.3443489"/>
    <n v="-485.4634337"/>
    <n v="137.74485859999999"/>
    <x v="70"/>
    <s v="Dec-2021"/>
  </r>
  <r>
    <x v="72"/>
    <s v="GTM"/>
    <x v="0"/>
    <x v="0"/>
    <x v="0"/>
    <s v="reported"/>
    <n v="8037.112357"/>
    <n v="8440"/>
    <n v="386.87848980000001"/>
    <n v="386.87848980000001"/>
    <n v="197.1536758"/>
    <n v="588.0191208"/>
    <x v="71"/>
    <s v="Jan-2020"/>
  </r>
  <r>
    <x v="72"/>
    <s v="GTM"/>
    <x v="0"/>
    <x v="1"/>
    <x v="1"/>
    <s v="reported"/>
    <n v="8051.6515650000001"/>
    <n v="7489"/>
    <n v="-578.66071799999997"/>
    <n v="-191.78222819999999"/>
    <n v="-467.4647238"/>
    <n v="97.691440569999997"/>
    <x v="71"/>
    <s v="Feb-2020"/>
  </r>
  <r>
    <x v="72"/>
    <s v="GTM"/>
    <x v="0"/>
    <x v="2"/>
    <x v="2"/>
    <s v="reported"/>
    <n v="8109.1341300000004"/>
    <n v="7336"/>
    <n v="-789.14328330000001"/>
    <n v="-980.92551149999997"/>
    <n v="-1345.9619230000001"/>
    <n v="-616.76237309999999"/>
    <x v="71"/>
    <s v="Mar-2020"/>
  </r>
  <r>
    <x v="72"/>
    <s v="GTM"/>
    <x v="0"/>
    <x v="3"/>
    <x v="3"/>
    <s v="reported"/>
    <n v="8165.8809099999999"/>
    <n v="6536"/>
    <n v="-1645.8900630000001"/>
    <n v="-2626.8155750000001"/>
    <n v="-3068.1490279999998"/>
    <n v="-2193.0450599999999"/>
    <x v="71"/>
    <s v="Apr-2020"/>
  </r>
  <r>
    <x v="72"/>
    <s v="GTM"/>
    <x v="0"/>
    <x v="4"/>
    <x v="4"/>
    <s v="reported"/>
    <n v="8215.7239009999994"/>
    <n v="7325"/>
    <n v="-906.73305470000003"/>
    <n v="-3533.5486289999999"/>
    <n v="-4028.505263"/>
    <n v="-3027.51539"/>
    <x v="71"/>
    <s v="May-2020"/>
  </r>
  <r>
    <x v="72"/>
    <s v="GTM"/>
    <x v="0"/>
    <x v="5"/>
    <x v="5"/>
    <s v="reported"/>
    <n v="8233.6518550000001"/>
    <n v="10411"/>
    <n v="2161.338992"/>
    <n v="-1372.2096369999999"/>
    <n v="-1895.5214490000001"/>
    <n v="-812.83185140000001"/>
    <x v="71"/>
    <s v="Jun-2020"/>
  </r>
  <r>
    <x v="72"/>
    <s v="GTM"/>
    <x v="0"/>
    <x v="6"/>
    <x v="6"/>
    <s v="reported"/>
    <n v="8225.8686450000005"/>
    <n v="14002"/>
    <n v="5760.1222019999996"/>
    <n v="4387.9125649999996"/>
    <n v="3825.2876489999999"/>
    <n v="4988.2693069999996"/>
    <x v="71"/>
    <s v="Jul-2020"/>
  </r>
  <r>
    <x v="72"/>
    <s v="GTM"/>
    <x v="0"/>
    <x v="7"/>
    <x v="7"/>
    <s v="reported"/>
    <n v="8203.5038700000005"/>
    <n v="11379"/>
    <n v="3159.486977"/>
    <n v="7547.3995409999998"/>
    <n v="6912.2431989999995"/>
    <n v="8191.4185580000003"/>
    <x v="71"/>
    <s v="Aug-2020"/>
  </r>
  <r>
    <x v="72"/>
    <s v="GTM"/>
    <x v="0"/>
    <x v="8"/>
    <x v="8"/>
    <s v="reported"/>
    <n v="8154.3828569999996"/>
    <n v="9561"/>
    <n v="1390.60799"/>
    <n v="8938.0075319999996"/>
    <n v="8300.4621069999994"/>
    <n v="9621.4793030000001"/>
    <x v="71"/>
    <s v="Sep-2020"/>
  </r>
  <r>
    <x v="72"/>
    <s v="GTM"/>
    <x v="0"/>
    <x v="9"/>
    <x v="9"/>
    <s v="reported"/>
    <n v="8122.7778369999996"/>
    <n v="9350"/>
    <n v="1211.2130099999999"/>
    <n v="10149.22054"/>
    <n v="9470.3501269999997"/>
    <n v="10890.60498"/>
    <x v="71"/>
    <s v="Oct-2020"/>
  </r>
  <r>
    <x v="72"/>
    <s v="GTM"/>
    <x v="0"/>
    <x v="10"/>
    <x v="10"/>
    <s v="reported"/>
    <n v="8106.1668179999997"/>
    <n v="9129"/>
    <n v="1006.824029"/>
    <n v="11156.04457"/>
    <n v="10423.97271"/>
    <n v="11889.85518"/>
    <x v="71"/>
    <s v="Nov-2020"/>
  </r>
  <r>
    <x v="72"/>
    <s v="GTM"/>
    <x v="0"/>
    <x v="11"/>
    <x v="11"/>
    <s v="reported"/>
    <n v="8105.906328"/>
    <n v="9546"/>
    <n v="1424.084519"/>
    <n v="12580.12909"/>
    <n v="11814.622960000001"/>
    <n v="13333.6885"/>
    <x v="71"/>
    <s v="Dec-2020"/>
  </r>
  <r>
    <x v="72"/>
    <s v="GTM"/>
    <x v="1"/>
    <x v="0"/>
    <x v="0"/>
    <s v="reported"/>
    <n v="8115.3687819999996"/>
    <n v="9717"/>
    <n v="1548.139557"/>
    <n v="14128.26865"/>
    <n v="13330.5576"/>
    <n v="14971.219279999999"/>
    <x v="71"/>
    <s v="Jan-2021"/>
  </r>
  <r>
    <x v="72"/>
    <s v="GTM"/>
    <x v="1"/>
    <x v="1"/>
    <x v="1"/>
    <s v="reported"/>
    <n v="8142.3101500000002"/>
    <n v="8069"/>
    <n v="-126.8018119"/>
    <n v="14001.466829999999"/>
    <n v="13149.577579999999"/>
    <n v="14829.723110000001"/>
    <x v="71"/>
    <s v="Feb-2021"/>
  </r>
  <r>
    <x v="72"/>
    <s v="GTM"/>
    <x v="1"/>
    <x v="2"/>
    <x v="2"/>
    <s v="reported"/>
    <n v="8183.4131829999997"/>
    <n v="9421"/>
    <n v="1184.095155"/>
    <n v="15185.56199"/>
    <n v="14325.62362"/>
    <n v="16021.267159999999"/>
    <x v="71"/>
    <s v="Mar-2021"/>
  </r>
  <r>
    <x v="72"/>
    <s v="GTM"/>
    <x v="1"/>
    <x v="3"/>
    <x v="3"/>
    <s v="reported"/>
    <n v="8244.6642580000007"/>
    <n v="10536"/>
    <n v="2237.8440810000002"/>
    <n v="17423.406070000001"/>
    <n v="16520.97624"/>
    <n v="18317.085790000001"/>
    <x v="71"/>
    <s v="Apr-2021"/>
  </r>
  <r>
    <x v="72"/>
    <s v="GTM"/>
    <x v="1"/>
    <x v="4"/>
    <x v="4"/>
    <s v="reported"/>
    <n v="8304.5766949999997"/>
    <n v="10780"/>
    <n v="2421.9316439999998"/>
    <n v="19845.33771"/>
    <n v="18906.098709999998"/>
    <n v="20862.343069999999"/>
    <x v="71"/>
    <s v="May-2021"/>
  </r>
  <r>
    <x v="72"/>
    <s v="GTM"/>
    <x v="1"/>
    <x v="5"/>
    <x v="5"/>
    <s v="reported"/>
    <n v="8307.4989089999999"/>
    <n v="10828"/>
    <n v="2467.0094300000001"/>
    <n v="22312.347140000002"/>
    <n v="21336.14991"/>
    <n v="23345.310890000001"/>
    <x v="71"/>
    <s v="Jun-2021"/>
  </r>
  <r>
    <x v="72"/>
    <s v="GTM"/>
    <x v="1"/>
    <x v="6"/>
    <x v="6"/>
    <s v="reported"/>
    <n v="8319.9670910000004"/>
    <n v="13078"/>
    <n v="4704.5412470000001"/>
    <n v="27016.88839"/>
    <n v="25959.619589999998"/>
    <n v="28143.165830000002"/>
    <x v="71"/>
    <s v="Jul-2021"/>
  </r>
  <r>
    <x v="72"/>
    <s v="GTM"/>
    <x v="1"/>
    <x v="7"/>
    <x v="7"/>
    <s v="reported"/>
    <n v="8280.835556"/>
    <n v="16256"/>
    <n v="7921.672783"/>
    <n v="34938.561170000001"/>
    <n v="33855.908329999998"/>
    <n v="36082.49411"/>
    <x v="71"/>
    <s v="Aug-2021"/>
  </r>
  <r>
    <x v="72"/>
    <s v="GTM"/>
    <x v="1"/>
    <x v="8"/>
    <x v="8"/>
    <s v="reported"/>
    <n v="8241.4082729999991"/>
    <n v="17347"/>
    <n v="9052.1000650000005"/>
    <n v="43990.661240000001"/>
    <n v="42898.273739999997"/>
    <n v="45207.121209999998"/>
    <x v="71"/>
    <s v="Sep-2021"/>
  </r>
  <r>
    <x v="72"/>
    <s v="GTM"/>
    <x v="1"/>
    <x v="9"/>
    <x v="9"/>
    <s v="reported"/>
    <n v="8206.4138980000007"/>
    <n v="11986"/>
    <n v="3726.0944410000002"/>
    <n v="47716.755680000002"/>
    <n v="46570.480920000002"/>
    <n v="48948.596270000002"/>
    <x v="71"/>
    <s v="Oct-2021"/>
  </r>
  <r>
    <x v="72"/>
    <s v="GTM"/>
    <x v="1"/>
    <x v="10"/>
    <x v="10"/>
    <s v="reported"/>
    <n v="8189.3839760000001"/>
    <n v="8917"/>
    <n v="674.12436300000002"/>
    <n v="48390.880039999996"/>
    <n v="47156.373489999998"/>
    <n v="49652.19094"/>
    <x v="71"/>
    <s v="Nov-2021"/>
  </r>
  <r>
    <x v="72"/>
    <s v="GTM"/>
    <x v="1"/>
    <x v="11"/>
    <x v="11"/>
    <s v="reported"/>
    <n v="8189.6872469999998"/>
    <n v="8909"/>
    <n v="665.8210914"/>
    <n v="49056.701130000001"/>
    <n v="47796.808649999999"/>
    <n v="50384.057990000001"/>
    <x v="71"/>
    <s v="Dec-2021"/>
  </r>
  <r>
    <x v="73"/>
    <s v="GUY"/>
    <x v="0"/>
    <x v="0"/>
    <x v="0"/>
    <s v="predicted"/>
    <n v="696.78573830000005"/>
    <n v="703.173"/>
    <n v="6.3872616759999996"/>
    <n v="6.3872616759999996"/>
    <n v="-168.79945069999999"/>
    <n v="224.78288330000001"/>
    <x v="72"/>
    <s v="Jan-2020"/>
  </r>
  <r>
    <x v="73"/>
    <s v="GUY"/>
    <x v="0"/>
    <x v="1"/>
    <x v="1"/>
    <s v="predicted"/>
    <n v="697.34085849999997"/>
    <n v="682.52499999999998"/>
    <n v="-14.81585847"/>
    <n v="-8.4285967920000004"/>
    <n v="-269.0383483"/>
    <n v="287.54930730000001"/>
    <x v="72"/>
    <s v="Feb-2020"/>
  </r>
  <r>
    <x v="73"/>
    <s v="GUY"/>
    <x v="0"/>
    <x v="2"/>
    <x v="2"/>
    <s v="predicted"/>
    <n v="695.38289780000002"/>
    <n v="693.91099999999994"/>
    <n v="-1.4718978199999999"/>
    <n v="-9.9004946119999993"/>
    <n v="-348.63861320000001"/>
    <n v="372.4861386"/>
    <x v="72"/>
    <s v="Mar-2020"/>
  </r>
  <r>
    <x v="73"/>
    <s v="GUY"/>
    <x v="0"/>
    <x v="3"/>
    <x v="3"/>
    <s v="predicted"/>
    <n v="695.07812690000003"/>
    <n v="715.59799999999996"/>
    <n v="20.519873130000001"/>
    <n v="10.61937852"/>
    <n v="-356.87275260000001"/>
    <n v="419.08868860000001"/>
    <x v="72"/>
    <s v="Apr-2020"/>
  </r>
  <r>
    <x v="73"/>
    <s v="GUY"/>
    <x v="0"/>
    <x v="4"/>
    <x v="4"/>
    <s v="predicted"/>
    <n v="695.94602329999998"/>
    <n v="710.98699999999997"/>
    <n v="15.04097668"/>
    <n v="25.660355190000001"/>
    <n v="-373.50034599999998"/>
    <n v="504.9746682"/>
    <x v="72"/>
    <s v="May-2020"/>
  </r>
  <r>
    <x v="73"/>
    <s v="GUY"/>
    <x v="0"/>
    <x v="5"/>
    <x v="5"/>
    <s v="predicted"/>
    <n v="697.64183030000004"/>
    <n v="732.76800000000003"/>
    <n v="35.126169730000001"/>
    <n v="60.786524919999998"/>
    <n v="-406.78044490000002"/>
    <n v="571.8834842"/>
    <x v="72"/>
    <s v="Jun-2020"/>
  </r>
  <r>
    <x v="73"/>
    <s v="GUY"/>
    <x v="0"/>
    <x v="6"/>
    <x v="6"/>
    <s v="predicted"/>
    <n v="697.06260989999998"/>
    <n v="809.404"/>
    <n v="112.3413901"/>
    <n v="173.127915"/>
    <n v="-318.12409059999999"/>
    <n v="736.14814520000004"/>
    <x v="72"/>
    <s v="Jul-2020"/>
  </r>
  <r>
    <x v="73"/>
    <s v="GUY"/>
    <x v="0"/>
    <x v="7"/>
    <x v="7"/>
    <s v="predicted"/>
    <n v="694.38443099999995"/>
    <n v="831.19600000000003"/>
    <n v="136.81156899999999"/>
    <n v="309.93948399999999"/>
    <n v="-249.56038079999999"/>
    <n v="935.53850390000002"/>
    <x v="72"/>
    <s v="Aug-2020"/>
  </r>
  <r>
    <x v="73"/>
    <s v="GUY"/>
    <x v="0"/>
    <x v="8"/>
    <x v="8"/>
    <s v="predicted"/>
    <n v="691.25074529999995"/>
    <n v="851.93799999999999"/>
    <n v="160.68725470000001"/>
    <n v="470.62673869999998"/>
    <n v="-150.419251"/>
    <n v="1128.394092"/>
    <x v="72"/>
    <s v="Sep-2020"/>
  </r>
  <r>
    <x v="73"/>
    <s v="GUY"/>
    <x v="0"/>
    <x v="9"/>
    <x v="9"/>
    <s v="predicted"/>
    <n v="692.69864380000001"/>
    <n v="843.68799999999999"/>
    <n v="150.9893562"/>
    <n v="621.61609490000001"/>
    <n v="6.0418754129999996"/>
    <n v="1341.805977"/>
    <x v="72"/>
    <s v="Oct-2020"/>
  </r>
  <r>
    <x v="73"/>
    <s v="GUY"/>
    <x v="0"/>
    <x v="10"/>
    <x v="10"/>
    <s v="predicted"/>
    <n v="694.28127340000003"/>
    <n v="799.51800000000003"/>
    <n v="105.2367266"/>
    <n v="726.85282140000004"/>
    <n v="58.854000290000002"/>
    <n v="1504.6268339999999"/>
    <x v="72"/>
    <s v="Nov-2020"/>
  </r>
  <r>
    <x v="73"/>
    <s v="GUY"/>
    <x v="0"/>
    <x v="11"/>
    <x v="11"/>
    <s v="predicted"/>
    <n v="697.43419189999997"/>
    <n v="779.95500000000004"/>
    <n v="82.520808119999998"/>
    <n v="809.37362959999996"/>
    <n v="87.490118670000001"/>
    <n v="1630.4747500000001"/>
    <x v="72"/>
    <s v="Dec-2020"/>
  </r>
  <r>
    <x v="73"/>
    <s v="GUY"/>
    <x v="1"/>
    <x v="0"/>
    <x v="0"/>
    <s v="predicted"/>
    <n v="723.86108739999997"/>
    <n v="808.75300000000004"/>
    <n v="84.891912610000006"/>
    <n v="894.26554220000003"/>
    <n v="151.9746145"/>
    <n v="1720.5290299999999"/>
    <x v="72"/>
    <s v="Jan-2021"/>
  </r>
  <r>
    <x v="73"/>
    <s v="GUY"/>
    <x v="1"/>
    <x v="1"/>
    <x v="1"/>
    <s v="predicted"/>
    <n v="722.76256839999996"/>
    <n v="837.678"/>
    <n v="114.91543160000001"/>
    <n v="1009.180974"/>
    <n v="227.93116330000001"/>
    <n v="1891.3084369999999"/>
    <x v="72"/>
    <s v="Feb-2021"/>
  </r>
  <r>
    <x v="73"/>
    <s v="GUY"/>
    <x v="1"/>
    <x v="2"/>
    <x v="2"/>
    <s v="predicted"/>
    <n v="721.71066670000005"/>
    <n v="876.68100000000004"/>
    <n v="154.97033329999999"/>
    <n v="1164.1513070000001"/>
    <n v="327.3455601"/>
    <n v="2045.0462749999999"/>
    <x v="72"/>
    <s v="Mar-2021"/>
  </r>
  <r>
    <x v="73"/>
    <s v="GUY"/>
    <x v="1"/>
    <x v="3"/>
    <x v="3"/>
    <s v="predicted"/>
    <n v="721.40168949999997"/>
    <n v="938.68299999999999"/>
    <n v="217.28131049999999"/>
    <n v="1381.432618"/>
    <n v="503.24506309999998"/>
    <n v="2267.9397779999999"/>
    <x v="72"/>
    <s v="Apr-2021"/>
  </r>
  <r>
    <x v="73"/>
    <s v="GUY"/>
    <x v="1"/>
    <x v="4"/>
    <x v="4"/>
    <s v="predicted"/>
    <n v="722.77957679999997"/>
    <n v="1002.681"/>
    <n v="279.90142320000001"/>
    <n v="1661.3340410000001"/>
    <n v="721.25438080000004"/>
    <n v="2682.509035"/>
    <x v="72"/>
    <s v="May-2021"/>
  </r>
  <r>
    <x v="73"/>
    <s v="GUY"/>
    <x v="1"/>
    <x v="5"/>
    <x v="5"/>
    <s v="predicted"/>
    <n v="724.67528040000002"/>
    <n v="1001.397"/>
    <n v="276.72171959999997"/>
    <n v="1938.05576"/>
    <n v="994.11640379999994"/>
    <n v="2974.427925"/>
    <x v="72"/>
    <s v="Jun-2021"/>
  </r>
  <r>
    <x v="73"/>
    <s v="GUY"/>
    <x v="1"/>
    <x v="6"/>
    <x v="6"/>
    <s v="predicted"/>
    <n v="724.05462850000004"/>
    <n v="995.87400000000002"/>
    <n v="271.81937149999999"/>
    <n v="2209.8751320000001"/>
    <n v="1230.5292919999999"/>
    <n v="3250.7450210000002"/>
    <x v="72"/>
    <s v="Jul-2021"/>
  </r>
  <r>
    <x v="73"/>
    <s v="GUY"/>
    <x v="1"/>
    <x v="7"/>
    <x v="7"/>
    <s v="predicted"/>
    <n v="721.44598980000001"/>
    <n v="1034.6120000000001"/>
    <n v="313.16601020000002"/>
    <n v="2523.041142"/>
    <n v="1480.320993"/>
    <n v="3622.8165770000001"/>
    <x v="72"/>
    <s v="Aug-2021"/>
  </r>
  <r>
    <x v="73"/>
    <s v="GUY"/>
    <x v="1"/>
    <x v="8"/>
    <x v="8"/>
    <s v="predicted"/>
    <n v="717.52721159999999"/>
    <n v="1237.03"/>
    <n v="519.50278839999999"/>
    <n v="3042.5439299999998"/>
    <n v="1891.2251980000001"/>
    <n v="4202.9087840000002"/>
    <x v="72"/>
    <s v="Sep-2021"/>
  </r>
  <r>
    <x v="73"/>
    <s v="GUY"/>
    <x v="1"/>
    <x v="9"/>
    <x v="9"/>
    <s v="predicted"/>
    <n v="719.7286977"/>
    <n v="1064.2619999999999"/>
    <n v="344.5333023"/>
    <n v="3387.077233"/>
    <n v="2249.1852819999999"/>
    <n v="4620.0181069999999"/>
    <x v="72"/>
    <s v="Oct-2021"/>
  </r>
  <r>
    <x v="73"/>
    <s v="GUY"/>
    <x v="1"/>
    <x v="10"/>
    <x v="10"/>
    <s v="predicted"/>
    <n v="720.81043509999995"/>
    <n v="957.63199999999995"/>
    <n v="236.8215649"/>
    <n v="3623.8987980000002"/>
    <n v="2443.2808140000002"/>
    <n v="4833.9396379999998"/>
    <x v="72"/>
    <s v="Nov-2021"/>
  </r>
  <r>
    <x v="73"/>
    <s v="GUY"/>
    <x v="1"/>
    <x v="11"/>
    <x v="11"/>
    <s v="predicted"/>
    <n v="723.48311850000005"/>
    <n v="920.81700000000001"/>
    <n v="197.33388149999999"/>
    <n v="3821.2326790000002"/>
    <n v="2616.3401180000001"/>
    <n v="5087.1715050000003"/>
    <x v="72"/>
    <s v="Dec-2021"/>
  </r>
  <r>
    <x v="74"/>
    <s v="HND"/>
    <x v="0"/>
    <x v="0"/>
    <x v="0"/>
    <s v="predicted"/>
    <n v="4739.5035349999998"/>
    <n v="4903.1049999999996"/>
    <n v="163.6014649"/>
    <n v="163.6014649"/>
    <n v="-1083.7418580000001"/>
    <n v="1563.162413"/>
    <x v="73"/>
    <s v="Jan-2020"/>
  </r>
  <r>
    <x v="74"/>
    <s v="HND"/>
    <x v="0"/>
    <x v="1"/>
    <x v="1"/>
    <s v="predicted"/>
    <n v="4704.9197240000003"/>
    <n v="4743.9920000000002"/>
    <n v="39.072276289999998"/>
    <n v="202.67374119999999"/>
    <n v="-1558.491579"/>
    <n v="2099.5487779999999"/>
    <x v="73"/>
    <s v="Feb-2020"/>
  </r>
  <r>
    <x v="74"/>
    <s v="HND"/>
    <x v="0"/>
    <x v="2"/>
    <x v="2"/>
    <s v="predicted"/>
    <n v="4668.4421249999996"/>
    <n v="4126.5230000000001"/>
    <n v="-541.91912520000005"/>
    <n v="-339.245384"/>
    <n v="-2369.1992599999999"/>
    <n v="1838.6808940000001"/>
    <x v="73"/>
    <s v="Mar-2020"/>
  </r>
  <r>
    <x v="74"/>
    <s v="HND"/>
    <x v="0"/>
    <x v="3"/>
    <x v="3"/>
    <s v="predicted"/>
    <n v="4642.3572949999998"/>
    <n v="4583.33"/>
    <n v="-59.027295350000003"/>
    <n v="-398.27267929999999"/>
    <n v="-2806.5895420000002"/>
    <n v="2219.867334"/>
    <x v="73"/>
    <s v="Apr-2020"/>
  </r>
  <r>
    <x v="74"/>
    <s v="HND"/>
    <x v="0"/>
    <x v="4"/>
    <x v="4"/>
    <s v="predicted"/>
    <n v="4643.6404970000003"/>
    <n v="4975.2560000000003"/>
    <n v="331.61550260000001"/>
    <n v="-66.657176739999997"/>
    <n v="-2850.3827959999999"/>
    <n v="2925.9934990000002"/>
    <x v="73"/>
    <s v="May-2020"/>
  </r>
  <r>
    <x v="74"/>
    <s v="HND"/>
    <x v="0"/>
    <x v="5"/>
    <x v="5"/>
    <s v="predicted"/>
    <n v="4666.8990409999997"/>
    <n v="5547.83"/>
    <n v="880.9309591"/>
    <n v="814.27378239999996"/>
    <n v="-2262.342791"/>
    <n v="4082.4120149999999"/>
    <x v="73"/>
    <s v="Jun-2020"/>
  </r>
  <r>
    <x v="74"/>
    <s v="HND"/>
    <x v="0"/>
    <x v="6"/>
    <x v="6"/>
    <s v="predicted"/>
    <n v="4668.466907"/>
    <n v="6301.817"/>
    <n v="1633.350093"/>
    <n v="2447.6238760000001"/>
    <n v="-1146.5594699999999"/>
    <n v="6149.4518399999997"/>
    <x v="73"/>
    <s v="Jul-2020"/>
  </r>
  <r>
    <x v="74"/>
    <s v="HND"/>
    <x v="0"/>
    <x v="7"/>
    <x v="7"/>
    <s v="predicted"/>
    <n v="4662.9739570000002"/>
    <n v="5836.8289999999997"/>
    <n v="1173.855043"/>
    <n v="3621.4789190000001"/>
    <n v="-327.03089319999998"/>
    <n v="7602.7873460000001"/>
    <x v="73"/>
    <s v="Aug-2020"/>
  </r>
  <r>
    <x v="74"/>
    <s v="HND"/>
    <x v="0"/>
    <x v="8"/>
    <x v="8"/>
    <s v="predicted"/>
    <n v="4661.7472900000002"/>
    <n v="5486.5929999999998"/>
    <n v="824.84570970000004"/>
    <n v="4446.3246289999997"/>
    <n v="404.02928550000001"/>
    <n v="8743.9328249999999"/>
    <x v="73"/>
    <s v="Sep-2020"/>
  </r>
  <r>
    <x v="74"/>
    <s v="HND"/>
    <x v="0"/>
    <x v="9"/>
    <x v="9"/>
    <s v="predicted"/>
    <n v="4690.831612"/>
    <n v="5294.1409999999996"/>
    <n v="603.30938800000001"/>
    <n v="5049.6340170000003"/>
    <n v="582.41093609999996"/>
    <n v="9534.1561409999995"/>
    <x v="73"/>
    <s v="Oct-2020"/>
  </r>
  <r>
    <x v="74"/>
    <s v="HND"/>
    <x v="0"/>
    <x v="10"/>
    <x v="10"/>
    <s v="predicted"/>
    <n v="4716.8347379999996"/>
    <n v="5216.8209999999999"/>
    <n v="499.98626209999998"/>
    <n v="5549.6202789999998"/>
    <n v="791.1028953"/>
    <n v="10084.652760000001"/>
    <x v="73"/>
    <s v="Nov-2020"/>
  </r>
  <r>
    <x v="74"/>
    <s v="HND"/>
    <x v="0"/>
    <x v="11"/>
    <x v="11"/>
    <s v="predicted"/>
    <n v="4735.444649"/>
    <n v="5197.2579999999998"/>
    <n v="461.81335109999998"/>
    <n v="6011.4336300000004"/>
    <n v="1199.6327510000001"/>
    <n v="10883.333500000001"/>
    <x v="73"/>
    <s v="Dec-2020"/>
  </r>
  <r>
    <x v="74"/>
    <s v="HND"/>
    <x v="1"/>
    <x v="0"/>
    <x v="0"/>
    <s v="predicted"/>
    <n v="4858.7589090000001"/>
    <n v="5916.3119999999999"/>
    <n v="1057.553091"/>
    <n v="7068.9867210000002"/>
    <n v="1752.628107"/>
    <n v="12485.11555"/>
    <x v="73"/>
    <s v="Jan-2021"/>
  </r>
  <r>
    <x v="74"/>
    <s v="HND"/>
    <x v="1"/>
    <x v="1"/>
    <x v="1"/>
    <s v="predicted"/>
    <n v="4822.0597330000001"/>
    <n v="5930.1220000000003"/>
    <n v="1108.062267"/>
    <n v="8177.0489879999996"/>
    <n v="2588.0810980000001"/>
    <n v="13916.18821"/>
    <x v="73"/>
    <s v="Feb-2021"/>
  </r>
  <r>
    <x v="74"/>
    <s v="HND"/>
    <x v="1"/>
    <x v="2"/>
    <x v="2"/>
    <s v="predicted"/>
    <n v="4794.3753539999998"/>
    <n v="5849.6819999999998"/>
    <n v="1055.306646"/>
    <n v="9232.3556339999996"/>
    <n v="3381.0515270000001"/>
    <n v="15197.36146"/>
    <x v="73"/>
    <s v="Mar-2021"/>
  </r>
  <r>
    <x v="74"/>
    <s v="HND"/>
    <x v="1"/>
    <x v="3"/>
    <x v="3"/>
    <s v="predicted"/>
    <n v="4741.5766050000002"/>
    <n v="6031.951"/>
    <n v="1290.374395"/>
    <n v="10522.730030000001"/>
    <n v="4511.4585779999998"/>
    <n v="16575.868030000001"/>
    <x v="73"/>
    <s v="Apr-2021"/>
  </r>
  <r>
    <x v="74"/>
    <s v="HND"/>
    <x v="1"/>
    <x v="4"/>
    <x v="4"/>
    <s v="predicted"/>
    <n v="4755.7934089999999"/>
    <n v="6296.6719999999996"/>
    <n v="1540.8785909999999"/>
    <n v="12063.608620000001"/>
    <n v="5717.6577070000003"/>
    <n v="18708.971740000001"/>
    <x v="73"/>
    <s v="May-2021"/>
  </r>
  <r>
    <x v="74"/>
    <s v="HND"/>
    <x v="1"/>
    <x v="5"/>
    <x v="5"/>
    <s v="predicted"/>
    <n v="4774.4078099999997"/>
    <n v="5834.1819999999998"/>
    <n v="1059.7741900000001"/>
    <n v="13123.382809999999"/>
    <n v="6727.2084869999999"/>
    <n v="20040.246879999999"/>
    <x v="73"/>
    <s v="Jun-2021"/>
  </r>
  <r>
    <x v="74"/>
    <s v="HND"/>
    <x v="1"/>
    <x v="6"/>
    <x v="6"/>
    <s v="predicted"/>
    <n v="4771.3884200000002"/>
    <n v="6139.2020000000002"/>
    <n v="1367.81358"/>
    <n v="14491.196389999999"/>
    <n v="7723.7441349999999"/>
    <n v="21514.929390000001"/>
    <x v="73"/>
    <s v="Jul-2021"/>
  </r>
  <r>
    <x v="74"/>
    <s v="HND"/>
    <x v="1"/>
    <x v="7"/>
    <x v="7"/>
    <s v="predicted"/>
    <n v="4780.3603640000001"/>
    <n v="6571.5039999999999"/>
    <n v="1791.143636"/>
    <n v="16282.340029999999"/>
    <n v="8958.3994160000002"/>
    <n v="23674.989689999999"/>
    <x v="73"/>
    <s v="Aug-2021"/>
  </r>
  <r>
    <x v="74"/>
    <s v="HND"/>
    <x v="1"/>
    <x v="8"/>
    <x v="8"/>
    <s v="predicted"/>
    <n v="4775.3222779999996"/>
    <n v="6305.9679999999998"/>
    <n v="1530.645722"/>
    <n v="17812.98575"/>
    <n v="10768.953530000001"/>
    <n v="25775.403699999999"/>
    <x v="73"/>
    <s v="Sep-2021"/>
  </r>
  <r>
    <x v="74"/>
    <s v="HND"/>
    <x v="1"/>
    <x v="9"/>
    <x v="9"/>
    <s v="predicted"/>
    <n v="4810.6691209999999"/>
    <n v="5822.85"/>
    <n v="1012.180879"/>
    <n v="18825.16663"/>
    <n v="11522.54988"/>
    <n v="26964.272059999999"/>
    <x v="73"/>
    <s v="Oct-2021"/>
  </r>
  <r>
    <x v="74"/>
    <s v="HND"/>
    <x v="1"/>
    <x v="10"/>
    <x v="10"/>
    <s v="predicted"/>
    <n v="4829.8240740000001"/>
    <n v="5434.14"/>
    <n v="604.31592590000002"/>
    <n v="19429.482550000001"/>
    <n v="12216.27925"/>
    <n v="27692.618020000002"/>
    <x v="73"/>
    <s v="Nov-2021"/>
  </r>
  <r>
    <x v="74"/>
    <s v="HND"/>
    <x v="1"/>
    <x v="11"/>
    <x v="11"/>
    <s v="predicted"/>
    <n v="4831.3159800000003"/>
    <n v="5307.9639999999999"/>
    <n v="476.64802040000001"/>
    <n v="19906.130570000001"/>
    <n v="12084.05572"/>
    <n v="28068.587909999998"/>
    <x v="73"/>
    <s v="Dec-2021"/>
  </r>
  <r>
    <x v="75"/>
    <s v="HRV"/>
    <x v="0"/>
    <x v="0"/>
    <x v="0"/>
    <s v="reported"/>
    <n v="4749.7420490000004"/>
    <n v="4725"/>
    <n v="-25.49204877"/>
    <n v="-25.49204877"/>
    <n v="-274.77386150000001"/>
    <n v="203.8432493"/>
    <x v="74"/>
    <s v="Jan-2020"/>
  </r>
  <r>
    <x v="75"/>
    <s v="HRV"/>
    <x v="0"/>
    <x v="1"/>
    <x v="1"/>
    <s v="reported"/>
    <n v="4689.623122"/>
    <n v="4383"/>
    <n v="-307.37312200000002"/>
    <n v="-332.86517079999999"/>
    <n v="-695.37144179999996"/>
    <n v="29.981677860000001"/>
    <x v="74"/>
    <s v="Feb-2020"/>
  </r>
  <r>
    <x v="75"/>
    <s v="HRV"/>
    <x v="0"/>
    <x v="2"/>
    <x v="2"/>
    <s v="reported"/>
    <n v="4520.5697170000003"/>
    <n v="4789"/>
    <n v="267.68028329999999"/>
    <n v="-65.184887419999995"/>
    <n v="-528.75876189999997"/>
    <n v="367.57034850000002"/>
    <x v="74"/>
    <s v="Mar-2020"/>
  </r>
  <r>
    <x v="75"/>
    <s v="HRV"/>
    <x v="0"/>
    <x v="3"/>
    <x v="3"/>
    <s v="reported"/>
    <n v="4230.71515"/>
    <n v="4089"/>
    <n v="-142.4651495"/>
    <n v="-207.650037"/>
    <n v="-764.77688060000003"/>
    <n v="304.66790880000002"/>
    <x v="74"/>
    <s v="Apr-2020"/>
  </r>
  <r>
    <x v="75"/>
    <s v="HRV"/>
    <x v="0"/>
    <x v="4"/>
    <x v="4"/>
    <s v="reported"/>
    <n v="4034.8372100000001"/>
    <n v="3930"/>
    <n v="-105.5872099"/>
    <n v="-313.23724679999998"/>
    <n v="-907.92384579999998"/>
    <n v="260.63008880000001"/>
    <x v="74"/>
    <s v="May-2020"/>
  </r>
  <r>
    <x v="75"/>
    <s v="HRV"/>
    <x v="0"/>
    <x v="5"/>
    <x v="5"/>
    <s v="reported"/>
    <n v="3966.331694"/>
    <n v="4044"/>
    <n v="76.918306349999995"/>
    <n v="-236.3189405"/>
    <n v="-867.84545270000001"/>
    <n v="344.04000309999998"/>
    <x v="74"/>
    <s v="Jun-2020"/>
  </r>
  <r>
    <x v="75"/>
    <s v="HRV"/>
    <x v="0"/>
    <x v="6"/>
    <x v="6"/>
    <s v="reported"/>
    <n v="4030.5559509999998"/>
    <n v="4230"/>
    <n v="198.69404919999999"/>
    <n v="-37.624891320000003"/>
    <n v="-725.85734760000003"/>
    <n v="574.05374589999997"/>
    <x v="74"/>
    <s v="Jul-2020"/>
  </r>
  <r>
    <x v="75"/>
    <s v="HRV"/>
    <x v="0"/>
    <x v="7"/>
    <x v="7"/>
    <s v="reported"/>
    <n v="3987.9212600000001"/>
    <n v="4211"/>
    <n v="222.32874029999999"/>
    <n v="184.7038489"/>
    <n v="-509.6640769"/>
    <n v="825.29926650000004"/>
    <x v="74"/>
    <s v="Aug-2020"/>
  </r>
  <r>
    <x v="75"/>
    <s v="HRV"/>
    <x v="0"/>
    <x v="8"/>
    <x v="8"/>
    <s v="reported"/>
    <n v="3903.7518169999998"/>
    <n v="4192"/>
    <n v="287.49818320000003"/>
    <n v="472.20203220000002"/>
    <n v="-268.92003679999999"/>
    <n v="1165.660715"/>
    <x v="74"/>
    <s v="Sep-2020"/>
  </r>
  <r>
    <x v="75"/>
    <s v="HRV"/>
    <x v="0"/>
    <x v="9"/>
    <x v="9"/>
    <s v="reported"/>
    <n v="4023.3103740000001"/>
    <n v="4801"/>
    <n v="776.93962639999995"/>
    <n v="1249.1416589999999"/>
    <n v="473.05893659999998"/>
    <n v="2000.314621"/>
    <x v="74"/>
    <s v="Oct-2020"/>
  </r>
  <r>
    <x v="75"/>
    <s v="HRV"/>
    <x v="0"/>
    <x v="10"/>
    <x v="10"/>
    <s v="reported"/>
    <n v="4277.0896579999999"/>
    <n v="6031"/>
    <n v="1753.1603419999999"/>
    <n v="3002.302001"/>
    <n v="2175.0284849999998"/>
    <n v="3799.5302230000002"/>
    <x v="74"/>
    <s v="Nov-2020"/>
  </r>
  <r>
    <x v="75"/>
    <s v="HRV"/>
    <x v="0"/>
    <x v="11"/>
    <x v="11"/>
    <s v="reported"/>
    <n v="4697.7933519999997"/>
    <n v="7567"/>
    <n v="2868.4566479999999"/>
    <n v="5870.7586490000003"/>
    <n v="4976.9354119999998"/>
    <n v="6725.9448160000002"/>
    <x v="74"/>
    <s v="Dec-2020"/>
  </r>
  <r>
    <x v="75"/>
    <s v="HRV"/>
    <x v="1"/>
    <x v="0"/>
    <x v="0"/>
    <s v="reported"/>
    <n v="4695.7811700000002"/>
    <n v="5905"/>
    <n v="1208.3854960000001"/>
    <n v="7079.1441450000002"/>
    <n v="6181.390351"/>
    <n v="7999.8135519999996"/>
    <x v="74"/>
    <s v="Jan-2021"/>
  </r>
  <r>
    <x v="75"/>
    <s v="HRV"/>
    <x v="1"/>
    <x v="1"/>
    <x v="1"/>
    <s v="reported"/>
    <n v="4646.1979080000001"/>
    <n v="4582"/>
    <n v="-65.031241210000005"/>
    <n v="7014.1129039999996"/>
    <n v="6075.6077949999999"/>
    <n v="7989.4150440000003"/>
    <x v="74"/>
    <s v="Feb-2021"/>
  </r>
  <r>
    <x v="75"/>
    <s v="HRV"/>
    <x v="1"/>
    <x v="2"/>
    <x v="2"/>
    <s v="reported"/>
    <n v="4486.0080440000002"/>
    <n v="4805"/>
    <n v="318.15862229999999"/>
    <n v="7332.2715260000004"/>
    <n v="6354.9069890000001"/>
    <n v="8301.9546019999998"/>
    <x v="74"/>
    <s v="Mar-2021"/>
  </r>
  <r>
    <x v="75"/>
    <s v="HRV"/>
    <x v="1"/>
    <x v="3"/>
    <x v="3"/>
    <s v="reported"/>
    <n v="4190.4284530000004"/>
    <n v="5551"/>
    <n v="1359.738214"/>
    <n v="8692.0097399999995"/>
    <n v="7697.4263950000004"/>
    <n v="9723.6086699999996"/>
    <x v="74"/>
    <s v="Apr-2021"/>
  </r>
  <r>
    <x v="75"/>
    <s v="HRV"/>
    <x v="1"/>
    <x v="4"/>
    <x v="4"/>
    <s v="reported"/>
    <n v="3999.7228060000002"/>
    <n v="5206"/>
    <n v="1205.443861"/>
    <n v="9897.4536009999993"/>
    <n v="8800.4366539999992"/>
    <n v="10982.27752"/>
    <x v="74"/>
    <s v="May-2021"/>
  </r>
  <r>
    <x v="75"/>
    <s v="HRV"/>
    <x v="1"/>
    <x v="5"/>
    <x v="5"/>
    <s v="reported"/>
    <n v="3930.2661450000001"/>
    <n v="4608"/>
    <n v="676.90052200000002"/>
    <n v="10574.35412"/>
    <n v="9418.4236760000003"/>
    <n v="11654.148660000001"/>
    <x v="74"/>
    <s v="Jun-2021"/>
  </r>
  <r>
    <x v="75"/>
    <s v="HRV"/>
    <x v="1"/>
    <x v="6"/>
    <x v="6"/>
    <s v="reported"/>
    <n v="3986.3743469999999"/>
    <n v="4379"/>
    <n v="391.7923199"/>
    <n v="10966.14644"/>
    <n v="9815.2913389999994"/>
    <n v="12105.462229999999"/>
    <x v="74"/>
    <s v="Jul-2021"/>
  </r>
  <r>
    <x v="75"/>
    <s v="HRV"/>
    <x v="1"/>
    <x v="7"/>
    <x v="7"/>
    <s v="reported"/>
    <n v="3939.5865100000001"/>
    <n v="4430"/>
    <n v="489.58015710000001"/>
    <n v="11455.7266"/>
    <n v="10297.58937"/>
    <n v="12616.53918"/>
    <x v="74"/>
    <s v="Aug-2021"/>
  </r>
  <r>
    <x v="75"/>
    <s v="HRV"/>
    <x v="1"/>
    <x v="8"/>
    <x v="8"/>
    <s v="reported"/>
    <n v="3860.3189990000001"/>
    <n v="4660"/>
    <n v="798.847668"/>
    <n v="12254.574269999999"/>
    <n v="11090.33509"/>
    <n v="13461.480100000001"/>
    <x v="74"/>
    <s v="Sep-2021"/>
  </r>
  <r>
    <x v="75"/>
    <s v="HRV"/>
    <x v="1"/>
    <x v="9"/>
    <x v="9"/>
    <s v="reported"/>
    <n v="3979.4067439999999"/>
    <n v="5246"/>
    <n v="1265.7599230000001"/>
    <n v="13520.33419"/>
    <n v="12356.92966"/>
    <n v="14744.25979"/>
    <x v="74"/>
    <s v="Oct-2021"/>
  </r>
  <r>
    <x v="75"/>
    <s v="HRV"/>
    <x v="1"/>
    <x v="10"/>
    <x v="10"/>
    <s v="reported"/>
    <n v="4225.9711669999997"/>
    <n v="6685"/>
    <n v="2458.1954999999998"/>
    <n v="15978.529689999999"/>
    <n v="14765.765799999999"/>
    <n v="17241.781640000001"/>
    <x v="74"/>
    <s v="Nov-2021"/>
  </r>
  <r>
    <x v="75"/>
    <s v="HRV"/>
    <x v="1"/>
    <x v="11"/>
    <x v="11"/>
    <s v="reported"/>
    <n v="4654.6495519999999"/>
    <n v="6816"/>
    <n v="2160.5171150000001"/>
    <n v="18139.04681"/>
    <n v="16869.788130000001"/>
    <n v="19507.150249999999"/>
    <x v="74"/>
    <s v="Dec-2021"/>
  </r>
  <r>
    <x v="76"/>
    <s v="HTI"/>
    <x v="0"/>
    <x v="0"/>
    <x v="0"/>
    <s v="predicted"/>
    <n v="7966.4447790000004"/>
    <n v="8027.518"/>
    <n v="61.073220689999999"/>
    <n v="61.073220689999999"/>
    <n v="-4904.5374270000002"/>
    <n v="5615.1656659999999"/>
    <x v="75"/>
    <s v="Jan-2020"/>
  </r>
  <r>
    <x v="76"/>
    <s v="HTI"/>
    <x v="0"/>
    <x v="1"/>
    <x v="1"/>
    <s v="predicted"/>
    <n v="7873.5013669999998"/>
    <n v="7996.5259999999998"/>
    <n v="123.0246334"/>
    <n v="184.09785410000001"/>
    <n v="-6980.9891010000001"/>
    <n v="7744.8730839999998"/>
    <x v="75"/>
    <s v="Feb-2020"/>
  </r>
  <r>
    <x v="76"/>
    <s v="HTI"/>
    <x v="0"/>
    <x v="2"/>
    <x v="2"/>
    <s v="predicted"/>
    <n v="7942.5708709999999"/>
    <n v="7780.3829999999998"/>
    <n v="-162.18787119999999"/>
    <n v="21.909982939999999"/>
    <n v="-8389.6458220000004"/>
    <n v="9662.0594999999994"/>
    <x v="75"/>
    <s v="Mar-2020"/>
  </r>
  <r>
    <x v="76"/>
    <s v="HTI"/>
    <x v="0"/>
    <x v="3"/>
    <x v="3"/>
    <s v="predicted"/>
    <n v="8004.3382789999996"/>
    <n v="7485.067"/>
    <n v="-519.27127910000002"/>
    <n v="-497.36129620000003"/>
    <n v="-10100.72552"/>
    <n v="10128.414140000001"/>
    <x v="75"/>
    <s v="Apr-2020"/>
  </r>
  <r>
    <x v="76"/>
    <s v="HTI"/>
    <x v="0"/>
    <x v="4"/>
    <x v="4"/>
    <s v="predicted"/>
    <n v="7922.8485220000002"/>
    <n v="8162.43"/>
    <n v="239.5814781"/>
    <n v="-257.7798181"/>
    <n v="-11548.94418"/>
    <n v="11935.225920000001"/>
    <x v="75"/>
    <s v="May-2020"/>
  </r>
  <r>
    <x v="76"/>
    <s v="HTI"/>
    <x v="0"/>
    <x v="5"/>
    <x v="5"/>
    <s v="predicted"/>
    <n v="7831.5321450000001"/>
    <n v="8738.8240000000005"/>
    <n v="907.29185540000003"/>
    <n v="649.51203729999997"/>
    <n v="-11543.09006"/>
    <n v="13684.510179999999"/>
    <x v="75"/>
    <s v="Jun-2020"/>
  </r>
  <r>
    <x v="76"/>
    <s v="HTI"/>
    <x v="0"/>
    <x v="6"/>
    <x v="6"/>
    <s v="predicted"/>
    <n v="7902.8015100000002"/>
    <n v="8963.4179999999997"/>
    <n v="1060.6164900000001"/>
    <n v="1710.1285270000001"/>
    <n v="-12235.268190000001"/>
    <n v="15849.332539999999"/>
    <x v="75"/>
    <s v="Jul-2020"/>
  </r>
  <r>
    <x v="76"/>
    <s v="HTI"/>
    <x v="0"/>
    <x v="7"/>
    <x v="7"/>
    <s v="predicted"/>
    <n v="7830.4906490000003"/>
    <n v="8706.5840000000007"/>
    <n v="876.09335099999998"/>
    <n v="2586.2218779999998"/>
    <n v="-11814.810740000001"/>
    <n v="17885.398959999999"/>
    <x v="75"/>
    <s v="Aug-2020"/>
  </r>
  <r>
    <x v="76"/>
    <s v="HTI"/>
    <x v="0"/>
    <x v="8"/>
    <x v="8"/>
    <s v="predicted"/>
    <n v="7807.2862279999999"/>
    <n v="8561.5810000000001"/>
    <n v="754.2947719"/>
    <n v="3340.51665"/>
    <n v="-12145.486849999999"/>
    <n v="20275.084019999998"/>
    <x v="75"/>
    <s v="Sep-2020"/>
  </r>
  <r>
    <x v="76"/>
    <s v="HTI"/>
    <x v="0"/>
    <x v="9"/>
    <x v="9"/>
    <s v="predicted"/>
    <n v="7951.0315300000002"/>
    <n v="8328.4539999999997"/>
    <n v="377.42246979999999"/>
    <n v="3717.93912"/>
    <n v="-13865.52312"/>
    <n v="20224.632979999998"/>
    <x v="75"/>
    <s v="Oct-2020"/>
  </r>
  <r>
    <x v="76"/>
    <s v="HTI"/>
    <x v="0"/>
    <x v="10"/>
    <x v="10"/>
    <s v="predicted"/>
    <n v="8041.5425310000001"/>
    <n v="8179.75"/>
    <n v="138.20746879999999"/>
    <n v="3856.1465880000001"/>
    <n v="-14256.09202"/>
    <n v="21759.000749999999"/>
    <x v="75"/>
    <s v="Nov-2020"/>
  </r>
  <r>
    <x v="76"/>
    <s v="HTI"/>
    <x v="0"/>
    <x v="11"/>
    <x v="11"/>
    <s v="predicted"/>
    <n v="7962.0472069999996"/>
    <n v="8378.5779999999995"/>
    <n v="416.53079350000002"/>
    <n v="4272.6773819999999"/>
    <n v="-14311.61082"/>
    <n v="23994.692869999999"/>
    <x v="75"/>
    <s v="Dec-2020"/>
  </r>
  <r>
    <x v="76"/>
    <s v="HTI"/>
    <x v="1"/>
    <x v="0"/>
    <x v="0"/>
    <s v="predicted"/>
    <n v="7821.9135180000003"/>
    <n v="8424.375"/>
    <n v="602.46148170000004"/>
    <n v="4875.1388639999996"/>
    <n v="-13950.09001"/>
    <n v="25461.40826"/>
    <x v="75"/>
    <s v="Jan-2021"/>
  </r>
  <r>
    <x v="76"/>
    <s v="HTI"/>
    <x v="1"/>
    <x v="1"/>
    <x v="1"/>
    <s v="predicted"/>
    <n v="7868.5682479999996"/>
    <n v="8309.7849999999999"/>
    <n v="441.21675169999997"/>
    <n v="5316.3556150000004"/>
    <n v="-15805.528179999999"/>
    <n v="26352.14603"/>
    <x v="75"/>
    <s v="Feb-2021"/>
  </r>
  <r>
    <x v="76"/>
    <s v="HTI"/>
    <x v="1"/>
    <x v="2"/>
    <x v="2"/>
    <s v="predicted"/>
    <n v="7880.2707739999996"/>
    <n v="8433.4130000000005"/>
    <n v="553.14222580000001"/>
    <n v="5869.4978410000003"/>
    <n v="-15712.346020000001"/>
    <n v="28183.912390000001"/>
    <x v="75"/>
    <s v="Mar-2021"/>
  </r>
  <r>
    <x v="76"/>
    <s v="HTI"/>
    <x v="1"/>
    <x v="3"/>
    <x v="3"/>
    <s v="predicted"/>
    <n v="7687.7678020000003"/>
    <n v="8500.0869999999995"/>
    <n v="812.31919800000003"/>
    <n v="6681.8170389999996"/>
    <n v="-15013.19608"/>
    <n v="29798.646669999998"/>
    <x v="75"/>
    <s v="Apr-2021"/>
  </r>
  <r>
    <x v="76"/>
    <s v="HTI"/>
    <x v="1"/>
    <x v="4"/>
    <x v="4"/>
    <s v="predicted"/>
    <n v="7757.115495"/>
    <n v="8894.9030000000002"/>
    <n v="1137.787505"/>
    <n v="7819.6045439999998"/>
    <n v="-15446.97848"/>
    <n v="31650.691180000002"/>
    <x v="75"/>
    <s v="May-2021"/>
  </r>
  <r>
    <x v="76"/>
    <s v="HTI"/>
    <x v="1"/>
    <x v="5"/>
    <x v="5"/>
    <s v="predicted"/>
    <n v="7749.1983030000001"/>
    <n v="8814.2049999999999"/>
    <n v="1065.006697"/>
    <n v="8884.6112410000005"/>
    <n v="-14825.901949999999"/>
    <n v="33418.871050000002"/>
    <x v="75"/>
    <s v="Jun-2021"/>
  </r>
  <r>
    <x v="76"/>
    <s v="HTI"/>
    <x v="1"/>
    <x v="6"/>
    <x v="6"/>
    <s v="predicted"/>
    <n v="7653.3599839999997"/>
    <n v="9076.1170000000002"/>
    <n v="1422.757016"/>
    <n v="10307.368259999999"/>
    <n v="-13669.44965"/>
    <n v="36068.227740000002"/>
    <x v="75"/>
    <s v="Jul-2021"/>
  </r>
  <r>
    <x v="76"/>
    <s v="HTI"/>
    <x v="1"/>
    <x v="7"/>
    <x v="7"/>
    <s v="predicted"/>
    <n v="7809.7243410000001"/>
    <n v="8563.9490000000005"/>
    <n v="754.22465899999997"/>
    <n v="11061.592919999999"/>
    <n v="-14630.726430000001"/>
    <n v="37850.452550000002"/>
    <x v="75"/>
    <s v="Aug-2021"/>
  </r>
  <r>
    <x v="76"/>
    <s v="HTI"/>
    <x v="1"/>
    <x v="8"/>
    <x v="8"/>
    <s v="predicted"/>
    <n v="7629.028867"/>
    <n v="8535.107"/>
    <n v="906.07813250000004"/>
    <n v="11967.671050000001"/>
    <n v="-13627.92942"/>
    <n v="38967.711689999996"/>
    <x v="75"/>
    <s v="Sep-2021"/>
  </r>
  <r>
    <x v="76"/>
    <s v="HTI"/>
    <x v="1"/>
    <x v="9"/>
    <x v="9"/>
    <s v="predicted"/>
    <n v="7764.5464860000002"/>
    <n v="8737.1260000000002"/>
    <n v="972.57951379999997"/>
    <n v="12940.25056"/>
    <n v="-13576.71477"/>
    <n v="40541.242879999998"/>
    <x v="75"/>
    <s v="Oct-2021"/>
  </r>
  <r>
    <x v="76"/>
    <s v="HTI"/>
    <x v="1"/>
    <x v="10"/>
    <x v="10"/>
    <s v="predicted"/>
    <n v="7841.3871980000004"/>
    <n v="8751.2099999999991"/>
    <n v="909.82280160000005"/>
    <n v="13850.07336"/>
    <n v="-14174.04811"/>
    <n v="42950.453079999999"/>
    <x v="75"/>
    <s v="Nov-2021"/>
  </r>
  <r>
    <x v="76"/>
    <s v="HTI"/>
    <x v="1"/>
    <x v="11"/>
    <x v="11"/>
    <s v="predicted"/>
    <n v="7831.1400640000002"/>
    <n v="8861.6479999999992"/>
    <n v="1030.507936"/>
    <n v="14880.5813"/>
    <n v="-12731.87026"/>
    <n v="43776.580439999998"/>
    <x v="75"/>
    <s v="Dec-2021"/>
  </r>
  <r>
    <x v="77"/>
    <s v="HUN"/>
    <x v="0"/>
    <x v="0"/>
    <x v="0"/>
    <s v="reported"/>
    <n v="11939.94354"/>
    <n v="11759"/>
    <n v="-180.94353960000001"/>
    <n v="-180.94353960000001"/>
    <n v="-697.60711879999997"/>
    <n v="292.41067529999998"/>
    <x v="76"/>
    <s v="Jan-2020"/>
  </r>
  <r>
    <x v="77"/>
    <s v="HUN"/>
    <x v="0"/>
    <x v="1"/>
    <x v="1"/>
    <s v="reported"/>
    <n v="12147.75548"/>
    <n v="11157"/>
    <n v="-990.75547529999994"/>
    <n v="-1171.6990149999999"/>
    <n v="-1949.2821489999999"/>
    <n v="-414.21158709999997"/>
    <x v="76"/>
    <s v="Feb-2020"/>
  </r>
  <r>
    <x v="77"/>
    <s v="HUN"/>
    <x v="0"/>
    <x v="2"/>
    <x v="2"/>
    <s v="reported"/>
    <n v="11635.950440000001"/>
    <n v="11697"/>
    <n v="61.049564740000001"/>
    <n v="-1110.6494499999999"/>
    <n v="-2103.3046989999998"/>
    <n v="-158.21198559999999"/>
    <x v="76"/>
    <s v="Mar-2020"/>
  </r>
  <r>
    <x v="77"/>
    <s v="HUN"/>
    <x v="0"/>
    <x v="3"/>
    <x v="3"/>
    <s v="reported"/>
    <n v="10668.32878"/>
    <n v="10534"/>
    <n v="-134.32878349999999"/>
    <n v="-1244.9782339999999"/>
    <n v="-2361.8939959999998"/>
    <n v="-133.75344509999999"/>
    <x v="76"/>
    <s v="Apr-2020"/>
  </r>
  <r>
    <x v="77"/>
    <s v="HUN"/>
    <x v="0"/>
    <x v="4"/>
    <x v="4"/>
    <s v="reported"/>
    <n v="10015.121810000001"/>
    <n v="9903"/>
    <n v="-112.1218143"/>
    <n v="-1357.100048"/>
    <n v="-2585.3104739999999"/>
    <n v="-104.0563729"/>
    <x v="76"/>
    <s v="May-2020"/>
  </r>
  <r>
    <x v="77"/>
    <s v="HUN"/>
    <x v="0"/>
    <x v="5"/>
    <x v="5"/>
    <s v="reported"/>
    <n v="9747.6091099999994"/>
    <n v="9686"/>
    <n v="-61.609110149999999"/>
    <n v="-1418.7091579999999"/>
    <n v="-2791.8651140000002"/>
    <n v="-89.460033960000004"/>
    <x v="76"/>
    <s v="Jun-2020"/>
  </r>
  <r>
    <x v="77"/>
    <s v="HUN"/>
    <x v="0"/>
    <x v="6"/>
    <x v="6"/>
    <s v="reported"/>
    <n v="9860.6406790000001"/>
    <n v="9774"/>
    <n v="-86.640679000000006"/>
    <n v="-1505.349837"/>
    <n v="-2988.2284030000001"/>
    <n v="-79.092261289999996"/>
    <x v="76"/>
    <s v="Jul-2020"/>
  </r>
  <r>
    <x v="77"/>
    <s v="HUN"/>
    <x v="0"/>
    <x v="7"/>
    <x v="7"/>
    <s v="reported"/>
    <n v="9914.9599089999992"/>
    <n v="9998"/>
    <n v="83.040090820000003"/>
    <n v="-1422.3097459999999"/>
    <n v="-3024.836734"/>
    <n v="32.384287010000001"/>
    <x v="76"/>
    <s v="Aug-2020"/>
  </r>
  <r>
    <x v="77"/>
    <s v="HUN"/>
    <x v="0"/>
    <x v="8"/>
    <x v="8"/>
    <s v="reported"/>
    <n v="9939.9164949999995"/>
    <n v="10264"/>
    <n v="324.08350480000001"/>
    <n v="-1098.226242"/>
    <n v="-2688.7497760000001"/>
    <n v="474.99220380000003"/>
    <x v="76"/>
    <s v="Sep-2020"/>
  </r>
  <r>
    <x v="77"/>
    <s v="HUN"/>
    <x v="0"/>
    <x v="9"/>
    <x v="9"/>
    <s v="reported"/>
    <n v="10316.329299999999"/>
    <n v="12504"/>
    <n v="2187.6707029999998"/>
    <n v="1089.444461"/>
    <n v="-691.15682260000005"/>
    <n v="2770.1531679999998"/>
    <x v="76"/>
    <s v="Oct-2020"/>
  </r>
  <r>
    <x v="77"/>
    <s v="HUN"/>
    <x v="0"/>
    <x v="10"/>
    <x v="10"/>
    <s v="reported"/>
    <n v="10854.64718"/>
    <n v="16582"/>
    <n v="5727.3528249999999"/>
    <n v="6816.797286"/>
    <n v="5027.0238660000005"/>
    <n v="8667.2315959999996"/>
    <x v="76"/>
    <s v="Nov-2020"/>
  </r>
  <r>
    <x v="77"/>
    <s v="HUN"/>
    <x v="0"/>
    <x v="11"/>
    <x v="11"/>
    <s v="reported"/>
    <n v="11909.04581"/>
    <n v="17139"/>
    <n v="5229.9541870000003"/>
    <n v="12046.751469999999"/>
    <n v="10128.193719999999"/>
    <n v="13996.205099999999"/>
    <x v="76"/>
    <s v="Dec-2020"/>
  </r>
  <r>
    <x v="77"/>
    <s v="HUN"/>
    <x v="1"/>
    <x v="0"/>
    <x v="0"/>
    <s v="reported"/>
    <n v="11911.90307"/>
    <n v="13831"/>
    <n v="1919.096931"/>
    <n v="13965.848400000001"/>
    <n v="11954.67799"/>
    <n v="15999.00786"/>
    <x v="76"/>
    <s v="Jan-2021"/>
  </r>
  <r>
    <x v="77"/>
    <s v="HUN"/>
    <x v="1"/>
    <x v="1"/>
    <x v="1"/>
    <s v="reported"/>
    <n v="12135.201940000001"/>
    <n v="11870"/>
    <n v="-265.20193849999998"/>
    <n v="13700.64647"/>
    <n v="11673.056049999999"/>
    <n v="15709.86391"/>
    <x v="76"/>
    <s v="Feb-2021"/>
  </r>
  <r>
    <x v="77"/>
    <s v="HUN"/>
    <x v="1"/>
    <x v="2"/>
    <x v="2"/>
    <s v="reported"/>
    <n v="11596.862940000001"/>
    <n v="17892"/>
    <n v="6295.1370550000001"/>
    <n v="19995.783520000001"/>
    <n v="17860.35081"/>
    <n v="22084.02622"/>
    <x v="76"/>
    <s v="Mar-2021"/>
  </r>
  <r>
    <x v="77"/>
    <s v="HUN"/>
    <x v="1"/>
    <x v="3"/>
    <x v="3"/>
    <s v="reported"/>
    <n v="10626.369720000001"/>
    <n v="15634"/>
    <n v="5007.6302830000004"/>
    <n v="25003.413799999998"/>
    <n v="22790.086609999998"/>
    <n v="27371.850839999999"/>
    <x v="76"/>
    <s v="Apr-2021"/>
  </r>
  <r>
    <x v="77"/>
    <s v="HUN"/>
    <x v="1"/>
    <x v="4"/>
    <x v="4"/>
    <s v="reported"/>
    <n v="9991.6635100000003"/>
    <n v="11195"/>
    <n v="1203.3364899999999"/>
    <n v="26206.75029"/>
    <n v="23901.185539999999"/>
    <n v="28499.495309999998"/>
    <x v="76"/>
    <s v="May-2021"/>
  </r>
  <r>
    <x v="77"/>
    <s v="HUN"/>
    <x v="1"/>
    <x v="5"/>
    <x v="5"/>
    <s v="reported"/>
    <n v="9714.1205059999993"/>
    <n v="10513"/>
    <n v="798.87949370000001"/>
    <n v="27005.629789999999"/>
    <n v="24604.1351"/>
    <n v="29459.30068"/>
    <x v="76"/>
    <s v="Jun-2021"/>
  </r>
  <r>
    <x v="77"/>
    <s v="HUN"/>
    <x v="1"/>
    <x v="6"/>
    <x v="6"/>
    <s v="reported"/>
    <n v="9857.0960230000001"/>
    <n v="10408"/>
    <n v="550.90397729999995"/>
    <n v="27556.533769999998"/>
    <n v="25055.685020000001"/>
    <n v="29992.77751"/>
    <x v="76"/>
    <s v="Jul-2021"/>
  </r>
  <r>
    <x v="77"/>
    <s v="HUN"/>
    <x v="1"/>
    <x v="7"/>
    <x v="7"/>
    <s v="reported"/>
    <n v="9889.2490500000004"/>
    <n v="9919"/>
    <n v="29.75095009"/>
    <n v="27586.28472"/>
    <n v="25103.790550000002"/>
    <n v="30193.0409"/>
    <x v="76"/>
    <s v="Aug-2021"/>
  </r>
  <r>
    <x v="77"/>
    <s v="HUN"/>
    <x v="1"/>
    <x v="8"/>
    <x v="8"/>
    <s v="reported"/>
    <n v="9911.7229559999996"/>
    <n v="10260"/>
    <n v="348.27704419999998"/>
    <n v="27934.561760000001"/>
    <n v="25196.3514"/>
    <n v="30568.563969999999"/>
    <x v="76"/>
    <s v="Sep-2021"/>
  </r>
  <r>
    <x v="77"/>
    <s v="HUN"/>
    <x v="1"/>
    <x v="9"/>
    <x v="9"/>
    <s v="reported"/>
    <n v="10278.48977"/>
    <n v="11882"/>
    <n v="1603.5102340000001"/>
    <n v="29538.07199"/>
    <n v="26703.295600000001"/>
    <n v="32207.384239999999"/>
    <x v="76"/>
    <s v="Oct-2021"/>
  </r>
  <r>
    <x v="77"/>
    <s v="HUN"/>
    <x v="1"/>
    <x v="10"/>
    <x v="10"/>
    <s v="reported"/>
    <n v="10831.714089999999"/>
    <n v="15751"/>
    <n v="4919.2859099999996"/>
    <n v="34457.357900000003"/>
    <n v="31523.727869999999"/>
    <n v="37131.271769999999"/>
    <x v="76"/>
    <s v="Nov-2021"/>
  </r>
  <r>
    <x v="77"/>
    <s v="HUN"/>
    <x v="1"/>
    <x v="11"/>
    <x v="11"/>
    <s v="reported"/>
    <n v="11856.462740000001"/>
    <n v="16418"/>
    <n v="4561.5372630000002"/>
    <n v="39018.895170000003"/>
    <n v="36136.142090000001"/>
    <n v="41783.114959999999"/>
    <x v="76"/>
    <s v="Dec-2021"/>
  </r>
  <r>
    <x v="78"/>
    <s v="IDN"/>
    <x v="0"/>
    <x v="0"/>
    <x v="0"/>
    <s v="predicted"/>
    <n v="154050.6298"/>
    <n v="179335.33100000001"/>
    <n v="25294.160090000001"/>
    <n v="25294.160090000001"/>
    <n v="311.84393019999999"/>
    <n v="53292.731090000001"/>
    <x v="77"/>
    <s v="Jan-2020"/>
  </r>
  <r>
    <x v="78"/>
    <s v="IDN"/>
    <x v="0"/>
    <x v="1"/>
    <x v="1"/>
    <s v="predicted"/>
    <n v="154077.20929999999"/>
    <n v="166721.77499999999"/>
    <n v="12684.25834"/>
    <n v="37978.418429999998"/>
    <n v="464.4801678"/>
    <n v="78355.122719999999"/>
    <x v="77"/>
    <s v="Feb-2020"/>
  </r>
  <r>
    <x v="78"/>
    <s v="IDN"/>
    <x v="0"/>
    <x v="2"/>
    <x v="2"/>
    <s v="predicted"/>
    <n v="153927.07320000001"/>
    <n v="107330.496"/>
    <n v="-46658.662490000002"/>
    <n v="-8680.2440530000003"/>
    <n v="-52146.008260000002"/>
    <n v="37105.731359999998"/>
    <x v="77"/>
    <s v="Mar-2020"/>
  </r>
  <r>
    <x v="78"/>
    <s v="IDN"/>
    <x v="0"/>
    <x v="3"/>
    <x v="3"/>
    <s v="predicted"/>
    <n v="153847.2218"/>
    <n v="109127.484"/>
    <n v="-44723.505819999998"/>
    <n v="-53403.74987"/>
    <n v="-105716.79859999999"/>
    <n v="-4324.9540059999999"/>
    <x v="77"/>
    <s v="Apr-2020"/>
  </r>
  <r>
    <x v="78"/>
    <s v="IDN"/>
    <x v="0"/>
    <x v="4"/>
    <x v="4"/>
    <s v="predicted"/>
    <n v="153767.2212"/>
    <n v="138051.54"/>
    <n v="-15696.19226"/>
    <n v="-69099.942129999996"/>
    <n v="-128443.6787"/>
    <n v="-11323.170179999999"/>
    <x v="77"/>
    <s v="May-2020"/>
  </r>
  <r>
    <x v="78"/>
    <s v="IDN"/>
    <x v="0"/>
    <x v="5"/>
    <x v="5"/>
    <s v="predicted"/>
    <n v="154532.54870000001"/>
    <n v="243175.48699999999"/>
    <n v="88651.154169999994"/>
    <n v="19551.212029999999"/>
    <n v="-60614.893459999999"/>
    <n v="94426.671860000002"/>
    <x v="77"/>
    <s v="Jun-2020"/>
  </r>
  <r>
    <x v="78"/>
    <s v="IDN"/>
    <x v="0"/>
    <x v="6"/>
    <x v="6"/>
    <s v="predicted"/>
    <n v="154631.68299999999"/>
    <n v="225444.09599999999"/>
    <n v="70819.274390000006"/>
    <n v="90370.486420000001"/>
    <n v="103.71827380000001"/>
    <n v="177819.55129999999"/>
    <x v="77"/>
    <s v="Jul-2020"/>
  </r>
  <r>
    <x v="78"/>
    <s v="IDN"/>
    <x v="0"/>
    <x v="7"/>
    <x v="7"/>
    <s v="predicted"/>
    <n v="154324.62650000001"/>
    <n v="190843.71100000001"/>
    <n v="36558.941870000002"/>
    <n v="126929.4283"/>
    <n v="24093.03181"/>
    <n v="226357.06830000001"/>
    <x v="77"/>
    <s v="Aug-2020"/>
  </r>
  <r>
    <x v="78"/>
    <s v="IDN"/>
    <x v="0"/>
    <x v="8"/>
    <x v="8"/>
    <s v="predicted"/>
    <n v="154440.3297"/>
    <n v="201567.21599999999"/>
    <n v="47130.601799999997"/>
    <n v="174060.0301"/>
    <n v="67256.509820000007"/>
    <n v="287670.761"/>
    <x v="77"/>
    <s v="Sep-2020"/>
  </r>
  <r>
    <x v="78"/>
    <s v="IDN"/>
    <x v="0"/>
    <x v="9"/>
    <x v="9"/>
    <s v="predicted"/>
    <n v="154066.3027"/>
    <n v="185795.48800000001"/>
    <n v="31748.277910000001"/>
    <n v="205808.30799999999"/>
    <n v="77661.636190000005"/>
    <n v="334782.98"/>
    <x v="77"/>
    <s v="Oct-2020"/>
  </r>
  <r>
    <x v="78"/>
    <s v="IDN"/>
    <x v="0"/>
    <x v="10"/>
    <x v="10"/>
    <s v="predicted"/>
    <n v="154122.29139999999"/>
    <n v="245502.878"/>
    <n v="91342.311180000004"/>
    <n v="297150.61920000002"/>
    <n v="151316.49359999999"/>
    <n v="444266.92930000002"/>
    <x v="77"/>
    <s v="Nov-2020"/>
  </r>
  <r>
    <x v="78"/>
    <s v="IDN"/>
    <x v="0"/>
    <x v="11"/>
    <x v="11"/>
    <s v="predicted"/>
    <n v="154317.20699999999"/>
    <n v="215419.408"/>
    <n v="61089.714390000001"/>
    <n v="358240.33360000001"/>
    <n v="198860.9112"/>
    <n v="521585.23910000001"/>
    <x v="77"/>
    <s v="Dec-2020"/>
  </r>
  <r>
    <x v="78"/>
    <s v="IDN"/>
    <x v="1"/>
    <x v="0"/>
    <x v="0"/>
    <s v="predicted"/>
    <n v="156869.60649999999"/>
    <n v="257230.75200000001"/>
    <n v="100403.1836"/>
    <n v="458643.5172"/>
    <n v="274880.00699999998"/>
    <n v="631772.27619999996"/>
    <x v="77"/>
    <s v="Jan-2021"/>
  </r>
  <r>
    <x v="78"/>
    <s v="IDN"/>
    <x v="1"/>
    <x v="1"/>
    <x v="1"/>
    <s v="predicted"/>
    <n v="156849.46669999999"/>
    <n v="260885.087"/>
    <n v="104022.42290000001"/>
    <n v="562665.94010000001"/>
    <n v="376117.4253"/>
    <n v="756316.77639999997"/>
    <x v="77"/>
    <s v="Feb-2021"/>
  </r>
  <r>
    <x v="78"/>
    <s v="IDN"/>
    <x v="1"/>
    <x v="2"/>
    <x v="2"/>
    <s v="predicted"/>
    <n v="156730.92360000001"/>
    <n v="264969.22700000001"/>
    <n v="108211.2917"/>
    <n v="670877.23179999995"/>
    <n v="469806.86310000002"/>
    <n v="885213.28540000005"/>
    <x v="77"/>
    <s v="Mar-2021"/>
  </r>
  <r>
    <x v="78"/>
    <s v="IDN"/>
    <x v="1"/>
    <x v="3"/>
    <x v="3"/>
    <s v="predicted"/>
    <n v="156669.6067"/>
    <n v="223954.557"/>
    <n v="67363.303820000001"/>
    <n v="738240.53559999994"/>
    <n v="518338.15029999998"/>
    <n v="962753.2611"/>
    <x v="77"/>
    <s v="Apr-2021"/>
  </r>
  <r>
    <x v="78"/>
    <s v="IDN"/>
    <x v="1"/>
    <x v="4"/>
    <x v="4"/>
    <s v="predicted"/>
    <n v="156560.85329999999"/>
    <n v="165207.38"/>
    <n v="8659.4255369999992"/>
    <n v="746899.96120000002"/>
    <n v="516359.91600000003"/>
    <n v="984202.43310000002"/>
    <x v="77"/>
    <s v="May-2021"/>
  </r>
  <r>
    <x v="78"/>
    <s v="IDN"/>
    <x v="1"/>
    <x v="5"/>
    <x v="5"/>
    <s v="predicted"/>
    <n v="157269.0073"/>
    <n v="238909.10699999999"/>
    <n v="81577.448040000003"/>
    <n v="828477.40919999999"/>
    <n v="589078.7807"/>
    <n v="1077716.7930000001"/>
    <x v="77"/>
    <s v="Jun-2021"/>
  </r>
  <r>
    <x v="78"/>
    <s v="IDN"/>
    <x v="1"/>
    <x v="6"/>
    <x v="6"/>
    <s v="predicted"/>
    <n v="157419.76860000001"/>
    <n v="245314.18100000001"/>
    <n v="87894.412429999997"/>
    <n v="916371.82160000002"/>
    <n v="668878.46790000005"/>
    <n v="1170279.635"/>
    <x v="77"/>
    <s v="Jul-2021"/>
  </r>
  <r>
    <x v="78"/>
    <s v="IDN"/>
    <x v="1"/>
    <x v="7"/>
    <x v="7"/>
    <s v="predicted"/>
    <n v="157143.72589999999"/>
    <n v="252097.821"/>
    <n v="94954.095069999996"/>
    <n v="1011325.917"/>
    <n v="766279.81929999997"/>
    <n v="1262890.3030000001"/>
    <x v="77"/>
    <s v="Aug-2021"/>
  </r>
  <r>
    <x v="78"/>
    <s v="IDN"/>
    <x v="1"/>
    <x v="8"/>
    <x v="8"/>
    <s v="predicted"/>
    <n v="157228.76300000001"/>
    <n v="185188.571"/>
    <n v="27959.807970000002"/>
    <n v="1039285.725"/>
    <n v="786123.87490000005"/>
    <n v="1301870.872"/>
    <x v="77"/>
    <s v="Sep-2021"/>
  </r>
  <r>
    <x v="78"/>
    <s v="IDN"/>
    <x v="1"/>
    <x v="9"/>
    <x v="9"/>
    <s v="predicted"/>
    <n v="156852.4541"/>
    <n v="166779.84299999999"/>
    <n v="9927.3888869999992"/>
    <n v="1049213.1140000001"/>
    <n v="793823.03819999995"/>
    <n v="1310714.4680000001"/>
    <x v="77"/>
    <s v="Oct-2021"/>
  </r>
  <r>
    <x v="78"/>
    <s v="IDN"/>
    <x v="1"/>
    <x v="10"/>
    <x v="10"/>
    <s v="predicted"/>
    <n v="156911.0883"/>
    <n v="164113.58100000001"/>
    <n v="7202.4926519999999"/>
    <n v="1056415.6059999999"/>
    <n v="795599.28269999998"/>
    <n v="1317284.7239999999"/>
    <x v="77"/>
    <s v="Nov-2021"/>
  </r>
  <r>
    <x v="78"/>
    <s v="IDN"/>
    <x v="1"/>
    <x v="11"/>
    <x v="11"/>
    <s v="predicted"/>
    <n v="157127.85260000001"/>
    <n v="168577.117"/>
    <n v="11449.264380000001"/>
    <n v="1067864.871"/>
    <n v="806814.64939999999"/>
    <n v="1343849.331"/>
    <x v="77"/>
    <s v="Dec-2021"/>
  </r>
  <r>
    <x v="79"/>
    <s v="IND"/>
    <x v="0"/>
    <x v="0"/>
    <x v="0"/>
    <s v="predicted"/>
    <n v="805458.63049999997"/>
    <n v="913263.14599999995"/>
    <n v="108667.2932"/>
    <n v="108667.2932"/>
    <n v="11173.52672"/>
    <n v="230464.50760000001"/>
    <x v="78"/>
    <s v="Jan-2020"/>
  </r>
  <r>
    <x v="79"/>
    <s v="IND"/>
    <x v="0"/>
    <x v="1"/>
    <x v="1"/>
    <s v="predicted"/>
    <n v="789812.22889999999"/>
    <n v="754721.99899999995"/>
    <n v="-35486.666830000002"/>
    <n v="73180.626409999997"/>
    <n v="-55478.309609999997"/>
    <n v="226938.63620000001"/>
    <x v="78"/>
    <s v="Feb-2020"/>
  </r>
  <r>
    <x v="79"/>
    <s v="IND"/>
    <x v="0"/>
    <x v="2"/>
    <x v="2"/>
    <s v="predicted"/>
    <n v="772849.94039999996"/>
    <n v="657219.76699999999"/>
    <n v="-116173.6182"/>
    <n v="-42992.991750000001"/>
    <n v="-192707.86480000001"/>
    <n v="130871.2365"/>
    <x v="78"/>
    <s v="Mar-2020"/>
  </r>
  <r>
    <x v="79"/>
    <s v="IND"/>
    <x v="0"/>
    <x v="3"/>
    <x v="3"/>
    <s v="predicted"/>
    <n v="752797.17039999994"/>
    <n v="498352.90500000003"/>
    <n v="-254675.96179999999"/>
    <n v="-297668.95360000001"/>
    <n v="-464413.75030000001"/>
    <n v="-108092.0919"/>
    <x v="78"/>
    <s v="Apr-2020"/>
  </r>
  <r>
    <x v="79"/>
    <s v="IND"/>
    <x v="0"/>
    <x v="4"/>
    <x v="4"/>
    <s v="predicted"/>
    <n v="742294.63910000003"/>
    <n v="657144.95200000005"/>
    <n v="-85243.017319999999"/>
    <n v="-382911.97090000001"/>
    <n v="-568912.89899999998"/>
    <n v="-146645.78909999999"/>
    <x v="78"/>
    <s v="May-2020"/>
  </r>
  <r>
    <x v="79"/>
    <s v="IND"/>
    <x v="0"/>
    <x v="5"/>
    <x v="5"/>
    <s v="predicted"/>
    <n v="748200.3419"/>
    <n v="765497.18"/>
    <n v="17807.405480000001"/>
    <n v="-365104.56540000002"/>
    <n v="-590699.24650000001"/>
    <n v="-83316.953970000002"/>
    <x v="78"/>
    <s v="Jun-2020"/>
  </r>
  <r>
    <x v="79"/>
    <s v="IND"/>
    <x v="0"/>
    <x v="6"/>
    <x v="6"/>
    <s v="predicted"/>
    <n v="752384.05720000004"/>
    <n v="831152.87699999998"/>
    <n v="78711.854240000001"/>
    <n v="-286392.71120000002"/>
    <n v="-538727.30009999999"/>
    <n v="20165.643840000001"/>
    <x v="78"/>
    <s v="Jul-2020"/>
  </r>
  <r>
    <x v="79"/>
    <s v="IND"/>
    <x v="0"/>
    <x v="7"/>
    <x v="7"/>
    <s v="predicted"/>
    <n v="756851.7476"/>
    <n v="978901.05799999996"/>
    <n v="222015.91759999999"/>
    <n v="-64376.793550000002"/>
    <n v="-368494.571"/>
    <n v="274708.70069999999"/>
    <x v="78"/>
    <s v="Aug-2020"/>
  </r>
  <r>
    <x v="79"/>
    <s v="IND"/>
    <x v="0"/>
    <x v="8"/>
    <x v="8"/>
    <s v="predicted"/>
    <n v="755757.87450000003"/>
    <n v="1068067.939"/>
    <n v="312169.6446"/>
    <n v="247792.8511"/>
    <n v="-98705.512839999996"/>
    <n v="614184.1433"/>
    <x v="78"/>
    <s v="Sep-2020"/>
  </r>
  <r>
    <x v="79"/>
    <s v="IND"/>
    <x v="0"/>
    <x v="9"/>
    <x v="9"/>
    <s v="predicted"/>
    <n v="762456.58180000004"/>
    <n v="992436.06799999997"/>
    <n v="229869.44519999999"/>
    <n v="477662.29619999998"/>
    <n v="99371.868740000005"/>
    <n v="871489.53099999996"/>
    <x v="78"/>
    <s v="Oct-2020"/>
  </r>
  <r>
    <x v="79"/>
    <s v="IND"/>
    <x v="0"/>
    <x v="10"/>
    <x v="10"/>
    <s v="predicted"/>
    <n v="783580.93420000002"/>
    <n v="919457.40099999995"/>
    <n v="135685.7403"/>
    <n v="613348.03650000005"/>
    <n v="200958.32250000001"/>
    <n v="1038129.138"/>
    <x v="78"/>
    <s v="Nov-2020"/>
  </r>
  <r>
    <x v="79"/>
    <s v="IND"/>
    <x v="0"/>
    <x v="11"/>
    <x v="11"/>
    <s v="predicted"/>
    <n v="798481.06759999995"/>
    <n v="1014190.374"/>
    <n v="216065.0698"/>
    <n v="829413.10629999998"/>
    <n v="376787.67810000002"/>
    <n v="1319717.78"/>
    <x v="78"/>
    <s v="Dec-2020"/>
  </r>
  <r>
    <x v="79"/>
    <s v="IND"/>
    <x v="1"/>
    <x v="0"/>
    <x v="0"/>
    <s v="predicted"/>
    <n v="812232.19240000006"/>
    <n v="1028805.127"/>
    <n v="216738.00459999999"/>
    <n v="1046151.111"/>
    <n v="556590.02630000003"/>
    <n v="1572698.5290000001"/>
    <x v="78"/>
    <s v="Jan-2021"/>
  </r>
  <r>
    <x v="79"/>
    <s v="IND"/>
    <x v="1"/>
    <x v="1"/>
    <x v="1"/>
    <s v="predicted"/>
    <n v="796399.10160000005"/>
    <n v="919129.647"/>
    <n v="121814.8466"/>
    <n v="1167965.9569999999"/>
    <n v="639502.7561"/>
    <n v="1712223.3259999999"/>
    <x v="78"/>
    <s v="Feb-2021"/>
  </r>
  <r>
    <x v="79"/>
    <s v="IND"/>
    <x v="1"/>
    <x v="2"/>
    <x v="2"/>
    <s v="predicted"/>
    <n v="779352.84239999996"/>
    <n v="833105.64899999998"/>
    <n v="53759.244229999997"/>
    <n v="1221725.202"/>
    <n v="687176.97589999996"/>
    <n v="1806528.621"/>
    <x v="78"/>
    <s v="Mar-2021"/>
  </r>
  <r>
    <x v="79"/>
    <s v="IND"/>
    <x v="1"/>
    <x v="3"/>
    <x v="3"/>
    <s v="predicted"/>
    <n v="758869.70680000004"/>
    <n v="1093267.727"/>
    <n v="334180.35029999999"/>
    <n v="1555905.5519999999"/>
    <n v="936943.97809999995"/>
    <n v="2165837.9139999999"/>
    <x v="78"/>
    <s v="Apr-2021"/>
  </r>
  <r>
    <x v="79"/>
    <s v="IND"/>
    <x v="1"/>
    <x v="4"/>
    <x v="4"/>
    <s v="predicted"/>
    <n v="748838.01439999999"/>
    <n v="2051527.24"/>
    <n v="1303368.3489999999"/>
    <n v="2859273.9010000001"/>
    <n v="2153532.6609999998"/>
    <n v="3552064.2540000002"/>
    <x v="78"/>
    <s v="May-2021"/>
  </r>
  <r>
    <x v="79"/>
    <s v="IND"/>
    <x v="1"/>
    <x v="5"/>
    <x v="5"/>
    <s v="predicted"/>
    <n v="753998.50749999995"/>
    <n v="1836201.52"/>
    <n v="1082181.449"/>
    <n v="3941455.35"/>
    <n v="3168949.9580000001"/>
    <n v="4688862.3480000002"/>
    <x v="78"/>
    <s v="Jun-2021"/>
  </r>
  <r>
    <x v="79"/>
    <s v="IND"/>
    <x v="1"/>
    <x v="6"/>
    <x v="6"/>
    <s v="predicted"/>
    <n v="759023.18559999997"/>
    <n v="1192412.1939999999"/>
    <n v="433576.00679999997"/>
    <n v="4375031.3569999998"/>
    <n v="3578996.8909999998"/>
    <n v="5139613.5240000002"/>
    <x v="78"/>
    <s v="Jul-2021"/>
  </r>
  <r>
    <x v="79"/>
    <s v="IND"/>
    <x v="1"/>
    <x v="7"/>
    <x v="7"/>
    <s v="predicted"/>
    <n v="763232.85430000001"/>
    <n v="809310.799"/>
    <n v="46189.385479999997"/>
    <n v="4421220.7419999996"/>
    <n v="3585556.24"/>
    <n v="5201619.7680000002"/>
    <x v="78"/>
    <s v="Aug-2021"/>
  </r>
  <r>
    <x v="79"/>
    <s v="IND"/>
    <x v="1"/>
    <x v="8"/>
    <x v="8"/>
    <s v="predicted"/>
    <n v="761827.08440000005"/>
    <n v="746876.00899999996"/>
    <n v="-15325.43354"/>
    <n v="4405895.3090000004"/>
    <n v="3550210.9679999999"/>
    <n v="5178003.9469999997"/>
    <x v="78"/>
    <s v="Sep-2021"/>
  </r>
  <r>
    <x v="79"/>
    <s v="IND"/>
    <x v="1"/>
    <x v="9"/>
    <x v="9"/>
    <s v="predicted"/>
    <n v="769382.39919999999"/>
    <n v="839452.09149999998"/>
    <n v="71053.519220000002"/>
    <n v="4476948.8279999997"/>
    <n v="3530546.213"/>
    <n v="5404604.5800000001"/>
    <x v="78"/>
    <s v="Oct-2021"/>
  </r>
  <r>
    <x v="79"/>
    <s v="IND"/>
    <x v="1"/>
    <x v="10"/>
    <x v="10"/>
    <s v="predicted"/>
    <n v="790797.3946"/>
    <n v="907132.24910000002"/>
    <n v="117083.16499999999"/>
    <n v="4594031.9929999998"/>
    <n v="3436742.3220000002"/>
    <n v="5848910.4519999996"/>
    <x v="78"/>
    <s v="Nov-2021"/>
  </r>
  <r>
    <x v="79"/>
    <s v="IND"/>
    <x v="1"/>
    <x v="11"/>
    <x v="11"/>
    <s v="predicted"/>
    <n v="805225.62280000001"/>
    <n v="946276.74809999997"/>
    <n v="140483.51879999999"/>
    <n v="4734515.5120000001"/>
    <n v="3315581.5430000001"/>
    <n v="6479562.9079999998"/>
    <x v="78"/>
    <s v="Dec-2021"/>
  </r>
  <r>
    <x v="80"/>
    <s v="IRL"/>
    <x v="0"/>
    <x v="0"/>
    <x v="0"/>
    <s v="reported"/>
    <n v="3030.322885"/>
    <n v="3066"/>
    <n v="35.677115239999999"/>
    <n v="35.677115239999999"/>
    <n v="-82.303687749999995"/>
    <n v="151.6591195"/>
    <x v="79"/>
    <s v="Jan-2020"/>
  </r>
  <r>
    <x v="80"/>
    <s v="IRL"/>
    <x v="0"/>
    <x v="1"/>
    <x v="1"/>
    <s v="reported"/>
    <n v="2817.0369409999998"/>
    <n v="2798"/>
    <n v="-19.036941299999999"/>
    <n v="16.64017394"/>
    <n v="-172.87318149999999"/>
    <n v="217.3990871"/>
    <x v="79"/>
    <s v="Feb-2020"/>
  </r>
  <r>
    <x v="80"/>
    <s v="IRL"/>
    <x v="0"/>
    <x v="2"/>
    <x v="2"/>
    <s v="reported"/>
    <n v="2795.9998599999999"/>
    <n v="2998"/>
    <n v="202.00014049999999"/>
    <n v="218.64031439999999"/>
    <n v="-16.05596903"/>
    <n v="455.17825310000001"/>
    <x v="79"/>
    <s v="Mar-2020"/>
  </r>
  <r>
    <x v="80"/>
    <s v="IRL"/>
    <x v="0"/>
    <x v="3"/>
    <x v="3"/>
    <s v="reported"/>
    <n v="2588.6373939999999"/>
    <n v="3680"/>
    <n v="1091.3626059999999"/>
    <n v="1310.002921"/>
    <n v="1033.8804259999999"/>
    <n v="1572.973013"/>
    <x v="79"/>
    <s v="Apr-2020"/>
  </r>
  <r>
    <x v="80"/>
    <s v="IRL"/>
    <x v="0"/>
    <x v="4"/>
    <x v="4"/>
    <s v="reported"/>
    <n v="2505.66689"/>
    <n v="2734"/>
    <n v="228.33310990000001"/>
    <n v="1538.336031"/>
    <n v="1241.1126959999999"/>
    <n v="1849.324108"/>
    <x v="79"/>
    <s v="May-2020"/>
  </r>
  <r>
    <x v="80"/>
    <s v="IRL"/>
    <x v="0"/>
    <x v="5"/>
    <x v="5"/>
    <s v="reported"/>
    <n v="2343.3807940000002"/>
    <n v="2262"/>
    <n v="-81.380793679999996"/>
    <n v="1456.9552369999999"/>
    <n v="1143.806994"/>
    <n v="1792.233849"/>
    <x v="79"/>
    <s v="Jun-2020"/>
  </r>
  <r>
    <x v="80"/>
    <s v="IRL"/>
    <x v="0"/>
    <x v="6"/>
    <x v="6"/>
    <s v="reported"/>
    <n v="2297.745073"/>
    <n v="2290"/>
    <n v="-7.7450729279999999"/>
    <n v="1449.2101640000001"/>
    <n v="1111.1204580000001"/>
    <n v="1802.3786480000001"/>
    <x v="79"/>
    <s v="Jul-2020"/>
  </r>
  <r>
    <x v="80"/>
    <s v="IRL"/>
    <x v="0"/>
    <x v="7"/>
    <x v="7"/>
    <s v="reported"/>
    <n v="2306.3159019999998"/>
    <n v="2397"/>
    <n v="90.684098250000005"/>
    <n v="1539.894262"/>
    <n v="1180.0846140000001"/>
    <n v="1919.1079830000001"/>
    <x v="79"/>
    <s v="Aug-2020"/>
  </r>
  <r>
    <x v="80"/>
    <s v="IRL"/>
    <x v="0"/>
    <x v="8"/>
    <x v="8"/>
    <s v="reported"/>
    <n v="2388.4712279999999"/>
    <n v="2433"/>
    <n v="44.528772089999997"/>
    <n v="1584.4230339999999"/>
    <n v="1197.1727800000001"/>
    <n v="1965.267175"/>
    <x v="79"/>
    <s v="Sep-2020"/>
  </r>
  <r>
    <x v="80"/>
    <s v="IRL"/>
    <x v="0"/>
    <x v="9"/>
    <x v="9"/>
    <s v="reported"/>
    <n v="2516.6936340000002"/>
    <n v="2789"/>
    <n v="272.30636579999998"/>
    <n v="1856.7293999999999"/>
    <n v="1444.9293150000001"/>
    <n v="2258.2590970000001"/>
    <x v="79"/>
    <s v="Oct-2020"/>
  </r>
  <r>
    <x v="80"/>
    <s v="IRL"/>
    <x v="0"/>
    <x v="10"/>
    <x v="10"/>
    <s v="reported"/>
    <n v="2621.914925"/>
    <n v="2573"/>
    <n v="-48.91492487"/>
    <n v="1807.8144749999999"/>
    <n v="1409.2993280000001"/>
    <n v="2266.7104330000002"/>
    <x v="79"/>
    <s v="Nov-2020"/>
  </r>
  <r>
    <x v="80"/>
    <s v="IRL"/>
    <x v="0"/>
    <x v="11"/>
    <x v="11"/>
    <s v="reported"/>
    <n v="3042.3665059999998"/>
    <n v="2836"/>
    <n v="-206.3665062"/>
    <n v="1601.4479690000001"/>
    <n v="1182.778579"/>
    <n v="2064.3589959999999"/>
    <x v="79"/>
    <s v="Dec-2020"/>
  </r>
  <r>
    <x v="80"/>
    <s v="IRL"/>
    <x v="1"/>
    <x v="0"/>
    <x v="0"/>
    <s v="reported"/>
    <n v="3049.5509499999998"/>
    <n v="3965"/>
    <n v="915.44904980000001"/>
    <n v="2516.897019"/>
    <n v="2073.4914450000001"/>
    <n v="2978.3966380000002"/>
    <x v="79"/>
    <s v="Jan-2021"/>
  </r>
  <r>
    <x v="80"/>
    <s v="IRL"/>
    <x v="1"/>
    <x v="1"/>
    <x v="1"/>
    <s v="reported"/>
    <n v="2836.5199069999999"/>
    <n v="3178"/>
    <n v="341.48009339999999"/>
    <n v="2858.3771120000001"/>
    <n v="2379.1503659999998"/>
    <n v="3346.6325539999998"/>
    <x v="79"/>
    <s v="Feb-2021"/>
  </r>
  <r>
    <x v="80"/>
    <s v="IRL"/>
    <x v="1"/>
    <x v="2"/>
    <x v="2"/>
    <s v="reported"/>
    <n v="2812.322713"/>
    <n v="2680"/>
    <n v="-132.32271320000001"/>
    <n v="2726.0543990000001"/>
    <n v="2216.432323"/>
    <n v="3264.226455"/>
    <x v="79"/>
    <s v="Mar-2021"/>
  </r>
  <r>
    <x v="80"/>
    <s v="IRL"/>
    <x v="1"/>
    <x v="3"/>
    <x v="3"/>
    <s v="reported"/>
    <n v="2605.0765059999999"/>
    <n v="2539"/>
    <n v="-66.076505800000007"/>
    <n v="2659.9778930000002"/>
    <n v="2132.76523"/>
    <n v="3229.1960509999999"/>
    <x v="79"/>
    <s v="Apr-2021"/>
  </r>
  <r>
    <x v="80"/>
    <s v="IRL"/>
    <x v="1"/>
    <x v="4"/>
    <x v="4"/>
    <s v="reported"/>
    <n v="2520.6412639999999"/>
    <n v="2635"/>
    <n v="114.3587363"/>
    <n v="2774.3366299999998"/>
    <n v="2249.3209700000002"/>
    <n v="3354.166776"/>
    <x v="79"/>
    <s v="May-2021"/>
  </r>
  <r>
    <x v="80"/>
    <s v="IRL"/>
    <x v="1"/>
    <x v="5"/>
    <x v="5"/>
    <s v="reported"/>
    <n v="2358.6245170000002"/>
    <n v="2359"/>
    <n v="0.375482863"/>
    <n v="2774.712113"/>
    <n v="2234.0516940000002"/>
    <n v="3368.2347629999999"/>
    <x v="79"/>
    <s v="Jun-2021"/>
  </r>
  <r>
    <x v="80"/>
    <s v="IRL"/>
    <x v="1"/>
    <x v="6"/>
    <x v="6"/>
    <s v="reported"/>
    <n v="2316.4715000000001"/>
    <n v="2586"/>
    <n v="269.52850030000002"/>
    <n v="3044.2406129999999"/>
    <n v="2477.6241340000001"/>
    <n v="3653.5001969999998"/>
    <x v="79"/>
    <s v="Jul-2021"/>
  </r>
  <r>
    <x v="80"/>
    <s v="IRL"/>
    <x v="1"/>
    <x v="7"/>
    <x v="7"/>
    <s v="reported"/>
    <n v="2321.7724450000001"/>
    <n v="2576"/>
    <n v="254.22755470000001"/>
    <n v="3298.4681679999999"/>
    <n v="2711.0787169999999"/>
    <n v="3947.5719359999998"/>
    <x v="79"/>
    <s v="Aug-2021"/>
  </r>
  <r>
    <x v="80"/>
    <s v="IRL"/>
    <x v="1"/>
    <x v="8"/>
    <x v="8"/>
    <s v="reported"/>
    <n v="2408.1514360000001"/>
    <n v="2663"/>
    <n v="254.84856350000001"/>
    <n v="3553.3167309999999"/>
    <n v="2925.9884269999998"/>
    <n v="4196.1389570000001"/>
    <x v="79"/>
    <s v="Sep-2021"/>
  </r>
  <r>
    <x v="80"/>
    <s v="IRL"/>
    <x v="1"/>
    <x v="9"/>
    <x v="9"/>
    <s v="reported"/>
    <n v="2536.8812849999999"/>
    <n v="2968"/>
    <n v="431.11871500000001"/>
    <n v="3984.435446"/>
    <n v="3325.3964540000002"/>
    <n v="4623.5748830000002"/>
    <x v="79"/>
    <s v="Oct-2021"/>
  </r>
  <r>
    <x v="80"/>
    <s v="IRL"/>
    <x v="1"/>
    <x v="10"/>
    <x v="10"/>
    <s v="reported"/>
    <n v="2637.510229"/>
    <n v="3045"/>
    <n v="407.4897709"/>
    <n v="4391.925217"/>
    <n v="3741.3828830000002"/>
    <n v="5070.2622030000002"/>
    <x v="79"/>
    <s v="Nov-2021"/>
  </r>
  <r>
    <x v="80"/>
    <s v="IRL"/>
    <x v="1"/>
    <x v="11"/>
    <x v="11"/>
    <s v="reported"/>
    <n v="3062.0489990000001"/>
    <n v="3132"/>
    <n v="69.951000629999996"/>
    <n v="4461.8762180000003"/>
    <n v="3757.807953"/>
    <n v="5131.8918450000001"/>
    <x v="79"/>
    <s v="Dec-2021"/>
  </r>
  <r>
    <x v="81"/>
    <s v="IRN"/>
    <x v="0"/>
    <x v="0"/>
    <x v="0"/>
    <s v="reported"/>
    <n v="42144.455300000001"/>
    <n v="39099"/>
    <n v="-3083.6979489999999"/>
    <n v="-3083.6979489999999"/>
    <n v="-4162.2954390000004"/>
    <n v="-1962.5167750000001"/>
    <x v="80"/>
    <s v="Jan-2020"/>
  </r>
  <r>
    <x v="81"/>
    <s v="IRN"/>
    <x v="0"/>
    <x v="1"/>
    <x v="1"/>
    <s v="reported"/>
    <n v="37012.201260000002"/>
    <n v="38041"/>
    <n v="990.55608900000004"/>
    <n v="-2093.1418600000002"/>
    <n v="-3597.4035730000001"/>
    <n v="-512.02458869999998"/>
    <x v="80"/>
    <s v="Feb-2020"/>
  </r>
  <r>
    <x v="81"/>
    <s v="IRN"/>
    <x v="0"/>
    <x v="2"/>
    <x v="2"/>
    <s v="reported"/>
    <n v="36814.10888"/>
    <n v="48305"/>
    <n v="11452.64847"/>
    <n v="9359.5066079999997"/>
    <n v="7355.1828539999997"/>
    <n v="11320.43072"/>
    <x v="80"/>
    <s v="Mar-2020"/>
  </r>
  <r>
    <x v="81"/>
    <s v="IRN"/>
    <x v="0"/>
    <x v="3"/>
    <x v="3"/>
    <s v="reported"/>
    <n v="36969.391669999997"/>
    <n v="44526"/>
    <n v="7518.3656769999998"/>
    <n v="16877.872289999999"/>
    <n v="14389.1898"/>
    <n v="19121.120650000001"/>
    <x v="80"/>
    <s v="Apr-2020"/>
  </r>
  <r>
    <x v="81"/>
    <s v="IRN"/>
    <x v="0"/>
    <x v="4"/>
    <x v="4"/>
    <s v="reported"/>
    <n v="35857.501279999997"/>
    <n v="38107"/>
    <n v="2211.2560720000001"/>
    <n v="19089.128359999999"/>
    <n v="16464.532429999999"/>
    <n v="21902.807359999999"/>
    <x v="80"/>
    <s v="May-2020"/>
  </r>
  <r>
    <x v="81"/>
    <s v="IRN"/>
    <x v="0"/>
    <x v="5"/>
    <x v="5"/>
    <s v="reported"/>
    <n v="34909.88708"/>
    <n v="45056"/>
    <n v="10107.87026"/>
    <n v="29196.998619999998"/>
    <n v="26312.527610000001"/>
    <n v="32181.039379999998"/>
    <x v="80"/>
    <s v="Jun-2020"/>
  </r>
  <r>
    <x v="81"/>
    <s v="IRN"/>
    <x v="0"/>
    <x v="6"/>
    <x v="6"/>
    <s v="reported"/>
    <n v="37026.397960000002"/>
    <n v="53509"/>
    <n v="16444.359390000001"/>
    <n v="45641.358010000004"/>
    <n v="42626.744379999996"/>
    <n v="48873.6368"/>
    <x v="80"/>
    <s v="Jul-2020"/>
  </r>
  <r>
    <x v="81"/>
    <s v="IRN"/>
    <x v="0"/>
    <x v="7"/>
    <x v="7"/>
    <s v="reported"/>
    <n v="36227.43028"/>
    <n v="49941"/>
    <n v="13675.327069999999"/>
    <n v="59316.685080000003"/>
    <n v="55974.507590000001"/>
    <n v="62739.006009999997"/>
    <x v="80"/>
    <s v="Aug-2020"/>
  </r>
  <r>
    <x v="81"/>
    <s v="IRN"/>
    <x v="0"/>
    <x v="8"/>
    <x v="8"/>
    <s v="reported"/>
    <n v="35301.99813"/>
    <n v="46322"/>
    <n v="10981.75921"/>
    <n v="70298.444300000003"/>
    <n v="66522.15178"/>
    <n v="73862.318410000007"/>
    <x v="80"/>
    <s v="Sep-2020"/>
  </r>
  <r>
    <x v="81"/>
    <s v="IRN"/>
    <x v="0"/>
    <x v="9"/>
    <x v="9"/>
    <s v="reported"/>
    <n v="37208.719409999998"/>
    <n v="59897"/>
    <n v="22650.037929999999"/>
    <n v="92948.482229999994"/>
    <n v="89018.609479999999"/>
    <n v="96855.266570000007"/>
    <x v="80"/>
    <s v="Oct-2020"/>
  </r>
  <r>
    <x v="81"/>
    <s v="IRN"/>
    <x v="0"/>
    <x v="10"/>
    <x v="10"/>
    <s v="reported"/>
    <n v="39288.028169999998"/>
    <n v="71232"/>
    <n v="31905.729179999998"/>
    <n v="124854.2114"/>
    <n v="120879.1507"/>
    <n v="128932.8248"/>
    <x v="80"/>
    <s v="Nov-2020"/>
  </r>
  <r>
    <x v="81"/>
    <s v="IRN"/>
    <x v="0"/>
    <x v="11"/>
    <x v="11"/>
    <s v="reported"/>
    <n v="42774.019480000003"/>
    <n v="54252"/>
    <n v="11439.737870000001"/>
    <n v="136293.94930000001"/>
    <n v="132049.34299999999"/>
    <n v="140842.54370000001"/>
    <x v="80"/>
    <s v="Dec-2020"/>
  </r>
  <r>
    <x v="81"/>
    <s v="IRN"/>
    <x v="1"/>
    <x v="0"/>
    <x v="0"/>
    <s v="reported"/>
    <n v="42850.830419999998"/>
    <n v="45286"/>
    <n v="2413.233436"/>
    <n v="138707.1827"/>
    <n v="134184.228"/>
    <n v="143282.0122"/>
    <x v="80"/>
    <s v="Jan-2021"/>
  </r>
  <r>
    <x v="81"/>
    <s v="IRN"/>
    <x v="1"/>
    <x v="1"/>
    <x v="1"/>
    <s v="reported"/>
    <n v="37643.303489999998"/>
    <n v="38681"/>
    <n v="1015.760368"/>
    <n v="139722.9431"/>
    <n v="134923.1158"/>
    <n v="144753.87669999999"/>
    <x v="80"/>
    <s v="Feb-2021"/>
  </r>
  <r>
    <x v="81"/>
    <s v="IRN"/>
    <x v="1"/>
    <x v="2"/>
    <x v="2"/>
    <s v="reported"/>
    <n v="37417.929080000002"/>
    <n v="42126"/>
    <n v="4686.1347830000004"/>
    <n v="144409.0779"/>
    <n v="139386.6801"/>
    <n v="149610.5619"/>
    <x v="80"/>
    <s v="Mar-2021"/>
  </r>
  <r>
    <x v="81"/>
    <s v="IRN"/>
    <x v="1"/>
    <x v="3"/>
    <x v="3"/>
    <s v="reported"/>
    <n v="37573.725579999998"/>
    <n v="57043"/>
    <n v="19447.33828"/>
    <n v="163856.4161"/>
    <n v="158740.94270000001"/>
    <n v="169031.43599999999"/>
    <x v="80"/>
    <s v="Apr-2021"/>
  </r>
  <r>
    <x v="81"/>
    <s v="IRN"/>
    <x v="1"/>
    <x v="4"/>
    <x v="4"/>
    <s v="reported"/>
    <n v="36448.713259999997"/>
    <n v="54689"/>
    <n v="18218.350600000002"/>
    <n v="182074.76670000001"/>
    <n v="176709.58670000001"/>
    <n v="187424.2954"/>
    <x v="80"/>
    <s v="May-2021"/>
  </r>
  <r>
    <x v="81"/>
    <s v="IRN"/>
    <x v="1"/>
    <x v="5"/>
    <x v="5"/>
    <s v="reported"/>
    <n v="35495.124689999997"/>
    <n v="45131"/>
    <n v="9613.9391680000008"/>
    <n v="191688.7059"/>
    <n v="185990.23439999999"/>
    <n v="197035.59"/>
    <x v="80"/>
    <s v="Jun-2021"/>
  </r>
  <r>
    <x v="81"/>
    <s v="IRN"/>
    <x v="1"/>
    <x v="6"/>
    <x v="6"/>
    <s v="reported"/>
    <n v="37678.34562"/>
    <n v="50642"/>
    <n v="12941.71824"/>
    <n v="204630.42420000001"/>
    <n v="198882.07209999999"/>
    <n v="210231.6207"/>
    <x v="80"/>
    <s v="Jul-2021"/>
  </r>
  <r>
    <x v="81"/>
    <s v="IRN"/>
    <x v="1"/>
    <x v="7"/>
    <x v="7"/>
    <s v="reported"/>
    <n v="36831.578459999997"/>
    <n v="76875"/>
    <n v="40021.485399999998"/>
    <n v="244651.90960000001"/>
    <n v="238828.12450000001"/>
    <n v="250482.46729999999"/>
    <x v="80"/>
    <s v="Aug-2021"/>
  </r>
  <r>
    <x v="81"/>
    <s v="IRN"/>
    <x v="1"/>
    <x v="8"/>
    <x v="8"/>
    <s v="reported"/>
    <n v="35914.058649999999"/>
    <n v="66161"/>
    <n v="30225.005209999999"/>
    <n v="274876.91480000003"/>
    <n v="268966.40480000002"/>
    <n v="281025.63569999998"/>
    <x v="80"/>
    <s v="Sep-2021"/>
  </r>
  <r>
    <x v="81"/>
    <s v="IRN"/>
    <x v="1"/>
    <x v="9"/>
    <x v="9"/>
    <s v="reported"/>
    <n v="37782.402600000001"/>
    <n v="52813"/>
    <n v="15008.661260000001"/>
    <n v="289885.576"/>
    <n v="283701.5821"/>
    <n v="295927.11849999998"/>
    <x v="80"/>
    <s v="Oct-2021"/>
  </r>
  <r>
    <x v="81"/>
    <s v="IRN"/>
    <x v="1"/>
    <x v="10"/>
    <x v="10"/>
    <s v="reported"/>
    <n v="39965.904869999998"/>
    <n v="45749"/>
    <n v="5761.1589940000003"/>
    <n v="295646.73499999999"/>
    <n v="289654.72379999998"/>
    <n v="301932.19819999998"/>
    <x v="80"/>
    <s v="Nov-2021"/>
  </r>
  <r>
    <x v="81"/>
    <s v="IRN"/>
    <x v="1"/>
    <x v="11"/>
    <x v="11"/>
    <s v="reported"/>
    <n v="43452.435740000001"/>
    <n v="43360"/>
    <n v="-114.3718756"/>
    <n v="295532.36310000002"/>
    <n v="289299.61959999998"/>
    <n v="301922.02370000002"/>
    <x v="80"/>
    <s v="Dec-2021"/>
  </r>
  <r>
    <x v="82"/>
    <s v="IRQ"/>
    <x v="0"/>
    <x v="0"/>
    <x v="0"/>
    <s v="reported"/>
    <n v="11819.96091"/>
    <n v="11228"/>
    <n v="-821.96090990000005"/>
    <n v="-821.96090990000005"/>
    <n v="-1421.6375310000001"/>
    <n v="-240.40295850000001"/>
    <x v="81"/>
    <s v="Jan-2020"/>
  </r>
  <r>
    <x v="82"/>
    <s v="IRQ"/>
    <x v="0"/>
    <x v="1"/>
    <x v="1"/>
    <s v="reported"/>
    <n v="10050.04442"/>
    <n v="10177"/>
    <n v="-103.04442040000001"/>
    <n v="-925.00533029999997"/>
    <n v="-1835.5604900000001"/>
    <n v="-41.088109639999999"/>
    <x v="81"/>
    <s v="Feb-2020"/>
  </r>
  <r>
    <x v="82"/>
    <s v="IRQ"/>
    <x v="0"/>
    <x v="2"/>
    <x v="2"/>
    <s v="reported"/>
    <n v="9699.2659149999999"/>
    <n v="9571"/>
    <n v="-358.26591450000001"/>
    <n v="-1283.2712449999999"/>
    <n v="-2394.6351380000001"/>
    <n v="-216.59505849999999"/>
    <x v="81"/>
    <s v="Mar-2020"/>
  </r>
  <r>
    <x v="82"/>
    <s v="IRQ"/>
    <x v="0"/>
    <x v="3"/>
    <x v="3"/>
    <s v="reported"/>
    <n v="9638.0865450000001"/>
    <n v="8734"/>
    <n v="-1134.0865449999999"/>
    <n v="-2417.3577890000001"/>
    <n v="-3680.3771400000001"/>
    <n v="-1167.301481"/>
    <x v="81"/>
    <s v="Apr-2020"/>
  </r>
  <r>
    <x v="82"/>
    <s v="IRQ"/>
    <x v="0"/>
    <x v="4"/>
    <x v="4"/>
    <s v="reported"/>
    <n v="9579.4819669999997"/>
    <n v="9409"/>
    <n v="-400.48196689999997"/>
    <n v="-2817.8397559999999"/>
    <n v="-4285.9093089999997"/>
    <n v="-1479.455741"/>
    <x v="81"/>
    <s v="May-2020"/>
  </r>
  <r>
    <x v="82"/>
    <s v="IRQ"/>
    <x v="0"/>
    <x v="5"/>
    <x v="5"/>
    <s v="reported"/>
    <n v="9393.1909360000009"/>
    <n v="14100"/>
    <n v="4476.809064"/>
    <n v="1658.969308"/>
    <n v="145.75092169999999"/>
    <n v="3113.2743829999999"/>
    <x v="81"/>
    <s v="Jun-2020"/>
  </r>
  <r>
    <x v="82"/>
    <s v="IRQ"/>
    <x v="0"/>
    <x v="6"/>
    <x v="6"/>
    <s v="reported"/>
    <n v="9593.5270729999993"/>
    <n v="18215"/>
    <n v="8391.4729270000007"/>
    <n v="10050.442230000001"/>
    <n v="8314.8136699999995"/>
    <n v="11659.920480000001"/>
    <x v="81"/>
    <s v="Jul-2020"/>
  </r>
  <r>
    <x v="82"/>
    <s v="IRQ"/>
    <x v="0"/>
    <x v="7"/>
    <x v="7"/>
    <s v="reported"/>
    <n v="9529.8355150000007"/>
    <n v="16761"/>
    <n v="7001.1644850000002"/>
    <n v="17051.60672"/>
    <n v="15153.76332"/>
    <n v="18863.575290000001"/>
    <x v="81"/>
    <s v="Aug-2020"/>
  </r>
  <r>
    <x v="82"/>
    <s v="IRQ"/>
    <x v="0"/>
    <x v="8"/>
    <x v="8"/>
    <s v="reported"/>
    <n v="9349.4344000000001"/>
    <n v="15524"/>
    <n v="5944.5655999999999"/>
    <n v="22996.172320000001"/>
    <n v="20971.15711"/>
    <n v="24868.352879999999"/>
    <x v="81"/>
    <s v="Sep-2020"/>
  </r>
  <r>
    <x v="82"/>
    <s v="IRQ"/>
    <x v="0"/>
    <x v="9"/>
    <x v="9"/>
    <s v="reported"/>
    <n v="10026.250840000001"/>
    <n v="14152"/>
    <n v="3895.7491580000001"/>
    <n v="26891.921480000001"/>
    <n v="24783.897099999998"/>
    <n v="28875.4758"/>
    <x v="81"/>
    <s v="Oct-2020"/>
  </r>
  <r>
    <x v="82"/>
    <s v="IRQ"/>
    <x v="0"/>
    <x v="10"/>
    <x v="10"/>
    <s v="reported"/>
    <n v="11318.6916"/>
    <n v="12772"/>
    <n v="1223.308401"/>
    <n v="28115.229879999999"/>
    <n v="25977.584709999999"/>
    <n v="30215.984329999999"/>
    <x v="81"/>
    <s v="Nov-2020"/>
  </r>
  <r>
    <x v="82"/>
    <s v="IRQ"/>
    <x v="0"/>
    <x v="11"/>
    <x v="11"/>
    <s v="reported"/>
    <n v="12017.646070000001"/>
    <n v="12258"/>
    <n v="10.35392671"/>
    <n v="28125.58381"/>
    <n v="25723.07617"/>
    <n v="30366.294310000001"/>
    <x v="81"/>
    <s v="Dec-2020"/>
  </r>
  <r>
    <x v="82"/>
    <s v="IRQ"/>
    <x v="1"/>
    <x v="0"/>
    <x v="0"/>
    <s v="predicted"/>
    <n v="12019.202719999999"/>
    <n v="12449.418"/>
    <n v="202.13194340000001"/>
    <n v="28327.715749999999"/>
    <n v="24302.671160000002"/>
    <n v="32788.608659999998"/>
    <x v="81"/>
    <s v="Jan-2021"/>
  </r>
  <r>
    <x v="82"/>
    <s v="IRQ"/>
    <x v="1"/>
    <x v="1"/>
    <x v="1"/>
    <s v="predicted"/>
    <n v="10212.72293"/>
    <n v="10776.539000000001"/>
    <n v="335.7327411"/>
    <n v="28663.448489999999"/>
    <n v="23491.076430000001"/>
    <n v="34405.322529999998"/>
    <x v="81"/>
    <s v="Feb-2021"/>
  </r>
  <r>
    <x v="82"/>
    <s v="IRQ"/>
    <x v="1"/>
    <x v="2"/>
    <x v="2"/>
    <s v="predicted"/>
    <n v="9871.6331580000005"/>
    <n v="11237.615"/>
    <n v="1137.898508"/>
    <n v="29801.347000000002"/>
    <n v="23418.800920000001"/>
    <n v="36995.127460000003"/>
    <x v="81"/>
    <s v="Mar-2021"/>
  </r>
  <r>
    <x v="82"/>
    <s v="IRQ"/>
    <x v="1"/>
    <x v="3"/>
    <x v="3"/>
    <s v="predicted"/>
    <n v="9834.764948"/>
    <n v="11677.986999999999"/>
    <n v="1615.138719"/>
    <n v="31416.485720000001"/>
    <n v="24226.337490000002"/>
    <n v="39289.444219999998"/>
    <x v="81"/>
    <s v="Apr-2021"/>
  </r>
  <r>
    <x v="82"/>
    <s v="IRQ"/>
    <x v="1"/>
    <x v="4"/>
    <x v="4"/>
    <s v="predicted"/>
    <n v="9741.879723"/>
    <n v="11280.208000000001"/>
    <n v="1310.244944"/>
    <n v="32726.730660000001"/>
    <n v="24652.4594"/>
    <n v="41306.178780000002"/>
    <x v="81"/>
    <s v="May-2021"/>
  </r>
  <r>
    <x v="82"/>
    <s v="IRQ"/>
    <x v="1"/>
    <x v="5"/>
    <x v="5"/>
    <s v="predicted"/>
    <n v="9541.2265540000008"/>
    <n v="11101.121999999999"/>
    <n v="1331.812113"/>
    <n v="34058.54277"/>
    <n v="25063.002779999999"/>
    <n v="43894.658869999999"/>
    <x v="81"/>
    <s v="Jun-2021"/>
  </r>
  <r>
    <x v="82"/>
    <s v="IRQ"/>
    <x v="1"/>
    <x v="6"/>
    <x v="6"/>
    <s v="predicted"/>
    <n v="9736.5719150000004"/>
    <n v="12477.696"/>
    <n v="2513.040751"/>
    <n v="36571.583530000004"/>
    <n v="26266.416669999999"/>
    <n v="46889.173329999998"/>
    <x v="81"/>
    <s v="Jul-2021"/>
  </r>
  <r>
    <x v="82"/>
    <s v="IRQ"/>
    <x v="1"/>
    <x v="7"/>
    <x v="7"/>
    <s v="predicted"/>
    <n v="9669.8467299999993"/>
    <n v="13123.441000000001"/>
    <n v="3225.510937"/>
    <n v="39797.09446"/>
    <n v="28519.40108"/>
    <n v="50981.124980000001"/>
    <x v="81"/>
    <s v="Aug-2021"/>
  </r>
  <r>
    <x v="82"/>
    <s v="IRQ"/>
    <x v="1"/>
    <x v="8"/>
    <x v="8"/>
    <s v="predicted"/>
    <n v="9500.2977570000003"/>
    <n v="11580.17"/>
    <n v="1851.78891"/>
    <n v="41648.883370000003"/>
    <n v="29697.754730000001"/>
    <n v="54053.220300000001"/>
    <x v="81"/>
    <s v="Sep-2021"/>
  </r>
  <r>
    <x v="82"/>
    <s v="IRQ"/>
    <x v="1"/>
    <x v="9"/>
    <x v="9"/>
    <s v="predicted"/>
    <n v="10199.41725"/>
    <n v="11516.198"/>
    <n v="1088.697418"/>
    <n v="42737.58079"/>
    <n v="29527.91044"/>
    <n v="55788.874510000001"/>
    <x v="81"/>
    <s v="Oct-2021"/>
  </r>
  <r>
    <x v="82"/>
    <s v="IRQ"/>
    <x v="1"/>
    <x v="10"/>
    <x v="10"/>
    <s v="predicted"/>
    <n v="11510.325199999999"/>
    <n v="12810.691000000001"/>
    <n v="1072.282471"/>
    <n v="43809.863259999998"/>
    <n v="29256.937389999999"/>
    <n v="57845.972800000003"/>
    <x v="81"/>
    <s v="Nov-2021"/>
  </r>
  <r>
    <x v="82"/>
    <s v="IRQ"/>
    <x v="1"/>
    <x v="11"/>
    <x v="11"/>
    <s v="predicted"/>
    <n v="12190.263660000001"/>
    <n v="13455.53"/>
    <n v="1037.183004"/>
    <n v="44847.046269999999"/>
    <n v="29079.51455"/>
    <n v="60101.019359999998"/>
    <x v="81"/>
    <s v="Dec-2021"/>
  </r>
  <r>
    <x v="83"/>
    <s v="ISL"/>
    <x v="0"/>
    <x v="0"/>
    <x v="0"/>
    <s v="reported"/>
    <n v="193.84464070000001"/>
    <n v="231"/>
    <n v="36.905359349999998"/>
    <n v="36.905359349999998"/>
    <n v="28.340648980000001"/>
    <n v="45.431195789999997"/>
    <x v="82"/>
    <s v="Jan-2020"/>
  </r>
  <r>
    <x v="83"/>
    <s v="ISL"/>
    <x v="0"/>
    <x v="1"/>
    <x v="1"/>
    <s v="reported"/>
    <n v="194.8032858"/>
    <n v="192"/>
    <n v="-3.0532857940000002"/>
    <n v="33.85207355"/>
    <n v="22.234109"/>
    <n v="45.097722660000002"/>
    <x v="82"/>
    <s v="Feb-2020"/>
  </r>
  <r>
    <x v="83"/>
    <s v="ISL"/>
    <x v="0"/>
    <x v="2"/>
    <x v="2"/>
    <s v="reported"/>
    <n v="194.2333074"/>
    <n v="194"/>
    <n v="-0.48330737299999998"/>
    <n v="33.368766180000001"/>
    <n v="18.91281343"/>
    <n v="47.863975699999997"/>
    <x v="82"/>
    <s v="Mar-2020"/>
  </r>
  <r>
    <x v="83"/>
    <s v="ISL"/>
    <x v="0"/>
    <x v="3"/>
    <x v="3"/>
    <s v="reported"/>
    <n v="191.6080024"/>
    <n v="206"/>
    <n v="14.141997630000001"/>
    <n v="47.51076381"/>
    <n v="29.593158519999999"/>
    <n v="65.983450219999995"/>
    <x v="82"/>
    <s v="Apr-2020"/>
  </r>
  <r>
    <x v="83"/>
    <s v="ISL"/>
    <x v="0"/>
    <x v="4"/>
    <x v="4"/>
    <s v="reported"/>
    <n v="188.24413190000001"/>
    <n v="198"/>
    <n v="9.5058681180000004"/>
    <n v="57.016631930000003"/>
    <n v="36.692903719999997"/>
    <n v="77.277204019999999"/>
    <x v="82"/>
    <s v="May-2020"/>
  </r>
  <r>
    <x v="83"/>
    <s v="ISL"/>
    <x v="0"/>
    <x v="5"/>
    <x v="5"/>
    <s v="reported"/>
    <n v="184.8803532"/>
    <n v="150"/>
    <n v="-35.130353239999998"/>
    <n v="21.886278690000001"/>
    <n v="0.31661088199999998"/>
    <n v="44.260361609999997"/>
    <x v="82"/>
    <s v="Jun-2020"/>
  </r>
  <r>
    <x v="83"/>
    <s v="ISL"/>
    <x v="0"/>
    <x v="6"/>
    <x v="6"/>
    <s v="reported"/>
    <n v="182.69228989999999"/>
    <n v="174"/>
    <n v="-8.9422899420000004"/>
    <n v="12.943988750000001"/>
    <n v="-10.905754379999999"/>
    <n v="37.59883086"/>
    <x v="82"/>
    <s v="Jul-2020"/>
  </r>
  <r>
    <x v="83"/>
    <s v="ISL"/>
    <x v="0"/>
    <x v="7"/>
    <x v="7"/>
    <s v="reported"/>
    <n v="182.33812879999999"/>
    <n v="160"/>
    <n v="-22.588128820000001"/>
    <n v="-9.6441400759999993"/>
    <n v="-34.772266420000001"/>
    <n v="15.956319349999999"/>
    <x v="82"/>
    <s v="Aug-2020"/>
  </r>
  <r>
    <x v="83"/>
    <s v="ISL"/>
    <x v="0"/>
    <x v="8"/>
    <x v="8"/>
    <s v="reported"/>
    <n v="184.70574379999999"/>
    <n v="185"/>
    <n v="4.4256209999999997E-2"/>
    <n v="-9.5998838660000008"/>
    <n v="-36.704106930000002"/>
    <n v="17.23128114"/>
    <x v="82"/>
    <s v="Sep-2020"/>
  </r>
  <r>
    <x v="83"/>
    <s v="ISL"/>
    <x v="0"/>
    <x v="9"/>
    <x v="9"/>
    <s v="reported"/>
    <n v="188.54168820000001"/>
    <n v="220"/>
    <n v="31.208311770000002"/>
    <n v="21.608427899999999"/>
    <n v="-7.0498943809999997"/>
    <n v="50.841492250000002"/>
    <x v="82"/>
    <s v="Oct-2020"/>
  </r>
  <r>
    <x v="83"/>
    <s v="ISL"/>
    <x v="0"/>
    <x v="10"/>
    <x v="10"/>
    <s v="reported"/>
    <n v="191.75814"/>
    <n v="197"/>
    <n v="4.991859979"/>
    <n v="26.60028788"/>
    <n v="-3.3555444169999999"/>
    <n v="57.123410270000001"/>
    <x v="82"/>
    <s v="Nov-2020"/>
  </r>
  <r>
    <x v="83"/>
    <s v="ISL"/>
    <x v="0"/>
    <x v="11"/>
    <x v="11"/>
    <s v="reported"/>
    <n v="194.34480239999999"/>
    <n v="202"/>
    <n v="7.4051976059999998"/>
    <n v="34.005485479999997"/>
    <n v="2.1700763169999999"/>
    <n v="66.40253611"/>
    <x v="82"/>
    <s v="Dec-2020"/>
  </r>
  <r>
    <x v="83"/>
    <s v="ISL"/>
    <x v="1"/>
    <x v="0"/>
    <x v="0"/>
    <s v="reported"/>
    <n v="194.89035440000001"/>
    <n v="212"/>
    <n v="17.1096456"/>
    <n v="51.115131079999998"/>
    <n v="16.276756979999998"/>
    <n v="84.245163259999998"/>
    <x v="82"/>
    <s v="Jan-2021"/>
  </r>
  <r>
    <x v="83"/>
    <s v="ISL"/>
    <x v="1"/>
    <x v="1"/>
    <x v="1"/>
    <s v="reported"/>
    <n v="195.42513360000001"/>
    <n v="189"/>
    <n v="-6.4251335660000004"/>
    <n v="44.689997519999999"/>
    <n v="9.1958543650000006"/>
    <n v="80.854181089999997"/>
    <x v="82"/>
    <s v="Feb-2021"/>
  </r>
  <r>
    <x v="83"/>
    <s v="ISL"/>
    <x v="1"/>
    <x v="2"/>
    <x v="2"/>
    <s v="reported"/>
    <n v="195.09756179999999"/>
    <n v="187"/>
    <n v="-8.0975617579999994"/>
    <n v="36.592435760000001"/>
    <n v="-1.256946066"/>
    <n v="74.381960329999998"/>
    <x v="82"/>
    <s v="Mar-2021"/>
  </r>
  <r>
    <x v="83"/>
    <s v="ISL"/>
    <x v="1"/>
    <x v="3"/>
    <x v="3"/>
    <s v="reported"/>
    <n v="192.77303749999999"/>
    <n v="202"/>
    <n v="9.2269624829999994"/>
    <n v="45.819398239999998"/>
    <n v="8.8731656520000008"/>
    <n v="83.311886610000002"/>
    <x v="82"/>
    <s v="Apr-2021"/>
  </r>
  <r>
    <x v="83"/>
    <s v="ISL"/>
    <x v="1"/>
    <x v="4"/>
    <x v="4"/>
    <s v="reported"/>
    <n v="189.02952199999999"/>
    <n v="189"/>
    <n v="-2.9521981999999999E-2"/>
    <n v="45.78987626"/>
    <n v="7.1554977290000004"/>
    <n v="86.787781289999998"/>
    <x v="82"/>
    <s v="May-2021"/>
  </r>
  <r>
    <x v="83"/>
    <s v="ISL"/>
    <x v="1"/>
    <x v="5"/>
    <x v="5"/>
    <s v="reported"/>
    <n v="185.65961809999999"/>
    <n v="193"/>
    <n v="7.3403819280000002"/>
    <n v="53.130258189999999"/>
    <n v="13.903953189999999"/>
    <n v="95.126001250000002"/>
    <x v="82"/>
    <s v="Jun-2021"/>
  </r>
  <r>
    <x v="83"/>
    <s v="ISL"/>
    <x v="1"/>
    <x v="6"/>
    <x v="6"/>
    <s v="reported"/>
    <n v="183.42109550000001"/>
    <n v="202"/>
    <n v="18.578904489999999"/>
    <n v="71.709162680000006"/>
    <n v="31.242119899999999"/>
    <n v="116.44977849999999"/>
    <x v="82"/>
    <s v="Jul-2021"/>
  </r>
  <r>
    <x v="83"/>
    <s v="ISL"/>
    <x v="1"/>
    <x v="7"/>
    <x v="7"/>
    <s v="reported"/>
    <n v="183.14954800000001"/>
    <n v="200"/>
    <n v="16.85045199"/>
    <n v="88.559614670000002"/>
    <n v="46.546511549999998"/>
    <n v="134.3464668"/>
    <x v="82"/>
    <s v="Aug-2021"/>
  </r>
  <r>
    <x v="83"/>
    <s v="ISL"/>
    <x v="1"/>
    <x v="8"/>
    <x v="8"/>
    <s v="reported"/>
    <n v="185.68362769999999"/>
    <n v="164"/>
    <n v="-21.683627699999999"/>
    <n v="66.875986979999993"/>
    <n v="24.41429703"/>
    <n v="112.3079224"/>
    <x v="82"/>
    <s v="Sep-2021"/>
  </r>
  <r>
    <x v="83"/>
    <s v="ISL"/>
    <x v="1"/>
    <x v="9"/>
    <x v="9"/>
    <s v="reported"/>
    <n v="189.4225098"/>
    <n v="170"/>
    <n v="-19.422509789999999"/>
    <n v="47.45347718"/>
    <n v="1.7407053910000001"/>
    <n v="95.244728179999996"/>
    <x v="82"/>
    <s v="Oct-2021"/>
  </r>
  <r>
    <x v="83"/>
    <s v="ISL"/>
    <x v="1"/>
    <x v="10"/>
    <x v="10"/>
    <s v="reported"/>
    <n v="193.01458"/>
    <n v="204"/>
    <n v="10.98542001"/>
    <n v="58.4388972"/>
    <n v="11.019605520000001"/>
    <n v="106.9849729"/>
    <x v="82"/>
    <s v="Nov-2021"/>
  </r>
  <r>
    <x v="83"/>
    <s v="ISL"/>
    <x v="1"/>
    <x v="11"/>
    <x v="11"/>
    <s v="reported"/>
    <n v="195.51658699999999"/>
    <n v="225"/>
    <n v="29.48341302"/>
    <n v="87.92231022"/>
    <n v="39.679084500000002"/>
    <n v="140.00199799999999"/>
    <x v="82"/>
    <s v="Dec-2021"/>
  </r>
  <r>
    <x v="84"/>
    <s v="ISR"/>
    <x v="0"/>
    <x v="0"/>
    <x v="0"/>
    <s v="reported"/>
    <n v="4401.6318010000005"/>
    <n v="4585"/>
    <n v="182.4515322"/>
    <n v="182.4515322"/>
    <n v="40.77164097"/>
    <n v="309.44121030000002"/>
    <x v="83"/>
    <s v="Jan-2020"/>
  </r>
  <r>
    <x v="84"/>
    <s v="ISR"/>
    <x v="0"/>
    <x v="1"/>
    <x v="1"/>
    <s v="reported"/>
    <n v="4217.1294539999999"/>
    <n v="3963"/>
    <n v="-255.04612059999999"/>
    <n v="-72.594588380000005"/>
    <n v="-298.90863769999999"/>
    <n v="136.8143714"/>
    <x v="83"/>
    <s v="Feb-2020"/>
  </r>
  <r>
    <x v="84"/>
    <s v="ISR"/>
    <x v="0"/>
    <x v="2"/>
    <x v="2"/>
    <s v="reported"/>
    <n v="4084.8213959999998"/>
    <n v="4181"/>
    <n v="95.261936899999995"/>
    <n v="22.667348520000001"/>
    <n v="-290.969379"/>
    <n v="279.5107314"/>
    <x v="83"/>
    <s v="Mar-2020"/>
  </r>
  <r>
    <x v="84"/>
    <s v="ISR"/>
    <x v="0"/>
    <x v="3"/>
    <x v="3"/>
    <s v="reported"/>
    <n v="3736.4858319999998"/>
    <n v="3921"/>
    <n v="183.5975013"/>
    <n v="206.26484980000001"/>
    <n v="-129.11155919999999"/>
    <n v="519.34107470000004"/>
    <x v="83"/>
    <s v="Apr-2020"/>
  </r>
  <r>
    <x v="84"/>
    <s v="ISR"/>
    <x v="0"/>
    <x v="4"/>
    <x v="4"/>
    <s v="reported"/>
    <n v="3593.8573879999999"/>
    <n v="3878"/>
    <n v="283.22594550000002"/>
    <n v="489.4907953"/>
    <n v="97.004127600000004"/>
    <n v="842.25558750000005"/>
    <x v="83"/>
    <s v="May-2020"/>
  </r>
  <r>
    <x v="84"/>
    <s v="ISR"/>
    <x v="0"/>
    <x v="5"/>
    <x v="5"/>
    <s v="reported"/>
    <n v="3379.0160139999998"/>
    <n v="3418"/>
    <n v="38.067319730000001"/>
    <n v="527.55811500000004"/>
    <n v="129.88022649999999"/>
    <n v="907.50154550000002"/>
    <x v="83"/>
    <s v="Jun-2020"/>
  </r>
  <r>
    <x v="84"/>
    <s v="ISR"/>
    <x v="0"/>
    <x v="6"/>
    <x v="6"/>
    <s v="reported"/>
    <n v="3459.1668110000001"/>
    <n v="3701"/>
    <n v="240.91652210000001"/>
    <n v="768.4746371"/>
    <n v="329.3069529"/>
    <n v="1157.011403"/>
    <x v="83"/>
    <s v="Jul-2020"/>
  </r>
  <r>
    <x v="84"/>
    <s v="ISR"/>
    <x v="0"/>
    <x v="7"/>
    <x v="7"/>
    <s v="reported"/>
    <n v="3495.3621509999998"/>
    <n v="4026"/>
    <n v="529.72118190000003"/>
    <n v="1298.195819"/>
    <n v="828.73756289999994"/>
    <n v="1719.753886"/>
    <x v="83"/>
    <s v="Aug-2020"/>
  </r>
  <r>
    <x v="84"/>
    <s v="ISR"/>
    <x v="0"/>
    <x v="8"/>
    <x v="8"/>
    <s v="reported"/>
    <n v="3413.247993"/>
    <n v="4163"/>
    <n v="748.83534020000002"/>
    <n v="2047.0311589999999"/>
    <n v="1580.560365"/>
    <n v="2515.6278470000002"/>
    <x v="83"/>
    <s v="Sep-2020"/>
  </r>
  <r>
    <x v="84"/>
    <s v="ISR"/>
    <x v="0"/>
    <x v="9"/>
    <x v="9"/>
    <s v="reported"/>
    <n v="3607.6986689999999"/>
    <n v="4645"/>
    <n v="1036.3846639999999"/>
    <n v="3083.4158240000002"/>
    <n v="2596.2635270000001"/>
    <n v="3575.889267"/>
    <x v="83"/>
    <s v="Oct-2020"/>
  </r>
  <r>
    <x v="84"/>
    <s v="ISR"/>
    <x v="0"/>
    <x v="10"/>
    <x v="10"/>
    <s v="reported"/>
    <n v="3787.709425"/>
    <n v="3827"/>
    <n v="38.373908370000002"/>
    <n v="3121.7897320000002"/>
    <n v="2607.6453879999999"/>
    <n v="3616.6546360000002"/>
    <x v="83"/>
    <s v="Nov-2020"/>
  </r>
  <r>
    <x v="84"/>
    <s v="ISR"/>
    <x v="0"/>
    <x v="11"/>
    <x v="11"/>
    <s v="reported"/>
    <n v="4431.9292180000002"/>
    <n v="4489"/>
    <n v="56.154115279999999"/>
    <n v="3177.943847"/>
    <n v="2656.1002290000001"/>
    <n v="3696.761743"/>
    <x v="83"/>
    <s v="Dec-2020"/>
  </r>
  <r>
    <x v="84"/>
    <s v="ISR"/>
    <x v="1"/>
    <x v="0"/>
    <x v="0"/>
    <s v="reported"/>
    <n v="4430.7219690000002"/>
    <n v="5494"/>
    <n v="1061.4446969999999"/>
    <n v="4239.3885440000004"/>
    <n v="3685.5043850000002"/>
    <n v="4787.0795200000002"/>
    <x v="83"/>
    <s v="Jan-2021"/>
  </r>
  <r>
    <x v="84"/>
    <s v="ISR"/>
    <x v="1"/>
    <x v="1"/>
    <x v="1"/>
    <s v="reported"/>
    <n v="4245.7007119999998"/>
    <n v="4535"/>
    <n v="287.46595509999997"/>
    <n v="4526.854499"/>
    <n v="3930.0551989999999"/>
    <n v="5120.0783700000002"/>
    <x v="83"/>
    <s v="Feb-2021"/>
  </r>
  <r>
    <x v="84"/>
    <s v="ISR"/>
    <x v="1"/>
    <x v="2"/>
    <x v="2"/>
    <s v="reported"/>
    <n v="4108.4226420000005"/>
    <n v="4483"/>
    <n v="372.74402500000002"/>
    <n v="4899.598524"/>
    <n v="4279.8306110000003"/>
    <n v="5508.6811530000004"/>
    <x v="83"/>
    <s v="Mar-2021"/>
  </r>
  <r>
    <x v="84"/>
    <s v="ISR"/>
    <x v="1"/>
    <x v="3"/>
    <x v="3"/>
    <s v="reported"/>
    <n v="3763.0525969999999"/>
    <n v="4008"/>
    <n v="243.11407"/>
    <n v="5142.7125939999996"/>
    <n v="4507.966461"/>
    <n v="5808.4945319999997"/>
    <x v="83"/>
    <s v="Apr-2021"/>
  </r>
  <r>
    <x v="84"/>
    <s v="ISR"/>
    <x v="1"/>
    <x v="4"/>
    <x v="4"/>
    <s v="reported"/>
    <n v="3620.4741570000001"/>
    <n v="3826"/>
    <n v="203.6925095"/>
    <n v="5346.4051040000004"/>
    <n v="4670.5243650000002"/>
    <n v="6015.4239200000002"/>
    <x v="83"/>
    <s v="May-2021"/>
  </r>
  <r>
    <x v="84"/>
    <s v="ISR"/>
    <x v="1"/>
    <x v="5"/>
    <x v="5"/>
    <s v="reported"/>
    <n v="3405.9742329999999"/>
    <n v="3511"/>
    <n v="103.1924332"/>
    <n v="5449.5975369999996"/>
    <n v="4760.7569830000002"/>
    <n v="6110.8058819999997"/>
    <x v="83"/>
    <s v="Jun-2021"/>
  </r>
  <r>
    <x v="84"/>
    <s v="ISR"/>
    <x v="1"/>
    <x v="6"/>
    <x v="6"/>
    <s v="reported"/>
    <n v="3488.8161300000002"/>
    <n v="3730"/>
    <n v="239.350537"/>
    <n v="5688.9480739999999"/>
    <n v="4984.2190760000003"/>
    <n v="6373.1908489999996"/>
    <x v="83"/>
    <s v="Jul-2021"/>
  </r>
  <r>
    <x v="84"/>
    <s v="ISR"/>
    <x v="1"/>
    <x v="7"/>
    <x v="7"/>
    <s v="reported"/>
    <n v="3520.6225930000001"/>
    <n v="4507"/>
    <n v="984.54407349999997"/>
    <n v="6673.4921480000003"/>
    <n v="5962.6429109999999"/>
    <n v="7368.7451529999998"/>
    <x v="83"/>
    <s v="Aug-2021"/>
  </r>
  <r>
    <x v="84"/>
    <s v="ISR"/>
    <x v="1"/>
    <x v="8"/>
    <x v="8"/>
    <s v="reported"/>
    <n v="3435.0647370000002"/>
    <n v="4289"/>
    <n v="852.10192989999996"/>
    <n v="7525.5940769999997"/>
    <n v="6780.1211990000002"/>
    <n v="8228.4859670000005"/>
    <x v="83"/>
    <s v="Sep-2021"/>
  </r>
  <r>
    <x v="84"/>
    <s v="ISR"/>
    <x v="1"/>
    <x v="9"/>
    <x v="9"/>
    <s v="reported"/>
    <n v="3635.8625740000002"/>
    <n v="4163"/>
    <n v="525.30409229999998"/>
    <n v="8050.8981700000004"/>
    <n v="7333.7468419999996"/>
    <n v="8762.6565439999995"/>
    <x v="83"/>
    <s v="Oct-2021"/>
  </r>
  <r>
    <x v="84"/>
    <s v="ISR"/>
    <x v="1"/>
    <x v="10"/>
    <x v="10"/>
    <s v="reported"/>
    <n v="3819.6254530000001"/>
    <n v="3818"/>
    <n v="-3.4587864060000002"/>
    <n v="8047.4393829999999"/>
    <n v="7290.6470170000002"/>
    <n v="8793.3849859999991"/>
    <x v="83"/>
    <s v="Nov-2021"/>
  </r>
  <r>
    <x v="84"/>
    <s v="ISR"/>
    <x v="1"/>
    <x v="11"/>
    <x v="11"/>
    <s v="reported"/>
    <n v="4464.1755599999997"/>
    <n v="4392"/>
    <n v="-74.008893139999998"/>
    <n v="7973.4304899999997"/>
    <n v="7189.6371220000001"/>
    <n v="8735.6430560000008"/>
    <x v="83"/>
    <s v="Dec-2021"/>
  </r>
  <r>
    <x v="85"/>
    <s v="ITA"/>
    <x v="0"/>
    <x v="0"/>
    <x v="0"/>
    <s v="reported"/>
    <n v="61149.545539999999"/>
    <n v="62019"/>
    <n v="867.87112930000001"/>
    <n v="867.87112930000001"/>
    <n v="-1985.1671349999999"/>
    <n v="3633.1985330000002"/>
    <x v="84"/>
    <s v="Jan-2020"/>
  </r>
  <r>
    <x v="85"/>
    <s v="ITA"/>
    <x v="0"/>
    <x v="1"/>
    <x v="1"/>
    <s v="reported"/>
    <n v="58597.581019999998"/>
    <n v="56070"/>
    <n v="-2529.1643479999998"/>
    <n v="-1661.2932189999999"/>
    <n v="-6099.1523980000002"/>
    <n v="2420.99955"/>
    <x v="84"/>
    <s v="Feb-2020"/>
  </r>
  <r>
    <x v="85"/>
    <s v="ITA"/>
    <x v="0"/>
    <x v="2"/>
    <x v="2"/>
    <s v="reported"/>
    <n v="56398.930350000002"/>
    <n v="86501"/>
    <n v="30100.48632"/>
    <n v="28439.1931"/>
    <n v="23324.37585"/>
    <n v="33841.947339999999"/>
    <x v="84"/>
    <s v="Mar-2020"/>
  </r>
  <r>
    <x v="85"/>
    <s v="ITA"/>
    <x v="0"/>
    <x v="3"/>
    <x v="3"/>
    <s v="reported"/>
    <n v="51845.759460000001"/>
    <n v="72809"/>
    <n v="20961.657200000001"/>
    <n v="49400.850299999998"/>
    <n v="43670.919959999999"/>
    <n v="55532.73717"/>
    <x v="84"/>
    <s v="Apr-2020"/>
  </r>
  <r>
    <x v="85"/>
    <s v="ITA"/>
    <x v="0"/>
    <x v="4"/>
    <x v="4"/>
    <s v="reported"/>
    <n v="49506.39228"/>
    <n v="52440"/>
    <n v="2932.0243869999999"/>
    <n v="52332.874689999997"/>
    <n v="45482.568240000001"/>
    <n v="58533.40423"/>
    <x v="84"/>
    <s v="May-2020"/>
  </r>
  <r>
    <x v="85"/>
    <s v="ITA"/>
    <x v="0"/>
    <x v="5"/>
    <x v="5"/>
    <s v="reported"/>
    <n v="48575.61363"/>
    <n v="48589"/>
    <n v="11.803033920000001"/>
    <n v="52344.67772"/>
    <n v="45084.251960000001"/>
    <n v="59228.890789999998"/>
    <x v="84"/>
    <s v="Jun-2020"/>
  </r>
  <r>
    <x v="85"/>
    <s v="ITA"/>
    <x v="0"/>
    <x v="6"/>
    <x v="6"/>
    <s v="reported"/>
    <n v="50624.388250000004"/>
    <n v="51422"/>
    <n v="796.02841909999995"/>
    <n v="53140.706140000002"/>
    <n v="45341.133710000002"/>
    <n v="60808.529459999998"/>
    <x v="84"/>
    <s v="Jul-2020"/>
  </r>
  <r>
    <x v="85"/>
    <s v="ITA"/>
    <x v="0"/>
    <x v="7"/>
    <x v="7"/>
    <s v="reported"/>
    <n v="49827.357239999998"/>
    <n v="53744"/>
    <n v="3915.0594259999998"/>
    <n v="57055.765570000003"/>
    <n v="48822.580569999998"/>
    <n v="65061.68591"/>
    <x v="84"/>
    <s v="Aug-2020"/>
  </r>
  <r>
    <x v="85"/>
    <s v="ITA"/>
    <x v="0"/>
    <x v="8"/>
    <x v="8"/>
    <s v="reported"/>
    <n v="47094.515780000002"/>
    <n v="49326"/>
    <n v="2229.900885"/>
    <n v="59285.666449999997"/>
    <n v="50831.781269999999"/>
    <n v="67660.738679999995"/>
    <x v="84"/>
    <s v="Sep-2020"/>
  </r>
  <r>
    <x v="85"/>
    <s v="ITA"/>
    <x v="0"/>
    <x v="9"/>
    <x v="9"/>
    <s v="reported"/>
    <n v="49618.994939999997"/>
    <n v="59861"/>
    <n v="10240.42173"/>
    <n v="69526.088180000006"/>
    <n v="60375.174420000003"/>
    <n v="78872.578250000006"/>
    <x v="84"/>
    <s v="Oct-2020"/>
  </r>
  <r>
    <x v="85"/>
    <s v="ITA"/>
    <x v="0"/>
    <x v="10"/>
    <x v="10"/>
    <s v="reported"/>
    <n v="52911.472240000003"/>
    <n v="78470"/>
    <n v="25556.94442"/>
    <n v="95083.032609999995"/>
    <n v="85551.824940000006"/>
    <n v="104972.44190000001"/>
    <x v="84"/>
    <s v="Nov-2020"/>
  </r>
  <r>
    <x v="85"/>
    <s v="ITA"/>
    <x v="0"/>
    <x v="11"/>
    <x v="11"/>
    <s v="reported"/>
    <n v="60819.08481"/>
    <n v="74895"/>
    <n v="14074.33186"/>
    <n v="109157.3645"/>
    <n v="99374.192800000004"/>
    <n v="119476.5027"/>
    <x v="84"/>
    <s v="Dec-2020"/>
  </r>
  <r>
    <x v="85"/>
    <s v="ITA"/>
    <x v="1"/>
    <x v="0"/>
    <x v="0"/>
    <s v="reported"/>
    <n v="60747.411059999999"/>
    <n v="74550"/>
    <n v="13795.33894"/>
    <n v="122952.7034"/>
    <n v="112768.6453"/>
    <n v="133931.7164"/>
    <x v="84"/>
    <s v="Jan-2021"/>
  </r>
  <r>
    <x v="85"/>
    <s v="ITA"/>
    <x v="1"/>
    <x v="1"/>
    <x v="1"/>
    <s v="reported"/>
    <n v="58187.212160000003"/>
    <n v="59389"/>
    <n v="1194.5378410000001"/>
    <n v="124147.2412"/>
    <n v="113303.96339999999"/>
    <n v="135595.52970000001"/>
    <x v="84"/>
    <s v="Feb-2021"/>
  </r>
  <r>
    <x v="85"/>
    <s v="ITA"/>
    <x v="1"/>
    <x v="2"/>
    <x v="2"/>
    <s v="reported"/>
    <n v="56179.112650000003"/>
    <n v="68507"/>
    <n v="12320.637350000001"/>
    <n v="136467.8786"/>
    <n v="125439.7129"/>
    <n v="148185.19829999999"/>
    <x v="84"/>
    <s v="Mar-2021"/>
  </r>
  <r>
    <x v="85"/>
    <s v="ITA"/>
    <x v="1"/>
    <x v="3"/>
    <x v="3"/>
    <s v="reported"/>
    <n v="51606.39372"/>
    <n v="63434"/>
    <n v="11820.35628"/>
    <n v="148288.23490000001"/>
    <n v="136307.71590000001"/>
    <n v="160438.39360000001"/>
    <x v="84"/>
    <s v="Apr-2021"/>
  </r>
  <r>
    <x v="85"/>
    <s v="ITA"/>
    <x v="1"/>
    <x v="4"/>
    <x v="4"/>
    <s v="reported"/>
    <n v="49425.912490000002"/>
    <n v="54802"/>
    <n v="5368.8375079999996"/>
    <n v="153657.0724"/>
    <n v="141413.128"/>
    <n v="166208.79689999999"/>
    <x v="84"/>
    <s v="May-2021"/>
  </r>
  <r>
    <x v="85"/>
    <s v="ITA"/>
    <x v="1"/>
    <x v="5"/>
    <x v="5"/>
    <s v="reported"/>
    <n v="48369.290330000003"/>
    <n v="52201"/>
    <n v="3824.459672"/>
    <n v="157481.53210000001"/>
    <n v="144902.02359999999"/>
    <n v="171487.51850000001"/>
    <x v="84"/>
    <s v="Jun-2021"/>
  </r>
  <r>
    <x v="85"/>
    <s v="ITA"/>
    <x v="1"/>
    <x v="6"/>
    <x v="6"/>
    <s v="reported"/>
    <n v="50415.242810000003"/>
    <n v="53668"/>
    <n v="3245.5071929999999"/>
    <n v="160727.0393"/>
    <n v="147459.7015"/>
    <n v="174527.8444"/>
    <x v="84"/>
    <s v="Jul-2021"/>
  </r>
  <r>
    <x v="85"/>
    <s v="ITA"/>
    <x v="1"/>
    <x v="7"/>
    <x v="7"/>
    <s v="reported"/>
    <n v="49582.650560000002"/>
    <n v="56594"/>
    <n v="7004.0994410000003"/>
    <n v="167731.13870000001"/>
    <n v="153945.91560000001"/>
    <n v="181827.77849999999"/>
    <x v="84"/>
    <s v="Aug-2021"/>
  </r>
  <r>
    <x v="85"/>
    <s v="ITA"/>
    <x v="1"/>
    <x v="8"/>
    <x v="8"/>
    <s v="reported"/>
    <n v="46861.982309999999"/>
    <n v="51456"/>
    <n v="4586.7676940000001"/>
    <n v="172317.90640000001"/>
    <n v="158636.94589999999"/>
    <n v="186817.27929999999"/>
    <x v="84"/>
    <s v="Sep-2021"/>
  </r>
  <r>
    <x v="85"/>
    <s v="ITA"/>
    <x v="1"/>
    <x v="9"/>
    <x v="9"/>
    <s v="reported"/>
    <n v="49318.901859999998"/>
    <n v="54463"/>
    <n v="5136.8481380000003"/>
    <n v="177454.75450000001"/>
    <n v="163614.61670000001"/>
    <n v="191936.91810000001"/>
    <x v="84"/>
    <s v="Oct-2021"/>
  </r>
  <r>
    <x v="85"/>
    <s v="ITA"/>
    <x v="1"/>
    <x v="10"/>
    <x v="10"/>
    <s v="reported"/>
    <n v="52604.130879999997"/>
    <n v="54870"/>
    <n v="2258.6191199999998"/>
    <n v="179713.3737"/>
    <n v="165764.03080000001"/>
    <n v="195317.99460000001"/>
    <x v="84"/>
    <s v="Nov-2021"/>
  </r>
  <r>
    <x v="85"/>
    <s v="ITA"/>
    <x v="1"/>
    <x v="11"/>
    <x v="11"/>
    <s v="reported"/>
    <n v="60542.903689999999"/>
    <n v="65101"/>
    <n v="4550.8463080000001"/>
    <n v="184264.22"/>
    <n v="168849.0349"/>
    <n v="199966.7421"/>
    <x v="84"/>
    <s v="Dec-2021"/>
  </r>
  <r>
    <x v="86"/>
    <s v="JAM"/>
    <x v="0"/>
    <x v="0"/>
    <x v="0"/>
    <s v="reported"/>
    <n v="1615.6022680000001"/>
    <n v="1596"/>
    <n v="-39.935601290000001"/>
    <n v="-39.935601290000001"/>
    <n v="-100.4876976"/>
    <n v="18.05603176"/>
    <x v="85"/>
    <s v="Jan-2020"/>
  </r>
  <r>
    <x v="86"/>
    <s v="JAM"/>
    <x v="0"/>
    <x v="1"/>
    <x v="1"/>
    <s v="reported"/>
    <n v="1629.0203349999999"/>
    <n v="1453"/>
    <n v="-196.35366819999999"/>
    <n v="-236.28926949999999"/>
    <n v="-327.21718989999999"/>
    <n v="-145.55389460000001"/>
    <x v="85"/>
    <s v="Feb-2020"/>
  </r>
  <r>
    <x v="86"/>
    <s v="JAM"/>
    <x v="0"/>
    <x v="2"/>
    <x v="2"/>
    <s v="reported"/>
    <n v="1609.3403450000001"/>
    <n v="1525"/>
    <n v="-104.67367849999999"/>
    <n v="-340.96294799999998"/>
    <n v="-453.52155269999997"/>
    <n v="-226.36096699999999"/>
    <x v="85"/>
    <s v="Mar-2020"/>
  </r>
  <r>
    <x v="86"/>
    <s v="JAM"/>
    <x v="0"/>
    <x v="3"/>
    <x v="3"/>
    <s v="reported"/>
    <n v="1556.8483209999999"/>
    <n v="1479"/>
    <n v="-98.181654809999998"/>
    <n v="-439.14460279999997"/>
    <n v="-569.94868489999999"/>
    <n v="-298.05278529999998"/>
    <x v="85"/>
    <s v="Apr-2020"/>
  </r>
  <r>
    <x v="86"/>
    <s v="JAM"/>
    <x v="0"/>
    <x v="4"/>
    <x v="4"/>
    <s v="reported"/>
    <n v="1543.724005"/>
    <n v="1462"/>
    <n v="-102.0573385"/>
    <n v="-541.20194130000004"/>
    <n v="-690.23628980000001"/>
    <n v="-385.72017770000002"/>
    <x v="85"/>
    <s v="May-2020"/>
  </r>
  <r>
    <x v="86"/>
    <s v="JAM"/>
    <x v="0"/>
    <x v="5"/>
    <x v="5"/>
    <s v="reported"/>
    <n v="1562.7894550000001"/>
    <n v="1503"/>
    <n v="-80.122788720000003"/>
    <n v="-621.32473000000005"/>
    <n v="-794.13028220000001"/>
    <n v="-442.1157048"/>
    <x v="85"/>
    <s v="Jun-2020"/>
  </r>
  <r>
    <x v="86"/>
    <s v="JAM"/>
    <x v="0"/>
    <x v="6"/>
    <x v="6"/>
    <s v="reported"/>
    <n v="1583.9329379999999"/>
    <n v="1551"/>
    <n v="-53.266271760000002"/>
    <n v="-674.59100179999996"/>
    <n v="-858.88001799999995"/>
    <n v="-485.92665219999998"/>
    <x v="85"/>
    <s v="Jul-2020"/>
  </r>
  <r>
    <x v="86"/>
    <s v="JAM"/>
    <x v="0"/>
    <x v="7"/>
    <x v="7"/>
    <s v="reported"/>
    <n v="1559.587687"/>
    <n v="1672"/>
    <n v="92.0789793"/>
    <n v="-582.51202249999994"/>
    <n v="-778.61218829999996"/>
    <n v="-383.90711299999998"/>
    <x v="85"/>
    <s v="Aug-2020"/>
  </r>
  <r>
    <x v="86"/>
    <s v="JAM"/>
    <x v="0"/>
    <x v="8"/>
    <x v="8"/>
    <s v="reported"/>
    <n v="1535.4143039999999"/>
    <n v="1685"/>
    <n v="129.25236229999999"/>
    <n v="-453.25966019999998"/>
    <n v="-659.46276"/>
    <n v="-241.96722270000001"/>
    <x v="85"/>
    <s v="Sep-2020"/>
  </r>
  <r>
    <x v="86"/>
    <s v="JAM"/>
    <x v="0"/>
    <x v="9"/>
    <x v="9"/>
    <s v="reported"/>
    <n v="1535.18614"/>
    <n v="1659"/>
    <n v="103.48052680000001"/>
    <n v="-349.7791335"/>
    <n v="-571.90099580000003"/>
    <n v="-115.35363"/>
    <x v="85"/>
    <s v="Oct-2020"/>
  </r>
  <r>
    <x v="86"/>
    <s v="JAM"/>
    <x v="0"/>
    <x v="10"/>
    <x v="10"/>
    <s v="reported"/>
    <n v="1569.5044350000001"/>
    <n v="1628"/>
    <n v="38.162231839999997"/>
    <n v="-311.61690160000001"/>
    <n v="-535.81239970000001"/>
    <n v="-79.229080179999997"/>
    <x v="85"/>
    <s v="Nov-2020"/>
  </r>
  <r>
    <x v="86"/>
    <s v="JAM"/>
    <x v="0"/>
    <x v="11"/>
    <x v="11"/>
    <s v="reported"/>
    <n v="1632.0640760000001"/>
    <n v="1765"/>
    <n v="112.6025909"/>
    <n v="-199.01431070000001"/>
    <n v="-423.07843209999999"/>
    <n v="35.084316690000001"/>
    <x v="85"/>
    <s v="Dec-2020"/>
  </r>
  <r>
    <x v="86"/>
    <s v="JAM"/>
    <x v="1"/>
    <x v="0"/>
    <x v="0"/>
    <s v="reported"/>
    <n v="1636.437541"/>
    <n v="1704"/>
    <n v="45.47912607"/>
    <n v="-153.5351847"/>
    <n v="-390.46705880000002"/>
    <n v="100.59667210000001"/>
    <x v="85"/>
    <s v="Jan-2021"/>
  </r>
  <r>
    <x v="86"/>
    <s v="JAM"/>
    <x v="1"/>
    <x v="1"/>
    <x v="1"/>
    <s v="reported"/>
    <n v="1650.6046570000001"/>
    <n v="1806"/>
    <n v="133.3120098"/>
    <n v="-20.223174820000001"/>
    <n v="-286.87402250000002"/>
    <n v="250.4726962"/>
    <x v="85"/>
    <s v="Feb-2021"/>
  </r>
  <r>
    <x v="86"/>
    <s v="JAM"/>
    <x v="1"/>
    <x v="2"/>
    <x v="2"/>
    <s v="reported"/>
    <n v="1627.921726"/>
    <n v="2435"/>
    <n v="784.99494100000004"/>
    <n v="764.77176610000004"/>
    <n v="493.11214610000002"/>
    <n v="1038.6493740000001"/>
    <x v="85"/>
    <s v="Mar-2021"/>
  </r>
  <r>
    <x v="86"/>
    <s v="JAM"/>
    <x v="1"/>
    <x v="3"/>
    <x v="3"/>
    <s v="reported"/>
    <n v="1578.614174"/>
    <n v="1892"/>
    <n v="291.30249250000003"/>
    <n v="1056.074259"/>
    <n v="770.41186900000002"/>
    <n v="1334.5740599999999"/>
    <x v="85"/>
    <s v="Apr-2021"/>
  </r>
  <r>
    <x v="86"/>
    <s v="JAM"/>
    <x v="1"/>
    <x v="4"/>
    <x v="4"/>
    <s v="reported"/>
    <n v="1559.8507139999999"/>
    <n v="1713"/>
    <n v="131.06595300000001"/>
    <n v="1187.140212"/>
    <n v="891.17614890000004"/>
    <n v="1468.382044"/>
    <x v="85"/>
    <s v="May-2021"/>
  </r>
  <r>
    <x v="86"/>
    <s v="JAM"/>
    <x v="1"/>
    <x v="5"/>
    <x v="5"/>
    <s v="reported"/>
    <n v="1579.5143230000001"/>
    <n v="1539"/>
    <n v="-62.59765617"/>
    <n v="1124.542555"/>
    <n v="813.04936540000006"/>
    <n v="1417.7814530000001"/>
    <x v="85"/>
    <s v="Jun-2021"/>
  </r>
  <r>
    <x v="86"/>
    <s v="JAM"/>
    <x v="1"/>
    <x v="6"/>
    <x v="6"/>
    <s v="reported"/>
    <n v="1599.50739"/>
    <n v="1601"/>
    <n v="-20.590723149999999"/>
    <n v="1103.951832"/>
    <n v="784.42815289999999"/>
    <n v="1411.4306120000001"/>
    <x v="85"/>
    <s v="Jul-2021"/>
  </r>
  <r>
    <x v="86"/>
    <s v="JAM"/>
    <x v="1"/>
    <x v="7"/>
    <x v="7"/>
    <s v="reported"/>
    <n v="1576.4122629999999"/>
    <n v="2986"/>
    <n v="1387.5044029999999"/>
    <n v="2491.456236"/>
    <n v="2171.2689009999999"/>
    <n v="2806.074235"/>
    <x v="85"/>
    <s v="Aug-2021"/>
  </r>
  <r>
    <x v="86"/>
    <s v="JAM"/>
    <x v="1"/>
    <x v="8"/>
    <x v="8"/>
    <s v="reported"/>
    <n v="1554.2223349999999"/>
    <n v="3583"/>
    <n v="2006.6943309999999"/>
    <n v="4498.1505669999997"/>
    <n v="4155.9715699999997"/>
    <n v="4823.6848849999997"/>
    <x v="85"/>
    <s v="Sep-2021"/>
  </r>
  <r>
    <x v="86"/>
    <s v="JAM"/>
    <x v="1"/>
    <x v="9"/>
    <x v="9"/>
    <s v="reported"/>
    <n v="1550.8147389999999"/>
    <n v="2028"/>
    <n v="455.10192799999999"/>
    <n v="4953.2524949999997"/>
    <n v="4594.9919069999996"/>
    <n v="5290.1341650000004"/>
    <x v="85"/>
    <s v="Oct-2021"/>
  </r>
  <r>
    <x v="86"/>
    <s v="JAM"/>
    <x v="1"/>
    <x v="10"/>
    <x v="10"/>
    <s v="reported"/>
    <n v="1586.828215"/>
    <n v="1556"/>
    <n v="-52.911548240000002"/>
    <n v="4900.3409469999997"/>
    <n v="4548.0254340000001"/>
    <n v="5253.5238920000002"/>
    <x v="85"/>
    <s v="Nov-2021"/>
  </r>
  <r>
    <x v="86"/>
    <s v="JAM"/>
    <x v="1"/>
    <x v="11"/>
    <x v="11"/>
    <s v="predicted"/>
    <n v="1655.360588"/>
    <n v="1928.1420000000001"/>
    <n v="250.6980786"/>
    <n v="5151.039025"/>
    <n v="4528.8421660000004"/>
    <n v="5849.0139179999996"/>
    <x v="85"/>
    <s v="Dec-2021"/>
  </r>
  <r>
    <x v="87"/>
    <s v="JOR"/>
    <x v="0"/>
    <x v="0"/>
    <x v="0"/>
    <s v="reported"/>
    <n v="2964.755901"/>
    <n v="3597"/>
    <n v="632.05821400000002"/>
    <n v="632.05821400000002"/>
    <n v="446.45210530000003"/>
    <n v="813.14314139999999"/>
    <x v="86"/>
    <s v="Jan-2020"/>
  </r>
  <r>
    <x v="87"/>
    <s v="JOR"/>
    <x v="0"/>
    <x v="1"/>
    <x v="1"/>
    <s v="reported"/>
    <n v="2842.3304469999998"/>
    <n v="2777"/>
    <n v="-65.516331539999996"/>
    <n v="566.54188250000004"/>
    <n v="285.69696729999998"/>
    <n v="833.89437859999998"/>
    <x v="86"/>
    <s v="Feb-2020"/>
  </r>
  <r>
    <x v="87"/>
    <s v="JOR"/>
    <x v="0"/>
    <x v="2"/>
    <x v="2"/>
    <s v="reported"/>
    <n v="2695.4955"/>
    <n v="2772"/>
    <n v="76.318614800000006"/>
    <n v="642.86049730000002"/>
    <n v="292.07784709999999"/>
    <n v="979.3635716"/>
    <x v="86"/>
    <s v="Mar-2020"/>
  </r>
  <r>
    <x v="87"/>
    <s v="JOR"/>
    <x v="0"/>
    <x v="3"/>
    <x v="3"/>
    <s v="reported"/>
    <n v="2540.201677"/>
    <n v="2324"/>
    <n v="-216.38756169999999"/>
    <n v="426.47293550000001"/>
    <n v="34.520547290000003"/>
    <n v="789.85032980000005"/>
    <x v="86"/>
    <s v="Apr-2020"/>
  </r>
  <r>
    <x v="87"/>
    <s v="JOR"/>
    <x v="0"/>
    <x v="4"/>
    <x v="4"/>
    <s v="reported"/>
    <n v="2441.0238410000002"/>
    <n v="2620"/>
    <n v="178.7902742"/>
    <n v="605.26320980000003"/>
    <n v="162.4431984"/>
    <n v="1014.812529"/>
    <x v="86"/>
    <s v="May-2020"/>
  </r>
  <r>
    <x v="87"/>
    <s v="JOR"/>
    <x v="0"/>
    <x v="5"/>
    <x v="5"/>
    <s v="reported"/>
    <n v="2393.3745239999998"/>
    <n v="2306"/>
    <n v="-87.560408519999996"/>
    <n v="517.70280130000003"/>
    <n v="46.979865760000003"/>
    <n v="968.28111279999996"/>
    <x v="86"/>
    <s v="Jun-2020"/>
  </r>
  <r>
    <x v="87"/>
    <s v="JOR"/>
    <x v="0"/>
    <x v="6"/>
    <x v="6"/>
    <s v="reported"/>
    <n v="2423.6753319999998"/>
    <n v="2356"/>
    <n v="-67.861216450000001"/>
    <n v="449.84158480000002"/>
    <n v="-51.16993506"/>
    <n v="918.56229519999999"/>
    <x v="86"/>
    <s v="Jul-2020"/>
  </r>
  <r>
    <x v="87"/>
    <s v="JOR"/>
    <x v="0"/>
    <x v="7"/>
    <x v="7"/>
    <s v="reported"/>
    <n v="2476.0226379999999"/>
    <n v="2455"/>
    <n v="-21.208522609999999"/>
    <n v="428.63306219999998"/>
    <n v="-95.21832259"/>
    <n v="936.7041299"/>
    <x v="86"/>
    <s v="Aug-2020"/>
  </r>
  <r>
    <x v="87"/>
    <s v="JOR"/>
    <x v="0"/>
    <x v="8"/>
    <x v="8"/>
    <s v="reported"/>
    <n v="2538.8088029999999"/>
    <n v="2554"/>
    <n v="15.00531247"/>
    <n v="443.63837469999999"/>
    <n v="-82.504106230000005"/>
    <n v="954.23329820000004"/>
    <x v="86"/>
    <s v="Sep-2020"/>
  </r>
  <r>
    <x v="87"/>
    <s v="JOR"/>
    <x v="0"/>
    <x v="9"/>
    <x v="9"/>
    <s v="reported"/>
    <n v="2688.592893"/>
    <n v="3807"/>
    <n v="1118.2212219999999"/>
    <n v="1561.8595969999999"/>
    <n v="1016.942047"/>
    <n v="2114.7815230000001"/>
    <x v="86"/>
    <s v="Oct-2020"/>
  </r>
  <r>
    <x v="87"/>
    <s v="JOR"/>
    <x v="0"/>
    <x v="10"/>
    <x v="10"/>
    <s v="reported"/>
    <n v="2866.914229"/>
    <n v="5531"/>
    <n v="2663.899887"/>
    <n v="4225.7594840000002"/>
    <n v="3632.9203309999998"/>
    <n v="4807.865307"/>
    <x v="86"/>
    <s v="Nov-2020"/>
  </r>
  <r>
    <x v="87"/>
    <s v="JOR"/>
    <x v="0"/>
    <x v="11"/>
    <x v="11"/>
    <s v="reported"/>
    <n v="2994.124417"/>
    <n v="3780"/>
    <n v="785.68969830000003"/>
    <n v="5011.4491820000003"/>
    <n v="4360.0507550000002"/>
    <n v="5683.11859"/>
    <x v="86"/>
    <s v="Dec-2020"/>
  </r>
  <r>
    <x v="87"/>
    <s v="JOR"/>
    <x v="1"/>
    <x v="0"/>
    <x v="0"/>
    <s v="reported"/>
    <n v="2987.315971"/>
    <n v="3551"/>
    <n v="563.68402909999998"/>
    <n v="5575.1332110000003"/>
    <n v="4914.76505"/>
    <n v="6268.1818569999996"/>
    <x v="86"/>
    <s v="Jan-2021"/>
  </r>
  <r>
    <x v="87"/>
    <s v="JOR"/>
    <x v="1"/>
    <x v="1"/>
    <x v="1"/>
    <s v="reported"/>
    <n v="2881.7757470000001"/>
    <n v="3167"/>
    <n v="285.22425270000002"/>
    <n v="5860.3574639999997"/>
    <n v="5095.3235359999999"/>
    <n v="6604.4440100000002"/>
    <x v="86"/>
    <s v="Feb-2021"/>
  </r>
  <r>
    <x v="87"/>
    <s v="JOR"/>
    <x v="1"/>
    <x v="2"/>
    <x v="2"/>
    <s v="reported"/>
    <n v="2712.3107439999999"/>
    <n v="6114"/>
    <n v="3401.6892560000001"/>
    <n v="9262.0467200000003"/>
    <n v="8462.3046699999995"/>
    <n v="9994.9178580000007"/>
    <x v="86"/>
    <s v="Mar-2021"/>
  </r>
  <r>
    <x v="87"/>
    <s v="JOR"/>
    <x v="1"/>
    <x v="3"/>
    <x v="3"/>
    <s v="reported"/>
    <n v="2570.882188"/>
    <n v="5228"/>
    <n v="2657.117812"/>
    <n v="11919.16453"/>
    <n v="11120.126410000001"/>
    <n v="12667.606110000001"/>
    <x v="86"/>
    <s v="Apr-2021"/>
  </r>
  <r>
    <x v="87"/>
    <s v="JOR"/>
    <x v="1"/>
    <x v="4"/>
    <x v="4"/>
    <s v="reported"/>
    <n v="2472.8079080000002"/>
    <n v="3490"/>
    <n v="1017.192092"/>
    <n v="12936.35662"/>
    <n v="12103.819820000001"/>
    <n v="13752.894850000001"/>
    <x v="86"/>
    <s v="May-2021"/>
  </r>
  <r>
    <x v="87"/>
    <s v="JOR"/>
    <x v="1"/>
    <x v="5"/>
    <x v="5"/>
    <s v="reported"/>
    <n v="2420.0368920000001"/>
    <n v="2801"/>
    <n v="380.96310770000002"/>
    <n v="13317.319729999999"/>
    <n v="12422.567520000001"/>
    <n v="14110.1564"/>
    <x v="86"/>
    <s v="Jun-2021"/>
  </r>
  <r>
    <x v="87"/>
    <s v="JOR"/>
    <x v="1"/>
    <x v="6"/>
    <x v="6"/>
    <s v="reported"/>
    <n v="2451.6137440000002"/>
    <n v="2938"/>
    <n v="486.38625580000001"/>
    <n v="13803.70599"/>
    <n v="12943.178680000001"/>
    <n v="14645.86161"/>
    <x v="86"/>
    <s v="Jul-2021"/>
  </r>
  <r>
    <x v="87"/>
    <s v="JOR"/>
    <x v="1"/>
    <x v="7"/>
    <x v="7"/>
    <s v="reported"/>
    <n v="2503.3494019999998"/>
    <n v="3092"/>
    <n v="588.65059770000005"/>
    <n v="14392.356589999999"/>
    <n v="13460.24048"/>
    <n v="15232.96236"/>
    <x v="86"/>
    <s v="Aug-2021"/>
  </r>
  <r>
    <x v="87"/>
    <s v="JOR"/>
    <x v="1"/>
    <x v="8"/>
    <x v="8"/>
    <s v="reported"/>
    <n v="2580.0372520000001"/>
    <n v="2693"/>
    <n v="112.9627483"/>
    <n v="14505.31933"/>
    <n v="13546.253259999999"/>
    <n v="15392.43384"/>
    <x v="86"/>
    <s v="Sep-2021"/>
  </r>
  <r>
    <x v="87"/>
    <s v="JOR"/>
    <x v="1"/>
    <x v="9"/>
    <x v="9"/>
    <s v="reported"/>
    <n v="2713.4113619999998"/>
    <n v="2910"/>
    <n v="196.5886385"/>
    <n v="14701.90797"/>
    <n v="13689.72141"/>
    <n v="15654.398230000001"/>
    <x v="86"/>
    <s v="Oct-2021"/>
  </r>
  <r>
    <x v="87"/>
    <s v="JOR"/>
    <x v="1"/>
    <x v="10"/>
    <x v="10"/>
    <s v="reported"/>
    <n v="2913.8295720000001"/>
    <n v="3490"/>
    <n v="576.17042800000002"/>
    <n v="15278.0784"/>
    <n v="14306.8249"/>
    <n v="16262.20376"/>
    <x v="86"/>
    <s v="Nov-2021"/>
  </r>
  <r>
    <x v="87"/>
    <s v="JOR"/>
    <x v="1"/>
    <x v="11"/>
    <x v="11"/>
    <s v="reported"/>
    <n v="3032.2243060000001"/>
    <n v="4387"/>
    <n v="1354.7756939999999"/>
    <n v="16632.854090000001"/>
    <n v="15595.690699999999"/>
    <n v="17686.6482"/>
    <x v="86"/>
    <s v="Dec-2021"/>
  </r>
  <r>
    <x v="88"/>
    <s v="JPN"/>
    <x v="0"/>
    <x v="0"/>
    <x v="0"/>
    <s v="reported"/>
    <n v="133479.07389999999"/>
    <n v="132622"/>
    <n v="-865.15722040000003"/>
    <n v="-865.15722040000003"/>
    <n v="-3813.2086359999998"/>
    <n v="2064.9150079999999"/>
    <x v="87"/>
    <s v="Jan-2020"/>
  </r>
  <r>
    <x v="88"/>
    <s v="JPN"/>
    <x v="0"/>
    <x v="1"/>
    <x v="1"/>
    <s v="reported"/>
    <n v="123312.6446"/>
    <n v="117010"/>
    <n v="-6310.7279660000004"/>
    <n v="-7175.8851869999999"/>
    <n v="-12010.48957"/>
    <n v="-2383.8612889999999"/>
    <x v="87"/>
    <s v="Feb-2020"/>
  </r>
  <r>
    <x v="88"/>
    <s v="JPN"/>
    <x v="0"/>
    <x v="2"/>
    <x v="2"/>
    <s v="reported"/>
    <n v="122963.1149"/>
    <n v="119161"/>
    <n v="-3810.1981970000002"/>
    <n v="-10986.08338"/>
    <n v="-16693.994869999999"/>
    <n v="-4727.3744269999997"/>
    <x v="87"/>
    <s v="Mar-2020"/>
  </r>
  <r>
    <x v="88"/>
    <s v="JPN"/>
    <x v="0"/>
    <x v="3"/>
    <x v="3"/>
    <s v="reported"/>
    <n v="114263.0468"/>
    <n v="113362"/>
    <n v="-909.13012800000001"/>
    <n v="-11895.21351"/>
    <n v="-18831.06033"/>
    <n v="-4855.220883"/>
    <x v="87"/>
    <s v="Apr-2020"/>
  </r>
  <r>
    <x v="88"/>
    <s v="JPN"/>
    <x v="0"/>
    <x v="4"/>
    <x v="4"/>
    <s v="reported"/>
    <n v="110549.2671"/>
    <n v="108380"/>
    <n v="-2177.3503879999998"/>
    <n v="-14072.563899999999"/>
    <n v="-21673.9584"/>
    <n v="-6364.217791"/>
    <x v="87"/>
    <s v="May-2020"/>
  </r>
  <r>
    <x v="88"/>
    <s v="JPN"/>
    <x v="0"/>
    <x v="5"/>
    <x v="5"/>
    <s v="reported"/>
    <n v="103232.613"/>
    <n v="100423"/>
    <n v="-2817.6963479999999"/>
    <n v="-16890.260249999999"/>
    <n v="-25182.185409999998"/>
    <n v="-8810.5831799999996"/>
    <x v="87"/>
    <s v="Jun-2020"/>
  </r>
  <r>
    <x v="88"/>
    <s v="JPN"/>
    <x v="0"/>
    <x v="6"/>
    <x v="6"/>
    <s v="reported"/>
    <n v="107935.6663"/>
    <n v="104849"/>
    <n v="-3094.749683"/>
    <n v="-19985.00993"/>
    <n v="-28906.272379999999"/>
    <n v="-10933.12803"/>
    <x v="87"/>
    <s v="Jul-2020"/>
  </r>
  <r>
    <x v="88"/>
    <s v="JPN"/>
    <x v="0"/>
    <x v="7"/>
    <x v="7"/>
    <s v="reported"/>
    <n v="110153.6908"/>
    <n v="111591"/>
    <n v="1429.2258220000001"/>
    <n v="-18555.784110000001"/>
    <n v="-28281.444159999999"/>
    <n v="-9488.6393790000002"/>
    <x v="87"/>
    <s v="Aug-2020"/>
  </r>
  <r>
    <x v="88"/>
    <s v="JPN"/>
    <x v="0"/>
    <x v="8"/>
    <x v="8"/>
    <s v="reported"/>
    <n v="108176.2715"/>
    <n v="107468"/>
    <n v="-716.35480559999996"/>
    <n v="-19272.138910000001"/>
    <n v="-28964.64097"/>
    <n v="-9809.3395610000007"/>
    <x v="87"/>
    <s v="Sep-2020"/>
  </r>
  <r>
    <x v="88"/>
    <s v="JPN"/>
    <x v="0"/>
    <x v="9"/>
    <x v="9"/>
    <s v="reported"/>
    <n v="115930.6854"/>
    <n v="118038"/>
    <n v="2099.2312230000002"/>
    <n v="-17172.90769"/>
    <n v="-26773.7179"/>
    <n v="-7012.7125210000004"/>
    <x v="87"/>
    <s v="Oct-2020"/>
  </r>
  <r>
    <x v="88"/>
    <s v="JPN"/>
    <x v="0"/>
    <x v="10"/>
    <x v="10"/>
    <s v="reported"/>
    <n v="120847.8676"/>
    <n v="118455"/>
    <n v="-2400.9509290000001"/>
    <n v="-19573.858619999999"/>
    <n v="-30408.154480000001"/>
    <n v="-8736.3222700000006"/>
    <x v="87"/>
    <s v="Nov-2020"/>
  </r>
  <r>
    <x v="88"/>
    <s v="JPN"/>
    <x v="0"/>
    <x v="11"/>
    <x v="11"/>
    <s v="reported"/>
    <n v="135524.21539999999"/>
    <n v="133185"/>
    <n v="-2347.2987699999999"/>
    <n v="-21921.15739"/>
    <n v="-33422.094570000001"/>
    <n v="-9953.8619130000006"/>
    <x v="87"/>
    <s v="Dec-2020"/>
  </r>
  <r>
    <x v="88"/>
    <s v="JPN"/>
    <x v="1"/>
    <x v="0"/>
    <x v="0"/>
    <s v="reported"/>
    <n v="135792.21650000001"/>
    <n v="140844"/>
    <n v="5043.7835370000003"/>
    <n v="-16877.37385"/>
    <n v="-28590.37558"/>
    <n v="-4589.749092"/>
    <x v="87"/>
    <s v="Jan-2021"/>
  </r>
  <r>
    <x v="88"/>
    <s v="JPN"/>
    <x v="1"/>
    <x v="1"/>
    <x v="1"/>
    <s v="reported"/>
    <n v="125494.03690000001"/>
    <n v="118984"/>
    <n v="-6518.0369369999999"/>
    <n v="-23395.410790000002"/>
    <n v="-36335.707009999998"/>
    <n v="-10346.845139999999"/>
    <x v="87"/>
    <s v="Feb-2021"/>
  </r>
  <r>
    <x v="88"/>
    <s v="JPN"/>
    <x v="1"/>
    <x v="2"/>
    <x v="2"/>
    <s v="reported"/>
    <n v="125230.01059999999"/>
    <n v="123579"/>
    <n v="-1659.0106270000001"/>
    <n v="-25054.421419999999"/>
    <n v="-38211.254800000002"/>
    <n v="-11554.58598"/>
    <x v="87"/>
    <s v="Mar-2021"/>
  </r>
  <r>
    <x v="88"/>
    <s v="JPN"/>
    <x v="1"/>
    <x v="3"/>
    <x v="3"/>
    <s v="reported"/>
    <n v="116074.6"/>
    <n v="118169"/>
    <n v="2086.3999509999999"/>
    <n v="-22968.02147"/>
    <n v="-36645.858489999999"/>
    <n v="-8681.0330119999999"/>
    <x v="87"/>
    <s v="Apr-2021"/>
  </r>
  <r>
    <x v="88"/>
    <s v="JPN"/>
    <x v="1"/>
    <x v="4"/>
    <x v="4"/>
    <s v="reported"/>
    <n v="112452.3305"/>
    <n v="118634"/>
    <n v="6173.6694600000001"/>
    <n v="-16794.352009999999"/>
    <n v="-30752.762180000002"/>
    <n v="-1999.5097390000001"/>
    <x v="87"/>
    <s v="May-2021"/>
  </r>
  <r>
    <x v="88"/>
    <s v="JPN"/>
    <x v="1"/>
    <x v="5"/>
    <x v="5"/>
    <s v="reported"/>
    <n v="104951.90609999999"/>
    <n v="108734"/>
    <n v="3774.0938679999999"/>
    <n v="-13020.25814"/>
    <n v="-26869.619770000001"/>
    <n v="2604.082351"/>
    <x v="87"/>
    <s v="Jun-2021"/>
  </r>
  <r>
    <x v="88"/>
    <s v="JPN"/>
    <x v="1"/>
    <x v="6"/>
    <x v="6"/>
    <s v="reported"/>
    <n v="109676.9339"/>
    <n v="112222"/>
    <n v="2537.066143"/>
    <n v="-10483.191999999999"/>
    <n v="-24968.384409999999"/>
    <n v="4889.7186330000004"/>
    <x v="87"/>
    <s v="Jul-2021"/>
  </r>
  <r>
    <x v="88"/>
    <s v="JPN"/>
    <x v="1"/>
    <x v="7"/>
    <x v="7"/>
    <s v="reported"/>
    <n v="112037.77220000001"/>
    <n v="117804"/>
    <n v="5758.2277949999998"/>
    <n v="-4724.9642000000003"/>
    <n v="-19239.95234"/>
    <n v="10921.28009"/>
    <x v="87"/>
    <s v="Aug-2021"/>
  </r>
  <r>
    <x v="88"/>
    <s v="JPN"/>
    <x v="1"/>
    <x v="8"/>
    <x v="8"/>
    <s v="reported"/>
    <n v="109921.0433"/>
    <n v="115706"/>
    <n v="5776.9567230000002"/>
    <n v="1051.9925229999999"/>
    <n v="-14247.402899999999"/>
    <n v="17620.86879"/>
    <x v="87"/>
    <s v="Sep-2021"/>
  </r>
  <r>
    <x v="88"/>
    <s v="JPN"/>
    <x v="1"/>
    <x v="9"/>
    <x v="9"/>
    <s v="reported"/>
    <n v="117824.36199999999"/>
    <n v="120781"/>
    <n v="2948.637999"/>
    <n v="4000.6305219999999"/>
    <n v="-11677.936669999999"/>
    <n v="21108.181420000001"/>
    <x v="87"/>
    <s v="Oct-2021"/>
  </r>
  <r>
    <x v="88"/>
    <s v="JPN"/>
    <x v="1"/>
    <x v="10"/>
    <x v="10"/>
    <s v="reported"/>
    <n v="122778.39509999999"/>
    <n v="122806"/>
    <n v="19.604859579999999"/>
    <n v="4020.235381"/>
    <n v="-12600.003860000001"/>
    <n v="21164.57504"/>
    <x v="87"/>
    <s v="Nov-2021"/>
  </r>
  <r>
    <x v="88"/>
    <s v="JPN"/>
    <x v="1"/>
    <x v="11"/>
    <x v="11"/>
    <s v="reported"/>
    <n v="137841.99720000001"/>
    <n v="134026"/>
    <n v="-3823.9971529999998"/>
    <n v="196.23822870000001"/>
    <n v="-17060.813180000001"/>
    <n v="17466.425660000001"/>
    <x v="87"/>
    <s v="Dec-2021"/>
  </r>
  <r>
    <x v="89"/>
    <s v="KAZ"/>
    <x v="0"/>
    <x v="0"/>
    <x v="0"/>
    <s v="reported"/>
    <n v="10947.45095"/>
    <n v="11867"/>
    <n v="917.79904720000002"/>
    <n v="917.79904720000002"/>
    <n v="554.24700399999995"/>
    <n v="1284.372552"/>
    <x v="88"/>
    <s v="Jan-2020"/>
  </r>
  <r>
    <x v="89"/>
    <s v="KAZ"/>
    <x v="0"/>
    <x v="1"/>
    <x v="1"/>
    <s v="reported"/>
    <n v="10946.577670000001"/>
    <n v="10842"/>
    <n v="-106.32766789999999"/>
    <n v="811.47137929999997"/>
    <n v="312.945784"/>
    <n v="1350.662695"/>
    <x v="88"/>
    <s v="Feb-2020"/>
  </r>
  <r>
    <x v="89"/>
    <s v="KAZ"/>
    <x v="0"/>
    <x v="2"/>
    <x v="2"/>
    <s v="reported"/>
    <n v="10949.36807"/>
    <n v="8511"/>
    <n v="-2440.1180730000001"/>
    <n v="-1628.646694"/>
    <n v="-2264.6532710000001"/>
    <n v="-967.95517989999996"/>
    <x v="88"/>
    <s v="Mar-2020"/>
  </r>
  <r>
    <x v="89"/>
    <s v="KAZ"/>
    <x v="0"/>
    <x v="3"/>
    <x v="3"/>
    <s v="reported"/>
    <n v="10942.58857"/>
    <n v="4441"/>
    <n v="-6503.3385719999997"/>
    <n v="-8131.9852650000003"/>
    <n v="-8893.3903460000001"/>
    <n v="-7351.5328790000003"/>
    <x v="88"/>
    <s v="Apr-2020"/>
  </r>
  <r>
    <x v="89"/>
    <s v="KAZ"/>
    <x v="0"/>
    <x v="4"/>
    <x v="4"/>
    <s v="reported"/>
    <n v="10947.657359999999"/>
    <n v="14358"/>
    <n v="3408.5926370000002"/>
    <n v="-4723.3926279999996"/>
    <n v="-5582.5450149999997"/>
    <n v="-3826.9679580000002"/>
    <x v="88"/>
    <s v="May-2020"/>
  </r>
  <r>
    <x v="89"/>
    <s v="KAZ"/>
    <x v="0"/>
    <x v="5"/>
    <x v="5"/>
    <s v="reported"/>
    <n v="10952.16798"/>
    <n v="14949"/>
    <n v="3995.0820210000002"/>
    <n v="-728.31060679999996"/>
    <n v="-1647.100625"/>
    <n v="237.6847033"/>
    <x v="88"/>
    <s v="Jun-2020"/>
  </r>
  <r>
    <x v="89"/>
    <s v="KAZ"/>
    <x v="0"/>
    <x v="6"/>
    <x v="6"/>
    <s v="reported"/>
    <n v="10954.735790000001"/>
    <n v="28178"/>
    <n v="17221.514210000001"/>
    <n v="16493.203600000001"/>
    <n v="15441.53456"/>
    <n v="17532.231629999998"/>
    <x v="88"/>
    <s v="Jul-2020"/>
  </r>
  <r>
    <x v="89"/>
    <s v="KAZ"/>
    <x v="0"/>
    <x v="7"/>
    <x v="7"/>
    <s v="reported"/>
    <n v="10939.48164"/>
    <n v="17835"/>
    <n v="6893.7683580000003"/>
    <n v="23386.971959999999"/>
    <n v="22271.465090000002"/>
    <n v="24487.781630000001"/>
    <x v="88"/>
    <s v="Aug-2020"/>
  </r>
  <r>
    <x v="89"/>
    <s v="KAZ"/>
    <x v="0"/>
    <x v="8"/>
    <x v="8"/>
    <s v="reported"/>
    <n v="10947.54595"/>
    <n v="13672"/>
    <n v="2722.7040510000002"/>
    <n v="26109.676009999999"/>
    <n v="24910.282469999998"/>
    <n v="27282.289570000001"/>
    <x v="88"/>
    <s v="Sep-2020"/>
  </r>
  <r>
    <x v="89"/>
    <s v="KAZ"/>
    <x v="0"/>
    <x v="9"/>
    <x v="9"/>
    <s v="reported"/>
    <n v="10953.91329"/>
    <n v="12489"/>
    <n v="1533.336712"/>
    <n v="27643.012719999999"/>
    <n v="26319.295849999999"/>
    <n v="28973.034220000001"/>
    <x v="88"/>
    <s v="Oct-2020"/>
  </r>
  <r>
    <x v="89"/>
    <s v="KAZ"/>
    <x v="0"/>
    <x v="10"/>
    <x v="10"/>
    <s v="reported"/>
    <n v="10941.98"/>
    <n v="12388"/>
    <n v="1444.269996"/>
    <n v="29087.282719999999"/>
    <n v="27655.164529999998"/>
    <n v="30472.883320000001"/>
    <x v="88"/>
    <s v="Nov-2020"/>
  </r>
  <r>
    <x v="89"/>
    <s v="KAZ"/>
    <x v="0"/>
    <x v="11"/>
    <x v="11"/>
    <s v="reported"/>
    <n v="10950.103709999999"/>
    <n v="13083"/>
    <n v="2131.1462889999998"/>
    <n v="31218.42901"/>
    <n v="29731.985410000001"/>
    <n v="32654.497889999999"/>
    <x v="88"/>
    <s v="Dec-2020"/>
  </r>
  <r>
    <x v="89"/>
    <s v="KAZ"/>
    <x v="1"/>
    <x v="0"/>
    <x v="0"/>
    <s v="reported"/>
    <n v="10943.59323"/>
    <n v="12478"/>
    <n v="1534.156772"/>
    <n v="32752.585780000001"/>
    <n v="31210.04206"/>
    <n v="34316.103219999997"/>
    <x v="88"/>
    <s v="Jan-2021"/>
  </r>
  <r>
    <x v="89"/>
    <s v="KAZ"/>
    <x v="1"/>
    <x v="1"/>
    <x v="1"/>
    <s v="reported"/>
    <n v="10936.229869999999"/>
    <n v="11186"/>
    <n v="249.52013249999999"/>
    <n v="33002.105909999998"/>
    <n v="31337.039290000001"/>
    <n v="34663.790569999997"/>
    <x v="88"/>
    <s v="Feb-2021"/>
  </r>
  <r>
    <x v="89"/>
    <s v="KAZ"/>
    <x v="1"/>
    <x v="2"/>
    <x v="2"/>
    <s v="reported"/>
    <n v="10944.285260000001"/>
    <n v="12476"/>
    <n v="1531.464743"/>
    <n v="34533.570650000001"/>
    <n v="32757.040280000001"/>
    <n v="36258.6757"/>
    <x v="88"/>
    <s v="Mar-2021"/>
  </r>
  <r>
    <x v="89"/>
    <s v="KAZ"/>
    <x v="1"/>
    <x v="3"/>
    <x v="3"/>
    <s v="reported"/>
    <n v="10946.563599999999"/>
    <n v="13317"/>
    <n v="2370.1863990000002"/>
    <n v="36903.75705"/>
    <n v="35081.993369999997"/>
    <n v="38751.85714"/>
    <x v="88"/>
    <s v="Apr-2021"/>
  </r>
  <r>
    <x v="89"/>
    <s v="KAZ"/>
    <x v="1"/>
    <x v="4"/>
    <x v="4"/>
    <s v="reported"/>
    <n v="10932.390810000001"/>
    <n v="14202"/>
    <n v="3269.3591879999999"/>
    <n v="40173.116240000003"/>
    <n v="38358.33311"/>
    <n v="42034.251479999999"/>
    <x v="88"/>
    <s v="May-2021"/>
  </r>
  <r>
    <x v="89"/>
    <s v="KAZ"/>
    <x v="1"/>
    <x v="5"/>
    <x v="5"/>
    <s v="reported"/>
    <n v="10943.664580000001"/>
    <n v="12904"/>
    <n v="1960.0854179999999"/>
    <n v="42133.201659999999"/>
    <n v="40208.565759999998"/>
    <n v="44087.319620000002"/>
    <x v="88"/>
    <s v="Jun-2021"/>
  </r>
  <r>
    <x v="89"/>
    <s v="KAZ"/>
    <x v="1"/>
    <x v="6"/>
    <x v="6"/>
    <s v="reported"/>
    <n v="10941.3181"/>
    <n v="16700"/>
    <n v="5758.4319020000003"/>
    <n v="47891.633560000002"/>
    <n v="45800.26874"/>
    <n v="49890.941169999998"/>
    <x v="88"/>
    <s v="Jul-2021"/>
  </r>
  <r>
    <x v="89"/>
    <s v="KAZ"/>
    <x v="1"/>
    <x v="7"/>
    <x v="7"/>
    <s v="reported"/>
    <n v="10943.463830000001"/>
    <n v="24342"/>
    <n v="13398.286169999999"/>
    <n v="61289.919739999998"/>
    <n v="59182.472040000001"/>
    <n v="63387.067190000002"/>
    <x v="88"/>
    <s v="Aug-2021"/>
  </r>
  <r>
    <x v="89"/>
    <s v="KAZ"/>
    <x v="1"/>
    <x v="8"/>
    <x v="8"/>
    <s v="reported"/>
    <n v="10932.51268"/>
    <n v="19975"/>
    <n v="9042.2373239999997"/>
    <n v="70332.157059999998"/>
    <n v="68234.031000000003"/>
    <n v="72553.687900000004"/>
    <x v="88"/>
    <s v="Sep-2021"/>
  </r>
  <r>
    <x v="89"/>
    <s v="KAZ"/>
    <x v="1"/>
    <x v="9"/>
    <x v="9"/>
    <s v="reported"/>
    <n v="10946.98004"/>
    <n v="16002"/>
    <n v="5054.7699629999997"/>
    <n v="75386.927020000003"/>
    <n v="73134.112380000006"/>
    <n v="77768.358420000004"/>
    <x v="88"/>
    <s v="Oct-2021"/>
  </r>
  <r>
    <x v="89"/>
    <s v="KAZ"/>
    <x v="1"/>
    <x v="10"/>
    <x v="10"/>
    <s v="reported"/>
    <n v="10952.419190000001"/>
    <n v="15862"/>
    <n v="4909.3308070000003"/>
    <n v="80296.257830000002"/>
    <n v="77982.248980000004"/>
    <n v="82767.201109999995"/>
    <x v="88"/>
    <s v="Nov-2021"/>
  </r>
  <r>
    <x v="89"/>
    <s v="KAZ"/>
    <x v="1"/>
    <x v="11"/>
    <x v="11"/>
    <s v="reported"/>
    <n v="10940.327730000001"/>
    <n v="13913"/>
    <n v="2972.4222679999998"/>
    <n v="83268.680099999998"/>
    <n v="80958.004839999994"/>
    <n v="85852.390249999997"/>
    <x v="88"/>
    <s v="Dec-2021"/>
  </r>
  <r>
    <x v="90"/>
    <s v="KEN"/>
    <x v="0"/>
    <x v="0"/>
    <x v="0"/>
    <s v="predicted"/>
    <n v="24586.276689999999"/>
    <n v="25444.777999999998"/>
    <n v="858.501307"/>
    <n v="858.501307"/>
    <n v="-5059.2215189999997"/>
    <n v="7996.8740459999999"/>
    <x v="89"/>
    <s v="Jan-2020"/>
  </r>
  <r>
    <x v="90"/>
    <s v="KEN"/>
    <x v="0"/>
    <x v="1"/>
    <x v="1"/>
    <s v="predicted"/>
    <n v="24644.441800000001"/>
    <n v="24825.866000000002"/>
    <n v="181.42419820000001"/>
    <n v="1039.9255049999999"/>
    <n v="-7335.4754220000004"/>
    <n v="11088.717549999999"/>
    <x v="89"/>
    <s v="Feb-2020"/>
  </r>
  <r>
    <x v="90"/>
    <s v="KEN"/>
    <x v="0"/>
    <x v="2"/>
    <x v="2"/>
    <s v="predicted"/>
    <n v="24463.41275"/>
    <n v="23266.94"/>
    <n v="-1196.4727539999999"/>
    <n v="-156.54724859999999"/>
    <n v="-10582.917670000001"/>
    <n v="11945.588320000001"/>
    <x v="89"/>
    <s v="Mar-2020"/>
  </r>
  <r>
    <x v="90"/>
    <s v="KEN"/>
    <x v="0"/>
    <x v="3"/>
    <x v="3"/>
    <s v="predicted"/>
    <n v="24707.9123"/>
    <n v="22364.25"/>
    <n v="-2343.6623030000001"/>
    <n v="-2500.2095519999998"/>
    <n v="-14114.16352"/>
    <n v="11239.66094"/>
    <x v="89"/>
    <s v="Apr-2020"/>
  </r>
  <r>
    <x v="90"/>
    <s v="KEN"/>
    <x v="0"/>
    <x v="4"/>
    <x v="4"/>
    <s v="predicted"/>
    <n v="24694.39099"/>
    <n v="23677.05"/>
    <n v="-1017.34099"/>
    <n v="-3517.550542"/>
    <n v="-17549.95206"/>
    <n v="11221.2258"/>
    <x v="89"/>
    <s v="May-2020"/>
  </r>
  <r>
    <x v="90"/>
    <s v="KEN"/>
    <x v="0"/>
    <x v="5"/>
    <x v="5"/>
    <s v="predicted"/>
    <n v="24811.790499999999"/>
    <n v="25369.131000000001"/>
    <n v="557.34049600000003"/>
    <n v="-2960.2100460000001"/>
    <n v="-17240.978950000001"/>
    <n v="13060.010490000001"/>
    <x v="89"/>
    <s v="Jun-2020"/>
  </r>
  <r>
    <x v="90"/>
    <s v="KEN"/>
    <x v="0"/>
    <x v="6"/>
    <x v="6"/>
    <s v="predicted"/>
    <n v="24891.389279999999"/>
    <n v="27153.132000000001"/>
    <n v="2261.742722"/>
    <n v="-698.46732420000001"/>
    <n v="-16125.10687"/>
    <n v="17416.89445"/>
    <x v="89"/>
    <s v="Jul-2020"/>
  </r>
  <r>
    <x v="90"/>
    <s v="KEN"/>
    <x v="0"/>
    <x v="7"/>
    <x v="7"/>
    <s v="predicted"/>
    <n v="24877.545900000001"/>
    <n v="27440.359"/>
    <n v="2562.8131050000002"/>
    <n v="1864.345781"/>
    <n v="-15176.08345"/>
    <n v="21672.058010000001"/>
    <x v="89"/>
    <s v="Aug-2020"/>
  </r>
  <r>
    <x v="90"/>
    <s v="KEN"/>
    <x v="0"/>
    <x v="8"/>
    <x v="8"/>
    <s v="predicted"/>
    <n v="24741.40265"/>
    <n v="26129.562000000002"/>
    <n v="1388.159345"/>
    <n v="3252.505126"/>
    <n v="-15577.88508"/>
    <n v="24496.708460000002"/>
    <x v="89"/>
    <s v="Sep-2020"/>
  </r>
  <r>
    <x v="90"/>
    <s v="KEN"/>
    <x v="0"/>
    <x v="9"/>
    <x v="9"/>
    <s v="predicted"/>
    <n v="24569.983830000001"/>
    <n v="25941.739000000001"/>
    <n v="1371.7551679999999"/>
    <n v="4624.2602939999997"/>
    <n v="-15576.053819999999"/>
    <n v="26573.792030000001"/>
    <x v="89"/>
    <s v="Oct-2020"/>
  </r>
  <r>
    <x v="90"/>
    <s v="KEN"/>
    <x v="0"/>
    <x v="10"/>
    <x v="10"/>
    <s v="predicted"/>
    <n v="24660.679"/>
    <n v="26915.616999999998"/>
    <n v="2254.9379960000001"/>
    <n v="6879.1982900000003"/>
    <n v="-14233.776889999999"/>
    <n v="29143.501100000001"/>
    <x v="89"/>
    <s v="Nov-2020"/>
  </r>
  <r>
    <x v="90"/>
    <s v="KEN"/>
    <x v="0"/>
    <x v="11"/>
    <x v="11"/>
    <s v="predicted"/>
    <n v="24602.921109999999"/>
    <n v="25680.626"/>
    <n v="1077.7048850000001"/>
    <n v="7956.9031750000004"/>
    <n v="-15005.85615"/>
    <n v="32893.490960000003"/>
    <x v="89"/>
    <s v="Dec-2020"/>
  </r>
  <r>
    <x v="90"/>
    <s v="KEN"/>
    <x v="1"/>
    <x v="0"/>
    <x v="0"/>
    <s v="predicted"/>
    <n v="24824.516670000001"/>
    <n v="25447.405999999999"/>
    <n v="622.88932629999999"/>
    <n v="8579.7925020000002"/>
    <n v="-14106.710139999999"/>
    <n v="34945.18449"/>
    <x v="89"/>
    <s v="Jan-2021"/>
  </r>
  <r>
    <x v="90"/>
    <s v="KEN"/>
    <x v="1"/>
    <x v="1"/>
    <x v="1"/>
    <s v="predicted"/>
    <n v="24877.22941"/>
    <n v="25907.133000000002"/>
    <n v="1029.9035879999999"/>
    <n v="9609.6960899999995"/>
    <n v="-15117.25605"/>
    <n v="37683.450279999997"/>
    <x v="89"/>
    <s v="Feb-2021"/>
  </r>
  <r>
    <x v="90"/>
    <s v="KEN"/>
    <x v="1"/>
    <x v="2"/>
    <x v="2"/>
    <s v="predicted"/>
    <n v="24689.715950000002"/>
    <n v="27677.488000000001"/>
    <n v="2987.7720519999998"/>
    <n v="12597.468140000001"/>
    <n v="-12041.273810000001"/>
    <n v="40155.688880000002"/>
    <x v="89"/>
    <s v="Mar-2021"/>
  </r>
  <r>
    <x v="90"/>
    <s v="KEN"/>
    <x v="1"/>
    <x v="3"/>
    <x v="3"/>
    <s v="predicted"/>
    <n v="24940.606210000002"/>
    <n v="28004.07"/>
    <n v="3063.4637899999998"/>
    <n v="15660.931930000001"/>
    <n v="-10458.29207"/>
    <n v="45415.280749999998"/>
    <x v="89"/>
    <s v="Apr-2021"/>
  </r>
  <r>
    <x v="90"/>
    <s v="KEN"/>
    <x v="1"/>
    <x v="4"/>
    <x v="4"/>
    <s v="predicted"/>
    <n v="24931.27492"/>
    <n v="26523.424999999999"/>
    <n v="1592.150077"/>
    <n v="17253.082009999998"/>
    <n v="-10494.94256"/>
    <n v="48108.489710000002"/>
    <x v="89"/>
    <s v="May-2021"/>
  </r>
  <r>
    <x v="90"/>
    <s v="KEN"/>
    <x v="1"/>
    <x v="5"/>
    <x v="5"/>
    <s v="predicted"/>
    <n v="25045.317350000001"/>
    <n v="26601.835999999999"/>
    <n v="1556.5186510000001"/>
    <n v="18809.60066"/>
    <n v="-10516.548129999999"/>
    <n v="50914.480909999998"/>
    <x v="89"/>
    <s v="Jun-2021"/>
  </r>
  <r>
    <x v="90"/>
    <s v="KEN"/>
    <x v="1"/>
    <x v="6"/>
    <x v="6"/>
    <s v="predicted"/>
    <n v="25118.2399"/>
    <n v="26440.103999999999"/>
    <n v="1321.8641029999999"/>
    <n v="20131.464759999999"/>
    <n v="-8826.6226029999998"/>
    <n v="51788.716289999997"/>
    <x v="89"/>
    <s v="Jul-2021"/>
  </r>
  <r>
    <x v="90"/>
    <s v="KEN"/>
    <x v="1"/>
    <x v="7"/>
    <x v="7"/>
    <s v="predicted"/>
    <n v="25106.404129999999"/>
    <n v="29658.413"/>
    <n v="4552.0088669999996"/>
    <n v="24683.47363"/>
    <n v="-6416.6324880000002"/>
    <n v="59701.71153"/>
    <x v="89"/>
    <s v="Aug-2021"/>
  </r>
  <r>
    <x v="90"/>
    <s v="KEN"/>
    <x v="1"/>
    <x v="8"/>
    <x v="8"/>
    <s v="predicted"/>
    <n v="24972.19987"/>
    <n v="26628.989000000001"/>
    <n v="1656.7891320000001"/>
    <n v="26340.262760000001"/>
    <n v="-3481.1950879999999"/>
    <n v="60675.185490000003"/>
    <x v="89"/>
    <s v="Sep-2021"/>
  </r>
  <r>
    <x v="90"/>
    <s v="KEN"/>
    <x v="1"/>
    <x v="9"/>
    <x v="9"/>
    <s v="predicted"/>
    <n v="24801.492249999999"/>
    <n v="24948.5"/>
    <n v="147.00775440000001"/>
    <n v="26487.270519999998"/>
    <n v="-4357.1497239999999"/>
    <n v="62510.788829999998"/>
    <x v="89"/>
    <s v="Oct-2021"/>
  </r>
  <r>
    <x v="90"/>
    <s v="KEN"/>
    <x v="1"/>
    <x v="10"/>
    <x v="10"/>
    <s v="predicted"/>
    <n v="24889.4539"/>
    <n v="24993.526999999998"/>
    <n v="104.0730987"/>
    <n v="26591.34361"/>
    <n v="-5384.4938709999997"/>
    <n v="60101.67239"/>
    <x v="89"/>
    <s v="Nov-2021"/>
  </r>
  <r>
    <x v="90"/>
    <s v="KEN"/>
    <x v="1"/>
    <x v="11"/>
    <x v="11"/>
    <s v="predicted"/>
    <n v="24835.460520000001"/>
    <n v="26320.746999999999"/>
    <n v="1485.286484"/>
    <n v="28076.630099999998"/>
    <n v="-4903.6371879999997"/>
    <n v="62476.89316"/>
    <x v="89"/>
    <s v="Dec-2021"/>
  </r>
  <r>
    <x v="91"/>
    <s v="KGZ"/>
    <x v="0"/>
    <x v="0"/>
    <x v="0"/>
    <s v="reported"/>
    <n v="2979.8714620000001"/>
    <n v="3082"/>
    <n v="101.9618713"/>
    <n v="101.9618713"/>
    <n v="8.6124398200000005"/>
    <n v="196.05189419999999"/>
    <x v="90"/>
    <s v="Jan-2020"/>
  </r>
  <r>
    <x v="91"/>
    <s v="KGZ"/>
    <x v="0"/>
    <x v="1"/>
    <x v="1"/>
    <s v="reported"/>
    <n v="2587.9858370000002"/>
    <n v="2900"/>
    <n v="311.84749679999999"/>
    <n v="413.80936809999997"/>
    <n v="266.30497889999998"/>
    <n v="561.76838969999994"/>
    <x v="90"/>
    <s v="Feb-2020"/>
  </r>
  <r>
    <x v="91"/>
    <s v="KGZ"/>
    <x v="0"/>
    <x v="2"/>
    <x v="2"/>
    <s v="reported"/>
    <n v="2688.1360239999999"/>
    <n v="2390"/>
    <n v="-298.30269079999999"/>
    <n v="115.50667730000001"/>
    <n v="-73.695996949999994"/>
    <n v="304.48175090000001"/>
    <x v="90"/>
    <s v="Mar-2020"/>
  </r>
  <r>
    <x v="91"/>
    <s v="KGZ"/>
    <x v="0"/>
    <x v="3"/>
    <x v="3"/>
    <s v="reported"/>
    <n v="2661.9332220000001"/>
    <n v="1263"/>
    <n v="-1399.0998890000001"/>
    <n v="-1283.5932110000001"/>
    <n v="-1507.0583799999999"/>
    <n v="-1076.33979"/>
    <x v="90"/>
    <s v="Apr-2020"/>
  </r>
  <r>
    <x v="91"/>
    <s v="KGZ"/>
    <x v="0"/>
    <x v="4"/>
    <x v="4"/>
    <s v="reported"/>
    <n v="2715.8350329999998"/>
    <n v="2919"/>
    <n v="202.99829990000001"/>
    <n v="-1080.5949109999999"/>
    <n v="-1328.1490940000001"/>
    <n v="-840.71342719999996"/>
    <x v="90"/>
    <s v="May-2020"/>
  </r>
  <r>
    <x v="91"/>
    <s v="KGZ"/>
    <x v="0"/>
    <x v="5"/>
    <x v="5"/>
    <s v="reported"/>
    <n v="2599.650247"/>
    <n v="3559"/>
    <n v="959.18308649999994"/>
    <n v="-121.4118249"/>
    <n v="-383.72706670000002"/>
    <n v="127.6768411"/>
    <x v="90"/>
    <s v="Jun-2020"/>
  </r>
  <r>
    <x v="91"/>
    <s v="KGZ"/>
    <x v="0"/>
    <x v="6"/>
    <x v="6"/>
    <s v="reported"/>
    <n v="2812.5004939999999"/>
    <n v="4045"/>
    <n v="1232.33284"/>
    <n v="1110.9210149999999"/>
    <n v="826.72472619999996"/>
    <n v="1391.0948000000001"/>
    <x v="90"/>
    <s v="Jul-2020"/>
  </r>
  <r>
    <x v="91"/>
    <s v="KGZ"/>
    <x v="0"/>
    <x v="7"/>
    <x v="7"/>
    <s v="reported"/>
    <n v="2603.1861039999999"/>
    <n v="4572"/>
    <n v="1968.6472289999999"/>
    <n v="3079.568244"/>
    <n v="2769.474314"/>
    <n v="3387.4601539999999"/>
    <x v="90"/>
    <s v="Aug-2020"/>
  </r>
  <r>
    <x v="91"/>
    <s v="KGZ"/>
    <x v="0"/>
    <x v="8"/>
    <x v="8"/>
    <s v="reported"/>
    <n v="2505.6887190000002"/>
    <n v="3411"/>
    <n v="905.14461429999994"/>
    <n v="3984.7128579999999"/>
    <n v="3661.5830799999999"/>
    <n v="4339.950237"/>
    <x v="90"/>
    <s v="Sep-2020"/>
  </r>
  <r>
    <x v="91"/>
    <s v="KGZ"/>
    <x v="0"/>
    <x v="9"/>
    <x v="9"/>
    <s v="reported"/>
    <n v="2702.5991060000001"/>
    <n v="3423"/>
    <n v="720.23422700000003"/>
    <n v="4704.9470849999998"/>
    <n v="4339.9238930000001"/>
    <n v="5062.8499629999997"/>
    <x v="90"/>
    <s v="Oct-2020"/>
  </r>
  <r>
    <x v="91"/>
    <s v="KGZ"/>
    <x v="0"/>
    <x v="10"/>
    <x v="10"/>
    <s v="reported"/>
    <n v="2745.7460179999998"/>
    <n v="4154"/>
    <n v="1408.087315"/>
    <n v="6113.0344009999999"/>
    <n v="5737.7885189999997"/>
    <n v="6480.9621729999999"/>
    <x v="90"/>
    <s v="Nov-2020"/>
  </r>
  <r>
    <x v="91"/>
    <s v="KGZ"/>
    <x v="0"/>
    <x v="11"/>
    <x v="11"/>
    <s v="reported"/>
    <n v="2951.0592419999998"/>
    <n v="4259"/>
    <n v="1307.774091"/>
    <n v="7420.8084920000001"/>
    <n v="7036.9365889999999"/>
    <n v="7807.156027"/>
    <x v="90"/>
    <s v="Dec-2020"/>
  </r>
  <r>
    <x v="91"/>
    <s v="KGZ"/>
    <x v="1"/>
    <x v="0"/>
    <x v="0"/>
    <s v="reported"/>
    <n v="2946.9559380000001"/>
    <n v="2988"/>
    <n v="37.127395669999999"/>
    <n v="7457.9358869999996"/>
    <n v="7044.7939759999999"/>
    <n v="7844.6891459999997"/>
    <x v="90"/>
    <s v="Jan-2021"/>
  </r>
  <r>
    <x v="91"/>
    <s v="KGZ"/>
    <x v="1"/>
    <x v="1"/>
    <x v="1"/>
    <s v="reported"/>
    <n v="2560.0737279999998"/>
    <n v="2621"/>
    <n v="57.009605180000001"/>
    <n v="7514.9454919999998"/>
    <n v="7080.5943289999996"/>
    <n v="7915.4103089999999"/>
    <x v="90"/>
    <s v="Feb-2021"/>
  </r>
  <r>
    <x v="91"/>
    <s v="KGZ"/>
    <x v="1"/>
    <x v="2"/>
    <x v="2"/>
    <s v="reported"/>
    <n v="2660.085908"/>
    <n v="3137"/>
    <n v="472.9974249"/>
    <n v="7987.9429170000003"/>
    <n v="7527.9161979999999"/>
    <n v="8416.4956729999994"/>
    <x v="90"/>
    <s v="Mar-2021"/>
  </r>
  <r>
    <x v="91"/>
    <s v="KGZ"/>
    <x v="1"/>
    <x v="3"/>
    <x v="3"/>
    <s v="reported"/>
    <n v="2632.7072739999999"/>
    <n v="3024"/>
    <n v="387.37605969999998"/>
    <n v="8375.3189770000008"/>
    <n v="7907.5974809999998"/>
    <n v="8847.5383070000007"/>
    <x v="90"/>
    <s v="Apr-2021"/>
  </r>
  <r>
    <x v="91"/>
    <s v="KGZ"/>
    <x v="1"/>
    <x v="4"/>
    <x v="4"/>
    <s v="reported"/>
    <n v="2687.5846329999999"/>
    <n v="2868"/>
    <n v="176.49870079999999"/>
    <n v="8551.8176779999994"/>
    <n v="8076.852065"/>
    <n v="9044.2599320000008"/>
    <x v="90"/>
    <s v="May-2021"/>
  </r>
  <r>
    <x v="91"/>
    <s v="KGZ"/>
    <x v="1"/>
    <x v="5"/>
    <x v="5"/>
    <s v="reported"/>
    <n v="2574.5338550000001"/>
    <n v="3375"/>
    <n v="796.54947860000004"/>
    <n v="9348.3671560000003"/>
    <n v="8848.1253039999992"/>
    <n v="9834.3667029999997"/>
    <x v="90"/>
    <s v="Jun-2021"/>
  </r>
  <r>
    <x v="91"/>
    <s v="KGZ"/>
    <x v="1"/>
    <x v="6"/>
    <x v="6"/>
    <s v="reported"/>
    <n v="2781.8655690000001"/>
    <n v="3835"/>
    <n v="1049.217764"/>
    <n v="10397.584919999999"/>
    <n v="9857.9034370000008"/>
    <n v="10916.786990000001"/>
    <x v="90"/>
    <s v="Jul-2021"/>
  </r>
  <r>
    <x v="91"/>
    <s v="KGZ"/>
    <x v="1"/>
    <x v="7"/>
    <x v="7"/>
    <s v="reported"/>
    <n v="2577.6635059999999"/>
    <n v="3810"/>
    <n v="1228.4198280000001"/>
    <n v="11626.00475"/>
    <n v="11071.934639999999"/>
    <n v="12165.14861"/>
    <x v="90"/>
    <s v="Aug-2021"/>
  </r>
  <r>
    <x v="91"/>
    <s v="KGZ"/>
    <x v="1"/>
    <x v="8"/>
    <x v="8"/>
    <s v="reported"/>
    <n v="2484.812136"/>
    <n v="3307"/>
    <n v="818.27119770000002"/>
    <n v="12444.275949999999"/>
    <n v="11918.658390000001"/>
    <n v="12991.12455"/>
    <x v="90"/>
    <s v="Sep-2021"/>
  </r>
  <r>
    <x v="91"/>
    <s v="KGZ"/>
    <x v="1"/>
    <x v="9"/>
    <x v="9"/>
    <s v="reported"/>
    <n v="2674.4381039999998"/>
    <n v="3257"/>
    <n v="578.64522920000002"/>
    <n v="13022.921179999999"/>
    <n v="12464.29211"/>
    <n v="13582.17994"/>
    <x v="90"/>
    <s v="Oct-2021"/>
  </r>
  <r>
    <x v="91"/>
    <s v="KGZ"/>
    <x v="1"/>
    <x v="10"/>
    <x v="10"/>
    <s v="reported"/>
    <n v="2715.9871859999998"/>
    <n v="3381"/>
    <n v="661.09614759999999"/>
    <n v="13684.017320000001"/>
    <n v="13091.65609"/>
    <n v="14266.119769999999"/>
    <x v="90"/>
    <s v="Nov-2021"/>
  </r>
  <r>
    <x v="91"/>
    <s v="KGZ"/>
    <x v="1"/>
    <x v="11"/>
    <x v="11"/>
    <s v="reported"/>
    <n v="2922.137467"/>
    <n v="3590"/>
    <n v="663.94586660000004"/>
    <n v="14347.96319"/>
    <n v="13774.89206"/>
    <n v="14919.07453"/>
    <x v="90"/>
    <s v="Dec-2021"/>
  </r>
  <r>
    <x v="92"/>
    <s v="KHM"/>
    <x v="0"/>
    <x v="0"/>
    <x v="0"/>
    <s v="predicted"/>
    <n v="8212.3892199999991"/>
    <n v="8465.4629999999997"/>
    <n v="253.07377990000001"/>
    <n v="253.07377990000001"/>
    <n v="-1844.6814300000001"/>
    <n v="2760.8830160000002"/>
    <x v="91"/>
    <s v="Jan-2020"/>
  </r>
  <r>
    <x v="92"/>
    <s v="KHM"/>
    <x v="0"/>
    <x v="1"/>
    <x v="1"/>
    <s v="predicted"/>
    <n v="8211.8386140000002"/>
    <n v="8364.6959999999999"/>
    <n v="152.85738610000001"/>
    <n v="405.93116600000002"/>
    <n v="-2584.7085529999999"/>
    <n v="4009.3134449999998"/>
    <x v="91"/>
    <s v="Feb-2020"/>
  </r>
  <r>
    <x v="92"/>
    <s v="KHM"/>
    <x v="0"/>
    <x v="2"/>
    <x v="2"/>
    <s v="predicted"/>
    <n v="8120.7019389999996"/>
    <n v="7865.6360000000004"/>
    <n v="-255.06593860000001"/>
    <n v="150.86522740000001"/>
    <n v="-3560.7454560000001"/>
    <n v="4683.3021660000004"/>
    <x v="91"/>
    <s v="Mar-2020"/>
  </r>
  <r>
    <x v="92"/>
    <s v="KHM"/>
    <x v="0"/>
    <x v="3"/>
    <x v="3"/>
    <s v="predicted"/>
    <n v="8104.9644840000001"/>
    <n v="7623.5919999999996"/>
    <n v="-481.37248360000001"/>
    <n v="-330.50725619999997"/>
    <n v="-4720.9189999999999"/>
    <n v="4637.7641919999996"/>
    <x v="91"/>
    <s v="Apr-2020"/>
  </r>
  <r>
    <x v="92"/>
    <s v="KHM"/>
    <x v="0"/>
    <x v="4"/>
    <x v="4"/>
    <s v="predicted"/>
    <n v="8086.7482650000002"/>
    <n v="7923.9139999999998"/>
    <n v="-162.83426499999999"/>
    <n v="-493.34152130000001"/>
    <n v="-5469.6818130000001"/>
    <n v="4934.3902239999998"/>
    <x v="91"/>
    <s v="May-2020"/>
  </r>
  <r>
    <x v="92"/>
    <s v="KHM"/>
    <x v="0"/>
    <x v="5"/>
    <x v="5"/>
    <s v="predicted"/>
    <n v="8156.1572999999999"/>
    <n v="8246.7559999999994"/>
    <n v="90.598700359999995"/>
    <n v="-402.74282090000003"/>
    <n v="-5889.6099599999998"/>
    <n v="5670.2219679999998"/>
    <x v="91"/>
    <s v="Jun-2020"/>
  </r>
  <r>
    <x v="92"/>
    <s v="KHM"/>
    <x v="0"/>
    <x v="6"/>
    <x v="6"/>
    <s v="predicted"/>
    <n v="8171.6999960000003"/>
    <n v="8349.8279999999995"/>
    <n v="178.12800369999999"/>
    <n v="-224.6148172"/>
    <n v="-6193.2372489999998"/>
    <n v="5796.9968170000002"/>
    <x v="91"/>
    <s v="Jul-2020"/>
  </r>
  <r>
    <x v="92"/>
    <s v="KHM"/>
    <x v="0"/>
    <x v="7"/>
    <x v="7"/>
    <s v="predicted"/>
    <n v="8188.9598999999998"/>
    <n v="8388.3809999999994"/>
    <n v="199.42110020000001"/>
    <n v="-25.19371701"/>
    <n v="-6468.7200890000004"/>
    <n v="6590.0248760000004"/>
    <x v="91"/>
    <s v="Aug-2020"/>
  </r>
  <r>
    <x v="92"/>
    <s v="KHM"/>
    <x v="0"/>
    <x v="8"/>
    <x v="8"/>
    <s v="predicted"/>
    <n v="8185.6042159999997"/>
    <n v="8226.277"/>
    <n v="40.672783819999999"/>
    <n v="15.4790668"/>
    <n v="-6662.6234359999999"/>
    <n v="7371.3751549999997"/>
    <x v="91"/>
    <s v="Sep-2020"/>
  </r>
  <r>
    <x v="92"/>
    <s v="KHM"/>
    <x v="0"/>
    <x v="9"/>
    <x v="9"/>
    <s v="predicted"/>
    <n v="8285.3480830000008"/>
    <n v="8118.67"/>
    <n v="-166.6780832"/>
    <n v="-151.1990164"/>
    <n v="-7111.6708790000002"/>
    <n v="7652.9112910000003"/>
    <x v="91"/>
    <s v="Oct-2020"/>
  </r>
  <r>
    <x v="92"/>
    <s v="KHM"/>
    <x v="0"/>
    <x v="10"/>
    <x v="10"/>
    <s v="predicted"/>
    <n v="8233.9420449999998"/>
    <n v="8115.1260000000002"/>
    <n v="-118.8160445"/>
    <n v="-270.01506089999998"/>
    <n v="-7484.2600970000003"/>
    <n v="7998.006453"/>
    <x v="91"/>
    <s v="Nov-2020"/>
  </r>
  <r>
    <x v="92"/>
    <s v="KHM"/>
    <x v="0"/>
    <x v="11"/>
    <x v="11"/>
    <s v="predicted"/>
    <n v="8287.837673"/>
    <n v="8119.5060000000003"/>
    <n v="-168.3316729"/>
    <n v="-438.3467339"/>
    <n v="-8067.8419089999998"/>
    <n v="7649.955672"/>
    <x v="91"/>
    <s v="Dec-2020"/>
  </r>
  <r>
    <x v="92"/>
    <s v="KHM"/>
    <x v="1"/>
    <x v="0"/>
    <x v="0"/>
    <s v="predicted"/>
    <n v="8347.2281980000007"/>
    <n v="8497.9169999999995"/>
    <n v="150.68880179999999"/>
    <n v="-287.65793200000002"/>
    <n v="-8225.3447759999999"/>
    <n v="8001.285938"/>
    <x v="91"/>
    <s v="Jan-2021"/>
  </r>
  <r>
    <x v="92"/>
    <s v="KHM"/>
    <x v="1"/>
    <x v="1"/>
    <x v="1"/>
    <s v="predicted"/>
    <n v="8344.4587850000007"/>
    <n v="8426.6679999999997"/>
    <n v="82.209215450000002"/>
    <n v="-205.44871660000001"/>
    <n v="-8387.6564170000001"/>
    <n v="8482.7014720000006"/>
    <x v="91"/>
    <s v="Feb-2021"/>
  </r>
  <r>
    <x v="92"/>
    <s v="KHM"/>
    <x v="1"/>
    <x v="2"/>
    <x v="2"/>
    <s v="predicted"/>
    <n v="8249.5053960000005"/>
    <n v="8529.9959999999992"/>
    <n v="280.49060379999997"/>
    <n v="75.041887209999999"/>
    <n v="-8244.0433510000003"/>
    <n v="9530.9572790000002"/>
    <x v="91"/>
    <s v="Mar-2021"/>
  </r>
  <r>
    <x v="92"/>
    <s v="KHM"/>
    <x v="1"/>
    <x v="3"/>
    <x v="3"/>
    <s v="predicted"/>
    <n v="8231.8765920000005"/>
    <n v="8670.1830000000009"/>
    <n v="438.30640790000001"/>
    <n v="513.34829509999997"/>
    <n v="-8418.7872119999993"/>
    <n v="10374.007949999999"/>
    <x v="91"/>
    <s v="Apr-2021"/>
  </r>
  <r>
    <x v="92"/>
    <s v="KHM"/>
    <x v="1"/>
    <x v="4"/>
    <x v="4"/>
    <s v="predicted"/>
    <n v="8216.4423910000005"/>
    <n v="8796.5169999999998"/>
    <n v="580.07460939999999"/>
    <n v="1093.4229049999999"/>
    <n v="-7909.6595649999999"/>
    <n v="11347.322889999999"/>
    <x v="91"/>
    <s v="May-2021"/>
  </r>
  <r>
    <x v="92"/>
    <s v="KHM"/>
    <x v="1"/>
    <x v="5"/>
    <x v="5"/>
    <s v="predicted"/>
    <n v="8284.8673689999996"/>
    <n v="9382.1689999999999"/>
    <n v="1097.301631"/>
    <n v="2190.7245360000002"/>
    <n v="-7267.9504539999998"/>
    <n v="12884.552170000001"/>
    <x v="91"/>
    <s v="Jun-2021"/>
  </r>
  <r>
    <x v="92"/>
    <s v="KHM"/>
    <x v="1"/>
    <x v="6"/>
    <x v="6"/>
    <s v="predicted"/>
    <n v="8305.6345089999995"/>
    <n v="10101.206"/>
    <n v="1795.5714909999999"/>
    <n v="3986.296026"/>
    <n v="-5908.3594279999998"/>
    <n v="14978.476930000001"/>
    <x v="91"/>
    <s v="Jul-2021"/>
  </r>
  <r>
    <x v="92"/>
    <s v="KHM"/>
    <x v="1"/>
    <x v="7"/>
    <x v="7"/>
    <s v="predicted"/>
    <n v="8317.0447230000009"/>
    <n v="9700.4920000000002"/>
    <n v="1383.447277"/>
    <n v="5369.7433030000002"/>
    <n v="-4776.3569719999996"/>
    <n v="16427.024010000001"/>
    <x v="91"/>
    <s v="Aug-2021"/>
  </r>
  <r>
    <x v="92"/>
    <s v="KHM"/>
    <x v="1"/>
    <x v="8"/>
    <x v="8"/>
    <s v="predicted"/>
    <n v="8316.8853080000008"/>
    <n v="9757.1910000000007"/>
    <n v="1440.3056919999999"/>
    <n v="6810.0489950000001"/>
    <n v="-3953.404845"/>
    <n v="18222.838329999999"/>
    <x v="91"/>
    <s v="Sep-2021"/>
  </r>
  <r>
    <x v="92"/>
    <s v="KHM"/>
    <x v="1"/>
    <x v="9"/>
    <x v="9"/>
    <s v="predicted"/>
    <n v="8418.183196"/>
    <n v="9555.6110000000008"/>
    <n v="1137.4278039999999"/>
    <n v="7947.476799"/>
    <n v="-2909.4492679999998"/>
    <n v="20468.969590000001"/>
    <x v="91"/>
    <s v="Oct-2021"/>
  </r>
  <r>
    <x v="92"/>
    <s v="KHM"/>
    <x v="1"/>
    <x v="10"/>
    <x v="10"/>
    <s v="predicted"/>
    <n v="8364.6961709999996"/>
    <n v="8964.8799999999992"/>
    <n v="600.18382919999999"/>
    <n v="8547.660629"/>
    <n v="-2446.8457800000001"/>
    <n v="20887.735410000001"/>
    <x v="91"/>
    <s v="Nov-2021"/>
  </r>
  <r>
    <x v="92"/>
    <s v="KHM"/>
    <x v="1"/>
    <x v="11"/>
    <x v="11"/>
    <s v="predicted"/>
    <n v="8429.1910499999994"/>
    <n v="8987.4030000000002"/>
    <n v="558.21195"/>
    <n v="9105.8725790000008"/>
    <n v="-2475.4229439999999"/>
    <n v="21749.833790000001"/>
    <x v="91"/>
    <s v="Dec-2021"/>
  </r>
  <r>
    <x v="93"/>
    <s v="KIR"/>
    <x v="0"/>
    <x v="0"/>
    <x v="0"/>
    <s v="predicted"/>
    <n v="109.3510953"/>
    <n v="108.453"/>
    <n v="-0.89809531300000001"/>
    <n v="-0.89809531300000001"/>
    <n v="-33.298720080000002"/>
    <n v="40.562908180000001"/>
    <x v="92"/>
    <s v="Jan-2020"/>
  </r>
  <r>
    <x v="93"/>
    <s v="KIR"/>
    <x v="0"/>
    <x v="1"/>
    <x v="1"/>
    <s v="predicted"/>
    <n v="109.6306082"/>
    <n v="106.232"/>
    <n v="-3.39860819"/>
    <n v="-4.2967035029999998"/>
    <n v="-53.032647040000001"/>
    <n v="50.01540275"/>
    <x v="92"/>
    <s v="Feb-2020"/>
  </r>
  <r>
    <x v="93"/>
    <s v="KIR"/>
    <x v="0"/>
    <x v="2"/>
    <x v="2"/>
    <s v="predicted"/>
    <n v="109.35700420000001"/>
    <n v="109.252"/>
    <n v="-0.105004216"/>
    <n v="-4.4017077200000001"/>
    <n v="-67.979100489999993"/>
    <n v="60.749994950000001"/>
    <x v="92"/>
    <s v="Mar-2020"/>
  </r>
  <r>
    <x v="93"/>
    <s v="KIR"/>
    <x v="0"/>
    <x v="3"/>
    <x v="3"/>
    <s v="predicted"/>
    <n v="109.26640159999999"/>
    <n v="108.779"/>
    <n v="-0.48740156899999998"/>
    <n v="-4.8891092880000002"/>
    <n v="-76.197365210000001"/>
    <n v="73.254286629999996"/>
    <x v="92"/>
    <s v="Apr-2020"/>
  </r>
  <r>
    <x v="93"/>
    <s v="KIR"/>
    <x v="0"/>
    <x v="4"/>
    <x v="4"/>
    <s v="predicted"/>
    <n v="109.2960326"/>
    <n v="115.70699999999999"/>
    <n v="6.4109674160000001"/>
    <n v="1.5218581280000001"/>
    <n v="-81.133711329999997"/>
    <n v="92.958880590000007"/>
    <x v="92"/>
    <s v="May-2020"/>
  </r>
  <r>
    <x v="93"/>
    <s v="KIR"/>
    <x v="0"/>
    <x v="5"/>
    <x v="5"/>
    <s v="predicted"/>
    <n v="109.4639909"/>
    <n v="116.593"/>
    <n v="7.1290091220000003"/>
    <n v="8.6508672489999991"/>
    <n v="-82.090425800000006"/>
    <n v="105.3484905"/>
    <x v="92"/>
    <s v="Jun-2020"/>
  </r>
  <r>
    <x v="93"/>
    <s v="KIR"/>
    <x v="0"/>
    <x v="6"/>
    <x v="6"/>
    <s v="predicted"/>
    <n v="109.63497719999999"/>
    <n v="116.307"/>
    <n v="6.6720228319999997"/>
    <n v="15.322890080000001"/>
    <n v="-84.532216009999999"/>
    <n v="116.8039445"/>
    <x v="92"/>
    <s v="Jul-2020"/>
  </r>
  <r>
    <x v="93"/>
    <s v="KIR"/>
    <x v="0"/>
    <x v="7"/>
    <x v="7"/>
    <s v="predicted"/>
    <n v="109.63483890000001"/>
    <n v="116.129"/>
    <n v="6.4941610809999997"/>
    <n v="21.817051159999998"/>
    <n v="-86.167335280000003"/>
    <n v="134.1335498"/>
    <x v="92"/>
    <s v="Aug-2020"/>
  </r>
  <r>
    <x v="93"/>
    <s v="KIR"/>
    <x v="0"/>
    <x v="8"/>
    <x v="8"/>
    <s v="predicted"/>
    <n v="109.65797000000001"/>
    <n v="113.761"/>
    <n v="4.1030299790000004"/>
    <n v="25.920081140000001"/>
    <n v="-87.407448810000005"/>
    <n v="140.53790699999999"/>
    <x v="92"/>
    <s v="Sep-2020"/>
  </r>
  <r>
    <x v="93"/>
    <s v="KIR"/>
    <x v="0"/>
    <x v="9"/>
    <x v="9"/>
    <s v="predicted"/>
    <n v="109.6101262"/>
    <n v="113.277"/>
    <n v="3.6668737990000002"/>
    <n v="29.586954939999998"/>
    <n v="-87.250375120000001"/>
    <n v="150.85118929999999"/>
    <x v="92"/>
    <s v="Oct-2020"/>
  </r>
  <r>
    <x v="93"/>
    <s v="KIR"/>
    <x v="0"/>
    <x v="10"/>
    <x v="10"/>
    <s v="predicted"/>
    <n v="109.55034360000001"/>
    <n v="112.79900000000001"/>
    <n v="3.248656414"/>
    <n v="32.835611350000001"/>
    <n v="-97.226783429999998"/>
    <n v="159.92867810000001"/>
    <x v="92"/>
    <s v="Nov-2020"/>
  </r>
  <r>
    <x v="93"/>
    <s v="KIR"/>
    <x v="0"/>
    <x v="11"/>
    <x v="11"/>
    <s v="predicted"/>
    <n v="109.48708499999999"/>
    <n v="112.334"/>
    <n v="2.8469149809999998"/>
    <n v="35.682526330000002"/>
    <n v="-99.289203560000004"/>
    <n v="174.8912052"/>
    <x v="92"/>
    <s v="Dec-2020"/>
  </r>
  <r>
    <x v="93"/>
    <s v="KIR"/>
    <x v="1"/>
    <x v="0"/>
    <x v="0"/>
    <s v="predicted"/>
    <n v="111.0699312"/>
    <n v="116.176"/>
    <n v="5.106068799"/>
    <n v="40.788595129999997"/>
    <n v="-102.6489007"/>
    <n v="186.66444329999999"/>
    <x v="92"/>
    <s v="Jan-2021"/>
  </r>
  <r>
    <x v="93"/>
    <s v="KIR"/>
    <x v="1"/>
    <x v="1"/>
    <x v="1"/>
    <s v="predicted"/>
    <n v="111.1310196"/>
    <n v="119.684"/>
    <n v="8.5529804370000004"/>
    <n v="49.341575570000003"/>
    <n v="-96.077688589999994"/>
    <n v="198.97926939999999"/>
    <x v="92"/>
    <s v="Feb-2021"/>
  </r>
  <r>
    <x v="93"/>
    <s v="KIR"/>
    <x v="1"/>
    <x v="2"/>
    <x v="2"/>
    <s v="predicted"/>
    <n v="110.9543742"/>
    <n v="117.521"/>
    <n v="6.5666258209999997"/>
    <n v="55.908201390000002"/>
    <n v="-94.245569349999997"/>
    <n v="206.8598561"/>
    <x v="92"/>
    <s v="Mar-2021"/>
  </r>
  <r>
    <x v="93"/>
    <s v="KIR"/>
    <x v="1"/>
    <x v="3"/>
    <x v="3"/>
    <s v="predicted"/>
    <n v="110.92759770000001"/>
    <n v="119.68300000000001"/>
    <n v="8.7554022840000005"/>
    <n v="64.663603679999994"/>
    <n v="-86.966254620000001"/>
    <n v="225.89884319999999"/>
    <x v="92"/>
    <s v="Apr-2021"/>
  </r>
  <r>
    <x v="93"/>
    <s v="KIR"/>
    <x v="1"/>
    <x v="4"/>
    <x v="4"/>
    <s v="predicted"/>
    <n v="110.897628"/>
    <n v="122.39400000000001"/>
    <n v="11.496371999999999"/>
    <n v="76.159975680000002"/>
    <n v="-78.917181249999999"/>
    <n v="237.74204119999999"/>
    <x v="92"/>
    <s v="May-2021"/>
  </r>
  <r>
    <x v="93"/>
    <s v="KIR"/>
    <x v="1"/>
    <x v="5"/>
    <x v="5"/>
    <s v="predicted"/>
    <n v="111.1234252"/>
    <n v="123.399"/>
    <n v="12.27557485"/>
    <n v="88.43555053"/>
    <n v="-74.651275670000004"/>
    <n v="260.03468479999998"/>
    <x v="92"/>
    <s v="Jun-2021"/>
  </r>
  <r>
    <x v="93"/>
    <s v="KIR"/>
    <x v="1"/>
    <x v="6"/>
    <x v="6"/>
    <s v="predicted"/>
    <n v="111.2347925"/>
    <n v="126.996"/>
    <n v="15.76120751"/>
    <n v="104.196758"/>
    <n v="-63.557450670000001"/>
    <n v="279.16338459999997"/>
    <x v="92"/>
    <s v="Jul-2021"/>
  </r>
  <r>
    <x v="93"/>
    <s v="KIR"/>
    <x v="1"/>
    <x v="7"/>
    <x v="7"/>
    <s v="predicted"/>
    <n v="111.2097124"/>
    <n v="123.34"/>
    <n v="12.13028763"/>
    <n v="116.3270457"/>
    <n v="-55.3857936"/>
    <n v="296.76468979999999"/>
    <x v="92"/>
    <s v="Aug-2021"/>
  </r>
  <r>
    <x v="93"/>
    <s v="KIR"/>
    <x v="1"/>
    <x v="8"/>
    <x v="8"/>
    <s v="predicted"/>
    <n v="111.23676570000001"/>
    <n v="124.455"/>
    <n v="13.21823429"/>
    <n v="129.54527999999999"/>
    <n v="-44.869341310000003"/>
    <n v="319.74022409999998"/>
    <x v="92"/>
    <s v="Sep-2021"/>
  </r>
  <r>
    <x v="93"/>
    <s v="KIR"/>
    <x v="1"/>
    <x v="9"/>
    <x v="9"/>
    <s v="predicted"/>
    <n v="111.18530509999999"/>
    <n v="121.533"/>
    <n v="10.347694860000001"/>
    <n v="139.89297479999999"/>
    <n v="-43.595823930000002"/>
    <n v="334.35834199999999"/>
    <x v="92"/>
    <s v="Oct-2021"/>
  </r>
  <r>
    <x v="93"/>
    <s v="KIR"/>
    <x v="1"/>
    <x v="10"/>
    <x v="10"/>
    <s v="predicted"/>
    <n v="111.1357465"/>
    <n v="121.512"/>
    <n v="10.376253480000001"/>
    <n v="150.26922830000001"/>
    <n v="-36.302170220000001"/>
    <n v="348.82469320000001"/>
    <x v="92"/>
    <s v="Nov-2021"/>
  </r>
  <r>
    <x v="93"/>
    <s v="KIR"/>
    <x v="1"/>
    <x v="11"/>
    <x v="11"/>
    <s v="predicted"/>
    <n v="111.1187211"/>
    <n v="122.154"/>
    <n v="11.035278890000001"/>
    <n v="161.30450719999999"/>
    <n v="-29.837425379999999"/>
    <n v="364.07572740000001"/>
    <x v="92"/>
    <s v="Dec-2021"/>
  </r>
  <r>
    <x v="94"/>
    <s v="KNA"/>
    <x v="0"/>
    <x v="0"/>
    <x v="0"/>
    <s v="reported"/>
    <n v="33.706899030000002"/>
    <n v="32"/>
    <n v="-1.706899035"/>
    <n v="-1.706899035"/>
    <n v="-5.7704740680000004"/>
    <n v="2.1997066830000001"/>
    <x v="93"/>
    <s v="Jan-2020"/>
  </r>
  <r>
    <x v="94"/>
    <s v="KNA"/>
    <x v="0"/>
    <x v="1"/>
    <x v="1"/>
    <s v="reported"/>
    <n v="33.661001589999998"/>
    <n v="34"/>
    <n v="0.33899841200000003"/>
    <n v="-1.3679006229999999"/>
    <n v="-7.288937486"/>
    <n v="3.9544482689999998"/>
    <x v="93"/>
    <s v="Feb-2020"/>
  </r>
  <r>
    <x v="94"/>
    <s v="KNA"/>
    <x v="0"/>
    <x v="2"/>
    <x v="2"/>
    <s v="reported"/>
    <n v="33.619672280000003"/>
    <n v="38"/>
    <n v="4.3803277209999996"/>
    <n v="3.0124270979999999"/>
    <n v="-4.1421101169999996"/>
    <n v="10.06781645"/>
    <x v="93"/>
    <s v="Mar-2020"/>
  </r>
  <r>
    <x v="94"/>
    <s v="KNA"/>
    <x v="0"/>
    <x v="3"/>
    <x v="3"/>
    <s v="reported"/>
    <n v="33.593115220000001"/>
    <n v="30"/>
    <n v="-3.5931152169999998"/>
    <n v="-0.58068811899999995"/>
    <n v="-8.7663758210000005"/>
    <n v="8.2826282290000002"/>
    <x v="93"/>
    <s v="Apr-2020"/>
  </r>
  <r>
    <x v="94"/>
    <s v="KNA"/>
    <x v="0"/>
    <x v="4"/>
    <x v="4"/>
    <s v="reported"/>
    <n v="33.447065090000002"/>
    <n v="39"/>
    <n v="5.5529349139999997"/>
    <n v="4.9722467960000003"/>
    <n v="-3.9446710149999999"/>
    <n v="14.643182120000001"/>
    <x v="93"/>
    <s v="May-2020"/>
  </r>
  <r>
    <x v="94"/>
    <s v="KNA"/>
    <x v="0"/>
    <x v="5"/>
    <x v="5"/>
    <s v="reported"/>
    <n v="33.271309510000002"/>
    <n v="41"/>
    <n v="7.7286904859999996"/>
    <n v="12.70093728"/>
    <n v="2.9302469229999999"/>
    <n v="22.898334200000001"/>
    <x v="93"/>
    <s v="Jun-2020"/>
  </r>
  <r>
    <x v="94"/>
    <s v="KNA"/>
    <x v="0"/>
    <x v="6"/>
    <x v="6"/>
    <s v="reported"/>
    <n v="33.248906300000002"/>
    <n v="42"/>
    <n v="8.7510936959999999"/>
    <n v="21.45203098"/>
    <n v="10.459108820000001"/>
    <n v="32.702773579999999"/>
    <x v="93"/>
    <s v="Jul-2020"/>
  </r>
  <r>
    <x v="94"/>
    <s v="KNA"/>
    <x v="0"/>
    <x v="7"/>
    <x v="7"/>
    <s v="reported"/>
    <n v="33.040151999999999"/>
    <n v="31"/>
    <n v="-2.040152"/>
    <n v="19.411878980000001"/>
    <n v="7.4988274869999998"/>
    <n v="32.064011110000003"/>
    <x v="93"/>
    <s v="Aug-2020"/>
  </r>
  <r>
    <x v="94"/>
    <s v="KNA"/>
    <x v="0"/>
    <x v="8"/>
    <x v="8"/>
    <s v="reported"/>
    <n v="33.061035879999999"/>
    <n v="32"/>
    <n v="-1.0610358820000001"/>
    <n v="18.350843099999999"/>
    <n v="5.2062641100000002"/>
    <n v="32.285216159999997"/>
    <x v="93"/>
    <s v="Sep-2020"/>
  </r>
  <r>
    <x v="94"/>
    <s v="KNA"/>
    <x v="0"/>
    <x v="9"/>
    <x v="9"/>
    <s v="reported"/>
    <n v="33.036219109999998"/>
    <n v="36"/>
    <n v="2.963780893"/>
    <n v="21.314623990000001"/>
    <n v="7.9537261419999998"/>
    <n v="35.954810139999999"/>
    <x v="93"/>
    <s v="Oct-2020"/>
  </r>
  <r>
    <x v="94"/>
    <s v="KNA"/>
    <x v="0"/>
    <x v="10"/>
    <x v="10"/>
    <s v="reported"/>
    <n v="32.91626669"/>
    <n v="29"/>
    <n v="-3.9162666860000002"/>
    <n v="17.398357300000001"/>
    <n v="3.13380196"/>
    <n v="32.648671849999999"/>
    <x v="93"/>
    <s v="Nov-2020"/>
  </r>
  <r>
    <x v="94"/>
    <s v="KNA"/>
    <x v="0"/>
    <x v="11"/>
    <x v="11"/>
    <s v="reported"/>
    <n v="32.750968270000001"/>
    <n v="34"/>
    <n v="1.249031725"/>
    <n v="18.647389029999999"/>
    <n v="3.0457331160000001"/>
    <n v="35.188502700000001"/>
    <x v="93"/>
    <s v="Dec-2020"/>
  </r>
  <r>
    <x v="94"/>
    <s v="KNA"/>
    <x v="1"/>
    <x v="0"/>
    <x v="0"/>
    <s v="reported"/>
    <n v="32.741778949999997"/>
    <n v="56"/>
    <n v="23.25822105"/>
    <n v="41.905610080000002"/>
    <n v="25.367628289999999"/>
    <n v="58.910290639999999"/>
    <x v="93"/>
    <s v="Jan-2021"/>
  </r>
  <r>
    <x v="94"/>
    <s v="KNA"/>
    <x v="1"/>
    <x v="1"/>
    <x v="1"/>
    <s v="reported"/>
    <n v="32.560149719999998"/>
    <n v="30"/>
    <n v="-2.5601497150000001"/>
    <n v="39.345460359999997"/>
    <n v="21.258012369999999"/>
    <n v="57.400889620000001"/>
    <x v="93"/>
    <s v="Feb-2021"/>
  </r>
  <r>
    <x v="94"/>
    <s v="KNA"/>
    <x v="1"/>
    <x v="2"/>
    <x v="2"/>
    <s v="reported"/>
    <n v="32.526947909999997"/>
    <n v="30"/>
    <n v="-2.5269479100000001"/>
    <n v="36.81851245"/>
    <n v="17.628036720000001"/>
    <n v="55.09548461"/>
    <x v="93"/>
    <s v="Mar-2021"/>
  </r>
  <r>
    <x v="94"/>
    <s v="KNA"/>
    <x v="1"/>
    <x v="3"/>
    <x v="3"/>
    <s v="reported"/>
    <n v="32.459581669999999"/>
    <n v="31"/>
    <n v="-1.459581673"/>
    <n v="35.358930780000001"/>
    <n v="16.359102400000001"/>
    <n v="54.653328909999999"/>
    <x v="93"/>
    <s v="Apr-2021"/>
  </r>
  <r>
    <x v="94"/>
    <s v="KNA"/>
    <x v="1"/>
    <x v="4"/>
    <x v="4"/>
    <s v="reported"/>
    <n v="32.179891089999998"/>
    <n v="32"/>
    <n v="-0.179891094"/>
    <n v="35.179039680000002"/>
    <n v="15.394816970000001"/>
    <n v="55.283271599999999"/>
    <x v="93"/>
    <s v="May-2021"/>
  </r>
  <r>
    <x v="94"/>
    <s v="KNA"/>
    <x v="1"/>
    <x v="5"/>
    <x v="5"/>
    <s v="reported"/>
    <n v="32.118669949999997"/>
    <n v="36"/>
    <n v="3.8813300509999999"/>
    <n v="39.060369739999999"/>
    <n v="17.66512693"/>
    <n v="59.443998219999997"/>
    <x v="93"/>
    <s v="Jun-2021"/>
  </r>
  <r>
    <x v="94"/>
    <s v="KNA"/>
    <x v="1"/>
    <x v="6"/>
    <x v="6"/>
    <s v="reported"/>
    <n v="31.9938626"/>
    <n v="36"/>
    <n v="4.0061374030000003"/>
    <n v="43.066507139999999"/>
    <n v="22.176762870000001"/>
    <n v="64.769196379999997"/>
    <x v="93"/>
    <s v="Jul-2021"/>
  </r>
  <r>
    <x v="94"/>
    <s v="KNA"/>
    <x v="1"/>
    <x v="7"/>
    <x v="7"/>
    <s v="reported"/>
    <n v="31.815113289999999"/>
    <n v="47"/>
    <n v="15.184886710000001"/>
    <n v="58.251393849999999"/>
    <n v="36.430533130000001"/>
    <n v="79.869376750000001"/>
    <x v="93"/>
    <s v="Aug-2021"/>
  </r>
  <r>
    <x v="94"/>
    <s v="KNA"/>
    <x v="1"/>
    <x v="8"/>
    <x v="8"/>
    <s v="reported"/>
    <n v="31.987894180000001"/>
    <n v="66"/>
    <n v="34.012105820000002"/>
    <n v="92.263499670000002"/>
    <n v="69.146248459999995"/>
    <n v="114.86072780000001"/>
    <x v="93"/>
    <s v="Sep-2021"/>
  </r>
  <r>
    <x v="94"/>
    <s v="KNA"/>
    <x v="1"/>
    <x v="9"/>
    <x v="9"/>
    <s v="reported"/>
    <n v="31.89059456"/>
    <n v="57"/>
    <n v="25.10940544"/>
    <n v="117.3729051"/>
    <n v="92.990932560000005"/>
    <n v="141.06151869999999"/>
    <x v="93"/>
    <s v="Oct-2021"/>
  </r>
  <r>
    <x v="94"/>
    <s v="KNA"/>
    <x v="1"/>
    <x v="10"/>
    <x v="10"/>
    <s v="reported"/>
    <n v="32.044388779999998"/>
    <n v="43"/>
    <n v="10.95561122"/>
    <n v="128.32851629999999"/>
    <n v="102.93967809999999"/>
    <n v="151.89863679999999"/>
    <x v="93"/>
    <s v="Nov-2021"/>
  </r>
  <r>
    <x v="94"/>
    <s v="KNA"/>
    <x v="1"/>
    <x v="11"/>
    <x v="11"/>
    <s v="reported"/>
    <n v="31.691067530000002"/>
    <n v="42"/>
    <n v="10.30893247"/>
    <n v="138.63744879999999"/>
    <n v="113.4721248"/>
    <n v="163.85423460000001"/>
    <x v="93"/>
    <s v="Dec-2021"/>
  </r>
  <r>
    <x v="95"/>
    <s v="KOR"/>
    <x v="0"/>
    <x v="0"/>
    <x v="0"/>
    <s v="reported"/>
    <n v="26706.4732"/>
    <n v="28407"/>
    <n v="1690.610136"/>
    <n v="1690.610136"/>
    <n v="863.64386590000004"/>
    <n v="2451.890101"/>
    <x v="94"/>
    <s v="Jan-2020"/>
  </r>
  <r>
    <x v="95"/>
    <s v="KOR"/>
    <x v="0"/>
    <x v="1"/>
    <x v="1"/>
    <s v="reported"/>
    <n v="26416.495350000001"/>
    <n v="25553"/>
    <n v="-873.41201779999994"/>
    <n v="817.19811770000001"/>
    <n v="-397.20236749999998"/>
    <n v="2009.2236539999999"/>
    <x v="94"/>
    <s v="Feb-2020"/>
  </r>
  <r>
    <x v="95"/>
    <s v="KOR"/>
    <x v="0"/>
    <x v="2"/>
    <x v="2"/>
    <s v="reported"/>
    <n v="26011.504799999999"/>
    <n v="25913"/>
    <n v="-108.42146200000001"/>
    <n v="708.77665569999999"/>
    <n v="-765.10449170000004"/>
    <n v="2288.4402129999999"/>
    <x v="94"/>
    <s v="Mar-2020"/>
  </r>
  <r>
    <x v="95"/>
    <s v="KOR"/>
    <x v="0"/>
    <x v="3"/>
    <x v="3"/>
    <s v="reported"/>
    <n v="25312.481909999999"/>
    <n v="24650"/>
    <n v="-672.39857170000005"/>
    <n v="36.37808399"/>
    <n v="-1781.901877"/>
    <n v="1987.9773"/>
    <x v="94"/>
    <s v="Apr-2020"/>
  </r>
  <r>
    <x v="95"/>
    <s v="KOR"/>
    <x v="0"/>
    <x v="4"/>
    <x v="4"/>
    <s v="reported"/>
    <n v="24573.11534"/>
    <n v="24416"/>
    <n v="-167.03200559999999"/>
    <n v="-130.65392159999999"/>
    <n v="-2045.341666"/>
    <n v="2025.9392889999999"/>
    <x v="94"/>
    <s v="May-2020"/>
  </r>
  <r>
    <x v="95"/>
    <s v="KOR"/>
    <x v="0"/>
    <x v="5"/>
    <x v="5"/>
    <s v="reported"/>
    <n v="23901.945350000002"/>
    <n v="23600"/>
    <n v="-311.8620191"/>
    <n v="-442.51594069999999"/>
    <n v="-2647.2301160000002"/>
    <n v="1806.312627"/>
    <x v="94"/>
    <s v="Jun-2020"/>
  </r>
  <r>
    <x v="95"/>
    <s v="KOR"/>
    <x v="0"/>
    <x v="6"/>
    <x v="6"/>
    <s v="reported"/>
    <n v="23741.520810000002"/>
    <n v="23975"/>
    <n v="223.5625211"/>
    <n v="-218.95341959999999"/>
    <n v="-2531.8588920000002"/>
    <n v="2227.457308"/>
    <x v="94"/>
    <s v="Jul-2020"/>
  </r>
  <r>
    <x v="95"/>
    <s v="KOR"/>
    <x v="0"/>
    <x v="7"/>
    <x v="7"/>
    <s v="reported"/>
    <n v="23906.793730000001"/>
    <n v="25255"/>
    <n v="1338.289606"/>
    <n v="1119.3361870000001"/>
    <n v="-1299.1698590000001"/>
    <n v="3781.5685020000001"/>
    <x v="94"/>
    <s v="Aug-2020"/>
  </r>
  <r>
    <x v="95"/>
    <s v="KOR"/>
    <x v="0"/>
    <x v="8"/>
    <x v="8"/>
    <s v="reported"/>
    <n v="24318.401839999999"/>
    <n v="24416"/>
    <n v="87.68149244"/>
    <n v="1207.017679"/>
    <n v="-1385.8175100000001"/>
    <n v="3807.695604"/>
    <x v="94"/>
    <s v="Sep-2020"/>
  </r>
  <r>
    <x v="95"/>
    <s v="KOR"/>
    <x v="0"/>
    <x v="9"/>
    <x v="9"/>
    <s v="reported"/>
    <n v="25233.93808"/>
    <n v="26391"/>
    <n v="1147.1452489999999"/>
    <n v="2354.1629280000002"/>
    <n v="-401.659919"/>
    <n v="5195.7950979999996"/>
    <x v="94"/>
    <s v="Oct-2020"/>
  </r>
  <r>
    <x v="95"/>
    <s v="KOR"/>
    <x v="0"/>
    <x v="10"/>
    <x v="10"/>
    <s v="reported"/>
    <n v="26262.12054"/>
    <n v="25585"/>
    <n v="-687.03720380000004"/>
    <n v="1667.125724"/>
    <n v="-1166.5655139999999"/>
    <n v="4618.8116470000004"/>
    <x v="94"/>
    <s v="Nov-2020"/>
  </r>
  <r>
    <x v="95"/>
    <s v="KOR"/>
    <x v="0"/>
    <x v="11"/>
    <x v="11"/>
    <s v="reported"/>
    <n v="27146.439969999999"/>
    <n v="26888"/>
    <n v="-268.35664070000001"/>
    <n v="1398.7690829999999"/>
    <n v="-1626.8339989999999"/>
    <n v="4439.9477710000001"/>
    <x v="94"/>
    <s v="Dec-2020"/>
  </r>
  <r>
    <x v="95"/>
    <s v="KOR"/>
    <x v="1"/>
    <x v="0"/>
    <x v="0"/>
    <s v="reported"/>
    <n v="27200.69313"/>
    <n v="27216"/>
    <n v="15.3068723"/>
    <n v="1414.0759559999999"/>
    <n v="-1637.066636"/>
    <n v="4543.9057830000002"/>
    <x v="94"/>
    <s v="Jan-2021"/>
  </r>
  <r>
    <x v="95"/>
    <s v="KOR"/>
    <x v="1"/>
    <x v="1"/>
    <x v="1"/>
    <s v="reported"/>
    <n v="26916.450410000001"/>
    <n v="23836"/>
    <n v="-3080.450409"/>
    <n v="-1666.3744529999999"/>
    <n v="-4866.5197010000002"/>
    <n v="1680.760448"/>
    <x v="94"/>
    <s v="Feb-2021"/>
  </r>
  <r>
    <x v="95"/>
    <s v="KOR"/>
    <x v="1"/>
    <x v="2"/>
    <x v="2"/>
    <s v="reported"/>
    <n v="26505.445479999998"/>
    <n v="26519"/>
    <n v="13.55451603"/>
    <n v="-1652.819937"/>
    <n v="-4963.144166"/>
    <n v="1918.7823330000001"/>
    <x v="94"/>
    <s v="Mar-2021"/>
  </r>
  <r>
    <x v="95"/>
    <s v="KOR"/>
    <x v="1"/>
    <x v="3"/>
    <x v="3"/>
    <s v="reported"/>
    <n v="25789.188419999999"/>
    <n v="25097"/>
    <n v="-692.18842229999996"/>
    <n v="-2345.0083589999999"/>
    <n v="-5885.2156629999999"/>
    <n v="1336.2616579999999"/>
    <x v="94"/>
    <s v="Apr-2021"/>
  </r>
  <r>
    <x v="95"/>
    <s v="KOR"/>
    <x v="1"/>
    <x v="4"/>
    <x v="4"/>
    <s v="reported"/>
    <n v="25054.1"/>
    <n v="25597"/>
    <n v="542.89999739999996"/>
    <n v="-1802.1083619999999"/>
    <n v="-5686.8447260000003"/>
    <n v="2202.8255199999999"/>
    <x v="94"/>
    <s v="May-2021"/>
  </r>
  <r>
    <x v="95"/>
    <s v="KOR"/>
    <x v="1"/>
    <x v="5"/>
    <x v="5"/>
    <s v="reported"/>
    <n v="24371.304250000001"/>
    <n v="24366"/>
    <n v="-5.3042468600000001"/>
    <n v="-1807.412609"/>
    <n v="-5853.3987559999996"/>
    <n v="2283.1293369999999"/>
    <x v="94"/>
    <s v="Jun-2021"/>
  </r>
  <r>
    <x v="95"/>
    <s v="KOR"/>
    <x v="1"/>
    <x v="6"/>
    <x v="6"/>
    <s v="reported"/>
    <n v="24191.031040000002"/>
    <n v="25693"/>
    <n v="1501.9689579999999"/>
    <n v="-305.44365069999998"/>
    <n v="-4529.0719840000002"/>
    <n v="3676.719098"/>
    <x v="94"/>
    <s v="Jul-2021"/>
  </r>
  <r>
    <x v="95"/>
    <s v="KOR"/>
    <x v="1"/>
    <x v="7"/>
    <x v="7"/>
    <s v="reported"/>
    <n v="24362.771369999999"/>
    <n v="25926"/>
    <n v="1563.2286340000001"/>
    <n v="1257.7849839999999"/>
    <n v="-3022.0461070000001"/>
    <n v="5408.6070820000004"/>
    <x v="94"/>
    <s v="Aug-2021"/>
  </r>
  <r>
    <x v="95"/>
    <s v="KOR"/>
    <x v="1"/>
    <x v="8"/>
    <x v="8"/>
    <s v="reported"/>
    <n v="24746.796149999998"/>
    <n v="25627"/>
    <n v="880.20384820000004"/>
    <n v="2137.988832"/>
    <n v="-2334.9796419999998"/>
    <n v="6530.0642589999998"/>
    <x v="94"/>
    <s v="Sep-2021"/>
  </r>
  <r>
    <x v="95"/>
    <s v="KOR"/>
    <x v="1"/>
    <x v="9"/>
    <x v="9"/>
    <s v="reported"/>
    <n v="25695.377619999999"/>
    <n v="27750"/>
    <n v="2054.6223770000001"/>
    <n v="4192.6112089999997"/>
    <n v="-217.59647630000001"/>
    <n v="8759.7782050000005"/>
    <x v="94"/>
    <s v="Oct-2021"/>
  </r>
  <r>
    <x v="95"/>
    <s v="KOR"/>
    <x v="1"/>
    <x v="10"/>
    <x v="10"/>
    <s v="reported"/>
    <n v="26758.77936"/>
    <n v="28299"/>
    <n v="1540.220638"/>
    <n v="5732.831846"/>
    <n v="1210.177711"/>
    <n v="10540.07013"/>
    <x v="94"/>
    <s v="Nov-2021"/>
  </r>
  <r>
    <x v="95"/>
    <s v="KOR"/>
    <x v="1"/>
    <x v="11"/>
    <x v="11"/>
    <s v="reported"/>
    <n v="27684.123889999999"/>
    <n v="31580"/>
    <n v="3895.8761119999999"/>
    <n v="9628.7079589999994"/>
    <n v="4742.3556719999997"/>
    <n v="14615.019259999999"/>
    <x v="94"/>
    <s v="Dec-2021"/>
  </r>
  <r>
    <x v="96"/>
    <s v="KWT"/>
    <x v="0"/>
    <x v="0"/>
    <x v="0"/>
    <s v="reported"/>
    <n v="697.46861379999996"/>
    <n v="599"/>
    <n v="-98.551947119999994"/>
    <n v="-98.551947119999994"/>
    <n v="-128.89110450000001"/>
    <n v="-67.204838670000001"/>
    <x v="95"/>
    <s v="Jan-2020"/>
  </r>
  <r>
    <x v="96"/>
    <s v="KWT"/>
    <x v="0"/>
    <x v="1"/>
    <x v="1"/>
    <s v="reported"/>
    <n v="625.1603854"/>
    <n v="607"/>
    <n v="-18.243718770000001"/>
    <n v="-116.7956659"/>
    <n v="-165.30683239999999"/>
    <n v="-72.097667830000006"/>
    <x v="95"/>
    <s v="Feb-2020"/>
  </r>
  <r>
    <x v="96"/>
    <s v="KWT"/>
    <x v="0"/>
    <x v="2"/>
    <x v="2"/>
    <s v="reported"/>
    <n v="620.85020899999995"/>
    <n v="636"/>
    <n v="15.066457720000001"/>
    <n v="-101.7292082"/>
    <n v="-162.9200562"/>
    <n v="-46.77844691"/>
    <x v="95"/>
    <s v="Mar-2020"/>
  </r>
  <r>
    <x v="96"/>
    <s v="KWT"/>
    <x v="0"/>
    <x v="3"/>
    <x v="3"/>
    <s v="reported"/>
    <n v="597.81790120000005"/>
    <n v="702"/>
    <n v="104.0987655"/>
    <n v="2.3695573200000002"/>
    <n v="-69.653720089999993"/>
    <n v="69.082657639999994"/>
    <x v="95"/>
    <s v="Apr-2020"/>
  </r>
  <r>
    <x v="96"/>
    <s v="KWT"/>
    <x v="0"/>
    <x v="4"/>
    <x v="4"/>
    <s v="reported"/>
    <n v="591.15419480000003"/>
    <n v="1347"/>
    <n v="755.76247179999996"/>
    <n v="758.13202920000003"/>
    <n v="678.38127840000004"/>
    <n v="831.09549849999996"/>
    <x v="95"/>
    <s v="May-2020"/>
  </r>
  <r>
    <x v="96"/>
    <s v="KWT"/>
    <x v="0"/>
    <x v="5"/>
    <x v="5"/>
    <s v="reported"/>
    <n v="585.73329230000002"/>
    <n v="1235"/>
    <n v="649.18337440000005"/>
    <n v="1407.3154039999999"/>
    <n v="1319.776879"/>
    <n v="1491.47657"/>
    <x v="95"/>
    <s v="Jun-2020"/>
  </r>
  <r>
    <x v="96"/>
    <s v="KWT"/>
    <x v="0"/>
    <x v="6"/>
    <x v="6"/>
    <s v="reported"/>
    <n v="577.87441339999998"/>
    <n v="1047"/>
    <n v="469.04225330000003"/>
    <n v="1876.357657"/>
    <n v="1782.2725390000001"/>
    <n v="1960.6249800000001"/>
    <x v="95"/>
    <s v="Jul-2020"/>
  </r>
  <r>
    <x v="96"/>
    <s v="KWT"/>
    <x v="0"/>
    <x v="7"/>
    <x v="7"/>
    <s v="reported"/>
    <n v="559.0431873"/>
    <n v="907"/>
    <n v="347.87347940000001"/>
    <n v="2224.2311359999999"/>
    <n v="2125.036032"/>
    <n v="2315.8906050000001"/>
    <x v="95"/>
    <s v="Aug-2020"/>
  </r>
  <r>
    <x v="96"/>
    <s v="KWT"/>
    <x v="0"/>
    <x v="8"/>
    <x v="8"/>
    <s v="reported"/>
    <n v="559.36714389999997"/>
    <n v="878"/>
    <n v="318.54952279999998"/>
    <n v="2542.780659"/>
    <n v="2440.7890870000001"/>
    <n v="2641.0841789999999"/>
    <x v="95"/>
    <s v="Sep-2020"/>
  </r>
  <r>
    <x v="96"/>
    <s v="KWT"/>
    <x v="0"/>
    <x v="9"/>
    <x v="9"/>
    <s v="reported"/>
    <n v="579.212175"/>
    <n v="906"/>
    <n v="326.70449170000001"/>
    <n v="2869.4851509999999"/>
    <n v="2758.8969529999999"/>
    <n v="2974.8769090000001"/>
    <x v="95"/>
    <s v="Oct-2020"/>
  </r>
  <r>
    <x v="96"/>
    <s v="KWT"/>
    <x v="0"/>
    <x v="10"/>
    <x v="10"/>
    <s v="reported"/>
    <n v="654.37095720000002"/>
    <n v="903"/>
    <n v="248.54570939999999"/>
    <n v="3118.0308599999998"/>
    <n v="3000.0488719999998"/>
    <n v="3225.6000669999999"/>
    <x v="95"/>
    <s v="Nov-2020"/>
  </r>
  <r>
    <x v="96"/>
    <s v="KWT"/>
    <x v="0"/>
    <x v="11"/>
    <x v="11"/>
    <s v="reported"/>
    <n v="716.28406729999995"/>
    <n v="802"/>
    <n v="85.632599380000002"/>
    <n v="3203.6634600000002"/>
    <n v="3085.4031279999999"/>
    <n v="3321.6389920000001"/>
    <x v="95"/>
    <s v="Dec-2020"/>
  </r>
  <r>
    <x v="96"/>
    <s v="KWT"/>
    <x v="1"/>
    <x v="0"/>
    <x v="0"/>
    <s v="reported"/>
    <n v="717.99744550000003"/>
    <n v="764"/>
    <n v="46.002554490000001"/>
    <n v="3249.6660139999999"/>
    <n v="3127.7312299999999"/>
    <n v="3370.6978009999998"/>
    <x v="95"/>
    <s v="Jan-2021"/>
  </r>
  <r>
    <x v="96"/>
    <s v="KWT"/>
    <x v="1"/>
    <x v="1"/>
    <x v="1"/>
    <s v="reported"/>
    <n v="644.87164189999999"/>
    <n v="749"/>
    <n v="104.1283581"/>
    <n v="3353.7943719999998"/>
    <n v="3224.126084"/>
    <n v="3492.7787480000002"/>
    <x v="95"/>
    <s v="Feb-2021"/>
  </r>
  <r>
    <x v="96"/>
    <s v="KWT"/>
    <x v="1"/>
    <x v="2"/>
    <x v="2"/>
    <s v="reported"/>
    <n v="640.12301400000001"/>
    <n v="1037"/>
    <n v="396.87698599999999"/>
    <n v="3750.6713580000001"/>
    <n v="3609.5767919999998"/>
    <n v="3892.645278"/>
    <x v="95"/>
    <s v="Mar-2021"/>
  </r>
  <r>
    <x v="96"/>
    <s v="KWT"/>
    <x v="1"/>
    <x v="3"/>
    <x v="3"/>
    <s v="reported"/>
    <n v="616.44325960000003"/>
    <n v="1098"/>
    <n v="481.55674040000002"/>
    <n v="4232.2280989999999"/>
    <n v="4082.5905229999998"/>
    <n v="4382.8676690000002"/>
    <x v="95"/>
    <s v="Apr-2021"/>
  </r>
  <r>
    <x v="96"/>
    <s v="KWT"/>
    <x v="1"/>
    <x v="4"/>
    <x v="4"/>
    <s v="reported"/>
    <n v="611.018373"/>
    <n v="991"/>
    <n v="379.981627"/>
    <n v="4612.209726"/>
    <n v="4458.0342810000002"/>
    <n v="4758.708181"/>
    <x v="95"/>
    <s v="May-2021"/>
  </r>
  <r>
    <x v="96"/>
    <s v="KWT"/>
    <x v="1"/>
    <x v="5"/>
    <x v="5"/>
    <s v="reported"/>
    <n v="604.2383403"/>
    <n v="1032"/>
    <n v="427.7616597"/>
    <n v="5039.9713849999998"/>
    <n v="4883.9517980000001"/>
    <n v="5195.9387630000001"/>
    <x v="95"/>
    <s v="Jun-2021"/>
  </r>
  <r>
    <x v="96"/>
    <s v="KWT"/>
    <x v="1"/>
    <x v="6"/>
    <x v="6"/>
    <s v="reported"/>
    <n v="594.94868629999996"/>
    <n v="1461"/>
    <n v="866.05131370000004"/>
    <n v="5906.0226990000001"/>
    <n v="5744.7329390000004"/>
    <n v="6062.9840999999997"/>
    <x v="95"/>
    <s v="Jul-2021"/>
  </r>
  <r>
    <x v="96"/>
    <s v="KWT"/>
    <x v="1"/>
    <x v="7"/>
    <x v="7"/>
    <s v="reported"/>
    <n v="576.76865190000001"/>
    <n v="1135"/>
    <n v="558.23134809999999"/>
    <n v="6464.2540470000004"/>
    <n v="6304.2760440000002"/>
    <n v="6628.7918470000004"/>
    <x v="95"/>
    <s v="Aug-2021"/>
  </r>
  <r>
    <x v="96"/>
    <s v="KWT"/>
    <x v="1"/>
    <x v="8"/>
    <x v="8"/>
    <s v="reported"/>
    <n v="576.09086690000004"/>
    <n v="738"/>
    <n v="161.90913309999999"/>
    <n v="6626.1631799999996"/>
    <n v="6457.6082900000001"/>
    <n v="6790.1496459999998"/>
    <x v="95"/>
    <s v="Sep-2021"/>
  </r>
  <r>
    <x v="96"/>
    <s v="KWT"/>
    <x v="1"/>
    <x v="9"/>
    <x v="9"/>
    <s v="reported"/>
    <n v="597.85558839999999"/>
    <n v="602"/>
    <n v="4.1444115999999998"/>
    <n v="6630.3075920000001"/>
    <n v="6452.9939560000003"/>
    <n v="6797.2562109999999"/>
    <x v="95"/>
    <s v="Oct-2021"/>
  </r>
  <r>
    <x v="96"/>
    <s v="KWT"/>
    <x v="1"/>
    <x v="10"/>
    <x v="10"/>
    <s v="reported"/>
    <n v="674.4528871"/>
    <n v="634"/>
    <n v="-40.452887060000002"/>
    <n v="6589.8547049999997"/>
    <n v="6407.313682"/>
    <n v="6756.5276750000003"/>
    <x v="95"/>
    <s v="Nov-2021"/>
  </r>
  <r>
    <x v="96"/>
    <s v="KWT"/>
    <x v="1"/>
    <x v="11"/>
    <x v="11"/>
    <s v="reported"/>
    <n v="738.43314699999996"/>
    <n v="697"/>
    <n v="-41.433147040000001"/>
    <n v="6548.421558"/>
    <n v="6362.1901639999996"/>
    <n v="6729.5259690000003"/>
    <x v="95"/>
    <s v="Dec-2021"/>
  </r>
  <r>
    <x v="97"/>
    <s v="LAO"/>
    <x v="0"/>
    <x v="0"/>
    <x v="0"/>
    <s v="predicted"/>
    <n v="3718.028562"/>
    <n v="3810.6930000000002"/>
    <n v="92.664438349999998"/>
    <n v="92.664438349999998"/>
    <n v="-809.01322419999997"/>
    <n v="1246.629306"/>
    <x v="96"/>
    <s v="Jan-2020"/>
  </r>
  <r>
    <x v="97"/>
    <s v="LAO"/>
    <x v="0"/>
    <x v="1"/>
    <x v="1"/>
    <s v="predicted"/>
    <n v="3707.2364680000001"/>
    <n v="3711.0929999999998"/>
    <n v="3.856531548"/>
    <n v="96.520969890000003"/>
    <n v="-1233.7095549999999"/>
    <n v="1465.2546809999999"/>
    <x v="96"/>
    <s v="Feb-2020"/>
  </r>
  <r>
    <x v="97"/>
    <s v="LAO"/>
    <x v="0"/>
    <x v="2"/>
    <x v="2"/>
    <s v="predicted"/>
    <n v="3641.1122249999999"/>
    <n v="3598.55"/>
    <n v="-42.562225150000003"/>
    <n v="53.95874474"/>
    <n v="-1536.7294529999999"/>
    <n v="1816.446015"/>
    <x v="96"/>
    <s v="Mar-2020"/>
  </r>
  <r>
    <x v="97"/>
    <s v="LAO"/>
    <x v="0"/>
    <x v="3"/>
    <x v="3"/>
    <s v="predicted"/>
    <n v="3626.8864290000001"/>
    <n v="3169.9360000000001"/>
    <n v="-456.95042849999999"/>
    <n v="-402.99168379999998"/>
    <n v="-2211.2913429999999"/>
    <n v="1514.788395"/>
    <x v="96"/>
    <s v="Apr-2020"/>
  </r>
  <r>
    <x v="97"/>
    <s v="LAO"/>
    <x v="0"/>
    <x v="4"/>
    <x v="4"/>
    <s v="predicted"/>
    <n v="3576.1310210000001"/>
    <n v="3404.2260000000001"/>
    <n v="-171.90502069999999"/>
    <n v="-574.89670450000006"/>
    <n v="-2532.7920049999998"/>
    <n v="1556.1394989999999"/>
    <x v="96"/>
    <s v="May-2020"/>
  </r>
  <r>
    <x v="97"/>
    <s v="LAO"/>
    <x v="0"/>
    <x v="5"/>
    <x v="5"/>
    <s v="predicted"/>
    <n v="3590.3234980000002"/>
    <n v="3688.9"/>
    <n v="98.576501559999997"/>
    <n v="-476.32020290000003"/>
    <n v="-2751.6665539999999"/>
    <n v="1940.528998"/>
    <x v="96"/>
    <s v="Jun-2020"/>
  </r>
  <r>
    <x v="97"/>
    <s v="LAO"/>
    <x v="0"/>
    <x v="6"/>
    <x v="6"/>
    <s v="predicted"/>
    <n v="3594.3024260000002"/>
    <n v="3751.3510000000001"/>
    <n v="157.04857430000001"/>
    <n v="-319.27162870000001"/>
    <n v="-2880.6707299999998"/>
    <n v="2390.1047509999999"/>
    <x v="96"/>
    <s v="Jul-2020"/>
  </r>
  <r>
    <x v="97"/>
    <s v="LAO"/>
    <x v="0"/>
    <x v="7"/>
    <x v="7"/>
    <s v="predicted"/>
    <n v="3612.0868529999998"/>
    <n v="3775.7620000000002"/>
    <n v="163.6751472"/>
    <n v="-155.59648150000001"/>
    <n v="-2875.9181760000001"/>
    <n v="2890.4603769999999"/>
    <x v="96"/>
    <s v="Aug-2020"/>
  </r>
  <r>
    <x v="97"/>
    <s v="LAO"/>
    <x v="0"/>
    <x v="8"/>
    <x v="8"/>
    <s v="predicted"/>
    <n v="3610.6367209999999"/>
    <n v="3728.0419999999999"/>
    <n v="117.4052794"/>
    <n v="-38.191202089999997"/>
    <n v="-2896.8808979999999"/>
    <n v="2950.7056160000002"/>
    <x v="96"/>
    <s v="Sep-2020"/>
  </r>
  <r>
    <x v="97"/>
    <s v="LAO"/>
    <x v="0"/>
    <x v="9"/>
    <x v="9"/>
    <s v="predicted"/>
    <n v="3672.22246"/>
    <n v="3756.8609999999999"/>
    <n v="84.638540160000005"/>
    <n v="46.447338070000001"/>
    <n v="-3027.3920840000001"/>
    <n v="3222.9666360000001"/>
    <x v="96"/>
    <s v="Oct-2020"/>
  </r>
  <r>
    <x v="97"/>
    <s v="LAO"/>
    <x v="0"/>
    <x v="10"/>
    <x v="10"/>
    <s v="predicted"/>
    <n v="3685.6941870000001"/>
    <n v="3749.4340000000002"/>
    <n v="63.739812630000003"/>
    <n v="110.1871507"/>
    <n v="-3037.2365559999998"/>
    <n v="3691.2145599999999"/>
    <x v="96"/>
    <s v="Nov-2020"/>
  </r>
  <r>
    <x v="97"/>
    <s v="LAO"/>
    <x v="0"/>
    <x v="11"/>
    <x v="11"/>
    <s v="predicted"/>
    <n v="3748.0437299999999"/>
    <n v="3823.3119999999999"/>
    <n v="75.268269700000005"/>
    <n v="185.45542040000001"/>
    <n v="-3156.7650939999999"/>
    <n v="3787.3220879999999"/>
    <x v="96"/>
    <s v="Dec-2020"/>
  </r>
  <r>
    <x v="97"/>
    <s v="LAO"/>
    <x v="1"/>
    <x v="0"/>
    <x v="0"/>
    <s v="predicted"/>
    <n v="3738.1600290000001"/>
    <n v="3852.7860000000001"/>
    <n v="114.6259707"/>
    <n v="300.08139110000002"/>
    <n v="-3374.4937669999999"/>
    <n v="3984.4586960000001"/>
    <x v="96"/>
    <s v="Jan-2021"/>
  </r>
  <r>
    <x v="97"/>
    <s v="LAO"/>
    <x v="1"/>
    <x v="1"/>
    <x v="1"/>
    <s v="predicted"/>
    <n v="3731.4390440000002"/>
    <n v="3844.3939999999998"/>
    <n v="112.9549561"/>
    <n v="413.03634729999999"/>
    <n v="-3369.9036259999998"/>
    <n v="4334.2244559999999"/>
    <x v="96"/>
    <s v="Feb-2021"/>
  </r>
  <r>
    <x v="97"/>
    <s v="LAO"/>
    <x v="1"/>
    <x v="2"/>
    <x v="2"/>
    <s v="predicted"/>
    <n v="3661.5533310000001"/>
    <n v="3763.951"/>
    <n v="102.3976686"/>
    <n v="515.43401589999996"/>
    <n v="-3668.4189900000001"/>
    <n v="4471.4863370000003"/>
    <x v="96"/>
    <s v="Mar-2021"/>
  </r>
  <r>
    <x v="97"/>
    <s v="LAO"/>
    <x v="1"/>
    <x v="3"/>
    <x v="3"/>
    <s v="predicted"/>
    <n v="3648.7024280000001"/>
    <n v="3777.7040000000002"/>
    <n v="129.00157229999999"/>
    <n v="644.43558819999998"/>
    <n v="-3572.7253609999998"/>
    <n v="4727.1940160000004"/>
    <x v="96"/>
    <s v="Apr-2021"/>
  </r>
  <r>
    <x v="97"/>
    <s v="LAO"/>
    <x v="1"/>
    <x v="4"/>
    <x v="4"/>
    <s v="predicted"/>
    <n v="3597.042997"/>
    <n v="3455.2220000000002"/>
    <n v="-141.82099719999999"/>
    <n v="502.61459100000002"/>
    <n v="-3888.0217069999999"/>
    <n v="4554.8089170000003"/>
    <x v="96"/>
    <s v="May-2021"/>
  </r>
  <r>
    <x v="97"/>
    <s v="LAO"/>
    <x v="1"/>
    <x v="5"/>
    <x v="5"/>
    <s v="predicted"/>
    <n v="3612.795795"/>
    <n v="3492.8440000000001"/>
    <n v="-119.9517946"/>
    <n v="382.66279639999999"/>
    <n v="-3871.0961579999998"/>
    <n v="4472.4780449999998"/>
    <x v="96"/>
    <s v="Jun-2021"/>
  </r>
  <r>
    <x v="97"/>
    <s v="LAO"/>
    <x v="1"/>
    <x v="6"/>
    <x v="6"/>
    <s v="predicted"/>
    <n v="3618.0555199999999"/>
    <n v="3745.1080000000002"/>
    <n v="127.05247989999999"/>
    <n v="509.71527630000003"/>
    <n v="-4011.7563239999999"/>
    <n v="4927.4390240000002"/>
    <x v="96"/>
    <s v="Jul-2021"/>
  </r>
  <r>
    <x v="97"/>
    <s v="LAO"/>
    <x v="1"/>
    <x v="7"/>
    <x v="7"/>
    <s v="predicted"/>
    <n v="3633.4070879999999"/>
    <n v="3869.5889999999999"/>
    <n v="236.18191179999999"/>
    <n v="745.89718800000003"/>
    <n v="-3725.6041919999998"/>
    <n v="5460.6097239999999"/>
    <x v="96"/>
    <s v="Aug-2021"/>
  </r>
  <r>
    <x v="97"/>
    <s v="LAO"/>
    <x v="1"/>
    <x v="8"/>
    <x v="8"/>
    <s v="predicted"/>
    <n v="3630.9612830000001"/>
    <n v="3727.6959999999999"/>
    <n v="96.734716910000003"/>
    <n v="842.63190499999996"/>
    <n v="-3633.8119459999998"/>
    <n v="5656.6668339999997"/>
    <x v="96"/>
    <s v="Sep-2021"/>
  </r>
  <r>
    <x v="97"/>
    <s v="LAO"/>
    <x v="1"/>
    <x v="9"/>
    <x v="9"/>
    <s v="predicted"/>
    <n v="3693.5728370000002"/>
    <n v="4080.3620000000001"/>
    <n v="386.78916299999997"/>
    <n v="1229.4210680000001"/>
    <n v="-3493.3986629999999"/>
    <n v="6160.9016650000003"/>
    <x v="96"/>
    <s v="Oct-2021"/>
  </r>
  <r>
    <x v="97"/>
    <s v="LAO"/>
    <x v="1"/>
    <x v="10"/>
    <x v="10"/>
    <s v="predicted"/>
    <n v="3707.628616"/>
    <n v="4365.3050000000003"/>
    <n v="657.67638399999998"/>
    <n v="1887.097452"/>
    <n v="-2938.8390340000001"/>
    <n v="6946.512745"/>
    <x v="96"/>
    <s v="Nov-2021"/>
  </r>
  <r>
    <x v="97"/>
    <s v="LAO"/>
    <x v="1"/>
    <x v="11"/>
    <x v="11"/>
    <s v="predicted"/>
    <n v="3770.4024169999998"/>
    <n v="4628.9070000000002"/>
    <n v="858.50458270000001"/>
    <n v="2745.6020349999999"/>
    <n v="-2392.8069420000002"/>
    <n v="7995.2496789999996"/>
    <x v="96"/>
    <s v="Dec-2021"/>
  </r>
  <r>
    <x v="98"/>
    <s v="LBN"/>
    <x v="0"/>
    <x v="0"/>
    <x v="0"/>
    <s v="reported"/>
    <n v="2762.8952450000002"/>
    <n v="3475"/>
    <n v="685.63465099999996"/>
    <n v="685.63465099999996"/>
    <n v="517.80844760000002"/>
    <n v="860.1965017"/>
    <x v="97"/>
    <s v="Jan-2020"/>
  </r>
  <r>
    <x v="98"/>
    <s v="LBN"/>
    <x v="0"/>
    <x v="1"/>
    <x v="1"/>
    <s v="reported"/>
    <n v="2858.3876620000001"/>
    <n v="3107"/>
    <n v="222.1422345"/>
    <n v="907.77688550000005"/>
    <n v="646.99374339999997"/>
    <n v="1167.3237489999999"/>
    <x v="97"/>
    <s v="Feb-2020"/>
  </r>
  <r>
    <x v="98"/>
    <s v="LBN"/>
    <x v="0"/>
    <x v="2"/>
    <x v="2"/>
    <s v="reported"/>
    <n v="2850.7270250000001"/>
    <n v="2778"/>
    <n v="-99.197128649999996"/>
    <n v="808.57975690000001"/>
    <n v="477.00382730000001"/>
    <n v="1133.311584"/>
    <x v="97"/>
    <s v="Mar-2020"/>
  </r>
  <r>
    <x v="98"/>
    <s v="LBN"/>
    <x v="0"/>
    <x v="3"/>
    <x v="3"/>
    <s v="reported"/>
    <n v="2709.4867760000002"/>
    <n v="2296"/>
    <n v="-439.95687959999998"/>
    <n v="368.62287730000003"/>
    <n v="-26.522284079999999"/>
    <n v="739.24167079999995"/>
    <x v="97"/>
    <s v="Apr-2020"/>
  </r>
  <r>
    <x v="98"/>
    <s v="LBN"/>
    <x v="0"/>
    <x v="4"/>
    <x v="4"/>
    <s v="reported"/>
    <n v="2561.0759720000001"/>
    <n v="2729"/>
    <n v="141.4539245"/>
    <n v="510.0768018"/>
    <n v="71.14208146"/>
    <n v="924.55430909999995"/>
    <x v="97"/>
    <s v="May-2020"/>
  </r>
  <r>
    <x v="98"/>
    <s v="LBN"/>
    <x v="0"/>
    <x v="5"/>
    <x v="5"/>
    <s v="reported"/>
    <n v="2429.373771"/>
    <n v="2283"/>
    <n v="-172.843875"/>
    <n v="337.23292679999997"/>
    <n v="-154.5431427"/>
    <n v="774.76550669999995"/>
    <x v="97"/>
    <s v="Jun-2020"/>
  </r>
  <r>
    <x v="98"/>
    <s v="LBN"/>
    <x v="0"/>
    <x v="6"/>
    <x v="6"/>
    <s v="reported"/>
    <n v="2332.806482"/>
    <n v="2423"/>
    <n v="63.72341393"/>
    <n v="400.95634080000002"/>
    <n v="-102.5237241"/>
    <n v="871.10808580000003"/>
    <x v="97"/>
    <s v="Jul-2020"/>
  </r>
  <r>
    <x v="98"/>
    <s v="LBN"/>
    <x v="0"/>
    <x v="7"/>
    <x v="7"/>
    <s v="reported"/>
    <n v="2301.0520889999998"/>
    <n v="2674"/>
    <n v="346.47780779999999"/>
    <n v="747.43414849999999"/>
    <n v="213.20014929999999"/>
    <n v="1261.793876"/>
    <x v="97"/>
    <s v="Aug-2020"/>
  </r>
  <r>
    <x v="98"/>
    <s v="LBN"/>
    <x v="0"/>
    <x v="8"/>
    <x v="8"/>
    <s v="reported"/>
    <n v="2336.52268"/>
    <n v="2773"/>
    <n v="410.00721679999998"/>
    <n v="1157.4413649999999"/>
    <n v="610.79018080000003"/>
    <n v="1684.057354"/>
    <x v="97"/>
    <s v="Sep-2020"/>
  </r>
  <r>
    <x v="98"/>
    <s v="LBN"/>
    <x v="0"/>
    <x v="9"/>
    <x v="9"/>
    <s v="reported"/>
    <n v="2472.5511489999999"/>
    <n v="3457"/>
    <n v="957.97874760000002"/>
    <n v="2115.4201130000001"/>
    <n v="1549.4799190000001"/>
    <n v="2660.9437939999998"/>
    <x v="97"/>
    <s v="Oct-2020"/>
  </r>
  <r>
    <x v="98"/>
    <s v="LBN"/>
    <x v="0"/>
    <x v="10"/>
    <x v="10"/>
    <s v="reported"/>
    <n v="2600.4531689999999"/>
    <n v="3572"/>
    <n v="945.07672709999997"/>
    <n v="3060.4968399999998"/>
    <n v="2417.594756"/>
    <n v="3648.5068219999998"/>
    <x v="97"/>
    <s v="Nov-2020"/>
  </r>
  <r>
    <x v="98"/>
    <s v="LBN"/>
    <x v="0"/>
    <x v="11"/>
    <x v="11"/>
    <s v="reported"/>
    <n v="2756.745093"/>
    <n v="3931"/>
    <n v="1147.784803"/>
    <n v="4208.2816430000003"/>
    <n v="3540.2542389999999"/>
    <n v="4856.6057309999997"/>
    <x v="97"/>
    <s v="Dec-2020"/>
  </r>
  <r>
    <x v="98"/>
    <s v="LBN"/>
    <x v="1"/>
    <x v="0"/>
    <x v="0"/>
    <s v="reported"/>
    <n v="2744.2491070000001"/>
    <n v="5477"/>
    <n v="2725.1433430000002"/>
    <n v="6933.424986"/>
    <n v="6222.8053609999997"/>
    <n v="7635.8017110000001"/>
    <x v="97"/>
    <s v="Jan-2021"/>
  </r>
  <r>
    <x v="98"/>
    <s v="LBN"/>
    <x v="1"/>
    <x v="1"/>
    <x v="1"/>
    <s v="reported"/>
    <n v="2848.8432819999998"/>
    <n v="5252"/>
    <n v="2395.5491689999999"/>
    <n v="9328.9741549999999"/>
    <n v="8621.7405299999991"/>
    <n v="10028.415870000001"/>
    <x v="97"/>
    <s v="Feb-2021"/>
  </r>
  <r>
    <x v="98"/>
    <s v="LBN"/>
    <x v="1"/>
    <x v="2"/>
    <x v="2"/>
    <s v="reported"/>
    <n v="2830.7178349999999"/>
    <n v="5720"/>
    <n v="2881.6746159999998"/>
    <n v="12210.64877"/>
    <n v="11444.03586"/>
    <n v="12966.028130000001"/>
    <x v="97"/>
    <s v="Mar-2021"/>
  </r>
  <r>
    <x v="98"/>
    <s v="LBN"/>
    <x v="1"/>
    <x v="3"/>
    <x v="3"/>
    <s v="reported"/>
    <n v="2695.40137"/>
    <n v="4481"/>
    <n v="1777.9910809999999"/>
    <n v="13988.63985"/>
    <n v="13208.283719999999"/>
    <n v="14782.141600000001"/>
    <x v="97"/>
    <s v="Apr-2021"/>
  </r>
  <r>
    <x v="98"/>
    <s v="LBN"/>
    <x v="1"/>
    <x v="4"/>
    <x v="4"/>
    <s v="reported"/>
    <n v="2550.5268310000001"/>
    <n v="3107"/>
    <n v="548.86561959999995"/>
    <n v="14537.50547"/>
    <n v="13684.396500000001"/>
    <n v="15357.19731"/>
    <x v="97"/>
    <s v="May-2021"/>
  </r>
  <r>
    <x v="98"/>
    <s v="LBN"/>
    <x v="1"/>
    <x v="5"/>
    <x v="5"/>
    <s v="reported"/>
    <n v="2416.0178209999999"/>
    <n v="2544"/>
    <n v="120.37462979999999"/>
    <n v="14657.8801"/>
    <n v="13783.0661"/>
    <n v="15531.761549999999"/>
    <x v="97"/>
    <s v="Jun-2021"/>
  </r>
  <r>
    <x v="98"/>
    <s v="LBN"/>
    <x v="1"/>
    <x v="6"/>
    <x v="6"/>
    <s v="reported"/>
    <n v="2321.6440950000001"/>
    <n v="2747"/>
    <n v="417.74835519999999"/>
    <n v="15075.62846"/>
    <n v="14208.24302"/>
    <n v="15910.143029999999"/>
    <x v="97"/>
    <s v="Jul-2021"/>
  </r>
  <r>
    <x v="98"/>
    <s v="LBN"/>
    <x v="1"/>
    <x v="7"/>
    <x v="7"/>
    <s v="reported"/>
    <n v="2285.1104970000001"/>
    <n v="3292"/>
    <n v="999.28195340000002"/>
    <n v="16074.91041"/>
    <n v="15179.137049999999"/>
    <n v="16934.540290000001"/>
    <x v="97"/>
    <s v="Aug-2021"/>
  </r>
  <r>
    <x v="98"/>
    <s v="LBN"/>
    <x v="1"/>
    <x v="8"/>
    <x v="8"/>
    <s v="reported"/>
    <n v="2317.4445270000001"/>
    <n v="3152"/>
    <n v="826.9479235"/>
    <n v="16901.858329999999"/>
    <n v="15987.365820000001"/>
    <n v="17794.309499999999"/>
    <x v="97"/>
    <s v="Sep-2021"/>
  </r>
  <r>
    <x v="98"/>
    <s v="LBN"/>
    <x v="1"/>
    <x v="9"/>
    <x v="9"/>
    <s v="reported"/>
    <n v="2450.6766769999999"/>
    <n v="2966"/>
    <n v="507.7157732"/>
    <n v="17409.574110000001"/>
    <n v="16455.03356"/>
    <n v="18332.06495"/>
    <x v="97"/>
    <s v="Oct-2021"/>
  </r>
  <r>
    <x v="98"/>
    <s v="LBN"/>
    <x v="1"/>
    <x v="10"/>
    <x v="10"/>
    <s v="reported"/>
    <n v="2582.155162"/>
    <n v="3401"/>
    <n v="811.2372881"/>
    <n v="18220.811399999999"/>
    <n v="17249.768059999999"/>
    <n v="19193.189320000001"/>
    <x v="97"/>
    <s v="Nov-2021"/>
  </r>
  <r>
    <x v="98"/>
    <s v="LBN"/>
    <x v="1"/>
    <x v="11"/>
    <x v="11"/>
    <s v="reported"/>
    <n v="2729.2999730000001"/>
    <n v="4063"/>
    <n v="1326.0924769999999"/>
    <n v="19546.903869999998"/>
    <n v="18542.43562"/>
    <n v="20517.925019999999"/>
    <x v="97"/>
    <s v="Dec-2021"/>
  </r>
  <r>
    <x v="99"/>
    <s v="LBR"/>
    <x v="0"/>
    <x v="0"/>
    <x v="0"/>
    <s v="predicted"/>
    <n v="3022.703845"/>
    <n v="3124.9560000000001"/>
    <n v="102.2521553"/>
    <n v="102.2521553"/>
    <n v="-779.53069589999996"/>
    <n v="1162.709591"/>
    <x v="98"/>
    <s v="Jan-2020"/>
  </r>
  <r>
    <x v="99"/>
    <s v="LBR"/>
    <x v="0"/>
    <x v="1"/>
    <x v="1"/>
    <s v="predicted"/>
    <n v="3009.4399520000002"/>
    <n v="3032.6610000000001"/>
    <n v="23.221048339999999"/>
    <n v="125.4732037"/>
    <n v="-1078.1127980000001"/>
    <n v="1667.4577979999999"/>
    <x v="98"/>
    <s v="Feb-2020"/>
  </r>
  <r>
    <x v="99"/>
    <s v="LBR"/>
    <x v="0"/>
    <x v="2"/>
    <x v="2"/>
    <s v="predicted"/>
    <n v="2990.0914360000002"/>
    <n v="2942.4169999999999"/>
    <n v="-47.674436"/>
    <n v="77.798767690000005"/>
    <n v="-1420.526468"/>
    <n v="1852.017515"/>
    <x v="98"/>
    <s v="Mar-2020"/>
  </r>
  <r>
    <x v="99"/>
    <s v="LBR"/>
    <x v="0"/>
    <x v="3"/>
    <x v="3"/>
    <s v="predicted"/>
    <n v="2995.5395760000001"/>
    <n v="2935.5279999999998"/>
    <n v="-60.0115756"/>
    <n v="17.787192090000001"/>
    <n v="-1736.7467830000001"/>
    <n v="2055.7602189999998"/>
    <x v="98"/>
    <s v="Apr-2020"/>
  </r>
  <r>
    <x v="99"/>
    <s v="LBR"/>
    <x v="0"/>
    <x v="4"/>
    <x v="4"/>
    <s v="predicted"/>
    <n v="3014.4315029999998"/>
    <n v="3014.0749999999998"/>
    <n v="-0.35650324300000003"/>
    <n v="17.430688839999998"/>
    <n v="-1900.131367"/>
    <n v="2231.008339"/>
    <x v="98"/>
    <s v="May-2020"/>
  </r>
  <r>
    <x v="99"/>
    <s v="LBR"/>
    <x v="0"/>
    <x v="5"/>
    <x v="5"/>
    <s v="predicted"/>
    <n v="3032.277607"/>
    <n v="3159.3980000000001"/>
    <n v="127.1203926"/>
    <n v="144.55108150000001"/>
    <n v="-2030.817603"/>
    <n v="2534.3999469999999"/>
    <x v="98"/>
    <s v="Jun-2020"/>
  </r>
  <r>
    <x v="99"/>
    <s v="LBR"/>
    <x v="0"/>
    <x v="6"/>
    <x v="6"/>
    <s v="predicted"/>
    <n v="3051.5424229999999"/>
    <n v="3379.4430000000002"/>
    <n v="327.90057680000001"/>
    <n v="472.45165830000002"/>
    <n v="-1799.66776"/>
    <n v="3145.1043880000002"/>
    <x v="98"/>
    <s v="Jul-2020"/>
  </r>
  <r>
    <x v="99"/>
    <s v="LBR"/>
    <x v="0"/>
    <x v="7"/>
    <x v="7"/>
    <s v="predicted"/>
    <n v="3049.0130690000001"/>
    <n v="3227.9769999999999"/>
    <n v="178.9639315"/>
    <n v="651.41558980000002"/>
    <n v="-1792.2258890000001"/>
    <n v="3454.6572849999998"/>
    <x v="98"/>
    <s v="Aug-2020"/>
  </r>
  <r>
    <x v="99"/>
    <s v="LBR"/>
    <x v="0"/>
    <x v="8"/>
    <x v="8"/>
    <s v="predicted"/>
    <n v="3044.400803"/>
    <n v="3086.5250000000001"/>
    <n v="42.124197219999999"/>
    <n v="693.53978700000005"/>
    <n v="-1892.652922"/>
    <n v="3626.4401800000001"/>
    <x v="98"/>
    <s v="Sep-2020"/>
  </r>
  <r>
    <x v="99"/>
    <s v="LBR"/>
    <x v="0"/>
    <x v="9"/>
    <x v="9"/>
    <s v="predicted"/>
    <n v="3042.7996229999999"/>
    <n v="3041.6590000000001"/>
    <n v="-1.1406234909999999"/>
    <n v="692.39916349999999"/>
    <n v="-2185.5267789999998"/>
    <n v="3720.1537880000001"/>
    <x v="98"/>
    <s v="Oct-2020"/>
  </r>
  <r>
    <x v="99"/>
    <s v="LBR"/>
    <x v="0"/>
    <x v="10"/>
    <x v="10"/>
    <s v="predicted"/>
    <n v="3026.9258359999999"/>
    <n v="2985.0659999999998"/>
    <n v="-41.859836260000002"/>
    <n v="650.5393272"/>
    <n v="-2237.7810599999998"/>
    <n v="3811.5953469999999"/>
    <x v="98"/>
    <s v="Nov-2020"/>
  </r>
  <r>
    <x v="99"/>
    <s v="LBR"/>
    <x v="0"/>
    <x v="11"/>
    <x v="11"/>
    <s v="predicted"/>
    <n v="3015.201654"/>
    <n v="2959.69"/>
    <n v="-55.511654370000002"/>
    <n v="595.02767289999997"/>
    <n v="-2295.3776979999998"/>
    <n v="3779.8845030000002"/>
    <x v="98"/>
    <s v="Dec-2020"/>
  </r>
  <r>
    <x v="99"/>
    <s v="LBR"/>
    <x v="1"/>
    <x v="0"/>
    <x v="0"/>
    <s v="predicted"/>
    <n v="2988.3160469999998"/>
    <n v="3031.2759999999998"/>
    <n v="42.959953329999998"/>
    <n v="637.98762620000002"/>
    <n v="-2436.3362940000002"/>
    <n v="3905.339489"/>
    <x v="98"/>
    <s v="Jan-2021"/>
  </r>
  <r>
    <x v="99"/>
    <s v="LBR"/>
    <x v="1"/>
    <x v="1"/>
    <x v="1"/>
    <s v="predicted"/>
    <n v="2986.699055"/>
    <n v="3157.9920000000002"/>
    <n v="171.29294469999999"/>
    <n v="809.28057090000004"/>
    <n v="-2459.0876440000002"/>
    <n v="4337.6417719999999"/>
    <x v="98"/>
    <s v="Feb-2021"/>
  </r>
  <r>
    <x v="99"/>
    <s v="LBR"/>
    <x v="1"/>
    <x v="2"/>
    <x v="2"/>
    <s v="predicted"/>
    <n v="2964.6246940000001"/>
    <n v="3081.085"/>
    <n v="116.46030589999999"/>
    <n v="925.74087680000002"/>
    <n v="-2564.8993369999998"/>
    <n v="4567.2755809999999"/>
    <x v="98"/>
    <s v="Mar-2021"/>
  </r>
  <r>
    <x v="99"/>
    <s v="LBR"/>
    <x v="1"/>
    <x v="3"/>
    <x v="3"/>
    <s v="predicted"/>
    <n v="2976.925549"/>
    <n v="2954.779"/>
    <n v="-22.146548589999998"/>
    <n v="903.59432819999995"/>
    <n v="-2665.6710600000001"/>
    <n v="4608.9491900000003"/>
    <x v="98"/>
    <s v="Apr-2021"/>
  </r>
  <r>
    <x v="99"/>
    <s v="LBR"/>
    <x v="1"/>
    <x v="4"/>
    <x v="4"/>
    <s v="predicted"/>
    <n v="2981.4689720000001"/>
    <n v="2984.6779999999999"/>
    <n v="3.2090278059999999"/>
    <n v="906.80335600000001"/>
    <n v="-3071.0885269999999"/>
    <n v="4875.4562480000004"/>
    <x v="98"/>
    <s v="May-2021"/>
  </r>
  <r>
    <x v="99"/>
    <s v="LBR"/>
    <x v="1"/>
    <x v="5"/>
    <x v="5"/>
    <s v="predicted"/>
    <n v="2997.6227530000001"/>
    <n v="3414.0329999999999"/>
    <n v="416.41024709999999"/>
    <n v="1323.2136029999999"/>
    <n v="-2621.7968529999998"/>
    <n v="5277.198394"/>
    <x v="98"/>
    <s v="Jun-2021"/>
  </r>
  <r>
    <x v="99"/>
    <s v="LBR"/>
    <x v="1"/>
    <x v="6"/>
    <x v="6"/>
    <s v="predicted"/>
    <n v="3025.844055"/>
    <n v="3440.0630000000001"/>
    <n v="414.21894479999997"/>
    <n v="1737.432548"/>
    <n v="-2200.4951580000002"/>
    <n v="6013.4036470000001"/>
    <x v="98"/>
    <s v="Jul-2021"/>
  </r>
  <r>
    <x v="99"/>
    <s v="LBR"/>
    <x v="1"/>
    <x v="7"/>
    <x v="7"/>
    <s v="predicted"/>
    <n v="3028.8991599999999"/>
    <n v="3099.8989999999999"/>
    <n v="70.999840329999998"/>
    <n v="1808.4323879999999"/>
    <n v="-2202.2271479999999"/>
    <n v="6106.5813010000002"/>
    <x v="98"/>
    <s v="Aug-2021"/>
  </r>
  <r>
    <x v="99"/>
    <s v="LBR"/>
    <x v="1"/>
    <x v="8"/>
    <x v="8"/>
    <s v="predicted"/>
    <n v="3021.2254389999998"/>
    <n v="3046.9290000000001"/>
    <n v="25.703561390000001"/>
    <n v="1834.1359500000001"/>
    <n v="-2309.7843029999999"/>
    <n v="6347.9623019999999"/>
    <x v="98"/>
    <s v="Sep-2021"/>
  </r>
  <r>
    <x v="99"/>
    <s v="LBR"/>
    <x v="1"/>
    <x v="9"/>
    <x v="9"/>
    <s v="predicted"/>
    <n v="3032.4652930000002"/>
    <n v="3017.7919999999999"/>
    <n v="-14.673292780000001"/>
    <n v="1819.462657"/>
    <n v="-2457.4857400000001"/>
    <n v="6422.8816980000001"/>
    <x v="98"/>
    <s v="Oct-2021"/>
  </r>
  <r>
    <x v="99"/>
    <s v="LBR"/>
    <x v="1"/>
    <x v="10"/>
    <x v="10"/>
    <s v="predicted"/>
    <n v="2998.0202450000002"/>
    <n v="2986.7060000000001"/>
    <n v="-11.31424548"/>
    <n v="1808.1484109999999"/>
    <n v="-2613.1460189999998"/>
    <n v="6605.2519389999998"/>
    <x v="98"/>
    <s v="Nov-2021"/>
  </r>
  <r>
    <x v="99"/>
    <s v="LBR"/>
    <x v="1"/>
    <x v="11"/>
    <x v="11"/>
    <s v="predicted"/>
    <n v="2982.5136459999999"/>
    <n v="3082.7240000000002"/>
    <n v="100.2103541"/>
    <n v="1908.3587649999999"/>
    <n v="-2611.7438569999999"/>
    <n v="6643.3290960000004"/>
    <x v="98"/>
    <s v="Dec-2021"/>
  </r>
  <r>
    <x v="100"/>
    <s v="LBY"/>
    <x v="0"/>
    <x v="0"/>
    <x v="0"/>
    <s v="predicted"/>
    <n v="2551.0622100000001"/>
    <n v="2624.8939999999998"/>
    <n v="73.831790049999995"/>
    <n v="73.831790049999995"/>
    <n v="-569.02227760000005"/>
    <n v="907.73149699999999"/>
    <x v="99"/>
    <s v="Jan-2020"/>
  </r>
  <r>
    <x v="100"/>
    <s v="LBY"/>
    <x v="0"/>
    <x v="1"/>
    <x v="1"/>
    <s v="predicted"/>
    <n v="2511.5644969999998"/>
    <n v="2495.1109999999999"/>
    <n v="-16.453496959999999"/>
    <n v="57.37829309"/>
    <n v="-910.32851000000005"/>
    <n v="1212.97936"/>
    <x v="99"/>
    <s v="Feb-2020"/>
  </r>
  <r>
    <x v="100"/>
    <s v="LBY"/>
    <x v="0"/>
    <x v="2"/>
    <x v="2"/>
    <s v="predicted"/>
    <n v="2463.780929"/>
    <n v="2342.4"/>
    <n v="-121.3809291"/>
    <n v="-64.00263597"/>
    <n v="-1227.3794150000001"/>
    <n v="1246.000354"/>
    <x v="99"/>
    <s v="Mar-2020"/>
  </r>
  <r>
    <x v="100"/>
    <s v="LBY"/>
    <x v="0"/>
    <x v="3"/>
    <x v="3"/>
    <s v="predicted"/>
    <n v="2400.1065039999999"/>
    <n v="2194.8130000000001"/>
    <n v="-205.29350350000001"/>
    <n v="-269.29613949999998"/>
    <n v="-1533.957453"/>
    <n v="1319.101253"/>
    <x v="99"/>
    <s v="Apr-2020"/>
  </r>
  <r>
    <x v="100"/>
    <s v="LBY"/>
    <x v="0"/>
    <x v="4"/>
    <x v="4"/>
    <s v="predicted"/>
    <n v="2329.8019880000002"/>
    <n v="2276.5749999999998"/>
    <n v="-53.2269875"/>
    <n v="-322.52312699999999"/>
    <n v="-1782.2639429999999"/>
    <n v="1382.876473"/>
    <x v="99"/>
    <s v="May-2020"/>
  </r>
  <r>
    <x v="100"/>
    <s v="LBY"/>
    <x v="0"/>
    <x v="5"/>
    <x v="5"/>
    <s v="predicted"/>
    <n v="2296.438091"/>
    <n v="2562.462"/>
    <n v="266.02390880000002"/>
    <n v="-56.499218200000001"/>
    <n v="-1584.7340610000001"/>
    <n v="1792.2898070000001"/>
    <x v="99"/>
    <s v="Jun-2020"/>
  </r>
  <r>
    <x v="100"/>
    <s v="LBY"/>
    <x v="0"/>
    <x v="6"/>
    <x v="6"/>
    <s v="predicted"/>
    <n v="2293.6058159999998"/>
    <n v="2766.0050000000001"/>
    <n v="472.39918440000002"/>
    <n v="415.89996619999999"/>
    <n v="-1251.976523"/>
    <n v="2357.2268220000001"/>
    <x v="99"/>
    <s v="Jul-2020"/>
  </r>
  <r>
    <x v="100"/>
    <s v="LBY"/>
    <x v="0"/>
    <x v="7"/>
    <x v="7"/>
    <s v="predicted"/>
    <n v="2286.6464350000001"/>
    <n v="2943.1390000000001"/>
    <n v="656.49256479999997"/>
    <n v="1072.392531"/>
    <n v="-874.18966950000004"/>
    <n v="3186.873556"/>
    <x v="99"/>
    <s v="Aug-2020"/>
  </r>
  <r>
    <x v="100"/>
    <s v="LBY"/>
    <x v="0"/>
    <x v="8"/>
    <x v="8"/>
    <s v="predicted"/>
    <n v="2311.9128470000001"/>
    <n v="2952.8850000000002"/>
    <n v="640.97215270000004"/>
    <n v="1713.3646839999999"/>
    <n v="-402.28283829999998"/>
    <n v="4144.5913229999996"/>
    <x v="99"/>
    <s v="Sep-2020"/>
  </r>
  <r>
    <x v="100"/>
    <s v="LBY"/>
    <x v="0"/>
    <x v="9"/>
    <x v="9"/>
    <s v="predicted"/>
    <n v="2372.0296520000002"/>
    <n v="2828.277"/>
    <n v="456.24734810000001"/>
    <n v="2169.612032"/>
    <n v="-243.6769591"/>
    <n v="4643.4985980000001"/>
    <x v="99"/>
    <s v="Oct-2020"/>
  </r>
  <r>
    <x v="100"/>
    <s v="LBY"/>
    <x v="0"/>
    <x v="10"/>
    <x v="10"/>
    <s v="predicted"/>
    <n v="2462.0632909999999"/>
    <n v="3216.3809999999999"/>
    <n v="754.31770879999999"/>
    <n v="2923.9297409999999"/>
    <n v="434.11568499999998"/>
    <n v="5702.198864"/>
    <x v="99"/>
    <s v="Nov-2020"/>
  </r>
  <r>
    <x v="100"/>
    <s v="LBY"/>
    <x v="0"/>
    <x v="11"/>
    <x v="11"/>
    <s v="predicted"/>
    <n v="2524.6628879999998"/>
    <n v="3058.42"/>
    <n v="533.7571117"/>
    <n v="3457.6868519999998"/>
    <n v="855.22267629999999"/>
    <n v="6288.0333730000002"/>
    <x v="99"/>
    <s v="Dec-2020"/>
  </r>
  <r>
    <x v="100"/>
    <s v="LBY"/>
    <x v="1"/>
    <x v="0"/>
    <x v="0"/>
    <s v="predicted"/>
    <n v="2612.0081449999998"/>
    <n v="3171.9859999999999"/>
    <n v="559.97785529999999"/>
    <n v="4017.6647079999998"/>
    <n v="1183.0548659999999"/>
    <n v="6788.9581969999999"/>
    <x v="99"/>
    <s v="Jan-2021"/>
  </r>
  <r>
    <x v="100"/>
    <s v="LBY"/>
    <x v="1"/>
    <x v="1"/>
    <x v="1"/>
    <s v="predicted"/>
    <n v="2568.1437780000001"/>
    <n v="3014.1109999999999"/>
    <n v="445.96722160000002"/>
    <n v="4463.6319290000001"/>
    <n v="1470.8384160000001"/>
    <n v="7540.9247800000003"/>
    <x v="99"/>
    <s v="Feb-2021"/>
  </r>
  <r>
    <x v="100"/>
    <s v="LBY"/>
    <x v="1"/>
    <x v="2"/>
    <x v="2"/>
    <s v="predicted"/>
    <n v="2515.6740289999998"/>
    <n v="3230.297"/>
    <n v="714.62297090000004"/>
    <n v="5178.2548999999999"/>
    <n v="2142.0251440000002"/>
    <n v="8458.7345480000004"/>
    <x v="99"/>
    <s v="Mar-2021"/>
  </r>
  <r>
    <x v="100"/>
    <s v="LBY"/>
    <x v="1"/>
    <x v="3"/>
    <x v="3"/>
    <s v="predicted"/>
    <n v="2458.521945"/>
    <n v="3127.9810000000002"/>
    <n v="669.4590551"/>
    <n v="5847.7139550000002"/>
    <n v="2592.3019340000001"/>
    <n v="9272.1733469999999"/>
    <x v="99"/>
    <s v="Apr-2021"/>
  </r>
  <r>
    <x v="100"/>
    <s v="LBY"/>
    <x v="1"/>
    <x v="4"/>
    <x v="4"/>
    <s v="predicted"/>
    <n v="2388.8014950000002"/>
    <n v="2724.6019999999999"/>
    <n v="335.80050490000002"/>
    <n v="6183.5144600000003"/>
    <n v="3045.1258910000001"/>
    <n v="9663.1217469999992"/>
    <x v="99"/>
    <s v="May-2021"/>
  </r>
  <r>
    <x v="100"/>
    <s v="LBY"/>
    <x v="1"/>
    <x v="5"/>
    <x v="5"/>
    <s v="predicted"/>
    <n v="2354.3167600000002"/>
    <n v="2731.01"/>
    <n v="376.69324"/>
    <n v="6560.2076999999999"/>
    <n v="3361.806963"/>
    <n v="10008.33316"/>
    <x v="99"/>
    <s v="Jun-2021"/>
  </r>
  <r>
    <x v="100"/>
    <s v="LBY"/>
    <x v="1"/>
    <x v="6"/>
    <x v="6"/>
    <s v="predicted"/>
    <n v="2343.5127560000001"/>
    <n v="2995.88"/>
    <n v="652.36724360000005"/>
    <n v="7212.574944"/>
    <n v="3852.9444199999998"/>
    <n v="10845.46903"/>
    <x v="99"/>
    <s v="Jul-2021"/>
  </r>
  <r>
    <x v="100"/>
    <s v="LBY"/>
    <x v="1"/>
    <x v="7"/>
    <x v="7"/>
    <s v="predicted"/>
    <n v="2345.7750649999998"/>
    <n v="3498.2130000000002"/>
    <n v="1152.4379349999999"/>
    <n v="8365.0128789999999"/>
    <n v="4794.8483420000002"/>
    <n v="12162.346320000001"/>
    <x v="99"/>
    <s v="Aug-2021"/>
  </r>
  <r>
    <x v="100"/>
    <s v="LBY"/>
    <x v="1"/>
    <x v="8"/>
    <x v="8"/>
    <s v="predicted"/>
    <n v="2362.025322"/>
    <n v="3093.1689999999999"/>
    <n v="731.14367800000002"/>
    <n v="9096.1565570000002"/>
    <n v="5490.5449850000005"/>
    <n v="12879.95948"/>
    <x v="99"/>
    <s v="Sep-2021"/>
  </r>
  <r>
    <x v="100"/>
    <s v="LBY"/>
    <x v="1"/>
    <x v="9"/>
    <x v="9"/>
    <s v="predicted"/>
    <n v="2427.742174"/>
    <n v="3069.8409999999999"/>
    <n v="642.09882600000003"/>
    <n v="9738.2553829999997"/>
    <n v="6002.3232340000004"/>
    <n v="13711.36109"/>
    <x v="99"/>
    <s v="Oct-2021"/>
  </r>
  <r>
    <x v="100"/>
    <s v="LBY"/>
    <x v="1"/>
    <x v="10"/>
    <x v="10"/>
    <s v="predicted"/>
    <n v="2515.1578"/>
    <n v="3043.4870000000001"/>
    <n v="528.3291997"/>
    <n v="10266.584580000001"/>
    <n v="6461.9667669999999"/>
    <n v="14547.20342"/>
    <x v="99"/>
    <s v="Nov-2021"/>
  </r>
  <r>
    <x v="100"/>
    <s v="LBY"/>
    <x v="1"/>
    <x v="11"/>
    <x v="11"/>
    <s v="predicted"/>
    <n v="2577.756891"/>
    <n v="3017.1149999999998"/>
    <n v="439.35810939999999"/>
    <n v="10705.94269"/>
    <n v="6967.7688479999997"/>
    <n v="15002.48198"/>
    <x v="99"/>
    <s v="Dec-2021"/>
  </r>
  <r>
    <x v="101"/>
    <s v="LCA"/>
    <x v="0"/>
    <x v="0"/>
    <x v="0"/>
    <s v="predicted"/>
    <n v="131.24716240000001"/>
    <n v="136.821"/>
    <n v="5.5738375600000003"/>
    <n v="5.5738375600000003"/>
    <n v="-33.93340955"/>
    <n v="52.833256980000002"/>
    <x v="100"/>
    <s v="Jan-2020"/>
  </r>
  <r>
    <x v="101"/>
    <s v="LCA"/>
    <x v="0"/>
    <x v="1"/>
    <x v="1"/>
    <s v="predicted"/>
    <n v="131.3780898"/>
    <n v="133.071"/>
    <n v="1.69291024"/>
    <n v="7.2667478000000001"/>
    <n v="-50.577788750000003"/>
    <n v="74.662874680000002"/>
    <x v="100"/>
    <s v="Feb-2020"/>
  </r>
  <r>
    <x v="101"/>
    <s v="LCA"/>
    <x v="0"/>
    <x v="2"/>
    <x v="2"/>
    <s v="predicted"/>
    <n v="131.6134089"/>
    <n v="132.756"/>
    <n v="1.1425910690000001"/>
    <n v="8.4093388690000008"/>
    <n v="-65.979280540000005"/>
    <n v="88.010355140000001"/>
    <x v="100"/>
    <s v="Mar-2020"/>
  </r>
  <r>
    <x v="101"/>
    <s v="LCA"/>
    <x v="0"/>
    <x v="3"/>
    <x v="3"/>
    <s v="predicted"/>
    <n v="130.7325836"/>
    <n v="133.46700000000001"/>
    <n v="2.7344163969999999"/>
    <n v="11.14375527"/>
    <n v="-74.859497450000006"/>
    <n v="101.9175924"/>
    <x v="100"/>
    <s v="Apr-2020"/>
  </r>
  <r>
    <x v="101"/>
    <s v="LCA"/>
    <x v="0"/>
    <x v="4"/>
    <x v="4"/>
    <s v="predicted"/>
    <n v="129.9409967"/>
    <n v="133.459"/>
    <n v="3.5180032510000001"/>
    <n v="14.661758519999999"/>
    <n v="-79.082853330000006"/>
    <n v="117.1930012"/>
    <x v="100"/>
    <s v="May-2020"/>
  </r>
  <r>
    <x v="101"/>
    <s v="LCA"/>
    <x v="0"/>
    <x v="5"/>
    <x v="5"/>
    <s v="predicted"/>
    <n v="129.48209259999999"/>
    <n v="131.09700000000001"/>
    <n v="1.6149074000000001"/>
    <n v="16.276665919999999"/>
    <n v="-90.077108620000004"/>
    <n v="124.8318938"/>
    <x v="100"/>
    <s v="Jun-2020"/>
  </r>
  <r>
    <x v="101"/>
    <s v="LCA"/>
    <x v="0"/>
    <x v="6"/>
    <x v="6"/>
    <s v="predicted"/>
    <n v="129.9530532"/>
    <n v="128.08199999999999"/>
    <n v="-1.8710532209999999"/>
    <n v="14.405612700000001"/>
    <n v="-97.455743279999993"/>
    <n v="134.83882460000001"/>
    <x v="100"/>
    <s v="Jul-2020"/>
  </r>
  <r>
    <x v="101"/>
    <s v="LCA"/>
    <x v="0"/>
    <x v="7"/>
    <x v="7"/>
    <s v="predicted"/>
    <n v="129.601541"/>
    <n v="126.819"/>
    <n v="-2.7825410370000001"/>
    <n v="11.623071660000001"/>
    <n v="-107.3043471"/>
    <n v="137.07659659999999"/>
    <x v="100"/>
    <s v="Aug-2020"/>
  </r>
  <r>
    <x v="101"/>
    <s v="LCA"/>
    <x v="0"/>
    <x v="8"/>
    <x v="8"/>
    <s v="predicted"/>
    <n v="129.6414044"/>
    <n v="126.926"/>
    <n v="-2.7154043689999998"/>
    <n v="8.9076672880000007"/>
    <n v="-113.5035341"/>
    <n v="147.31129390000001"/>
    <x v="100"/>
    <s v="Sep-2020"/>
  </r>
  <r>
    <x v="101"/>
    <s v="LCA"/>
    <x v="0"/>
    <x v="9"/>
    <x v="9"/>
    <s v="predicted"/>
    <n v="130.3306772"/>
    <n v="126.077"/>
    <n v="-4.2536771509999998"/>
    <n v="4.6539901380000002"/>
    <n v="-127.6264918"/>
    <n v="147.3016192"/>
    <x v="100"/>
    <s v="Oct-2020"/>
  </r>
  <r>
    <x v="101"/>
    <s v="LCA"/>
    <x v="0"/>
    <x v="10"/>
    <x v="10"/>
    <s v="predicted"/>
    <n v="130.80757399999999"/>
    <n v="137.61500000000001"/>
    <n v="6.8074260110000004"/>
    <n v="11.46141615"/>
    <n v="-128.34571500000001"/>
    <n v="157.31669110000001"/>
    <x v="100"/>
    <s v="Nov-2020"/>
  </r>
  <r>
    <x v="101"/>
    <s v="LCA"/>
    <x v="0"/>
    <x v="11"/>
    <x v="11"/>
    <s v="predicted"/>
    <n v="131.27338499999999"/>
    <n v="145.20500000000001"/>
    <n v="13.93161495"/>
    <n v="25.393031100000002"/>
    <n v="-119.50667129999999"/>
    <n v="173.32951460000001"/>
    <x v="100"/>
    <s v="Dec-2020"/>
  </r>
  <r>
    <x v="101"/>
    <s v="LCA"/>
    <x v="1"/>
    <x v="0"/>
    <x v="0"/>
    <s v="predicted"/>
    <n v="135.95638009999999"/>
    <n v="167.38499999999999"/>
    <n v="31.428619879999999"/>
    <n v="56.821650980000001"/>
    <n v="-96.322132210000007"/>
    <n v="222.56769800000001"/>
    <x v="100"/>
    <s v="Jan-2021"/>
  </r>
  <r>
    <x v="101"/>
    <s v="LCA"/>
    <x v="1"/>
    <x v="1"/>
    <x v="1"/>
    <s v="predicted"/>
    <n v="136.02704109999999"/>
    <n v="189.197"/>
    <n v="53.169958940000001"/>
    <n v="109.9916099"/>
    <n v="-58.922145489999998"/>
    <n v="284.118268"/>
    <x v="100"/>
    <s v="Feb-2021"/>
  </r>
  <r>
    <x v="101"/>
    <s v="LCA"/>
    <x v="1"/>
    <x v="2"/>
    <x v="2"/>
    <s v="predicted"/>
    <n v="136.27066070000001"/>
    <n v="195.95500000000001"/>
    <n v="59.684339309999999"/>
    <n v="169.67594919999999"/>
    <n v="3.2177843770000001"/>
    <n v="360.1648237"/>
    <x v="100"/>
    <s v="Mar-2021"/>
  </r>
  <r>
    <x v="101"/>
    <s v="LCA"/>
    <x v="1"/>
    <x v="3"/>
    <x v="3"/>
    <s v="predicted"/>
    <n v="135.33230399999999"/>
    <n v="180.858"/>
    <n v="45.52569604"/>
    <n v="215.2016453"/>
    <n v="22.659365860000001"/>
    <n v="415.34922560000001"/>
    <x v="100"/>
    <s v="Apr-2021"/>
  </r>
  <r>
    <x v="101"/>
    <s v="LCA"/>
    <x v="1"/>
    <x v="4"/>
    <x v="4"/>
    <s v="predicted"/>
    <n v="134.52309959999999"/>
    <n v="154.99799999999999"/>
    <n v="20.47490045"/>
    <n v="235.67654569999999"/>
    <n v="37.245480700000002"/>
    <n v="440.99027769999998"/>
    <x v="100"/>
    <s v="May-2021"/>
  </r>
  <r>
    <x v="101"/>
    <s v="LCA"/>
    <x v="1"/>
    <x v="5"/>
    <x v="5"/>
    <s v="predicted"/>
    <n v="134.36711869999999"/>
    <n v="163.85400000000001"/>
    <n v="29.486881329999999"/>
    <n v="265.16342700000001"/>
    <n v="64.112029269999994"/>
    <n v="478.61945689999999"/>
    <x v="100"/>
    <s v="Jun-2021"/>
  </r>
  <r>
    <x v="101"/>
    <s v="LCA"/>
    <x v="1"/>
    <x v="6"/>
    <x v="6"/>
    <s v="predicted"/>
    <n v="134.3605542"/>
    <n v="157.00800000000001"/>
    <n v="22.647445829999999"/>
    <n v="287.81087289999999"/>
    <n v="66.126068360000005"/>
    <n v="504.359802"/>
    <x v="100"/>
    <s v="Jul-2021"/>
  </r>
  <r>
    <x v="101"/>
    <s v="LCA"/>
    <x v="1"/>
    <x v="7"/>
    <x v="7"/>
    <s v="predicted"/>
    <n v="134.2351128"/>
    <n v="184.85"/>
    <n v="50.614887160000002"/>
    <n v="338.42576000000003"/>
    <n v="119.6522044"/>
    <n v="564.6591075"/>
    <x v="100"/>
    <s v="Aug-2021"/>
  </r>
  <r>
    <x v="101"/>
    <s v="LCA"/>
    <x v="1"/>
    <x v="8"/>
    <x v="8"/>
    <s v="predicted"/>
    <n v="134.66453859999999"/>
    <n v="268.94499999999999"/>
    <n v="134.28046140000001"/>
    <n v="472.70622150000003"/>
    <n v="253.0020911"/>
    <n v="710.56975339999997"/>
    <x v="100"/>
    <s v="Sep-2021"/>
  </r>
  <r>
    <x v="101"/>
    <s v="LCA"/>
    <x v="1"/>
    <x v="9"/>
    <x v="9"/>
    <s v="predicted"/>
    <n v="134.90340190000001"/>
    <n v="220.17599999999999"/>
    <n v="85.272598099999996"/>
    <n v="557.97881959999995"/>
    <n v="316.91682489999999"/>
    <n v="805.31890099999998"/>
    <x v="100"/>
    <s v="Oct-2021"/>
  </r>
  <r>
    <x v="101"/>
    <s v="LCA"/>
    <x v="1"/>
    <x v="10"/>
    <x v="10"/>
    <s v="predicted"/>
    <n v="135.46269570000001"/>
    <n v="179.94"/>
    <n v="44.477304349999997"/>
    <n v="602.45612389999997"/>
    <n v="355.45883579999997"/>
    <n v="855.19063140000003"/>
    <x v="100"/>
    <s v="Nov-2021"/>
  </r>
  <r>
    <x v="101"/>
    <s v="LCA"/>
    <x v="1"/>
    <x v="11"/>
    <x v="11"/>
    <s v="predicted"/>
    <n v="136.26858669999999"/>
    <n v="165.20400000000001"/>
    <n v="28.935413279999999"/>
    <n v="631.39153720000002"/>
    <n v="382.44647450000002"/>
    <n v="904.79482719999999"/>
    <x v="100"/>
    <s v="Dec-2021"/>
  </r>
  <r>
    <x v="102"/>
    <s v="LKA"/>
    <x v="0"/>
    <x v="0"/>
    <x v="0"/>
    <s v="reported"/>
    <n v="13058.88703"/>
    <n v="13254"/>
    <n v="191.44630069999999"/>
    <n v="191.44630069999999"/>
    <n v="-517.86882379999997"/>
    <n v="915.64728609999997"/>
    <x v="101"/>
    <s v="Jan-2020"/>
  </r>
  <r>
    <x v="102"/>
    <s v="LKA"/>
    <x v="0"/>
    <x v="1"/>
    <x v="1"/>
    <s v="reported"/>
    <n v="12758.282929999999"/>
    <n v="11686"/>
    <n v="-1075.9495979999999"/>
    <n v="-884.50329729999999"/>
    <n v="-2044.0598339999999"/>
    <n v="229.83475139999999"/>
    <x v="101"/>
    <s v="Feb-2020"/>
  </r>
  <r>
    <x v="102"/>
    <s v="LKA"/>
    <x v="0"/>
    <x v="2"/>
    <x v="2"/>
    <s v="reported"/>
    <n v="12533.13782"/>
    <n v="9005"/>
    <n v="-3531.8044909999999"/>
    <n v="-4416.3077890000004"/>
    <n v="-5928.3826909999998"/>
    <n v="-2958.4827190000001"/>
    <x v="101"/>
    <s v="Mar-2020"/>
  </r>
  <r>
    <x v="102"/>
    <s v="LKA"/>
    <x v="0"/>
    <x v="3"/>
    <x v="3"/>
    <s v="reported"/>
    <n v="12457.23006"/>
    <n v="7158"/>
    <n v="-5302.8967290000001"/>
    <n v="-9719.2045170000001"/>
    <n v="-11526.145140000001"/>
    <n v="-7979.3468769999999"/>
    <x v="101"/>
    <s v="Apr-2020"/>
  </r>
  <r>
    <x v="102"/>
    <s v="LKA"/>
    <x v="0"/>
    <x v="4"/>
    <x v="4"/>
    <s v="reported"/>
    <n v="12591.27439"/>
    <n v="12254"/>
    <n v="-340.94105189999999"/>
    <n v="-10060.145570000001"/>
    <n v="-12096.57357"/>
    <n v="-8218.7211260000004"/>
    <x v="101"/>
    <s v="May-2020"/>
  </r>
  <r>
    <x v="102"/>
    <s v="LKA"/>
    <x v="0"/>
    <x v="5"/>
    <x v="5"/>
    <s v="reported"/>
    <n v="12578.35858"/>
    <n v="12900"/>
    <n v="317.97475029999998"/>
    <n v="-9742.1708190000008"/>
    <n v="-12013.49142"/>
    <n v="-7659.6947719999998"/>
    <x v="101"/>
    <s v="Jun-2020"/>
  </r>
  <r>
    <x v="102"/>
    <s v="LKA"/>
    <x v="0"/>
    <x v="6"/>
    <x v="6"/>
    <s v="reported"/>
    <n v="12434.380709999999"/>
    <n v="11782"/>
    <n v="-656.04737260000002"/>
    <n v="-10398.21819"/>
    <n v="-12760.146199999999"/>
    <n v="-8267.9715180000003"/>
    <x v="101"/>
    <s v="Jul-2020"/>
  </r>
  <r>
    <x v="102"/>
    <s v="LKA"/>
    <x v="0"/>
    <x v="7"/>
    <x v="7"/>
    <s v="reported"/>
    <n v="12125.818880000001"/>
    <n v="11472"/>
    <n v="-657.48554530000001"/>
    <n v="-11055.703740000001"/>
    <n v="-13566.831770000001"/>
    <n v="-8828.814891"/>
    <x v="101"/>
    <s v="Aug-2020"/>
  </r>
  <r>
    <x v="102"/>
    <s v="LKA"/>
    <x v="0"/>
    <x v="8"/>
    <x v="8"/>
    <s v="reported"/>
    <n v="12045.55927"/>
    <n v="11440"/>
    <n v="-609.22593540000003"/>
    <n v="-11664.92967"/>
    <n v="-14314.54119"/>
    <n v="-9226.8235060000006"/>
    <x v="101"/>
    <s v="Sep-2020"/>
  </r>
  <r>
    <x v="102"/>
    <s v="LKA"/>
    <x v="0"/>
    <x v="9"/>
    <x v="9"/>
    <s v="reported"/>
    <n v="12472.71666"/>
    <n v="10251"/>
    <n v="-2225.383323"/>
    <n v="-13890.313"/>
    <n v="-16611.069650000001"/>
    <n v="-11290.98655"/>
    <x v="101"/>
    <s v="Oct-2020"/>
  </r>
  <r>
    <x v="102"/>
    <s v="LKA"/>
    <x v="0"/>
    <x v="10"/>
    <x v="10"/>
    <s v="reported"/>
    <n v="13134.350769999999"/>
    <n v="9797"/>
    <n v="-3341.017437"/>
    <n v="-17231.330430000002"/>
    <n v="-20201.872080000001"/>
    <n v="-14204.67517"/>
    <x v="101"/>
    <s v="Nov-2020"/>
  </r>
  <r>
    <x v="102"/>
    <s v="LKA"/>
    <x v="0"/>
    <x v="11"/>
    <x v="11"/>
    <s v="reported"/>
    <n v="13541.747859999999"/>
    <n v="11432"/>
    <n v="-2113.4145250000001"/>
    <n v="-19344.74496"/>
    <n v="-22536.50808"/>
    <n v="-16078.22515"/>
    <x v="101"/>
    <s v="Dec-2020"/>
  </r>
  <r>
    <x v="102"/>
    <s v="LKA"/>
    <x v="1"/>
    <x v="0"/>
    <x v="0"/>
    <s v="reported"/>
    <n v="13558.89689"/>
    <n v="12442"/>
    <n v="-1120.230225"/>
    <n v="-20464.975180000001"/>
    <n v="-23692.114249999999"/>
    <n v="-16867.46558"/>
    <x v="101"/>
    <s v="Jan-2021"/>
  </r>
  <r>
    <x v="102"/>
    <s v="LKA"/>
    <x v="1"/>
    <x v="1"/>
    <x v="1"/>
    <s v="reported"/>
    <n v="13329.46471"/>
    <n v="11965"/>
    <n v="-1367.7980439999999"/>
    <n v="-21832.773229999999"/>
    <n v="-25411.51065"/>
    <n v="-18136.645820000002"/>
    <x v="101"/>
    <s v="Feb-2021"/>
  </r>
  <r>
    <x v="102"/>
    <s v="LKA"/>
    <x v="1"/>
    <x v="2"/>
    <x v="2"/>
    <s v="reported"/>
    <n v="13086.21782"/>
    <n v="12851"/>
    <n v="-238.5511577"/>
    <n v="-22071.324379999998"/>
    <n v="-25905.991709999998"/>
    <n v="-18297.072929999998"/>
    <x v="101"/>
    <s v="Mar-2021"/>
  </r>
  <r>
    <x v="102"/>
    <s v="LKA"/>
    <x v="1"/>
    <x v="3"/>
    <x v="3"/>
    <s v="reported"/>
    <n v="12985.48991"/>
    <n v="11870"/>
    <n v="-1118.8232399999999"/>
    <n v="-23190.14762"/>
    <n v="-27205.882409999998"/>
    <n v="-19086.255880000001"/>
    <x v="101"/>
    <s v="Apr-2021"/>
  </r>
  <r>
    <x v="102"/>
    <s v="LKA"/>
    <x v="1"/>
    <x v="4"/>
    <x v="4"/>
    <s v="reported"/>
    <n v="13138.948350000001"/>
    <n v="9255"/>
    <n v="-3887.2816809999999"/>
    <n v="-27077.4293"/>
    <n v="-31570.7147"/>
    <n v="-22732.830450000001"/>
    <x v="101"/>
    <s v="May-2021"/>
  </r>
  <r>
    <x v="102"/>
    <s v="LKA"/>
    <x v="1"/>
    <x v="5"/>
    <x v="5"/>
    <s v="reported"/>
    <n v="13152.73129"/>
    <n v="12128"/>
    <n v="-1028.0646260000001"/>
    <n v="-28105.493930000001"/>
    <n v="-32649.806100000002"/>
    <n v="-23550.991999999998"/>
    <x v="101"/>
    <s v="Jun-2021"/>
  </r>
  <r>
    <x v="102"/>
    <s v="LKA"/>
    <x v="1"/>
    <x v="6"/>
    <x v="6"/>
    <s v="predicted"/>
    <n v="13028.18561"/>
    <n v="15409.142"/>
    <n v="2377.6230599999999"/>
    <n v="-25727.870869999999"/>
    <n v="-31858.329269999998"/>
    <n v="-19083.462469999999"/>
    <x v="101"/>
    <s v="Jul-2021"/>
  </r>
  <r>
    <x v="102"/>
    <s v="LKA"/>
    <x v="1"/>
    <x v="7"/>
    <x v="7"/>
    <s v="predicted"/>
    <n v="12634.48178"/>
    <n v="20327.745999999999"/>
    <n v="7689.9308840000003"/>
    <n v="-18037.939989999999"/>
    <n v="-27097.894069999998"/>
    <n v="-8238.0333869999995"/>
    <x v="101"/>
    <s v="Aug-2021"/>
  </r>
  <r>
    <x v="102"/>
    <s v="LKA"/>
    <x v="1"/>
    <x v="8"/>
    <x v="8"/>
    <s v="predicted"/>
    <n v="12573.254720000001"/>
    <n v="18813.528999999999"/>
    <n v="6236.9409450000003"/>
    <n v="-11800.999040000001"/>
    <n v="-23412.174749999998"/>
    <n v="138.42232659999999"/>
    <x v="101"/>
    <s v="Sep-2021"/>
  </r>
  <r>
    <x v="102"/>
    <s v="LKA"/>
    <x v="1"/>
    <x v="9"/>
    <x v="9"/>
    <s v="predicted"/>
    <n v="13020.80769"/>
    <n v="14621.584000000001"/>
    <n v="1597.442974"/>
    <n v="-10203.556070000001"/>
    <n v="-22792.36392"/>
    <n v="2950.9426370000001"/>
    <x v="101"/>
    <s v="Oct-2021"/>
  </r>
  <r>
    <x v="102"/>
    <s v="LKA"/>
    <x v="1"/>
    <x v="10"/>
    <x v="10"/>
    <s v="predicted"/>
    <n v="13707.14481"/>
    <n v="15176.537"/>
    <n v="1466.0588620000001"/>
    <n v="-8737.497206"/>
    <n v="-22447.54694"/>
    <n v="5958.7186519999996"/>
    <x v="101"/>
    <s v="Nov-2021"/>
  </r>
  <r>
    <x v="102"/>
    <s v="LKA"/>
    <x v="1"/>
    <x v="11"/>
    <x v="11"/>
    <s v="predicted"/>
    <n v="14144.38888"/>
    <n v="15753.962"/>
    <n v="1606.2397860000001"/>
    <n v="-7131.2574199999999"/>
    <n v="-22396.03991"/>
    <n v="9974.1519009999993"/>
    <x v="101"/>
    <s v="Dec-2021"/>
  </r>
  <r>
    <x v="103"/>
    <s v="LSO"/>
    <x v="0"/>
    <x v="0"/>
    <x v="0"/>
    <s v="predicted"/>
    <n v="2875.5567230000001"/>
    <n v="2930.3760000000002"/>
    <n v="54.81927726"/>
    <n v="54.81927726"/>
    <n v="-699.01436330000001"/>
    <n v="833.58961880000004"/>
    <x v="102"/>
    <s v="Jan-2020"/>
  </r>
  <r>
    <x v="103"/>
    <s v="LSO"/>
    <x v="0"/>
    <x v="1"/>
    <x v="1"/>
    <s v="predicted"/>
    <n v="2896.4118720000001"/>
    <n v="2909.0479999999998"/>
    <n v="12.63612839"/>
    <n v="67.455405639999995"/>
    <n v="-986.008017"/>
    <n v="1336.816425"/>
    <x v="102"/>
    <s v="Feb-2020"/>
  </r>
  <r>
    <x v="103"/>
    <s v="LSO"/>
    <x v="0"/>
    <x v="2"/>
    <x v="2"/>
    <s v="predicted"/>
    <n v="2918.7472459999999"/>
    <n v="2932.5439999999999"/>
    <n v="13.796754419999999"/>
    <n v="81.252160059999994"/>
    <n v="-1209.3734569999999"/>
    <n v="1598.07609"/>
    <x v="102"/>
    <s v="Mar-2020"/>
  </r>
  <r>
    <x v="103"/>
    <s v="LSO"/>
    <x v="0"/>
    <x v="3"/>
    <x v="3"/>
    <s v="predicted"/>
    <n v="2992.2725919999998"/>
    <n v="2621.1039999999998"/>
    <n v="-371.16859169999998"/>
    <n v="-289.91643160000001"/>
    <n v="-1767.4414589999999"/>
    <n v="1315.516374"/>
    <x v="102"/>
    <s v="Apr-2020"/>
  </r>
  <r>
    <x v="103"/>
    <s v="LSO"/>
    <x v="0"/>
    <x v="4"/>
    <x v="4"/>
    <s v="predicted"/>
    <n v="3044.9244269999999"/>
    <n v="2754.2550000000001"/>
    <n v="-290.66942649999999"/>
    <n v="-580.5858581"/>
    <n v="-2217.3407659999998"/>
    <n v="1142.349612"/>
    <x v="102"/>
    <s v="May-2020"/>
  </r>
  <r>
    <x v="103"/>
    <s v="LSO"/>
    <x v="0"/>
    <x v="5"/>
    <x v="5"/>
    <s v="predicted"/>
    <n v="3089.2758950000002"/>
    <n v="2776.65"/>
    <n v="-312.62589530000002"/>
    <n v="-893.21175340000002"/>
    <n v="-2730.5679439999999"/>
    <n v="1080.1099449999999"/>
    <x v="102"/>
    <s v="Jun-2020"/>
  </r>
  <r>
    <x v="103"/>
    <s v="LSO"/>
    <x v="0"/>
    <x v="6"/>
    <x v="6"/>
    <s v="predicted"/>
    <n v="3090.174098"/>
    <n v="3218.393"/>
    <n v="128.2189018"/>
    <n v="-764.99285159999999"/>
    <n v="-2732.6735440000002"/>
    <n v="1353.0465320000001"/>
    <x v="102"/>
    <s v="Jul-2020"/>
  </r>
  <r>
    <x v="103"/>
    <s v="LSO"/>
    <x v="0"/>
    <x v="7"/>
    <x v="7"/>
    <s v="predicted"/>
    <n v="3074.7300949999999"/>
    <n v="3292.7530000000002"/>
    <n v="218.02290479999999"/>
    <n v="-546.96994689999997"/>
    <n v="-2841.7763519999999"/>
    <n v="1642.2494240000001"/>
    <x v="102"/>
    <s v="Aug-2020"/>
  </r>
  <r>
    <x v="103"/>
    <s v="LSO"/>
    <x v="0"/>
    <x v="8"/>
    <x v="8"/>
    <s v="predicted"/>
    <n v="2989.1581369999999"/>
    <n v="3247.002"/>
    <n v="257.84386269999999"/>
    <n v="-289.12608419999998"/>
    <n v="-2647.7187140000001"/>
    <n v="2121.5118170000001"/>
    <x v="102"/>
    <s v="Sep-2020"/>
  </r>
  <r>
    <x v="103"/>
    <s v="LSO"/>
    <x v="0"/>
    <x v="9"/>
    <x v="9"/>
    <s v="predicted"/>
    <n v="2942.2294149999998"/>
    <n v="3265.99"/>
    <n v="323.7605853"/>
    <n v="34.634501059999998"/>
    <n v="-2527.4894260000001"/>
    <n v="2616.562355"/>
    <x v="102"/>
    <s v="Oct-2020"/>
  </r>
  <r>
    <x v="103"/>
    <s v="LSO"/>
    <x v="0"/>
    <x v="10"/>
    <x v="10"/>
    <s v="predicted"/>
    <n v="2928.5635419999999"/>
    <n v="3082.0839999999998"/>
    <n v="153.5204583"/>
    <n v="188.1549593"/>
    <n v="-2398.1379139999999"/>
    <n v="2878.7584419999998"/>
    <x v="102"/>
    <s v="Nov-2020"/>
  </r>
  <r>
    <x v="103"/>
    <s v="LSO"/>
    <x v="0"/>
    <x v="11"/>
    <x v="11"/>
    <s v="predicted"/>
    <n v="2909.6706180000001"/>
    <n v="3066.3490000000002"/>
    <n v="156.67838230000001"/>
    <n v="344.83334170000001"/>
    <n v="-2421.3241330000001"/>
    <n v="3171.985259"/>
    <x v="102"/>
    <s v="Dec-2020"/>
  </r>
  <r>
    <x v="103"/>
    <s v="LSO"/>
    <x v="1"/>
    <x v="0"/>
    <x v="0"/>
    <s v="predicted"/>
    <n v="2877.68914"/>
    <n v="3464.0720000000001"/>
    <n v="586.38286010000002"/>
    <n v="931.21620170000006"/>
    <n v="-2039.5465389999999"/>
    <n v="4231.4040750000004"/>
    <x v="102"/>
    <s v="Jan-2021"/>
  </r>
  <r>
    <x v="103"/>
    <s v="LSO"/>
    <x v="1"/>
    <x v="1"/>
    <x v="1"/>
    <s v="predicted"/>
    <n v="2898.8584919999998"/>
    <n v="3468.8029999999999"/>
    <n v="569.94450819999997"/>
    <n v="1501.1607100000001"/>
    <n v="-1488.187046"/>
    <n v="4701.1669309999997"/>
    <x v="102"/>
    <s v="Feb-2021"/>
  </r>
  <r>
    <x v="103"/>
    <s v="LSO"/>
    <x v="1"/>
    <x v="2"/>
    <x v="2"/>
    <s v="predicted"/>
    <n v="2921.080273"/>
    <n v="3127.0169999999998"/>
    <n v="205.93672749999999"/>
    <n v="1707.0974369999999"/>
    <n v="-1449.167868"/>
    <n v="4976.8638209999999"/>
    <x v="102"/>
    <s v="Mar-2021"/>
  </r>
  <r>
    <x v="103"/>
    <s v="LSO"/>
    <x v="1"/>
    <x v="3"/>
    <x v="3"/>
    <s v="predicted"/>
    <n v="2993.2441899999999"/>
    <n v="2867.134"/>
    <n v="-126.1101903"/>
    <n v="1580.987247"/>
    <n v="-1597.693319"/>
    <n v="4954.309166"/>
    <x v="102"/>
    <s v="Apr-2021"/>
  </r>
  <r>
    <x v="103"/>
    <s v="LSO"/>
    <x v="1"/>
    <x v="4"/>
    <x v="4"/>
    <s v="predicted"/>
    <n v="3045.7853180000002"/>
    <n v="3055.826"/>
    <n v="10.040681660000001"/>
    <n v="1591.0279290000001"/>
    <n v="-1778.3627329999999"/>
    <n v="5220.9827800000003"/>
    <x v="102"/>
    <s v="May-2021"/>
  </r>
  <r>
    <x v="103"/>
    <s v="LSO"/>
    <x v="1"/>
    <x v="5"/>
    <x v="5"/>
    <s v="predicted"/>
    <n v="3089.1190029999998"/>
    <n v="3007.6289999999999"/>
    <n v="-81.490002579999995"/>
    <n v="1509.537926"/>
    <n v="-1977.825036"/>
    <n v="5149.8792450000001"/>
    <x v="102"/>
    <s v="Jun-2021"/>
  </r>
  <r>
    <x v="103"/>
    <s v="LSO"/>
    <x v="1"/>
    <x v="6"/>
    <x v="6"/>
    <s v="predicted"/>
    <n v="3090.5744570000002"/>
    <n v="3396.5639999999999"/>
    <n v="305.98954279999998"/>
    <n v="1815.5274690000001"/>
    <n v="-1732.078287"/>
    <n v="5596.5309120000002"/>
    <x v="102"/>
    <s v="Jul-2021"/>
  </r>
  <r>
    <x v="103"/>
    <s v="LSO"/>
    <x v="1"/>
    <x v="7"/>
    <x v="7"/>
    <s v="predicted"/>
    <n v="3076.278221"/>
    <n v="3434.4659999999999"/>
    <n v="358.1877791"/>
    <n v="2173.715248"/>
    <n v="-1566.5117519999999"/>
    <n v="6016.4390750000002"/>
    <x v="102"/>
    <s v="Aug-2021"/>
  </r>
  <r>
    <x v="103"/>
    <s v="LSO"/>
    <x v="1"/>
    <x v="8"/>
    <x v="8"/>
    <s v="predicted"/>
    <n v="2990.2196899999999"/>
    <n v="3861.6390000000001"/>
    <n v="871.41930990000003"/>
    <n v="3045.1345580000002"/>
    <n v="-852.29640930000005"/>
    <n v="6967.9424660000004"/>
    <x v="102"/>
    <s v="Sep-2021"/>
  </r>
  <r>
    <x v="103"/>
    <s v="LSO"/>
    <x v="1"/>
    <x v="9"/>
    <x v="9"/>
    <s v="predicted"/>
    <n v="2944.194348"/>
    <n v="3234.3389999999999"/>
    <n v="290.14465150000001"/>
    <n v="3335.2792100000001"/>
    <n v="-795.43351580000001"/>
    <n v="7427.2873220000001"/>
    <x v="102"/>
    <s v="Oct-2021"/>
  </r>
  <r>
    <x v="103"/>
    <s v="LSO"/>
    <x v="1"/>
    <x v="10"/>
    <x v="10"/>
    <s v="predicted"/>
    <n v="2929.1100550000001"/>
    <n v="3139.96"/>
    <n v="210.84994499999999"/>
    <n v="3546.1291550000001"/>
    <n v="-587.08375999999998"/>
    <n v="7651.5512410000001"/>
    <x v="102"/>
    <s v="Nov-2021"/>
  </r>
  <r>
    <x v="103"/>
    <s v="LSO"/>
    <x v="1"/>
    <x v="11"/>
    <x v="11"/>
    <s v="predicted"/>
    <n v="2908.8896239999999"/>
    <n v="3192.45"/>
    <n v="283.5603759"/>
    <n v="3829.689531"/>
    <n v="-450.14080130000002"/>
    <n v="7999.5385550000001"/>
    <x v="102"/>
    <s v="Dec-2021"/>
  </r>
  <r>
    <x v="104"/>
    <s v="LTU"/>
    <x v="0"/>
    <x v="0"/>
    <x v="0"/>
    <s v="reported"/>
    <n v="3405.0049650000001"/>
    <n v="3500"/>
    <n v="94.995034860000004"/>
    <n v="94.995034860000004"/>
    <n v="-17.314862219999998"/>
    <n v="210.5308713"/>
    <x v="103"/>
    <s v="Jan-2020"/>
  </r>
  <r>
    <x v="104"/>
    <s v="LTU"/>
    <x v="0"/>
    <x v="1"/>
    <x v="1"/>
    <s v="reported"/>
    <n v="3417.665019"/>
    <n v="3189"/>
    <n v="-228.66501919999999"/>
    <n v="-133.6699844"/>
    <n v="-300.40669070000001"/>
    <n v="49.25024311"/>
    <x v="103"/>
    <s v="Feb-2020"/>
  </r>
  <r>
    <x v="104"/>
    <s v="LTU"/>
    <x v="0"/>
    <x v="2"/>
    <x v="2"/>
    <s v="reported"/>
    <n v="3323.9188869999998"/>
    <n v="3503"/>
    <n v="179.08111270000001"/>
    <n v="45.411128310000002"/>
    <n v="-184.86134240000001"/>
    <n v="281.2722789"/>
    <x v="103"/>
    <s v="Mar-2020"/>
  </r>
  <r>
    <x v="104"/>
    <s v="LTU"/>
    <x v="0"/>
    <x v="3"/>
    <x v="3"/>
    <s v="reported"/>
    <n v="3175.5212470000001"/>
    <n v="3366"/>
    <n v="190.47875329999999"/>
    <n v="235.8898816"/>
    <n v="-30.461244520000001"/>
    <n v="494.98705619999998"/>
    <x v="103"/>
    <s v="Apr-2020"/>
  </r>
  <r>
    <x v="104"/>
    <s v="LTU"/>
    <x v="0"/>
    <x v="4"/>
    <x v="4"/>
    <s v="reported"/>
    <n v="3058.8698119999999"/>
    <n v="3240"/>
    <n v="181.13018819999999"/>
    <n v="417.02006979999999"/>
    <n v="120.1813485"/>
    <n v="702.19216879999999"/>
    <x v="103"/>
    <s v="May-2020"/>
  </r>
  <r>
    <x v="104"/>
    <s v="LTU"/>
    <x v="0"/>
    <x v="5"/>
    <x v="5"/>
    <s v="reported"/>
    <n v="2949.3527020000001"/>
    <n v="3323"/>
    <n v="373.6472976"/>
    <n v="790.66736739999999"/>
    <n v="451.37540209999997"/>
    <n v="1112.994074"/>
    <x v="103"/>
    <s v="Jun-2020"/>
  </r>
  <r>
    <x v="104"/>
    <s v="LTU"/>
    <x v="0"/>
    <x v="6"/>
    <x v="6"/>
    <s v="reported"/>
    <n v="2888.9001659999999"/>
    <n v="3233"/>
    <n v="344.09983419999998"/>
    <n v="1134.767202"/>
    <n v="789.5443272"/>
    <n v="1483.155315"/>
    <x v="103"/>
    <s v="Jul-2020"/>
  </r>
  <r>
    <x v="104"/>
    <s v="LTU"/>
    <x v="0"/>
    <x v="7"/>
    <x v="7"/>
    <s v="reported"/>
    <n v="2844.7095380000001"/>
    <n v="3259"/>
    <n v="414.29046210000001"/>
    <n v="1549.0576639999999"/>
    <n v="1196.798575"/>
    <n v="1913.52855"/>
    <x v="103"/>
    <s v="Aug-2020"/>
  </r>
  <r>
    <x v="104"/>
    <s v="LTU"/>
    <x v="0"/>
    <x v="8"/>
    <x v="8"/>
    <s v="reported"/>
    <n v="2843.158919"/>
    <n v="3130"/>
    <n v="286.84108140000001"/>
    <n v="1835.898745"/>
    <n v="1468.5350599999999"/>
    <n v="2221.5919789999998"/>
    <x v="103"/>
    <s v="Sep-2020"/>
  </r>
  <r>
    <x v="104"/>
    <s v="LTU"/>
    <x v="0"/>
    <x v="9"/>
    <x v="9"/>
    <s v="reported"/>
    <n v="2987.6352379999998"/>
    <n v="3622"/>
    <n v="634.36476230000005"/>
    <n v="2470.2635070000001"/>
    <n v="2074.8163089999998"/>
    <n v="2885.51008"/>
    <x v="103"/>
    <s v="Oct-2020"/>
  </r>
  <r>
    <x v="104"/>
    <s v="LTU"/>
    <x v="0"/>
    <x v="10"/>
    <x v="10"/>
    <s v="reported"/>
    <n v="3134.9626790000002"/>
    <n v="4336"/>
    <n v="1201.037321"/>
    <n v="3671.3008279999999"/>
    <n v="3274.9075039999998"/>
    <n v="4097.7245519999997"/>
    <x v="103"/>
    <s v="Nov-2020"/>
  </r>
  <r>
    <x v="104"/>
    <s v="LTU"/>
    <x v="0"/>
    <x v="11"/>
    <x v="11"/>
    <s v="reported"/>
    <n v="3332.1408729999998"/>
    <n v="5815"/>
    <n v="2482.8591270000002"/>
    <n v="6154.1599550000001"/>
    <n v="5712.2991140000004"/>
    <n v="6604.5567300000002"/>
    <x v="103"/>
    <s v="Dec-2020"/>
  </r>
  <r>
    <x v="104"/>
    <s v="LTU"/>
    <x v="1"/>
    <x v="0"/>
    <x v="0"/>
    <s v="reported"/>
    <n v="3326.525173"/>
    <n v="5155"/>
    <n v="1828.474827"/>
    <n v="7982.6347830000004"/>
    <n v="7535.6847109999999"/>
    <n v="8471.2303929999998"/>
    <x v="103"/>
    <s v="Jan-2021"/>
  </r>
  <r>
    <x v="104"/>
    <s v="LTU"/>
    <x v="1"/>
    <x v="1"/>
    <x v="1"/>
    <s v="reported"/>
    <n v="3338.9005550000002"/>
    <n v="3675"/>
    <n v="336.09944469999999"/>
    <n v="8318.7342270000008"/>
    <n v="7841.3614939999998"/>
    <n v="8819.3775100000003"/>
    <x v="103"/>
    <s v="Feb-2021"/>
  </r>
  <r>
    <x v="104"/>
    <s v="LTU"/>
    <x v="1"/>
    <x v="2"/>
    <x v="2"/>
    <s v="reported"/>
    <n v="3241.6026179999999"/>
    <n v="3758"/>
    <n v="516.39738150000005"/>
    <n v="8835.131609"/>
    <n v="8334.4844489999996"/>
    <n v="9352.0867579999995"/>
    <x v="103"/>
    <s v="Mar-2021"/>
  </r>
  <r>
    <x v="104"/>
    <s v="LTU"/>
    <x v="1"/>
    <x v="3"/>
    <x v="3"/>
    <s v="reported"/>
    <n v="3096.7154740000001"/>
    <n v="3636"/>
    <n v="539.28452570000002"/>
    <n v="9374.4161349999995"/>
    <n v="8878.5829209999993"/>
    <n v="9961.5047030000005"/>
    <x v="103"/>
    <s v="Apr-2021"/>
  </r>
  <r>
    <x v="104"/>
    <s v="LTU"/>
    <x v="1"/>
    <x v="4"/>
    <x v="4"/>
    <s v="reported"/>
    <n v="2984.0497209999999"/>
    <n v="3755"/>
    <n v="770.95027879999998"/>
    <n v="10145.366410000001"/>
    <n v="9579.2890869999992"/>
    <n v="10731.3788"/>
    <x v="103"/>
    <s v="May-2021"/>
  </r>
  <r>
    <x v="104"/>
    <s v="LTU"/>
    <x v="1"/>
    <x v="5"/>
    <x v="5"/>
    <s v="reported"/>
    <n v="2878.2961869999999"/>
    <n v="3545"/>
    <n v="666.70381269999996"/>
    <n v="10812.070229999999"/>
    <n v="10213.292729999999"/>
    <n v="11430.071260000001"/>
    <x v="103"/>
    <s v="Jun-2021"/>
  </r>
  <r>
    <x v="104"/>
    <s v="LTU"/>
    <x v="1"/>
    <x v="6"/>
    <x v="6"/>
    <s v="reported"/>
    <n v="2825.0026899999998"/>
    <n v="3445"/>
    <n v="619.99731050000003"/>
    <n v="11432.06754"/>
    <n v="10868.216119999999"/>
    <n v="12060.394829999999"/>
    <x v="103"/>
    <s v="Jul-2021"/>
  </r>
  <r>
    <x v="104"/>
    <s v="LTU"/>
    <x v="1"/>
    <x v="7"/>
    <x v="7"/>
    <s v="reported"/>
    <n v="2776.0614679999999"/>
    <n v="3431"/>
    <n v="654.93853160000003"/>
    <n v="12087.006069999999"/>
    <n v="11514.32847"/>
    <n v="12729.83138"/>
    <x v="103"/>
    <s v="Aug-2021"/>
  </r>
  <r>
    <x v="104"/>
    <s v="LTU"/>
    <x v="1"/>
    <x v="8"/>
    <x v="8"/>
    <s v="reported"/>
    <n v="2777.0200100000002"/>
    <n v="3885"/>
    <n v="1107.97999"/>
    <n v="13194.986059999999"/>
    <n v="12587.735430000001"/>
    <n v="13827.955599999999"/>
    <x v="103"/>
    <s v="Sep-2021"/>
  </r>
  <r>
    <x v="104"/>
    <s v="LTU"/>
    <x v="1"/>
    <x v="9"/>
    <x v="9"/>
    <s v="reported"/>
    <n v="2915.5300200000001"/>
    <n v="4722"/>
    <n v="1806.4699800000001"/>
    <n v="15001.456039999999"/>
    <n v="14371.60405"/>
    <n v="15648.279350000001"/>
    <x v="103"/>
    <s v="Oct-2021"/>
  </r>
  <r>
    <x v="104"/>
    <s v="LTU"/>
    <x v="1"/>
    <x v="10"/>
    <x v="10"/>
    <s v="reported"/>
    <n v="3058.6474830000002"/>
    <n v="4322"/>
    <n v="1263.352517"/>
    <n v="16264.808559999999"/>
    <n v="15631.40569"/>
    <n v="16924.287390000001"/>
    <x v="103"/>
    <s v="Nov-2021"/>
  </r>
  <r>
    <x v="104"/>
    <s v="LTU"/>
    <x v="1"/>
    <x v="11"/>
    <x v="11"/>
    <s v="reported"/>
    <n v="3247.0141819999999"/>
    <n v="4429"/>
    <n v="1181.9858180000001"/>
    <n v="17446.79437"/>
    <n v="16781.80328"/>
    <n v="18103.623759999999"/>
    <x v="103"/>
    <s v="Dec-2021"/>
  </r>
  <r>
    <x v="105"/>
    <s v="LUX"/>
    <x v="0"/>
    <x v="0"/>
    <x v="0"/>
    <s v="reported"/>
    <n v="396.69577370000002"/>
    <n v="371"/>
    <n v="-25.69577366"/>
    <n v="-25.69577366"/>
    <n v="-46.339365780000001"/>
    <n v="-6.7340982650000001"/>
    <x v="104"/>
    <s v="Jan-2020"/>
  </r>
  <r>
    <x v="105"/>
    <s v="LUX"/>
    <x v="0"/>
    <x v="1"/>
    <x v="1"/>
    <s v="reported"/>
    <n v="407.20712409999999"/>
    <n v="334"/>
    <n v="-73.207124140000005"/>
    <n v="-98.902897800000005"/>
    <n v="-128.52289200000001"/>
    <n v="-68.361807139999996"/>
    <x v="104"/>
    <s v="Feb-2020"/>
  </r>
  <r>
    <x v="105"/>
    <s v="LUX"/>
    <x v="0"/>
    <x v="2"/>
    <x v="2"/>
    <s v="reported"/>
    <n v="396.19997619999998"/>
    <n v="416"/>
    <n v="19.80002378"/>
    <n v="-79.102874020000002"/>
    <n v="-116.17713070000001"/>
    <n v="-43.692386810000002"/>
    <x v="104"/>
    <s v="Mar-2020"/>
  </r>
  <r>
    <x v="105"/>
    <s v="LUX"/>
    <x v="0"/>
    <x v="3"/>
    <x v="3"/>
    <s v="reported"/>
    <n v="363.28919619999999"/>
    <n v="391"/>
    <n v="27.710803810000002"/>
    <n v="-51.392070199999999"/>
    <n v="-95.763980520000004"/>
    <n v="-8.4464415539999997"/>
    <x v="104"/>
    <s v="Apr-2020"/>
  </r>
  <r>
    <x v="105"/>
    <s v="LUX"/>
    <x v="0"/>
    <x v="4"/>
    <x v="4"/>
    <s v="reported"/>
    <n v="340.02124170000002"/>
    <n v="351"/>
    <n v="10.97875831"/>
    <n v="-40.413311890000003"/>
    <n v="-90.343976150000003"/>
    <n v="8.4541457950000005"/>
    <x v="104"/>
    <s v="May-2020"/>
  </r>
  <r>
    <x v="105"/>
    <s v="LUX"/>
    <x v="0"/>
    <x v="5"/>
    <x v="5"/>
    <s v="reported"/>
    <n v="333.04225530000002"/>
    <n v="308"/>
    <n v="-25.04225529"/>
    <n v="-65.455567180000003"/>
    <n v="-121.1057947"/>
    <n v="-13.18582617"/>
    <x v="104"/>
    <s v="Jun-2020"/>
  </r>
  <r>
    <x v="105"/>
    <s v="LUX"/>
    <x v="0"/>
    <x v="6"/>
    <x v="6"/>
    <s v="reported"/>
    <n v="339.11363849999998"/>
    <n v="332"/>
    <n v="-7.1136385320000004"/>
    <n v="-72.569205719999999"/>
    <n v="-133.23358039999999"/>
    <n v="-13.24325928"/>
    <x v="104"/>
    <s v="Jul-2020"/>
  </r>
  <r>
    <x v="105"/>
    <s v="LUX"/>
    <x v="0"/>
    <x v="7"/>
    <x v="7"/>
    <s v="reported"/>
    <n v="341.73427959999998"/>
    <n v="363"/>
    <n v="21.26572037"/>
    <n v="-51.303485350000003"/>
    <n v="-115.8831971"/>
    <n v="11.560818039999999"/>
    <x v="104"/>
    <s v="Aug-2020"/>
  </r>
  <r>
    <x v="105"/>
    <s v="LUX"/>
    <x v="0"/>
    <x v="8"/>
    <x v="8"/>
    <s v="reported"/>
    <n v="347.66865089999999"/>
    <n v="344"/>
    <n v="-3.6686509190000001"/>
    <n v="-54.97213627"/>
    <n v="-120.5739068"/>
    <n v="6.3641925769999999"/>
    <x v="104"/>
    <s v="Sep-2020"/>
  </r>
  <r>
    <x v="105"/>
    <s v="LUX"/>
    <x v="0"/>
    <x v="9"/>
    <x v="9"/>
    <s v="reported"/>
    <n v="361.74179049999998"/>
    <n v="380"/>
    <n v="18.2582095"/>
    <n v="-36.71392676"/>
    <n v="-101.015117"/>
    <n v="31.79389802"/>
    <x v="104"/>
    <s v="Oct-2020"/>
  </r>
  <r>
    <x v="105"/>
    <s v="LUX"/>
    <x v="0"/>
    <x v="10"/>
    <x v="10"/>
    <s v="reported"/>
    <n v="379.07414569999997"/>
    <n v="520"/>
    <n v="140.9258543"/>
    <n v="104.2119276"/>
    <n v="34.418582110000003"/>
    <n v="175.3512049"/>
    <x v="104"/>
    <s v="Nov-2020"/>
  </r>
  <r>
    <x v="105"/>
    <s v="LUX"/>
    <x v="0"/>
    <x v="11"/>
    <x v="11"/>
    <s v="reported"/>
    <n v="404.4297507"/>
    <n v="498"/>
    <n v="93.570249270000005"/>
    <n v="197.7821768"/>
    <n v="122.9358148"/>
    <n v="270.01237980000002"/>
    <x v="104"/>
    <s v="Dec-2020"/>
  </r>
  <r>
    <x v="105"/>
    <s v="LUX"/>
    <x v="1"/>
    <x v="0"/>
    <x v="0"/>
    <s v="reported"/>
    <n v="404.65918160000001"/>
    <n v="436"/>
    <n v="31.340818349999999"/>
    <n v="229.12299519999999"/>
    <n v="148.18561009999999"/>
    <n v="307.90843489999997"/>
    <x v="104"/>
    <s v="Jan-2021"/>
  </r>
  <r>
    <x v="105"/>
    <s v="LUX"/>
    <x v="1"/>
    <x v="1"/>
    <x v="1"/>
    <s v="reported"/>
    <n v="415.69624329999999"/>
    <n v="361"/>
    <n v="-54.69624331"/>
    <n v="174.4267519"/>
    <n v="88.783959830000001"/>
    <n v="258.02413469999999"/>
    <x v="104"/>
    <s v="Feb-2021"/>
  </r>
  <r>
    <x v="105"/>
    <s v="LUX"/>
    <x v="1"/>
    <x v="2"/>
    <x v="2"/>
    <s v="reported"/>
    <n v="404.27430170000002"/>
    <n v="427"/>
    <n v="22.725698260000001"/>
    <n v="197.15245010000001"/>
    <n v="106.7832008"/>
    <n v="286.79804189999999"/>
    <x v="104"/>
    <s v="Mar-2021"/>
  </r>
  <r>
    <x v="105"/>
    <s v="LUX"/>
    <x v="1"/>
    <x v="3"/>
    <x v="3"/>
    <s v="reported"/>
    <n v="370.5771833"/>
    <n v="354"/>
    <n v="-16.577183340000001"/>
    <n v="180.57526680000001"/>
    <n v="91.751244540000002"/>
    <n v="271.64315319999997"/>
    <x v="104"/>
    <s v="Apr-2021"/>
  </r>
  <r>
    <x v="105"/>
    <s v="LUX"/>
    <x v="1"/>
    <x v="4"/>
    <x v="4"/>
    <s v="reported"/>
    <n v="346.5975411"/>
    <n v="331"/>
    <n v="-15.59754107"/>
    <n v="164.97772570000001"/>
    <n v="70.663205719999993"/>
    <n v="261.89558529999999"/>
    <x v="104"/>
    <s v="May-2021"/>
  </r>
  <r>
    <x v="105"/>
    <s v="LUX"/>
    <x v="1"/>
    <x v="5"/>
    <x v="5"/>
    <s v="reported"/>
    <n v="339.52616790000002"/>
    <n v="326"/>
    <n v="-13.52616785"/>
    <n v="151.45155790000001"/>
    <n v="55.799590289999998"/>
    <n v="255.74946249999999"/>
    <x v="104"/>
    <s v="Jun-2021"/>
  </r>
  <r>
    <x v="105"/>
    <s v="LUX"/>
    <x v="1"/>
    <x v="6"/>
    <x v="6"/>
    <s v="reported"/>
    <n v="345.39811780000002"/>
    <n v="335"/>
    <n v="-10.39811781"/>
    <n v="141.05344009999999"/>
    <n v="39.938603319999999"/>
    <n v="245.0571338"/>
    <x v="104"/>
    <s v="Jul-2021"/>
  </r>
  <r>
    <x v="105"/>
    <s v="LUX"/>
    <x v="1"/>
    <x v="7"/>
    <x v="7"/>
    <s v="reported"/>
    <n v="348.68299930000001"/>
    <n v="318"/>
    <n v="-30.68299932"/>
    <n v="110.3704408"/>
    <n v="6.0612509760000002"/>
    <n v="216.4426479"/>
    <x v="104"/>
    <s v="Aug-2021"/>
  </r>
  <r>
    <x v="105"/>
    <s v="LUX"/>
    <x v="1"/>
    <x v="8"/>
    <x v="8"/>
    <s v="reported"/>
    <n v="354.45808540000002"/>
    <n v="344"/>
    <n v="-10.458085369999999"/>
    <n v="99.912355390000002"/>
    <n v="-4.2596437260000002"/>
    <n v="206.1189498"/>
    <x v="104"/>
    <s v="Sep-2021"/>
  </r>
  <r>
    <x v="105"/>
    <s v="LUX"/>
    <x v="1"/>
    <x v="9"/>
    <x v="9"/>
    <s v="reported"/>
    <n v="369.0562276"/>
    <n v="393"/>
    <n v="23.94377235"/>
    <n v="123.8561277"/>
    <n v="14.58550625"/>
    <n v="234.4724081"/>
    <x v="104"/>
    <s v="Oct-2021"/>
  </r>
  <r>
    <x v="105"/>
    <s v="LUX"/>
    <x v="1"/>
    <x v="10"/>
    <x v="10"/>
    <s v="reported"/>
    <n v="387.31350830000002"/>
    <n v="422"/>
    <n v="34.686491719999999"/>
    <n v="158.5426195"/>
    <n v="51.631670450000001"/>
    <n v="269.41328750000002"/>
    <x v="104"/>
    <s v="Nov-2021"/>
  </r>
  <r>
    <x v="105"/>
    <s v="LUX"/>
    <x v="1"/>
    <x v="11"/>
    <x v="11"/>
    <s v="reported"/>
    <n v="411.8215318"/>
    <n v="422"/>
    <n v="10.178468240000001"/>
    <n v="168.7210877"/>
    <n v="56.825660739999996"/>
    <n v="281.15944589999998"/>
    <x v="104"/>
    <s v="Dec-2021"/>
  </r>
  <r>
    <x v="106"/>
    <s v="LVA"/>
    <x v="0"/>
    <x v="0"/>
    <x v="0"/>
    <s v="reported"/>
    <n v="2555.1126250000002"/>
    <n v="2514"/>
    <n v="-41.112624959999998"/>
    <n v="-41.112624959999998"/>
    <n v="-126.0308357"/>
    <n v="43.215952899999998"/>
    <x v="105"/>
    <s v="Jan-2020"/>
  </r>
  <r>
    <x v="106"/>
    <s v="LVA"/>
    <x v="0"/>
    <x v="1"/>
    <x v="1"/>
    <s v="reported"/>
    <n v="2447.2144939999998"/>
    <n v="2230"/>
    <n v="-217.2144936"/>
    <n v="-258.32711849999998"/>
    <n v="-394.79882099999998"/>
    <n v="-115.615849"/>
    <x v="105"/>
    <s v="Feb-2020"/>
  </r>
  <r>
    <x v="106"/>
    <s v="LVA"/>
    <x v="0"/>
    <x v="2"/>
    <x v="2"/>
    <s v="reported"/>
    <n v="2593.390535"/>
    <n v="2372"/>
    <n v="-221.39053519999999"/>
    <n v="-479.71765370000003"/>
    <n v="-658.75177829999996"/>
    <n v="-296.93678949999997"/>
    <x v="105"/>
    <s v="Mar-2020"/>
  </r>
  <r>
    <x v="106"/>
    <s v="LVA"/>
    <x v="0"/>
    <x v="3"/>
    <x v="3"/>
    <s v="reported"/>
    <n v="2394.1742290000002"/>
    <n v="2341"/>
    <n v="-53.17422878"/>
    <n v="-532.89188249999995"/>
    <n v="-732.08900000000006"/>
    <n v="-327.96898019999998"/>
    <x v="105"/>
    <s v="Apr-2020"/>
  </r>
  <r>
    <x v="106"/>
    <s v="LVA"/>
    <x v="0"/>
    <x v="4"/>
    <x v="4"/>
    <s v="reported"/>
    <n v="2270.2072830000002"/>
    <n v="2308"/>
    <n v="37.792716810000002"/>
    <n v="-495.09916570000001"/>
    <n v="-715.63367740000001"/>
    <n v="-265.35401489999998"/>
    <x v="105"/>
    <s v="May-2020"/>
  </r>
  <r>
    <x v="106"/>
    <s v="LVA"/>
    <x v="0"/>
    <x v="5"/>
    <x v="5"/>
    <s v="reported"/>
    <n v="2145.1078819999998"/>
    <n v="2249"/>
    <n v="103.8921179"/>
    <n v="-391.2070478"/>
    <n v="-622.76851929999998"/>
    <n v="-148.128603"/>
    <x v="105"/>
    <s v="Jun-2020"/>
  </r>
  <r>
    <x v="106"/>
    <s v="LVA"/>
    <x v="0"/>
    <x v="6"/>
    <x v="6"/>
    <s v="reported"/>
    <n v="2182.2319769999999"/>
    <n v="2213"/>
    <n v="30.768023410000001"/>
    <n v="-360.43902439999999"/>
    <n v="-609.16959029999998"/>
    <n v="-92.364190210000004"/>
    <x v="105"/>
    <s v="Jul-2020"/>
  </r>
  <r>
    <x v="106"/>
    <s v="LVA"/>
    <x v="0"/>
    <x v="7"/>
    <x v="7"/>
    <s v="reported"/>
    <n v="2122.4386260000001"/>
    <n v="2238"/>
    <n v="115.5613737"/>
    <n v="-244.8776507"/>
    <n v="-525.80134180000005"/>
    <n v="33.433688359999998"/>
    <x v="105"/>
    <s v="Aug-2020"/>
  </r>
  <r>
    <x v="106"/>
    <s v="LVA"/>
    <x v="0"/>
    <x v="8"/>
    <x v="8"/>
    <s v="reported"/>
    <n v="2127.2799260000002"/>
    <n v="2149"/>
    <n v="21.720073899999999"/>
    <n v="-223.15757679999999"/>
    <n v="-520.13213570000005"/>
    <n v="67.826959549999998"/>
    <x v="105"/>
    <s v="Sep-2020"/>
  </r>
  <r>
    <x v="106"/>
    <s v="LVA"/>
    <x v="0"/>
    <x v="9"/>
    <x v="9"/>
    <s v="reported"/>
    <n v="2276.4273560000001"/>
    <n v="2429"/>
    <n v="152.57264420000001"/>
    <n v="-70.58493258"/>
    <n v="-379.42661620000001"/>
    <n v="232.98541739999999"/>
    <x v="105"/>
    <s v="Oct-2020"/>
  </r>
  <r>
    <x v="106"/>
    <s v="LVA"/>
    <x v="0"/>
    <x v="10"/>
    <x v="10"/>
    <s v="reported"/>
    <n v="2270.4047019999998"/>
    <n v="2523"/>
    <n v="252.5952983"/>
    <n v="182.01036569999999"/>
    <n v="-128.91537170000001"/>
    <n v="502.6192211"/>
    <x v="105"/>
    <s v="Nov-2020"/>
  </r>
  <r>
    <x v="106"/>
    <s v="LVA"/>
    <x v="0"/>
    <x v="11"/>
    <x v="11"/>
    <s v="reported"/>
    <n v="2542.6079890000001"/>
    <n v="3259"/>
    <n v="716.39201049999997"/>
    <n v="898.40237630000001"/>
    <n v="557.51328560000002"/>
    <n v="1233.2561390000001"/>
    <x v="105"/>
    <s v="Dec-2020"/>
  </r>
  <r>
    <x v="106"/>
    <s v="LVA"/>
    <x v="1"/>
    <x v="0"/>
    <x v="0"/>
    <s v="reported"/>
    <n v="2536.671081"/>
    <n v="3569"/>
    <n v="1032.328919"/>
    <n v="1930.731295"/>
    <n v="1587.142394"/>
    <n v="2268.7594920000001"/>
    <x v="105"/>
    <s v="Jan-2021"/>
  </r>
  <r>
    <x v="106"/>
    <s v="LVA"/>
    <x v="1"/>
    <x v="1"/>
    <x v="1"/>
    <s v="reported"/>
    <n v="2427.4001330000001"/>
    <n v="2824"/>
    <n v="396.59986689999999"/>
    <n v="2327.3311619999999"/>
    <n v="1961.604756"/>
    <n v="2700.7778549999998"/>
    <x v="105"/>
    <s v="Feb-2021"/>
  </r>
  <r>
    <x v="106"/>
    <s v="LVA"/>
    <x v="1"/>
    <x v="2"/>
    <x v="2"/>
    <s v="reported"/>
    <n v="2576.700585"/>
    <n v="2692"/>
    <n v="115.29941530000001"/>
    <n v="2442.6305769999999"/>
    <n v="2080.718468"/>
    <n v="2848.8395829999999"/>
    <x v="105"/>
    <s v="Mar-2021"/>
  </r>
  <r>
    <x v="106"/>
    <s v="LVA"/>
    <x v="1"/>
    <x v="3"/>
    <x v="3"/>
    <s v="reported"/>
    <n v="2373.9508110000002"/>
    <n v="2556"/>
    <n v="182.04918860000001"/>
    <n v="2624.6797660000002"/>
    <n v="2242.4266710000002"/>
    <n v="3041.1540150000001"/>
    <x v="105"/>
    <s v="Apr-2021"/>
  </r>
  <r>
    <x v="106"/>
    <s v="LVA"/>
    <x v="1"/>
    <x v="4"/>
    <x v="4"/>
    <s v="reported"/>
    <n v="2258.2335819999998"/>
    <n v="2708"/>
    <n v="449.76641819999998"/>
    <n v="3074.4461839999999"/>
    <n v="2666.026664"/>
    <n v="3498.4088809999998"/>
    <x v="105"/>
    <s v="May-2021"/>
  </r>
  <r>
    <x v="106"/>
    <s v="LVA"/>
    <x v="1"/>
    <x v="5"/>
    <x v="5"/>
    <s v="reported"/>
    <n v="2133.2928379999998"/>
    <n v="2633"/>
    <n v="499.70716249999998"/>
    <n v="3574.1533460000001"/>
    <n v="3176.809843"/>
    <n v="3999.1408190000002"/>
    <x v="105"/>
    <s v="Jun-2021"/>
  </r>
  <r>
    <x v="106"/>
    <s v="LVA"/>
    <x v="1"/>
    <x v="6"/>
    <x v="6"/>
    <s v="reported"/>
    <n v="2169.9927859999998"/>
    <n v="2560"/>
    <n v="390.00721399999998"/>
    <n v="3964.1605610000001"/>
    <n v="3542.5592350000002"/>
    <n v="4404.0430340000003"/>
    <x v="105"/>
    <s v="Jul-2021"/>
  </r>
  <r>
    <x v="106"/>
    <s v="LVA"/>
    <x v="1"/>
    <x v="7"/>
    <x v="7"/>
    <s v="reported"/>
    <n v="2110.6598640000002"/>
    <n v="2336"/>
    <n v="225.34013590000001"/>
    <n v="4189.5006960000001"/>
    <n v="3761.2879680000001"/>
    <n v="4645.6821900000004"/>
    <x v="105"/>
    <s v="Aug-2021"/>
  </r>
  <r>
    <x v="106"/>
    <s v="LVA"/>
    <x v="1"/>
    <x v="8"/>
    <x v="8"/>
    <s v="reported"/>
    <n v="2112.4101569999998"/>
    <n v="2546"/>
    <n v="433.58984279999999"/>
    <n v="4623.0905389999998"/>
    <n v="4182.1611919999996"/>
    <n v="5083.0553769999997"/>
    <x v="105"/>
    <s v="Sep-2021"/>
  </r>
  <r>
    <x v="106"/>
    <s v="LVA"/>
    <x v="1"/>
    <x v="9"/>
    <x v="9"/>
    <s v="reported"/>
    <n v="2265.227179"/>
    <n v="3570"/>
    <n v="1304.772821"/>
    <n v="5927.8633609999997"/>
    <n v="5477.0828229999997"/>
    <n v="6403.735608"/>
    <x v="105"/>
    <s v="Oct-2021"/>
  </r>
  <r>
    <x v="106"/>
    <s v="LVA"/>
    <x v="1"/>
    <x v="10"/>
    <x v="10"/>
    <s v="reported"/>
    <n v="2254.0630179999998"/>
    <n v="3583"/>
    <n v="1328.9369819999999"/>
    <n v="7256.8003419999995"/>
    <n v="6796.0213759999997"/>
    <n v="7753.2515439999997"/>
    <x v="105"/>
    <s v="Nov-2021"/>
  </r>
  <r>
    <x v="106"/>
    <s v="LVA"/>
    <x v="1"/>
    <x v="11"/>
    <x v="11"/>
    <s v="reported"/>
    <n v="2521.4718849999999"/>
    <n v="3010"/>
    <n v="488.52811530000002"/>
    <n v="7745.328458"/>
    <n v="7274.8669719999998"/>
    <n v="8252.4047059999994"/>
    <x v="105"/>
    <s v="Dec-2021"/>
  </r>
  <r>
    <x v="107"/>
    <s v="MAR"/>
    <x v="0"/>
    <x v="0"/>
    <x v="0"/>
    <s v="predicted"/>
    <n v="22229.681990000001"/>
    <n v="22801.46"/>
    <n v="571.77801139999997"/>
    <n v="571.77801139999997"/>
    <n v="-4977.3793070000002"/>
    <n v="7186.0369419999997"/>
    <x v="106"/>
    <s v="Jan-2020"/>
  </r>
  <r>
    <x v="107"/>
    <s v="MAR"/>
    <x v="0"/>
    <x v="1"/>
    <x v="1"/>
    <s v="predicted"/>
    <n v="21776.685949999999"/>
    <n v="21872.947"/>
    <n v="96.261050170000004"/>
    <n v="668.03906159999997"/>
    <n v="-6967.152822"/>
    <n v="9445.0243179999998"/>
    <x v="106"/>
    <s v="Feb-2020"/>
  </r>
  <r>
    <x v="107"/>
    <s v="MAR"/>
    <x v="0"/>
    <x v="2"/>
    <x v="2"/>
    <s v="predicted"/>
    <n v="21604.417529999999"/>
    <n v="21374.77"/>
    <n v="-229.64753049999999"/>
    <n v="438.39153110000001"/>
    <n v="-9021.8108840000004"/>
    <n v="11146.169540000001"/>
    <x v="106"/>
    <s v="Mar-2020"/>
  </r>
  <r>
    <x v="107"/>
    <s v="MAR"/>
    <x v="0"/>
    <x v="3"/>
    <x v="3"/>
    <s v="predicted"/>
    <n v="21357.653559999999"/>
    <n v="20774.846000000001"/>
    <n v="-582.8075609"/>
    <n v="-144.4160297"/>
    <n v="-10898.60346"/>
    <n v="12361.331749999999"/>
    <x v="106"/>
    <s v="Apr-2020"/>
  </r>
  <r>
    <x v="107"/>
    <s v="MAR"/>
    <x v="0"/>
    <x v="4"/>
    <x v="4"/>
    <s v="predicted"/>
    <n v="20685.786619999999"/>
    <n v="20249.502"/>
    <n v="-436.28461620000002"/>
    <n v="-580.70064600000001"/>
    <n v="-13339.35356"/>
    <n v="13604.033090000001"/>
    <x v="106"/>
    <s v="May-2020"/>
  </r>
  <r>
    <x v="107"/>
    <s v="MAR"/>
    <x v="0"/>
    <x v="5"/>
    <x v="5"/>
    <s v="predicted"/>
    <n v="20406.297549999999"/>
    <n v="21236.376"/>
    <n v="830.07844920000002"/>
    <n v="249.37780319999999"/>
    <n v="-12560.42654"/>
    <n v="15512.86356"/>
    <x v="106"/>
    <s v="Jun-2020"/>
  </r>
  <r>
    <x v="107"/>
    <s v="MAR"/>
    <x v="0"/>
    <x v="6"/>
    <x v="6"/>
    <s v="predicted"/>
    <n v="19777.261500000001"/>
    <n v="22548.348999999998"/>
    <n v="2771.087497"/>
    <n v="3020.4652999999998"/>
    <n v="-11745.836960000001"/>
    <n v="18584.887549999999"/>
    <x v="106"/>
    <s v="Jul-2020"/>
  </r>
  <r>
    <x v="107"/>
    <s v="MAR"/>
    <x v="0"/>
    <x v="7"/>
    <x v="7"/>
    <s v="predicted"/>
    <n v="19918.527109999999"/>
    <n v="24871.39"/>
    <n v="4952.8628900000003"/>
    <n v="7973.3281900000002"/>
    <n v="-8252.8789899999992"/>
    <n v="24981.73532"/>
    <x v="106"/>
    <s v="Aug-2020"/>
  </r>
  <r>
    <x v="107"/>
    <s v="MAR"/>
    <x v="0"/>
    <x v="8"/>
    <x v="8"/>
    <s v="predicted"/>
    <n v="20352.04768"/>
    <n v="24850.786"/>
    <n v="4498.7383229999996"/>
    <n v="12472.066510000001"/>
    <n v="-5149.9159730000001"/>
    <n v="29627.801340000002"/>
    <x v="106"/>
    <s v="Sep-2020"/>
  </r>
  <r>
    <x v="107"/>
    <s v="MAR"/>
    <x v="0"/>
    <x v="9"/>
    <x v="9"/>
    <s v="predicted"/>
    <n v="21044.357899999999"/>
    <n v="26835.044999999998"/>
    <n v="5790.6871019999999"/>
    <n v="18262.75361"/>
    <n v="33.40956594"/>
    <n v="36916.052589999999"/>
    <x v="106"/>
    <s v="Oct-2020"/>
  </r>
  <r>
    <x v="107"/>
    <s v="MAR"/>
    <x v="0"/>
    <x v="10"/>
    <x v="10"/>
    <s v="predicted"/>
    <n v="21506.055540000001"/>
    <n v="29282.187000000002"/>
    <n v="7776.1314640000001"/>
    <n v="26038.88508"/>
    <n v="6987.1552019999999"/>
    <n v="45720.041819999999"/>
    <x v="106"/>
    <s v="Nov-2020"/>
  </r>
  <r>
    <x v="107"/>
    <s v="MAR"/>
    <x v="0"/>
    <x v="11"/>
    <x v="11"/>
    <s v="predicted"/>
    <n v="22038.41502"/>
    <n v="28247.331999999999"/>
    <n v="6208.9169780000002"/>
    <n v="32247.802060000002"/>
    <n v="12067.60936"/>
    <n v="54370.672429999999"/>
    <x v="106"/>
    <s v="Dec-2020"/>
  </r>
  <r>
    <x v="107"/>
    <s v="MAR"/>
    <x v="1"/>
    <x v="0"/>
    <x v="0"/>
    <s v="predicted"/>
    <n v="22750.828799999999"/>
    <n v="25958.080000000002"/>
    <n v="3207.2512019999999"/>
    <n v="35455.053260000001"/>
    <n v="12934.288920000001"/>
    <n v="58252.388959999997"/>
    <x v="106"/>
    <s v="Jan-2021"/>
  </r>
  <r>
    <x v="107"/>
    <s v="MAR"/>
    <x v="1"/>
    <x v="1"/>
    <x v="1"/>
    <s v="predicted"/>
    <n v="22261.002759999999"/>
    <n v="22942.993999999999"/>
    <n v="681.99123980000002"/>
    <n v="36137.044500000004"/>
    <n v="13217.07955"/>
    <n v="60103.004670000002"/>
    <x v="106"/>
    <s v="Feb-2021"/>
  </r>
  <r>
    <x v="107"/>
    <s v="MAR"/>
    <x v="1"/>
    <x v="2"/>
    <x v="2"/>
    <s v="predicted"/>
    <n v="22096.958999999999"/>
    <n v="21890.780999999999"/>
    <n v="-206.1780043"/>
    <n v="35930.866499999996"/>
    <n v="11670.85951"/>
    <n v="60532.136279999999"/>
    <x v="106"/>
    <s v="Mar-2021"/>
  </r>
  <r>
    <x v="107"/>
    <s v="MAR"/>
    <x v="1"/>
    <x v="3"/>
    <x v="3"/>
    <s v="predicted"/>
    <n v="21847.52291"/>
    <n v="22155.935000000001"/>
    <n v="308.41208760000001"/>
    <n v="36239.278579999998"/>
    <n v="11031.074199999999"/>
    <n v="61969.919020000001"/>
    <x v="106"/>
    <s v="Apr-2021"/>
  </r>
  <r>
    <x v="107"/>
    <s v="MAR"/>
    <x v="1"/>
    <x v="4"/>
    <x v="4"/>
    <s v="predicted"/>
    <n v="21146.287329999999"/>
    <n v="21318.056"/>
    <n v="171.76866609999999"/>
    <n v="36411.047250000003"/>
    <n v="10052.25438"/>
    <n v="63347.857049999999"/>
    <x v="106"/>
    <s v="May-2021"/>
  </r>
  <r>
    <x v="107"/>
    <s v="MAR"/>
    <x v="1"/>
    <x v="5"/>
    <x v="5"/>
    <s v="predicted"/>
    <n v="20860.635600000001"/>
    <n v="22236.026000000002"/>
    <n v="1375.3904030000001"/>
    <n v="37786.43765"/>
    <n v="10127.496359999999"/>
    <n v="64665.691079999997"/>
    <x v="106"/>
    <s v="Jun-2021"/>
  </r>
  <r>
    <x v="107"/>
    <s v="MAR"/>
    <x v="1"/>
    <x v="6"/>
    <x v="6"/>
    <s v="predicted"/>
    <n v="20213.055530000001"/>
    <n v="23746.913"/>
    <n v="3533.8574739999999"/>
    <n v="41320.295129999999"/>
    <n v="13316.157950000001"/>
    <n v="68652.544030000005"/>
    <x v="106"/>
    <s v="Jul-2021"/>
  </r>
  <r>
    <x v="107"/>
    <s v="MAR"/>
    <x v="1"/>
    <x v="7"/>
    <x v="7"/>
    <s v="predicted"/>
    <n v="20366.491470000001"/>
    <n v="30115.29"/>
    <n v="9748.79853"/>
    <n v="51069.093659999999"/>
    <n v="21318.204099999999"/>
    <n v="79894.842430000004"/>
    <x v="106"/>
    <s v="Aug-2021"/>
  </r>
  <r>
    <x v="107"/>
    <s v="MAR"/>
    <x v="1"/>
    <x v="8"/>
    <x v="8"/>
    <s v="predicted"/>
    <n v="20806.33712"/>
    <n v="26857.063999999998"/>
    <n v="6050.7268800000002"/>
    <n v="57119.820540000001"/>
    <n v="28119.219079999999"/>
    <n v="87270.638080000004"/>
    <x v="106"/>
    <s v="Sep-2021"/>
  </r>
  <r>
    <x v="107"/>
    <s v="MAR"/>
    <x v="1"/>
    <x v="9"/>
    <x v="9"/>
    <s v="predicted"/>
    <n v="21518.575420000001"/>
    <n v="24367.181"/>
    <n v="2848.6055759999999"/>
    <n v="59968.42611"/>
    <n v="30693.38579"/>
    <n v="90220.266390000004"/>
    <x v="106"/>
    <s v="Oct-2021"/>
  </r>
  <r>
    <x v="107"/>
    <s v="MAR"/>
    <x v="1"/>
    <x v="10"/>
    <x v="10"/>
    <s v="predicted"/>
    <n v="21983.40509"/>
    <n v="24041.629000000001"/>
    <n v="2058.2239129999998"/>
    <n v="62026.650029999997"/>
    <n v="32833.027629999997"/>
    <n v="94155.832179999998"/>
    <x v="106"/>
    <s v="Nov-2021"/>
  </r>
  <r>
    <x v="107"/>
    <s v="MAR"/>
    <x v="1"/>
    <x v="11"/>
    <x v="11"/>
    <s v="predicted"/>
    <n v="22533.460149999999"/>
    <n v="25039.75"/>
    <n v="2506.2898489999998"/>
    <n v="64532.939870000002"/>
    <n v="32359.774740000001"/>
    <n v="96733.275250000006"/>
    <x v="106"/>
    <s v="Dec-2021"/>
  </r>
  <r>
    <x v="108"/>
    <s v="MCO"/>
    <x v="0"/>
    <x v="0"/>
    <x v="0"/>
    <s v="reported"/>
    <n v="45.136512349999997"/>
    <n v="46"/>
    <n v="0.86348765199999999"/>
    <n v="0.86348765199999999"/>
    <n v="-3.7290410540000001"/>
    <n v="5.2582637229999998"/>
    <x v="107"/>
    <s v="Jan-2020"/>
  </r>
  <r>
    <x v="108"/>
    <s v="MCO"/>
    <x v="0"/>
    <x v="1"/>
    <x v="1"/>
    <s v="reported"/>
    <n v="43.878094830000002"/>
    <n v="36"/>
    <n v="-7.878094828"/>
    <n v="-7.0146071770000002"/>
    <n v="-13.572219499999999"/>
    <n v="-0.245239554"/>
    <x v="107"/>
    <s v="Feb-2020"/>
  </r>
  <r>
    <x v="108"/>
    <s v="MCO"/>
    <x v="0"/>
    <x v="2"/>
    <x v="2"/>
    <s v="reported"/>
    <n v="41.791202859999999"/>
    <n v="53"/>
    <n v="11.20879714"/>
    <n v="4.1941899630000004"/>
    <n v="-4.528151641"/>
    <n v="12.4260869"/>
    <x v="107"/>
    <s v="Mar-2020"/>
  </r>
  <r>
    <x v="108"/>
    <s v="MCO"/>
    <x v="0"/>
    <x v="3"/>
    <x v="3"/>
    <s v="reported"/>
    <n v="39.831324410000001"/>
    <n v="45"/>
    <n v="5.1686755929999997"/>
    <n v="9.3628655559999991"/>
    <n v="-0.54310458399999995"/>
    <n v="19.010937290000001"/>
    <x v="107"/>
    <s v="Apr-2020"/>
  </r>
  <r>
    <x v="108"/>
    <s v="MCO"/>
    <x v="0"/>
    <x v="4"/>
    <x v="4"/>
    <s v="reported"/>
    <n v="38.394667040000002"/>
    <n v="38"/>
    <n v="-0.39466704400000002"/>
    <n v="8.9681985120000007"/>
    <n v="-2.1848078580000001"/>
    <n v="19.908465459999999"/>
    <x v="107"/>
    <s v="May-2020"/>
  </r>
  <r>
    <x v="108"/>
    <s v="MCO"/>
    <x v="0"/>
    <x v="5"/>
    <x v="5"/>
    <s v="reported"/>
    <n v="37.595744979999999"/>
    <n v="39"/>
    <n v="1.4042550170000001"/>
    <n v="10.37245353"/>
    <n v="-1.877240367"/>
    <n v="22.593117240000002"/>
    <x v="107"/>
    <s v="Jun-2020"/>
  </r>
  <r>
    <x v="108"/>
    <s v="MCO"/>
    <x v="0"/>
    <x v="6"/>
    <x v="6"/>
    <s v="reported"/>
    <n v="37.606758990000003"/>
    <n v="37"/>
    <n v="-0.60675898800000005"/>
    <n v="9.7656945410000002"/>
    <n v="-3.9346180319999999"/>
    <n v="22.96159059"/>
    <x v="107"/>
    <s v="Jul-2020"/>
  </r>
  <r>
    <x v="108"/>
    <s v="MCO"/>
    <x v="0"/>
    <x v="7"/>
    <x v="7"/>
    <s v="reported"/>
    <n v="38.356007069999997"/>
    <n v="43"/>
    <n v="4.6439929260000001"/>
    <n v="14.40968747"/>
    <n v="0.55580448500000001"/>
    <n v="28.585448960000001"/>
    <x v="107"/>
    <s v="Aug-2020"/>
  </r>
  <r>
    <x v="108"/>
    <s v="MCO"/>
    <x v="0"/>
    <x v="8"/>
    <x v="8"/>
    <s v="reported"/>
    <n v="40.019238680000001"/>
    <n v="44"/>
    <n v="3.9807613150000001"/>
    <n v="18.39044878"/>
    <n v="3.4940892250000002"/>
    <n v="32.989430400000003"/>
    <x v="107"/>
    <s v="Sep-2020"/>
  </r>
  <r>
    <x v="108"/>
    <s v="MCO"/>
    <x v="0"/>
    <x v="9"/>
    <x v="9"/>
    <s v="reported"/>
    <n v="42.43448059"/>
    <n v="47"/>
    <n v="4.5655194110000004"/>
    <n v="22.95596819"/>
    <n v="7.4662955059999998"/>
    <n v="38.116315640000003"/>
    <x v="107"/>
    <s v="Oct-2020"/>
  </r>
  <r>
    <x v="108"/>
    <s v="MCO"/>
    <x v="0"/>
    <x v="10"/>
    <x v="10"/>
    <s v="reported"/>
    <n v="44.172919780000001"/>
    <n v="42"/>
    <n v="-2.1729197760000001"/>
    <n v="20.78304842"/>
    <n v="4.6034690810000001"/>
    <n v="37.775699930000002"/>
    <x v="107"/>
    <s v="Nov-2020"/>
  </r>
  <r>
    <x v="108"/>
    <s v="MCO"/>
    <x v="0"/>
    <x v="11"/>
    <x v="11"/>
    <s v="reported"/>
    <n v="44.277551330000001"/>
    <n v="51"/>
    <n v="6.7224486649999999"/>
    <n v="27.505497080000001"/>
    <n v="9.8635387090000002"/>
    <n v="45.499409319999998"/>
    <x v="107"/>
    <s v="Dec-2020"/>
  </r>
  <r>
    <x v="108"/>
    <s v="MCO"/>
    <x v="1"/>
    <x v="0"/>
    <x v="0"/>
    <s v="reported"/>
    <n v="44.260738920000001"/>
    <n v="58"/>
    <n v="13.73926108"/>
    <n v="41.244758160000003"/>
    <n v="22.142405180000001"/>
    <n v="59.71796423"/>
    <x v="107"/>
    <s v="Jan-2021"/>
  </r>
  <r>
    <x v="108"/>
    <s v="MCO"/>
    <x v="1"/>
    <x v="1"/>
    <x v="1"/>
    <s v="reported"/>
    <n v="42.930439610000001"/>
    <n v="70"/>
    <n v="27.069560389999999"/>
    <n v="68.314318549999996"/>
    <n v="49.166831860000002"/>
    <n v="87.122830859999993"/>
    <x v="107"/>
    <s v="Feb-2021"/>
  </r>
  <r>
    <x v="108"/>
    <s v="MCO"/>
    <x v="1"/>
    <x v="2"/>
    <x v="2"/>
    <s v="reported"/>
    <n v="40.919442099999998"/>
    <n v="66"/>
    <n v="25.080557899999999"/>
    <n v="93.394876449999998"/>
    <n v="74.09959259"/>
    <n v="113.05877150000001"/>
    <x v="107"/>
    <s v="Mar-2021"/>
  </r>
  <r>
    <x v="108"/>
    <s v="MCO"/>
    <x v="1"/>
    <x v="3"/>
    <x v="3"/>
    <s v="reported"/>
    <n v="38.89825381"/>
    <n v="40"/>
    <n v="1.101746187"/>
    <n v="94.496622639999998"/>
    <n v="73.985844880000002"/>
    <n v="116.342646"/>
    <x v="107"/>
    <s v="Apr-2021"/>
  </r>
  <r>
    <x v="108"/>
    <s v="MCO"/>
    <x v="1"/>
    <x v="4"/>
    <x v="4"/>
    <s v="reported"/>
    <n v="37.57505106"/>
    <n v="58"/>
    <n v="20.42494894"/>
    <n v="114.92157159999999"/>
    <n v="94.147316320000002"/>
    <n v="136.6019733"/>
    <x v="107"/>
    <s v="May-2021"/>
  </r>
  <r>
    <x v="108"/>
    <s v="MCO"/>
    <x v="1"/>
    <x v="5"/>
    <x v="5"/>
    <s v="reported"/>
    <n v="36.826469779999996"/>
    <n v="27"/>
    <n v="-9.8264697830000003"/>
    <n v="105.09510179999999"/>
    <n v="83.727382210000002"/>
    <n v="127.29993399999999"/>
    <x v="107"/>
    <s v="Jun-2021"/>
  </r>
  <r>
    <x v="108"/>
    <s v="MCO"/>
    <x v="1"/>
    <x v="6"/>
    <x v="6"/>
    <s v="reported"/>
    <n v="36.926334560000001"/>
    <n v="39"/>
    <n v="2.073665444"/>
    <n v="107.1687672"/>
    <n v="84.213224409999995"/>
    <n v="130.32158860000001"/>
    <x v="107"/>
    <s v="Jul-2021"/>
  </r>
  <r>
    <x v="108"/>
    <s v="MCO"/>
    <x v="1"/>
    <x v="7"/>
    <x v="7"/>
    <s v="reported"/>
    <n v="37.780345709999999"/>
    <n v="45"/>
    <n v="7.2196542929999996"/>
    <n v="114.38842150000001"/>
    <n v="90.688683089999998"/>
    <n v="137.97489179999999"/>
    <x v="107"/>
    <s v="Aug-2021"/>
  </r>
  <r>
    <x v="108"/>
    <s v="MCO"/>
    <x v="1"/>
    <x v="8"/>
    <x v="8"/>
    <s v="reported"/>
    <n v="39.165039909999997"/>
    <n v="46"/>
    <n v="6.8349600879999999"/>
    <n v="121.2233816"/>
    <n v="97.735375660000003"/>
    <n v="145.9879363"/>
    <x v="107"/>
    <s v="Sep-2021"/>
  </r>
  <r>
    <x v="108"/>
    <s v="MCO"/>
    <x v="1"/>
    <x v="9"/>
    <x v="9"/>
    <s v="reported"/>
    <n v="41.698466590000002"/>
    <n v="50"/>
    <n v="8.3015334119999995"/>
    <n v="129.52491499999999"/>
    <n v="105.1190347"/>
    <n v="154.2775044"/>
    <x v="107"/>
    <s v="Oct-2021"/>
  </r>
  <r>
    <x v="108"/>
    <s v="MCO"/>
    <x v="1"/>
    <x v="10"/>
    <x v="10"/>
    <s v="reported"/>
    <n v="43.009153169999998"/>
    <n v="36"/>
    <n v="-7.0091531700000003"/>
    <n v="122.5157619"/>
    <n v="97.996510040000004"/>
    <n v="147.90231449999999"/>
    <x v="107"/>
    <s v="Nov-2021"/>
  </r>
  <r>
    <x v="108"/>
    <s v="MCO"/>
    <x v="1"/>
    <x v="11"/>
    <x v="11"/>
    <s v="reported"/>
    <n v="43.33714432"/>
    <n v="58"/>
    <n v="14.66285568"/>
    <n v="137.1786175"/>
    <n v="110.6344809"/>
    <n v="161.93087499999999"/>
    <x v="107"/>
    <s v="Dec-2021"/>
  </r>
  <r>
    <x v="109"/>
    <s v="MDA"/>
    <x v="0"/>
    <x v="0"/>
    <x v="0"/>
    <s v="reported"/>
    <n v="3315.7409720000001"/>
    <n v="3477"/>
    <n v="161.25902780000001"/>
    <n v="161.25902780000001"/>
    <n v="3.7278900930000001"/>
    <n v="311.6804133"/>
    <x v="108"/>
    <s v="Jan-2020"/>
  </r>
  <r>
    <x v="109"/>
    <s v="MDA"/>
    <x v="0"/>
    <x v="1"/>
    <x v="1"/>
    <s v="reported"/>
    <n v="3213.7387039999999"/>
    <n v="3098"/>
    <n v="-115.7387039"/>
    <n v="45.52032389"/>
    <n v="-186.05449110000001"/>
    <n v="276.8110168"/>
    <x v="108"/>
    <s v="Feb-2020"/>
  </r>
  <r>
    <x v="109"/>
    <s v="MDA"/>
    <x v="0"/>
    <x v="2"/>
    <x v="2"/>
    <s v="reported"/>
    <n v="3099.825319"/>
    <n v="2708"/>
    <n v="-391.82531899999998"/>
    <n v="-346.30499509999999"/>
    <n v="-643.65333940000005"/>
    <n v="-59.552981269999997"/>
    <x v="108"/>
    <s v="Mar-2020"/>
  </r>
  <r>
    <x v="109"/>
    <s v="MDA"/>
    <x v="0"/>
    <x v="3"/>
    <x v="3"/>
    <s v="reported"/>
    <n v="2979.7678259999998"/>
    <n v="2275"/>
    <n v="-704.76782649999996"/>
    <n v="-1051.0728220000001"/>
    <n v="-1387.703761"/>
    <n v="-724.78731089999997"/>
    <x v="108"/>
    <s v="Apr-2020"/>
  </r>
  <r>
    <x v="109"/>
    <s v="MDA"/>
    <x v="0"/>
    <x v="4"/>
    <x v="4"/>
    <s v="reported"/>
    <n v="2903.9339089999999"/>
    <n v="3873"/>
    <n v="969.06609060000005"/>
    <n v="-82.00673089"/>
    <n v="-443.24136270000002"/>
    <n v="293.78854849999999"/>
    <x v="108"/>
    <s v="May-2020"/>
  </r>
  <r>
    <x v="109"/>
    <s v="MDA"/>
    <x v="0"/>
    <x v="5"/>
    <x v="5"/>
    <s v="reported"/>
    <n v="2750.5998709999999"/>
    <n v="3339"/>
    <n v="588.40012950000005"/>
    <n v="506.39339860000001"/>
    <n v="109.9372855"/>
    <n v="879.36498900000004"/>
    <x v="108"/>
    <s v="Jun-2020"/>
  </r>
  <r>
    <x v="109"/>
    <s v="MDA"/>
    <x v="0"/>
    <x v="6"/>
    <x v="6"/>
    <s v="reported"/>
    <n v="2587.9508470000001"/>
    <n v="3355"/>
    <n v="767.04915300000005"/>
    <n v="1273.442552"/>
    <n v="853.76268149999999"/>
    <n v="1685.18164"/>
    <x v="108"/>
    <s v="Jul-2020"/>
  </r>
  <r>
    <x v="109"/>
    <s v="MDA"/>
    <x v="0"/>
    <x v="7"/>
    <x v="7"/>
    <s v="reported"/>
    <n v="2529.1618859999999"/>
    <n v="2707"/>
    <n v="177.8381143"/>
    <n v="1451.2806660000001"/>
    <n v="1016.712752"/>
    <n v="1890.109404"/>
    <x v="108"/>
    <s v="Aug-2020"/>
  </r>
  <r>
    <x v="109"/>
    <s v="MDA"/>
    <x v="0"/>
    <x v="8"/>
    <x v="8"/>
    <s v="reported"/>
    <n v="2654.4178440000001"/>
    <n v="3467"/>
    <n v="812.58215580000001"/>
    <n v="2263.8628220000001"/>
    <n v="1784.9427499999999"/>
    <n v="2718.3497619999998"/>
    <x v="108"/>
    <s v="Sep-2020"/>
  </r>
  <r>
    <x v="109"/>
    <s v="MDA"/>
    <x v="0"/>
    <x v="9"/>
    <x v="9"/>
    <s v="reported"/>
    <n v="2888.114423"/>
    <n v="3829"/>
    <n v="940.88557660000004"/>
    <n v="3204.7483980000002"/>
    <n v="2695.2725089999999"/>
    <n v="3689.68995"/>
    <x v="108"/>
    <s v="Oct-2020"/>
  </r>
  <r>
    <x v="109"/>
    <s v="MDA"/>
    <x v="0"/>
    <x v="10"/>
    <x v="10"/>
    <s v="reported"/>
    <n v="3113.090287"/>
    <n v="3736"/>
    <n v="622.90971339999999"/>
    <n v="3827.6581120000001"/>
    <n v="3263.6545369999999"/>
    <n v="4344.8034470000002"/>
    <x v="108"/>
    <s v="Nov-2020"/>
  </r>
  <r>
    <x v="109"/>
    <s v="MDA"/>
    <x v="0"/>
    <x v="11"/>
    <x v="11"/>
    <s v="reported"/>
    <n v="3243.3066570000001"/>
    <n v="4852"/>
    <n v="1608.6933429999999"/>
    <n v="5436.351455"/>
    <n v="4893.2950179999998"/>
    <n v="5967.7838119999997"/>
    <x v="108"/>
    <s v="Dec-2020"/>
  </r>
  <r>
    <x v="109"/>
    <s v="MDA"/>
    <x v="1"/>
    <x v="0"/>
    <x v="0"/>
    <s v="reported"/>
    <n v="3239.5286729999998"/>
    <n v="4128"/>
    <n v="888.47132650000003"/>
    <n v="6324.8227809999998"/>
    <n v="5736.6369809999997"/>
    <n v="6897.78442"/>
    <x v="108"/>
    <s v="Jan-2021"/>
  </r>
  <r>
    <x v="109"/>
    <s v="MDA"/>
    <x v="1"/>
    <x v="1"/>
    <x v="1"/>
    <s v="reported"/>
    <n v="3140.5583080000001"/>
    <n v="3691"/>
    <n v="550.44169169999998"/>
    <n v="6875.2644730000002"/>
    <n v="6249.3193220000003"/>
    <n v="7478.4899230000001"/>
    <x v="108"/>
    <s v="Feb-2021"/>
  </r>
  <r>
    <x v="109"/>
    <s v="MDA"/>
    <x v="1"/>
    <x v="2"/>
    <x v="2"/>
    <s v="reported"/>
    <n v="3029.8744099999999"/>
    <n v="4908"/>
    <n v="1878.1255900000001"/>
    <n v="8753.3900630000007"/>
    <n v="8122.8132539999997"/>
    <n v="9403.4417150000008"/>
    <x v="108"/>
    <s v="Mar-2021"/>
  </r>
  <r>
    <x v="109"/>
    <s v="MDA"/>
    <x v="1"/>
    <x v="3"/>
    <x v="3"/>
    <s v="reported"/>
    <n v="2915.6119250000002"/>
    <n v="4345"/>
    <n v="1429.3880750000001"/>
    <n v="10182.77814"/>
    <n v="9524.6331900000005"/>
    <n v="10851.85304"/>
    <x v="108"/>
    <s v="Apr-2021"/>
  </r>
  <r>
    <x v="109"/>
    <s v="MDA"/>
    <x v="1"/>
    <x v="4"/>
    <x v="4"/>
    <s v="reported"/>
    <n v="2835.9849819999999"/>
    <n v="3378"/>
    <n v="542.01501770000004"/>
    <n v="10724.793159999999"/>
    <n v="10040.44003"/>
    <n v="11435.11032"/>
    <x v="108"/>
    <s v="May-2021"/>
  </r>
  <r>
    <x v="109"/>
    <s v="MDA"/>
    <x v="1"/>
    <x v="5"/>
    <x v="5"/>
    <s v="reported"/>
    <n v="2689.0311400000001"/>
    <n v="3024"/>
    <n v="334.96886019999999"/>
    <n v="11059.76202"/>
    <n v="10333.90437"/>
    <n v="11793.55106"/>
    <x v="108"/>
    <s v="Jun-2021"/>
  </r>
  <r>
    <x v="109"/>
    <s v="MDA"/>
    <x v="1"/>
    <x v="6"/>
    <x v="6"/>
    <s v="reported"/>
    <n v="2524.9675339999999"/>
    <n v="2946"/>
    <n v="421.03246560000002"/>
    <n v="11480.79448"/>
    <n v="10739.65633"/>
    <n v="12209.55443"/>
    <x v="108"/>
    <s v="Jul-2021"/>
  </r>
  <r>
    <x v="109"/>
    <s v="MDA"/>
    <x v="1"/>
    <x v="7"/>
    <x v="7"/>
    <s v="reported"/>
    <n v="2474.7580330000001"/>
    <n v="2499"/>
    <n v="24.241967320000001"/>
    <n v="11505.03645"/>
    <n v="10734.5537"/>
    <n v="12239.14378"/>
    <x v="108"/>
    <s v="Aug-2021"/>
  </r>
  <r>
    <x v="109"/>
    <s v="MDA"/>
    <x v="1"/>
    <x v="8"/>
    <x v="8"/>
    <s v="reported"/>
    <n v="2589.3569470000002"/>
    <n v="3574"/>
    <n v="984.64305339999999"/>
    <n v="12489.6795"/>
    <n v="11721.5563"/>
    <n v="13263.754929999999"/>
    <x v="108"/>
    <s v="Sep-2021"/>
  </r>
  <r>
    <x v="109"/>
    <s v="MDA"/>
    <x v="1"/>
    <x v="9"/>
    <x v="9"/>
    <s v="reported"/>
    <n v="2819.2860059999998"/>
    <n v="4764"/>
    <n v="1944.713994"/>
    <n v="14434.3935"/>
    <n v="13648.157730000001"/>
    <n v="15227.606949999999"/>
    <x v="108"/>
    <s v="Oct-2021"/>
  </r>
  <r>
    <x v="109"/>
    <s v="MDA"/>
    <x v="1"/>
    <x v="10"/>
    <x v="10"/>
    <s v="reported"/>
    <n v="3043.8084100000001"/>
    <n v="4713"/>
    <n v="1669.1915899999999"/>
    <n v="16103.58509"/>
    <n v="15293.0152"/>
    <n v="16949.82789"/>
    <x v="108"/>
    <s v="Nov-2021"/>
  </r>
  <r>
    <x v="109"/>
    <s v="MDA"/>
    <x v="1"/>
    <x v="11"/>
    <x v="11"/>
    <s v="reported"/>
    <n v="3177.7706109999999"/>
    <n v="3416"/>
    <n v="238.22938920000001"/>
    <n v="16341.814479999999"/>
    <n v="15508.742980000001"/>
    <n v="17186.231230000001"/>
    <x v="108"/>
    <s v="Dec-2021"/>
  </r>
  <r>
    <x v="110"/>
    <s v="MDG"/>
    <x v="0"/>
    <x v="0"/>
    <x v="0"/>
    <s v="predicted"/>
    <n v="14807.02232"/>
    <n v="14942.89"/>
    <n v="135.86767710000001"/>
    <n v="135.86767710000001"/>
    <n v="-3409.4706120000001"/>
    <n v="4466.6607020000001"/>
    <x v="109"/>
    <s v="Jan-2020"/>
  </r>
  <r>
    <x v="110"/>
    <s v="MDG"/>
    <x v="0"/>
    <x v="1"/>
    <x v="1"/>
    <s v="predicted"/>
    <n v="14790.060820000001"/>
    <n v="14864.050999999999"/>
    <n v="73.990176590000004"/>
    <n v="209.85785369999999"/>
    <n v="-5111.7460410000003"/>
    <n v="6563.8486679999996"/>
    <x v="109"/>
    <s v="Feb-2020"/>
  </r>
  <r>
    <x v="110"/>
    <s v="MDG"/>
    <x v="0"/>
    <x v="2"/>
    <x v="2"/>
    <s v="predicted"/>
    <n v="14837.931549999999"/>
    <n v="15074.151"/>
    <n v="236.21945210000001"/>
    <n v="446.07730570000001"/>
    <n v="-6527.4110140000003"/>
    <n v="7992.5229929999996"/>
    <x v="109"/>
    <s v="Mar-2020"/>
  </r>
  <r>
    <x v="110"/>
    <s v="MDG"/>
    <x v="0"/>
    <x v="3"/>
    <x v="3"/>
    <s v="predicted"/>
    <n v="14904.78335"/>
    <n v="13482.536"/>
    <n v="-1422.247353"/>
    <n v="-976.17004750000001"/>
    <n v="-8899.7729820000004"/>
    <n v="7804.8944499999998"/>
    <x v="109"/>
    <s v="Apr-2020"/>
  </r>
  <r>
    <x v="110"/>
    <s v="MDG"/>
    <x v="0"/>
    <x v="4"/>
    <x v="4"/>
    <s v="predicted"/>
    <n v="15083.276260000001"/>
    <n v="14965.63"/>
    <n v="-117.6462617"/>
    <n v="-1093.816309"/>
    <n v="-9903.7204710000005"/>
    <n v="9093.2315749999998"/>
    <x v="109"/>
    <s v="May-2020"/>
  </r>
  <r>
    <x v="110"/>
    <s v="MDG"/>
    <x v="0"/>
    <x v="5"/>
    <x v="5"/>
    <s v="predicted"/>
    <n v="15260.57944"/>
    <n v="16012.115"/>
    <n v="751.53556219999996"/>
    <n v="-342.28074700000002"/>
    <n v="-9934.5574350000006"/>
    <n v="11242.82279"/>
    <x v="109"/>
    <s v="Jun-2020"/>
  </r>
  <r>
    <x v="110"/>
    <s v="MDG"/>
    <x v="0"/>
    <x v="6"/>
    <x v="6"/>
    <s v="predicted"/>
    <n v="15315.492630000001"/>
    <n v="19258.035"/>
    <n v="3942.5423679999999"/>
    <n v="3600.2616210000001"/>
    <n v="-7132.9187110000003"/>
    <n v="17552.980820000001"/>
    <x v="109"/>
    <s v="Jul-2020"/>
  </r>
  <r>
    <x v="110"/>
    <s v="MDG"/>
    <x v="0"/>
    <x v="7"/>
    <x v="7"/>
    <s v="predicted"/>
    <n v="15259.49259"/>
    <n v="17796.792000000001"/>
    <n v="2537.2994060000001"/>
    <n v="6137.5610280000001"/>
    <n v="-5681.2933659999999"/>
    <n v="20080.725709999999"/>
    <x v="109"/>
    <s v="Aug-2020"/>
  </r>
  <r>
    <x v="110"/>
    <s v="MDG"/>
    <x v="0"/>
    <x v="8"/>
    <x v="8"/>
    <s v="predicted"/>
    <n v="15166.63989"/>
    <n v="16859.769"/>
    <n v="1693.129105"/>
    <n v="7830.6901330000001"/>
    <n v="-5246.3181860000004"/>
    <n v="22208.792280000001"/>
    <x v="109"/>
    <s v="Sep-2020"/>
  </r>
  <r>
    <x v="110"/>
    <s v="MDG"/>
    <x v="0"/>
    <x v="9"/>
    <x v="9"/>
    <s v="predicted"/>
    <n v="14980.672210000001"/>
    <n v="16172.94"/>
    <n v="1192.2677859999999"/>
    <n v="9022.9579190000004"/>
    <n v="-4776.9695179999999"/>
    <n v="24244.940139999999"/>
    <x v="109"/>
    <s v="Oct-2020"/>
  </r>
  <r>
    <x v="110"/>
    <s v="MDG"/>
    <x v="0"/>
    <x v="10"/>
    <x v="10"/>
    <s v="predicted"/>
    <n v="14918.79414"/>
    <n v="15590.540999999999"/>
    <n v="671.74686329999997"/>
    <n v="9694.7047820000007"/>
    <n v="-4491.244584"/>
    <n v="25592.029589999998"/>
    <x v="109"/>
    <s v="Nov-2020"/>
  </r>
  <r>
    <x v="110"/>
    <s v="MDG"/>
    <x v="0"/>
    <x v="11"/>
    <x v="11"/>
    <s v="predicted"/>
    <n v="14805.99344"/>
    <n v="15478.959000000001"/>
    <n v="672.96555599999999"/>
    <n v="10367.670340000001"/>
    <n v="-4398.1241309999996"/>
    <n v="26229.749530000001"/>
    <x v="109"/>
    <s v="Dec-2020"/>
  </r>
  <r>
    <x v="110"/>
    <s v="MDG"/>
    <x v="1"/>
    <x v="0"/>
    <x v="0"/>
    <s v="predicted"/>
    <n v="14968.795319999999"/>
    <n v="16060.338"/>
    <n v="1091.5426769999999"/>
    <n v="11459.213019999999"/>
    <n v="-3025.0764210000002"/>
    <n v="28580.302589999999"/>
    <x v="109"/>
    <s v="Jan-2021"/>
  </r>
  <r>
    <x v="110"/>
    <s v="MDG"/>
    <x v="1"/>
    <x v="1"/>
    <x v="1"/>
    <s v="predicted"/>
    <n v="14956.467070000001"/>
    <n v="16114.347"/>
    <n v="1157.8799300000001"/>
    <n v="12617.09295"/>
    <n v="-2848.8472149999998"/>
    <n v="29796.522659999999"/>
    <x v="109"/>
    <s v="Feb-2021"/>
  </r>
  <r>
    <x v="110"/>
    <s v="MDG"/>
    <x v="1"/>
    <x v="2"/>
    <x v="2"/>
    <s v="predicted"/>
    <n v="15006.826639999999"/>
    <n v="17370.751"/>
    <n v="2363.9243609999999"/>
    <n v="14981.017309999999"/>
    <n v="-1420.4549790000001"/>
    <n v="32949.731529999997"/>
    <x v="109"/>
    <s v="Mar-2021"/>
  </r>
  <r>
    <x v="110"/>
    <s v="MDG"/>
    <x v="1"/>
    <x v="3"/>
    <x v="3"/>
    <s v="predicted"/>
    <n v="15073.57538"/>
    <n v="18158.971000000001"/>
    <n v="3085.395618"/>
    <n v="18066.412919999999"/>
    <n v="-211.98433299999999"/>
    <n v="36378.245540000004"/>
    <x v="109"/>
    <s v="Apr-2021"/>
  </r>
  <r>
    <x v="110"/>
    <s v="MDG"/>
    <x v="1"/>
    <x v="4"/>
    <x v="4"/>
    <s v="predicted"/>
    <n v="15254.28369"/>
    <n v="17550.194"/>
    <n v="2295.9103049999999"/>
    <n v="20362.323230000002"/>
    <n v="1840.3975909999999"/>
    <n v="39236.007940000003"/>
    <x v="109"/>
    <s v="May-2021"/>
  </r>
  <r>
    <x v="110"/>
    <s v="MDG"/>
    <x v="1"/>
    <x v="5"/>
    <x v="5"/>
    <s v="predicted"/>
    <n v="15438.503790000001"/>
    <n v="16051.772000000001"/>
    <n v="613.2682125"/>
    <n v="20975.59144"/>
    <n v="2082.350946"/>
    <n v="40795.624230000001"/>
    <x v="109"/>
    <s v="Jun-2021"/>
  </r>
  <r>
    <x v="110"/>
    <s v="MDG"/>
    <x v="1"/>
    <x v="6"/>
    <x v="6"/>
    <s v="predicted"/>
    <n v="15489.47971"/>
    <n v="15927.888999999999"/>
    <n v="438.40929119999998"/>
    <n v="21414.00073"/>
    <n v="2377.8770939999999"/>
    <n v="41739.598610000001"/>
    <x v="109"/>
    <s v="Jul-2021"/>
  </r>
  <r>
    <x v="110"/>
    <s v="MDG"/>
    <x v="1"/>
    <x v="7"/>
    <x v="7"/>
    <s v="predicted"/>
    <n v="15430.6129"/>
    <n v="15381.288"/>
    <n v="-49.324902659999999"/>
    <n v="21364.67583"/>
    <n v="2520.5515569999998"/>
    <n v="42255.64544"/>
    <x v="109"/>
    <s v="Aug-2021"/>
  </r>
  <r>
    <x v="110"/>
    <s v="MDG"/>
    <x v="1"/>
    <x v="8"/>
    <x v="8"/>
    <s v="predicted"/>
    <n v="15332.696470000001"/>
    <n v="15397.575000000001"/>
    <n v="64.878531339999995"/>
    <n v="21429.554359999998"/>
    <n v="1791.935021"/>
    <n v="42701.288589999996"/>
    <x v="109"/>
    <s v="Sep-2021"/>
  </r>
  <r>
    <x v="110"/>
    <s v="MDG"/>
    <x v="1"/>
    <x v="9"/>
    <x v="9"/>
    <s v="predicted"/>
    <n v="15147.196309999999"/>
    <n v="15311.174000000001"/>
    <n v="163.97768669999999"/>
    <n v="21593.532050000002"/>
    <n v="2045.8551640000001"/>
    <n v="42964.003689999998"/>
    <x v="109"/>
    <s v="Oct-2021"/>
  </r>
  <r>
    <x v="110"/>
    <s v="MDG"/>
    <x v="1"/>
    <x v="10"/>
    <x v="10"/>
    <s v="predicted"/>
    <n v="15082.32173"/>
    <n v="15467.413"/>
    <n v="385.0912659"/>
    <n v="21978.623309999999"/>
    <n v="2037.2553640000001"/>
    <n v="43479.259120000002"/>
    <x v="109"/>
    <s v="Nov-2021"/>
  </r>
  <r>
    <x v="110"/>
    <s v="MDG"/>
    <x v="1"/>
    <x v="11"/>
    <x v="11"/>
    <s v="predicted"/>
    <n v="14974.70571"/>
    <n v="16496.914000000001"/>
    <n v="1522.2082889999999"/>
    <n v="23500.831600000001"/>
    <n v="2883.1112149999999"/>
    <n v="46641.72928"/>
    <x v="109"/>
    <s v="Dec-2021"/>
  </r>
  <r>
    <x v="111"/>
    <s v="MDV"/>
    <x v="0"/>
    <x v="0"/>
    <x v="0"/>
    <s v="reported"/>
    <n v="95.518185489999993"/>
    <n v="114"/>
    <n v="18.48181451"/>
    <n v="18.48181451"/>
    <n v="11.31116153"/>
    <n v="26.13369372"/>
    <x v="110"/>
    <s v="Jan-2020"/>
  </r>
  <r>
    <x v="111"/>
    <s v="MDV"/>
    <x v="0"/>
    <x v="1"/>
    <x v="1"/>
    <s v="reported"/>
    <n v="98.502045589999994"/>
    <n v="96"/>
    <n v="-2.5020455909999999"/>
    <n v="15.97976892"/>
    <n v="5.0388177540000001"/>
    <n v="27.157446239999999"/>
    <x v="110"/>
    <s v="Feb-2020"/>
  </r>
  <r>
    <x v="111"/>
    <s v="MDV"/>
    <x v="0"/>
    <x v="2"/>
    <x v="2"/>
    <s v="reported"/>
    <n v="99.424584499999995"/>
    <n v="109"/>
    <n v="9.5754155020000002"/>
    <n v="25.55518442"/>
    <n v="12.05334197"/>
    <n v="39.043497700000003"/>
    <x v="110"/>
    <s v="Mar-2020"/>
  </r>
  <r>
    <x v="111"/>
    <s v="MDV"/>
    <x v="0"/>
    <x v="3"/>
    <x v="3"/>
    <s v="reported"/>
    <n v="97.21078507"/>
    <n v="91"/>
    <n v="-6.2107850679999999"/>
    <n v="19.34439935"/>
    <n v="2.9724716139999998"/>
    <n v="35.42970845"/>
    <x v="110"/>
    <s v="Apr-2020"/>
  </r>
  <r>
    <x v="111"/>
    <s v="MDV"/>
    <x v="0"/>
    <x v="4"/>
    <x v="4"/>
    <s v="reported"/>
    <n v="93.337115409999996"/>
    <n v="109"/>
    <n v="15.662884590000001"/>
    <n v="35.007283950000001"/>
    <n v="16.798857269999999"/>
    <n v="52.68963497"/>
    <x v="110"/>
    <s v="May-2020"/>
  </r>
  <r>
    <x v="111"/>
    <s v="MDV"/>
    <x v="0"/>
    <x v="5"/>
    <x v="5"/>
    <s v="reported"/>
    <n v="89.54507658"/>
    <n v="91"/>
    <n v="1.454923424"/>
    <n v="36.462207370000002"/>
    <n v="15.920814590000001"/>
    <n v="56.327243979999999"/>
    <x v="110"/>
    <s v="Jun-2020"/>
  </r>
  <r>
    <x v="111"/>
    <s v="MDV"/>
    <x v="0"/>
    <x v="6"/>
    <x v="6"/>
    <s v="reported"/>
    <n v="87.468609189999995"/>
    <n v="115"/>
    <n v="27.531390810000001"/>
    <n v="63.993598179999999"/>
    <n v="41.31037663"/>
    <n v="86.054045110000004"/>
    <x v="110"/>
    <s v="Jul-2020"/>
  </r>
  <r>
    <x v="111"/>
    <s v="MDV"/>
    <x v="0"/>
    <x v="7"/>
    <x v="7"/>
    <s v="reported"/>
    <n v="86.29397204"/>
    <n v="129"/>
    <n v="42.70602796"/>
    <n v="106.6996261"/>
    <n v="83.017547690000001"/>
    <n v="129.46858940000001"/>
    <x v="110"/>
    <s v="Aug-2020"/>
  </r>
  <r>
    <x v="111"/>
    <s v="MDV"/>
    <x v="0"/>
    <x v="8"/>
    <x v="8"/>
    <s v="reported"/>
    <n v="86.495225379999994"/>
    <n v="112"/>
    <n v="25.504774619999999"/>
    <n v="132.2044008"/>
    <n v="107.5604001"/>
    <n v="156.52267330000001"/>
    <x v="110"/>
    <s v="Sep-2020"/>
  </r>
  <r>
    <x v="111"/>
    <s v="MDV"/>
    <x v="0"/>
    <x v="9"/>
    <x v="9"/>
    <s v="reported"/>
    <n v="88.291501069999995"/>
    <n v="103"/>
    <n v="14.708498929999999"/>
    <n v="146.9128997"/>
    <n v="121.3791415"/>
    <n v="171.08359580000001"/>
    <x v="110"/>
    <s v="Oct-2020"/>
  </r>
  <r>
    <x v="111"/>
    <s v="MDV"/>
    <x v="0"/>
    <x v="10"/>
    <x v="10"/>
    <s v="reported"/>
    <n v="90.634970080000002"/>
    <n v="110"/>
    <n v="19.365029920000001"/>
    <n v="166.27792959999999"/>
    <n v="139.4862464"/>
    <n v="192.03462450000001"/>
    <x v="110"/>
    <s v="Nov-2020"/>
  </r>
  <r>
    <x v="111"/>
    <s v="MDV"/>
    <x v="0"/>
    <x v="11"/>
    <x v="11"/>
    <s v="reported"/>
    <n v="94.169871369999996"/>
    <n v="96"/>
    <n v="1.830128631"/>
    <n v="168.10805819999999"/>
    <n v="139.48111639999999"/>
    <n v="195.4119857"/>
    <x v="110"/>
    <s v="Dec-2020"/>
  </r>
  <r>
    <x v="111"/>
    <s v="MDV"/>
    <x v="1"/>
    <x v="0"/>
    <x v="0"/>
    <s v="reported"/>
    <n v="93.955134760000007"/>
    <n v="146"/>
    <n v="52.04486524"/>
    <n v="220.15292349999999"/>
    <n v="190.02616939999999"/>
    <n v="249.27844279999999"/>
    <x v="110"/>
    <s v="Jan-2021"/>
  </r>
  <r>
    <x v="111"/>
    <s v="MDV"/>
    <x v="1"/>
    <x v="1"/>
    <x v="1"/>
    <s v="reported"/>
    <n v="96.386891039999995"/>
    <n v="142"/>
    <n v="45.613108959999998"/>
    <n v="265.76603239999997"/>
    <n v="233.61306920000001"/>
    <n v="296.16452620000001"/>
    <x v="110"/>
    <s v="Feb-2021"/>
  </r>
  <r>
    <x v="111"/>
    <s v="MDV"/>
    <x v="1"/>
    <x v="2"/>
    <x v="2"/>
    <s v="reported"/>
    <n v="97.631735430000006"/>
    <n v="127"/>
    <n v="29.368264570000001"/>
    <n v="295.134297"/>
    <n v="262.47841089999997"/>
    <n v="326.9948412"/>
    <x v="110"/>
    <s v="Mar-2021"/>
  </r>
  <r>
    <x v="111"/>
    <s v="MDV"/>
    <x v="1"/>
    <x v="3"/>
    <x v="3"/>
    <s v="reported"/>
    <n v="95.498028919999996"/>
    <n v="145"/>
    <n v="49.501971079999997"/>
    <n v="344.6362681"/>
    <n v="308.99787270000002"/>
    <n v="377.87970719999998"/>
    <x v="110"/>
    <s v="Apr-2021"/>
  </r>
  <r>
    <x v="111"/>
    <s v="MDV"/>
    <x v="1"/>
    <x v="4"/>
    <x v="4"/>
    <s v="reported"/>
    <n v="91.765634149999997"/>
    <n v="191"/>
    <n v="99.234365850000003"/>
    <n v="443.87063389999997"/>
    <n v="408.76254690000002"/>
    <n v="480.35142910000002"/>
    <x v="110"/>
    <s v="May-2021"/>
  </r>
  <r>
    <x v="111"/>
    <s v="MDV"/>
    <x v="1"/>
    <x v="5"/>
    <x v="5"/>
    <s v="reported"/>
    <n v="87.795508859999998"/>
    <n v="161"/>
    <n v="73.204491140000002"/>
    <n v="517.07512510000004"/>
    <n v="479.33503730000001"/>
    <n v="555.16754800000001"/>
    <x v="110"/>
    <s v="Jun-2021"/>
  </r>
  <r>
    <x v="111"/>
    <s v="MDV"/>
    <x v="1"/>
    <x v="6"/>
    <x v="6"/>
    <s v="reported"/>
    <n v="85.655514539999999"/>
    <n v="93"/>
    <n v="7.3444854560000001"/>
    <n v="524.41961049999998"/>
    <n v="486.03494560000001"/>
    <n v="562.97058240000001"/>
    <x v="110"/>
    <s v="Jul-2021"/>
  </r>
  <r>
    <x v="111"/>
    <s v="MDV"/>
    <x v="1"/>
    <x v="7"/>
    <x v="7"/>
    <s v="reported"/>
    <n v="84.723206779999998"/>
    <n v="70"/>
    <n v="-14.72320678"/>
    <n v="509.69640379999998"/>
    <n v="471.45240480000001"/>
    <n v="548.91180610000004"/>
    <x v="110"/>
    <s v="Aug-2021"/>
  </r>
  <r>
    <x v="111"/>
    <s v="MDV"/>
    <x v="1"/>
    <x v="8"/>
    <x v="8"/>
    <s v="reported"/>
    <n v="84.723357089999993"/>
    <n v="70"/>
    <n v="-14.72335709"/>
    <n v="494.9730467"/>
    <n v="456.07361359999999"/>
    <n v="534.60273919999997"/>
    <x v="110"/>
    <s v="Sep-2021"/>
  </r>
  <r>
    <x v="111"/>
    <s v="MDV"/>
    <x v="1"/>
    <x v="9"/>
    <x v="9"/>
    <s v="reported"/>
    <n v="86.275281930000006"/>
    <n v="80"/>
    <n v="-6.275281927"/>
    <n v="488.69776469999999"/>
    <n v="446.84472970000002"/>
    <n v="530.41933440000003"/>
    <x v="110"/>
    <s v="Oct-2021"/>
  </r>
  <r>
    <x v="111"/>
    <s v="MDV"/>
    <x v="1"/>
    <x v="10"/>
    <x v="10"/>
    <s v="reported"/>
    <n v="89.087221670000005"/>
    <n v="146"/>
    <n v="56.912778330000002"/>
    <n v="545.61054309999997"/>
    <n v="500.93044420000001"/>
    <n v="588.73036960000002"/>
    <x v="110"/>
    <s v="Nov-2021"/>
  </r>
  <r>
    <x v="111"/>
    <s v="MDV"/>
    <x v="1"/>
    <x v="11"/>
    <x v="11"/>
    <s v="reported"/>
    <n v="92.654634139999999"/>
    <n v="181"/>
    <n v="88.345365860000001"/>
    <n v="633.95590890000005"/>
    <n v="588.29312340000001"/>
    <n v="678.65583509999999"/>
    <x v="110"/>
    <s v="Dec-2021"/>
  </r>
  <r>
    <x v="112"/>
    <s v="MEX"/>
    <x v="0"/>
    <x v="0"/>
    <x v="0"/>
    <s v="reported"/>
    <n v="70247.133319999994"/>
    <n v="72329"/>
    <n v="709.61667929999999"/>
    <n v="709.61667929999999"/>
    <n v="-1145.5333109999999"/>
    <n v="2621.7744600000001"/>
    <x v="111"/>
    <s v="Jan-2020"/>
  </r>
  <r>
    <x v="112"/>
    <s v="MEX"/>
    <x v="0"/>
    <x v="1"/>
    <x v="1"/>
    <s v="reported"/>
    <n v="64987.804929999998"/>
    <n v="62320"/>
    <n v="-4040.0549339999998"/>
    <n v="-3330.438255"/>
    <n v="-6233.5783009999996"/>
    <n v="-620.23983599999997"/>
    <x v="111"/>
    <s v="Feb-2020"/>
  </r>
  <r>
    <x v="112"/>
    <s v="MEX"/>
    <x v="0"/>
    <x v="2"/>
    <x v="2"/>
    <s v="reported"/>
    <n v="64659.670590000002"/>
    <n v="61368"/>
    <n v="-4663.9205860000002"/>
    <n v="-7994.3588410000002"/>
    <n v="-11642.78969"/>
    <n v="-4437.303363"/>
    <x v="111"/>
    <s v="Mar-2020"/>
  </r>
  <r>
    <x v="112"/>
    <s v="MEX"/>
    <x v="0"/>
    <x v="3"/>
    <x v="3"/>
    <s v="reported"/>
    <n v="60735.525009999998"/>
    <n v="67115"/>
    <n v="5007.2249860000002"/>
    <n v="-2987.133855"/>
    <n v="-6943.7219599999999"/>
    <n v="1047.5586820000001"/>
    <x v="111"/>
    <s v="Apr-2020"/>
  </r>
  <r>
    <x v="112"/>
    <s v="MEX"/>
    <x v="0"/>
    <x v="4"/>
    <x v="4"/>
    <s v="reported"/>
    <n v="61328.99267"/>
    <n v="98105"/>
    <n v="35403.75733"/>
    <n v="32416.623479999998"/>
    <n v="27757.580470000001"/>
    <n v="36949.103080000001"/>
    <x v="111"/>
    <s v="May-2020"/>
  </r>
  <r>
    <x v="112"/>
    <s v="MEX"/>
    <x v="0"/>
    <x v="5"/>
    <x v="5"/>
    <s v="reported"/>
    <n v="58671.141439999999"/>
    <n v="107148"/>
    <n v="47104.608560000001"/>
    <n v="79521.232040000003"/>
    <n v="74339.977150000006"/>
    <n v="84681.905459999994"/>
    <x v="111"/>
    <s v="Jun-2020"/>
  </r>
  <r>
    <x v="112"/>
    <s v="MEX"/>
    <x v="0"/>
    <x v="6"/>
    <x v="6"/>
    <s v="reported"/>
    <n v="60538.713230000001"/>
    <n v="116138"/>
    <n v="54227.036769999999"/>
    <n v="133748.26879999999"/>
    <n v="128385.008"/>
    <n v="139262.87090000001"/>
    <x v="111"/>
    <s v="Jul-2020"/>
  </r>
  <r>
    <x v="112"/>
    <s v="MEX"/>
    <x v="0"/>
    <x v="7"/>
    <x v="7"/>
    <s v="reported"/>
    <n v="60104.092040000003"/>
    <n v="100088"/>
    <n v="38611.657959999997"/>
    <n v="172359.92679999999"/>
    <n v="166316.4412"/>
    <n v="178559.4767"/>
    <x v="111"/>
    <s v="Aug-2020"/>
  </r>
  <r>
    <x v="112"/>
    <s v="MEX"/>
    <x v="0"/>
    <x v="8"/>
    <x v="8"/>
    <s v="reported"/>
    <n v="59026.834949999997"/>
    <n v="83267"/>
    <n v="22867.91505"/>
    <n v="195227.84179999999"/>
    <n v="188989.01459999999"/>
    <n v="201632.1905"/>
    <x v="111"/>
    <s v="Sep-2020"/>
  </r>
  <r>
    <x v="112"/>
    <s v="MEX"/>
    <x v="0"/>
    <x v="9"/>
    <x v="9"/>
    <s v="reported"/>
    <n v="61620.346290000001"/>
    <n v="86374"/>
    <n v="23381.403709999999"/>
    <n v="218609.24549999999"/>
    <n v="211766.2757"/>
    <n v="225535.22880000001"/>
    <x v="111"/>
    <s v="Oct-2020"/>
  </r>
  <r>
    <x v="112"/>
    <s v="MEX"/>
    <x v="0"/>
    <x v="10"/>
    <x v="10"/>
    <s v="reported"/>
    <n v="63632.643109999997"/>
    <n v="95508"/>
    <n v="30503.106889999999"/>
    <n v="249112.3524"/>
    <n v="241943.7323"/>
    <n v="256550.82819999999"/>
    <x v="111"/>
    <s v="Nov-2020"/>
  </r>
  <r>
    <x v="112"/>
    <s v="MEX"/>
    <x v="0"/>
    <x v="11"/>
    <x v="11"/>
    <s v="reported"/>
    <n v="72069.071160000007"/>
    <n v="121483"/>
    <n v="48041.67884"/>
    <n v="297154.03129999997"/>
    <n v="289565.5735"/>
    <n v="305289.37520000001"/>
    <x v="111"/>
    <s v="Dec-2020"/>
  </r>
  <r>
    <x v="112"/>
    <s v="MEX"/>
    <x v="1"/>
    <x v="0"/>
    <x v="0"/>
    <s v="reported"/>
    <n v="72209.253519999998"/>
    <n v="177091"/>
    <n v="104176.49649999999"/>
    <n v="401330.52769999998"/>
    <n v="393777.63589999999"/>
    <n v="409473.17820000002"/>
    <x v="111"/>
    <s v="Jan-2021"/>
  </r>
  <r>
    <x v="112"/>
    <s v="MEX"/>
    <x v="1"/>
    <x v="1"/>
    <x v="1"/>
    <s v="reported"/>
    <n v="66735.642770000006"/>
    <n v="109601"/>
    <n v="42160.107230000001"/>
    <n v="443490.63500000001"/>
    <n v="435180.69319999998"/>
    <n v="452496.8173"/>
    <x v="111"/>
    <s v="Feb-2021"/>
  </r>
  <r>
    <x v="112"/>
    <s v="MEX"/>
    <x v="1"/>
    <x v="2"/>
    <x v="2"/>
    <s v="reported"/>
    <n v="66524.577690000006"/>
    <n v="85605"/>
    <n v="18375.172310000002"/>
    <n v="461865.80729999999"/>
    <n v="452861.15330000001"/>
    <n v="471312.33299999998"/>
    <x v="111"/>
    <s v="Mar-2021"/>
  </r>
  <r>
    <x v="112"/>
    <s v="MEX"/>
    <x v="1"/>
    <x v="3"/>
    <x v="3"/>
    <s v="reported"/>
    <n v="62372.379580000001"/>
    <n v="72722"/>
    <n v="9644.3704180000004"/>
    <n v="471510.1777"/>
    <n v="462333.96399999998"/>
    <n v="480546.5147"/>
    <x v="111"/>
    <s v="Apr-2021"/>
  </r>
  <r>
    <x v="112"/>
    <s v="MEX"/>
    <x v="1"/>
    <x v="4"/>
    <x v="4"/>
    <s v="reported"/>
    <n v="62930.685210000003"/>
    <n v="66793"/>
    <n v="3157.0647880000001"/>
    <n v="474667.24249999999"/>
    <n v="464740.49400000001"/>
    <n v="483957.25109999999"/>
    <x v="111"/>
    <s v="May-2021"/>
  </r>
  <r>
    <x v="112"/>
    <s v="MEX"/>
    <x v="1"/>
    <x v="5"/>
    <x v="5"/>
    <s v="reported"/>
    <n v="60391.329169999997"/>
    <n v="63187"/>
    <n v="2090.42083"/>
    <n v="476757.66330000001"/>
    <n v="467299.99959999998"/>
    <n v="486445.27730000002"/>
    <x v="111"/>
    <s v="Jun-2021"/>
  </r>
  <r>
    <x v="112"/>
    <s v="MEX"/>
    <x v="1"/>
    <x v="6"/>
    <x v="6"/>
    <s v="reported"/>
    <n v="62155.884839999999"/>
    <n v="79599"/>
    <n v="16737.865160000001"/>
    <n v="493495.52850000001"/>
    <n v="483537.84659999999"/>
    <n v="503124.84659999999"/>
    <x v="111"/>
    <s v="Jul-2021"/>
  </r>
  <r>
    <x v="112"/>
    <s v="MEX"/>
    <x v="1"/>
    <x v="7"/>
    <x v="7"/>
    <s v="reported"/>
    <n v="61858.395380000002"/>
    <n v="118559"/>
    <n v="55995.354619999998"/>
    <n v="549490.88309999998"/>
    <n v="539161.24080000003"/>
    <n v="559595.37679999997"/>
    <x v="111"/>
    <s v="Aug-2021"/>
  </r>
  <r>
    <x v="112"/>
    <s v="MEX"/>
    <x v="1"/>
    <x v="8"/>
    <x v="8"/>
    <s v="reported"/>
    <n v="60608.631439999997"/>
    <n v="102972"/>
    <n v="41658.118560000003"/>
    <n v="591149.00170000002"/>
    <n v="580886.35979999998"/>
    <n v="601342.50430000003"/>
    <x v="111"/>
    <s v="Sep-2021"/>
  </r>
  <r>
    <x v="112"/>
    <s v="MEX"/>
    <x v="1"/>
    <x v="9"/>
    <x v="9"/>
    <s v="reported"/>
    <n v="63272.183830000002"/>
    <n v="80556"/>
    <n v="16578.566169999998"/>
    <n v="607727.56779999996"/>
    <n v="596536.60470000003"/>
    <n v="618114.01679999998"/>
    <x v="111"/>
    <s v="Oct-2021"/>
  </r>
  <r>
    <x v="112"/>
    <s v="MEX"/>
    <x v="1"/>
    <x v="10"/>
    <x v="10"/>
    <s v="reported"/>
    <n v="65429.631300000001"/>
    <n v="70992"/>
    <n v="4857.1186980000002"/>
    <n v="612584.68649999995"/>
    <n v="600868.64659999998"/>
    <n v="623631.71169999999"/>
    <x v="111"/>
    <s v="Nov-2021"/>
  </r>
  <r>
    <x v="112"/>
    <s v="MEX"/>
    <x v="1"/>
    <x v="11"/>
    <x v="11"/>
    <s v="reported"/>
    <n v="73955.358179999996"/>
    <n v="74446"/>
    <n v="-214.6081782"/>
    <n v="612370.07830000005"/>
    <n v="600708.62679999997"/>
    <n v="623852.06550000003"/>
    <x v="111"/>
    <s v="Dec-2021"/>
  </r>
  <r>
    <x v="113"/>
    <s v="MHL"/>
    <x v="0"/>
    <x v="0"/>
    <x v="0"/>
    <s v="predicted"/>
    <n v="27.15379587"/>
    <n v="26.478000000000002"/>
    <n v="-0.67579586700000005"/>
    <n v="-0.67579586700000005"/>
    <n v="-12.55871499"/>
    <n v="12.85568336"/>
    <x v="112"/>
    <s v="Jan-2020"/>
  </r>
  <r>
    <x v="113"/>
    <s v="MHL"/>
    <x v="0"/>
    <x v="1"/>
    <x v="1"/>
    <s v="predicted"/>
    <n v="27.244930950000001"/>
    <n v="27.234999999999999"/>
    <n v="-9.930955E-3"/>
    <n v="-0.68572682200000001"/>
    <n v="-18.39683591"/>
    <n v="17.527474560000002"/>
    <x v="112"/>
    <s v="Feb-2020"/>
  </r>
  <r>
    <x v="113"/>
    <s v="MHL"/>
    <x v="0"/>
    <x v="2"/>
    <x v="2"/>
    <s v="predicted"/>
    <n v="27.235286779999999"/>
    <n v="27.402999999999999"/>
    <n v="0.16771322399999999"/>
    <n v="-0.51801359800000002"/>
    <n v="-23.83146253"/>
    <n v="22.133544709999999"/>
    <x v="112"/>
    <s v="Mar-2020"/>
  </r>
  <r>
    <x v="113"/>
    <s v="MHL"/>
    <x v="0"/>
    <x v="3"/>
    <x v="3"/>
    <s v="predicted"/>
    <n v="27.294638150000001"/>
    <n v="28.946999999999999"/>
    <n v="1.6523618449999999"/>
    <n v="1.1343482469999999"/>
    <n v="-24.395663620000001"/>
    <n v="29.951102930000001"/>
    <x v="112"/>
    <s v="Apr-2020"/>
  </r>
  <r>
    <x v="113"/>
    <s v="MHL"/>
    <x v="0"/>
    <x v="4"/>
    <x v="4"/>
    <s v="predicted"/>
    <n v="27.176476310000002"/>
    <n v="30.178999999999998"/>
    <n v="3.0025236909999999"/>
    <n v="4.1368719379999996"/>
    <n v="-26.915190559999999"/>
    <n v="37.480638849999998"/>
    <x v="112"/>
    <s v="May-2020"/>
  </r>
  <r>
    <x v="113"/>
    <s v="MHL"/>
    <x v="0"/>
    <x v="5"/>
    <x v="5"/>
    <s v="predicted"/>
    <n v="27.207997729999999"/>
    <n v="30.151"/>
    <n v="2.9430022679999999"/>
    <n v="7.0798742060000004"/>
    <n v="-27.283345740000001"/>
    <n v="44.692697750000001"/>
    <x v="112"/>
    <s v="Jun-2020"/>
  </r>
  <r>
    <x v="113"/>
    <s v="MHL"/>
    <x v="0"/>
    <x v="6"/>
    <x v="6"/>
    <s v="predicted"/>
    <n v="27.194247709999999"/>
    <n v="29.904"/>
    <n v="2.7097522870000001"/>
    <n v="9.7896264930000001"/>
    <n v="-26.069854150000001"/>
    <n v="47.716707120000002"/>
    <x v="112"/>
    <s v="Jul-2020"/>
  </r>
  <r>
    <x v="113"/>
    <s v="MHL"/>
    <x v="0"/>
    <x v="7"/>
    <x v="7"/>
    <s v="predicted"/>
    <n v="27.203711739999999"/>
    <n v="29.420999999999999"/>
    <n v="2.2172882559999998"/>
    <n v="12.00691475"/>
    <n v="-24.64614482"/>
    <n v="52.816830369999998"/>
    <x v="112"/>
    <s v="Aug-2020"/>
  </r>
  <r>
    <x v="113"/>
    <s v="MHL"/>
    <x v="0"/>
    <x v="8"/>
    <x v="8"/>
    <s v="predicted"/>
    <n v="27.157428599999999"/>
    <n v="29.545000000000002"/>
    <n v="2.3875713969999999"/>
    <n v="14.394486150000001"/>
    <n v="-26.04810105"/>
    <n v="57.113712499999998"/>
    <x v="112"/>
    <s v="Sep-2020"/>
  </r>
  <r>
    <x v="113"/>
    <s v="MHL"/>
    <x v="0"/>
    <x v="9"/>
    <x v="9"/>
    <s v="predicted"/>
    <n v="27.300400029999999"/>
    <n v="29.178999999999998"/>
    <n v="1.87859997"/>
    <n v="16.273086119999999"/>
    <n v="-25.42267623"/>
    <n v="61.239357030000001"/>
    <x v="112"/>
    <s v="Oct-2020"/>
  </r>
  <r>
    <x v="113"/>
    <s v="MHL"/>
    <x v="0"/>
    <x v="10"/>
    <x v="10"/>
    <s v="predicted"/>
    <n v="27.29288991"/>
    <n v="29.03"/>
    <n v="1.7371100909999999"/>
    <n v="18.01019621"/>
    <n v="-24.063405459999998"/>
    <n v="64.243962429999996"/>
    <x v="112"/>
    <s v="Nov-2020"/>
  </r>
  <r>
    <x v="113"/>
    <s v="MHL"/>
    <x v="0"/>
    <x v="11"/>
    <x v="11"/>
    <s v="predicted"/>
    <n v="27.22239901"/>
    <n v="29.216000000000001"/>
    <n v="1.9936009859999999"/>
    <n v="20.00379719"/>
    <n v="-26.56662206"/>
    <n v="71.15852434"/>
    <x v="112"/>
    <s v="Dec-2020"/>
  </r>
  <r>
    <x v="113"/>
    <s v="MHL"/>
    <x v="1"/>
    <x v="0"/>
    <x v="0"/>
    <s v="predicted"/>
    <n v="26.745076820000001"/>
    <n v="27.449000000000002"/>
    <n v="0.70392318300000001"/>
    <n v="20.707720380000001"/>
    <n v="-29.445287310000001"/>
    <n v="72.668088729999994"/>
    <x v="112"/>
    <s v="Jan-2021"/>
  </r>
  <r>
    <x v="113"/>
    <s v="MHL"/>
    <x v="1"/>
    <x v="1"/>
    <x v="1"/>
    <s v="predicted"/>
    <n v="26.814868180000001"/>
    <n v="27.225999999999999"/>
    <n v="0.41113182399999998"/>
    <n v="21.118852199999999"/>
    <n v="-31.647017030000001"/>
    <n v="73.609161169999993"/>
    <x v="112"/>
    <s v="Feb-2021"/>
  </r>
  <r>
    <x v="113"/>
    <s v="MHL"/>
    <x v="1"/>
    <x v="2"/>
    <x v="2"/>
    <s v="predicted"/>
    <n v="26.724308919999999"/>
    <n v="27.004999999999999"/>
    <n v="0.28069108500000001"/>
    <n v="21.39954329"/>
    <n v="-32.262773230000001"/>
    <n v="76.40677977"/>
    <x v="112"/>
    <s v="Mar-2021"/>
  </r>
  <r>
    <x v="113"/>
    <s v="MHL"/>
    <x v="1"/>
    <x v="3"/>
    <x v="3"/>
    <s v="predicted"/>
    <n v="26.734967919999999"/>
    <n v="27.027000000000001"/>
    <n v="0.292032081"/>
    <n v="21.691575369999999"/>
    <n v="-33.462995190000001"/>
    <n v="76.954606060000003"/>
    <x v="112"/>
    <s v="Apr-2021"/>
  </r>
  <r>
    <x v="113"/>
    <s v="MHL"/>
    <x v="1"/>
    <x v="4"/>
    <x v="4"/>
    <s v="predicted"/>
    <n v="26.773459800000001"/>
    <n v="27.399000000000001"/>
    <n v="0.62554020300000002"/>
    <n v="22.317115569999999"/>
    <n v="-32.203042269999997"/>
    <n v="81.049908049999999"/>
    <x v="112"/>
    <s v="May-2021"/>
  </r>
  <r>
    <x v="113"/>
    <s v="MHL"/>
    <x v="1"/>
    <x v="5"/>
    <x v="5"/>
    <s v="predicted"/>
    <n v="26.74642347"/>
    <n v="28.349"/>
    <n v="1.6025765300000001"/>
    <n v="23.919692099999999"/>
    <n v="-32.659873529999999"/>
    <n v="86.185941299999996"/>
    <x v="112"/>
    <s v="Jun-2021"/>
  </r>
  <r>
    <x v="113"/>
    <s v="MHL"/>
    <x v="1"/>
    <x v="6"/>
    <x v="6"/>
    <s v="predicted"/>
    <n v="26.761659510000001"/>
    <n v="29.596"/>
    <n v="2.8343404890000001"/>
    <n v="26.754032590000001"/>
    <n v="-29.25975262"/>
    <n v="91.8788275"/>
    <x v="112"/>
    <s v="Jul-2021"/>
  </r>
  <r>
    <x v="113"/>
    <s v="MHL"/>
    <x v="1"/>
    <x v="7"/>
    <x v="7"/>
    <s v="predicted"/>
    <n v="26.754307170000001"/>
    <n v="29.640999999999998"/>
    <n v="2.8866928280000002"/>
    <n v="29.640725419999999"/>
    <n v="-27.078875979999999"/>
    <n v="94.812705050000005"/>
    <x v="112"/>
    <s v="Aug-2021"/>
  </r>
  <r>
    <x v="113"/>
    <s v="MHL"/>
    <x v="1"/>
    <x v="8"/>
    <x v="8"/>
    <s v="predicted"/>
    <n v="26.70272082"/>
    <n v="30.067"/>
    <n v="3.3642791829999998"/>
    <n v="33.005004599999999"/>
    <n v="-25.81518865"/>
    <n v="100.1212592"/>
    <x v="112"/>
    <s v="Sep-2021"/>
  </r>
  <r>
    <x v="113"/>
    <s v="MHL"/>
    <x v="1"/>
    <x v="9"/>
    <x v="9"/>
    <s v="predicted"/>
    <n v="26.868777829999999"/>
    <n v="30.306999999999999"/>
    <n v="3.4382221660000001"/>
    <n v="36.443226770000003"/>
    <n v="-25.44676127"/>
    <n v="105.2770951"/>
    <x v="112"/>
    <s v="Oct-2021"/>
  </r>
  <r>
    <x v="113"/>
    <s v="MHL"/>
    <x v="1"/>
    <x v="10"/>
    <x v="10"/>
    <s v="predicted"/>
    <n v="26.806314149999999"/>
    <n v="31.538"/>
    <n v="4.7316858469999996"/>
    <n v="41.17491261"/>
    <n v="-24.305525320000001"/>
    <n v="109.7608328"/>
    <x v="112"/>
    <s v="Nov-2021"/>
  </r>
  <r>
    <x v="113"/>
    <s v="MHL"/>
    <x v="1"/>
    <x v="11"/>
    <x v="11"/>
    <s v="predicted"/>
    <n v="26.820675949999998"/>
    <n v="31.954999999999998"/>
    <n v="5.1343240489999999"/>
    <n v="46.309236660000003"/>
    <n v="-20.65889288"/>
    <n v="117.7024452"/>
    <x v="112"/>
    <s v="Dec-2021"/>
  </r>
  <r>
    <x v="114"/>
    <s v="MKD"/>
    <x v="0"/>
    <x v="0"/>
    <x v="0"/>
    <s v="reported"/>
    <n v="2200.788348"/>
    <n v="2120"/>
    <n v="-80.788348490000004"/>
    <n v="-80.788348490000004"/>
    <n v="-196.32255119999999"/>
    <n v="31.47351007"/>
    <x v="113"/>
    <s v="Jan-2020"/>
  </r>
  <r>
    <x v="114"/>
    <s v="MKD"/>
    <x v="0"/>
    <x v="1"/>
    <x v="1"/>
    <s v="reported"/>
    <n v="2167.518419"/>
    <n v="1976"/>
    <n v="-191.51841899999999"/>
    <n v="-272.30676749999998"/>
    <n v="-445.46045500000002"/>
    <n v="-107.879741"/>
    <x v="113"/>
    <s v="Feb-2020"/>
  </r>
  <r>
    <x v="114"/>
    <s v="MKD"/>
    <x v="0"/>
    <x v="2"/>
    <x v="2"/>
    <s v="reported"/>
    <n v="2072.2522370000002"/>
    <n v="2001"/>
    <n v="-71.252237100000002"/>
    <n v="-343.55900459999998"/>
    <n v="-554.09677950000003"/>
    <n v="-133.4349885"/>
    <x v="113"/>
    <s v="Mar-2020"/>
  </r>
  <r>
    <x v="114"/>
    <s v="MKD"/>
    <x v="0"/>
    <x v="3"/>
    <x v="3"/>
    <s v="reported"/>
    <n v="1957.0726179999999"/>
    <n v="2095"/>
    <n v="137.92738170000001"/>
    <n v="-205.6316229"/>
    <n v="-459.29788819999999"/>
    <n v="43.813484520000003"/>
    <x v="113"/>
    <s v="Apr-2020"/>
  </r>
  <r>
    <x v="114"/>
    <s v="MKD"/>
    <x v="0"/>
    <x v="4"/>
    <x v="4"/>
    <s v="reported"/>
    <n v="1884.8717349999999"/>
    <n v="1981"/>
    <n v="96.128264580000007"/>
    <n v="-109.5033583"/>
    <n v="-392.56507470000003"/>
    <n v="166.17659330000001"/>
    <x v="113"/>
    <s v="May-2020"/>
  </r>
  <r>
    <x v="114"/>
    <s v="MKD"/>
    <x v="0"/>
    <x v="5"/>
    <x v="5"/>
    <s v="reported"/>
    <n v="1838.087293"/>
    <n v="2315"/>
    <n v="476.91270739999999"/>
    <n v="367.40934909999999"/>
    <n v="66.338976970000004"/>
    <n v="656.62792760000002"/>
    <x v="113"/>
    <s v="Jun-2020"/>
  </r>
  <r>
    <x v="114"/>
    <s v="MKD"/>
    <x v="0"/>
    <x v="6"/>
    <x v="6"/>
    <s v="reported"/>
    <n v="1827.3776760000001"/>
    <n v="2275"/>
    <n v="447.62232360000002"/>
    <n v="815.03167269999994"/>
    <n v="466.42828359999999"/>
    <n v="1125.371269"/>
    <x v="113"/>
    <s v="Jul-2020"/>
  </r>
  <r>
    <x v="114"/>
    <s v="MKD"/>
    <x v="0"/>
    <x v="7"/>
    <x v="7"/>
    <s v="reported"/>
    <n v="1821.504711"/>
    <n v="2206"/>
    <n v="384.49528880000003"/>
    <n v="1199.5269619999999"/>
    <n v="844.14143039999999"/>
    <n v="1522.952215"/>
    <x v="113"/>
    <s v="Aug-2020"/>
  </r>
  <r>
    <x v="114"/>
    <s v="MKD"/>
    <x v="0"/>
    <x v="8"/>
    <x v="8"/>
    <s v="reported"/>
    <n v="1843.3380420000001"/>
    <n v="2110"/>
    <n v="266.6619584"/>
    <n v="1466.1889200000001"/>
    <n v="1106.130322"/>
    <n v="1808.120279"/>
    <x v="113"/>
    <s v="Sep-2020"/>
  </r>
  <r>
    <x v="114"/>
    <s v="MKD"/>
    <x v="0"/>
    <x v="9"/>
    <x v="9"/>
    <s v="reported"/>
    <n v="1943.359774"/>
    <n v="2764"/>
    <n v="820.64022609999995"/>
    <n v="2286.829146"/>
    <n v="1914.294574"/>
    <n v="2634.4014400000001"/>
    <x v="113"/>
    <s v="Oct-2020"/>
  </r>
  <r>
    <x v="114"/>
    <s v="MKD"/>
    <x v="0"/>
    <x v="10"/>
    <x v="10"/>
    <s v="reported"/>
    <n v="2067.6980309999999"/>
    <n v="4599"/>
    <n v="2531.3019690000001"/>
    <n v="4818.1311150000001"/>
    <n v="4424.1890489999996"/>
    <n v="5190.7611790000001"/>
    <x v="113"/>
    <s v="Nov-2020"/>
  </r>
  <r>
    <x v="114"/>
    <s v="MKD"/>
    <x v="0"/>
    <x v="11"/>
    <x v="11"/>
    <s v="reported"/>
    <n v="2184.635104"/>
    <n v="3929"/>
    <n v="1744.364896"/>
    <n v="6562.4960110000002"/>
    <n v="6156.6943389999997"/>
    <n v="6967.7898590000004"/>
    <x v="113"/>
    <s v="Dec-2020"/>
  </r>
  <r>
    <x v="114"/>
    <s v="MKD"/>
    <x v="1"/>
    <x v="0"/>
    <x v="0"/>
    <s v="reported"/>
    <n v="2186.460474"/>
    <n v="2954"/>
    <n v="766.04508980000003"/>
    <n v="7328.5411009999998"/>
    <n v="6885.5342389999996"/>
    <n v="7738.6242949999996"/>
    <x v="113"/>
    <s v="Jan-2021"/>
  </r>
  <r>
    <x v="114"/>
    <s v="MKD"/>
    <x v="1"/>
    <x v="1"/>
    <x v="1"/>
    <s v="reported"/>
    <n v="2157.0312050000002"/>
    <n v="2412"/>
    <n v="253.4743584"/>
    <n v="7582.0154599999996"/>
    <n v="7104.779552"/>
    <n v="8012.2749039999999"/>
    <x v="113"/>
    <s v="Feb-2021"/>
  </r>
  <r>
    <x v="114"/>
    <s v="MKD"/>
    <x v="1"/>
    <x v="2"/>
    <x v="2"/>
    <s v="reported"/>
    <n v="2061.7617110000001"/>
    <n v="3296"/>
    <n v="1232.7438529999999"/>
    <n v="8814.7593120000001"/>
    <n v="8330.0944799999997"/>
    <n v="9292.8483629999992"/>
    <x v="113"/>
    <s v="Mar-2021"/>
  </r>
  <r>
    <x v="114"/>
    <s v="MKD"/>
    <x v="1"/>
    <x v="3"/>
    <x v="3"/>
    <s v="reported"/>
    <n v="1950.5642519999999"/>
    <n v="3840"/>
    <n v="1887.9413119999999"/>
    <n v="10702.70062"/>
    <n v="10189.901470000001"/>
    <n v="11203.218929999999"/>
    <x v="113"/>
    <s v="Apr-2021"/>
  </r>
  <r>
    <x v="114"/>
    <s v="MKD"/>
    <x v="1"/>
    <x v="4"/>
    <x v="4"/>
    <s v="reported"/>
    <n v="1872.3267149999999"/>
    <n v="2589"/>
    <n v="715.1788487"/>
    <n v="11417.87947"/>
    <n v="10871.883669999999"/>
    <n v="11941.842769999999"/>
    <x v="113"/>
    <s v="May-2021"/>
  </r>
  <r>
    <x v="114"/>
    <s v="MKD"/>
    <x v="1"/>
    <x v="5"/>
    <x v="5"/>
    <s v="reported"/>
    <n v="1822.1564370000001"/>
    <n v="2117"/>
    <n v="293.34912689999999"/>
    <n v="11711.2286"/>
    <n v="11167.87386"/>
    <n v="12266.237279999999"/>
    <x v="113"/>
    <s v="Jun-2021"/>
  </r>
  <r>
    <x v="114"/>
    <s v="MKD"/>
    <x v="1"/>
    <x v="6"/>
    <x v="6"/>
    <s v="reported"/>
    <n v="1821.458615"/>
    <n v="2061"/>
    <n v="238.04694850000001"/>
    <n v="11949.27555"/>
    <n v="11397.83916"/>
    <n v="12520.81776"/>
    <x v="113"/>
    <s v="Jul-2021"/>
  </r>
  <r>
    <x v="114"/>
    <s v="MKD"/>
    <x v="1"/>
    <x v="7"/>
    <x v="7"/>
    <s v="reported"/>
    <n v="1810.25971"/>
    <n v="3315"/>
    <n v="1503.2458529999999"/>
    <n v="13452.5214"/>
    <n v="12878.41301"/>
    <n v="14030.64853"/>
    <x v="113"/>
    <s v="Aug-2021"/>
  </r>
  <r>
    <x v="114"/>
    <s v="MKD"/>
    <x v="1"/>
    <x v="8"/>
    <x v="8"/>
    <s v="reported"/>
    <n v="1830.160881"/>
    <n v="3271"/>
    <n v="1439.3446819999999"/>
    <n v="14891.86608"/>
    <n v="14303.929179999999"/>
    <n v="15471.19803"/>
    <x v="113"/>
    <s v="Sep-2021"/>
  </r>
  <r>
    <x v="114"/>
    <s v="MKD"/>
    <x v="1"/>
    <x v="9"/>
    <x v="9"/>
    <s v="reported"/>
    <n v="1930.9713979999999"/>
    <n v="2762"/>
    <n v="829.53416519999996"/>
    <n v="15721.400250000001"/>
    <n v="15120.186299999999"/>
    <n v="16322.4107"/>
    <x v="113"/>
    <s v="Oct-2021"/>
  </r>
  <r>
    <x v="114"/>
    <s v="MKD"/>
    <x v="1"/>
    <x v="10"/>
    <x v="10"/>
    <s v="reported"/>
    <n v="2054.7246110000001"/>
    <n v="2673"/>
    <n v="616.78095210000004"/>
    <n v="16338.181200000001"/>
    <n v="15716.42562"/>
    <n v="16967.510910000001"/>
    <x v="113"/>
    <s v="Nov-2021"/>
  </r>
  <r>
    <x v="114"/>
    <s v="MKD"/>
    <x v="1"/>
    <x v="11"/>
    <x v="11"/>
    <s v="reported"/>
    <n v="2175.8516359999999"/>
    <n v="2798"/>
    <n v="620.65392750000001"/>
    <n v="16958.835129999999"/>
    <n v="16319.84528"/>
    <n v="17635.067910000002"/>
    <x v="113"/>
    <s v="Dec-2021"/>
  </r>
  <r>
    <x v="115"/>
    <s v="MLI"/>
    <x v="0"/>
    <x v="0"/>
    <x v="0"/>
    <s v="predicted"/>
    <n v="13443.4935"/>
    <n v="14030.162"/>
    <n v="586.66850260000001"/>
    <n v="586.66850260000001"/>
    <n v="-2769.442278"/>
    <n v="4688.9171489999999"/>
    <x v="114"/>
    <s v="Jan-2020"/>
  </r>
  <r>
    <x v="115"/>
    <s v="MLI"/>
    <x v="0"/>
    <x v="1"/>
    <x v="1"/>
    <s v="predicted"/>
    <n v="13181.06842"/>
    <n v="13374.344999999999"/>
    <n v="193.27657619999999"/>
    <n v="779.94507880000003"/>
    <n v="-4255.8893470000003"/>
    <n v="6309.3664630000003"/>
    <x v="114"/>
    <s v="Feb-2020"/>
  </r>
  <r>
    <x v="115"/>
    <s v="MLI"/>
    <x v="0"/>
    <x v="2"/>
    <x v="2"/>
    <s v="predicted"/>
    <n v="12867.444450000001"/>
    <n v="13149.379000000001"/>
    <n v="281.93454989999998"/>
    <n v="1061.879629"/>
    <n v="-4930.8272909999996"/>
    <n v="7600.3526670000001"/>
    <x v="114"/>
    <s v="Mar-2020"/>
  </r>
  <r>
    <x v="115"/>
    <s v="MLI"/>
    <x v="0"/>
    <x v="3"/>
    <x v="3"/>
    <s v="predicted"/>
    <n v="12625.683279999999"/>
    <n v="12149.816999999999"/>
    <n v="-475.86628180000002"/>
    <n v="586.01334689999999"/>
    <n v="-6470.1566430000003"/>
    <n v="8560.9056450000007"/>
    <x v="114"/>
    <s v="Apr-2020"/>
  </r>
  <r>
    <x v="115"/>
    <s v="MLI"/>
    <x v="0"/>
    <x v="4"/>
    <x v="4"/>
    <s v="predicted"/>
    <n v="12446.90857"/>
    <n v="13277.891"/>
    <n v="830.98243390000005"/>
    <n v="1416.9957810000001"/>
    <n v="-6950.2918950000003"/>
    <n v="10079.52176"/>
    <x v="114"/>
    <s v="May-2020"/>
  </r>
  <r>
    <x v="115"/>
    <s v="MLI"/>
    <x v="0"/>
    <x v="5"/>
    <x v="5"/>
    <s v="predicted"/>
    <n v="12447.066769999999"/>
    <n v="13920.934999999999"/>
    <n v="1473.8682249999999"/>
    <n v="2890.8640059999998"/>
    <n v="-5764.920271"/>
    <n v="12313.79581"/>
    <x v="114"/>
    <s v="Jun-2020"/>
  </r>
  <r>
    <x v="115"/>
    <s v="MLI"/>
    <x v="0"/>
    <x v="6"/>
    <x v="6"/>
    <s v="predicted"/>
    <n v="12593.418960000001"/>
    <n v="13635.759"/>
    <n v="1042.3400449999999"/>
    <n v="3933.2040510000002"/>
    <n v="-5545.7585170000002"/>
    <n v="14325.95385"/>
    <x v="114"/>
    <s v="Jul-2020"/>
  </r>
  <r>
    <x v="115"/>
    <s v="MLI"/>
    <x v="0"/>
    <x v="7"/>
    <x v="7"/>
    <s v="predicted"/>
    <n v="12717.24488"/>
    <n v="13251.356"/>
    <n v="534.11112030000004"/>
    <n v="4467.3151710000002"/>
    <n v="-5944.4981200000002"/>
    <n v="15261.176750000001"/>
    <x v="114"/>
    <s v="Aug-2020"/>
  </r>
  <r>
    <x v="115"/>
    <s v="MLI"/>
    <x v="0"/>
    <x v="8"/>
    <x v="8"/>
    <s v="predicted"/>
    <n v="12725.75259"/>
    <n v="13059.450999999999"/>
    <n v="333.69840520000002"/>
    <n v="4801.0135760000003"/>
    <n v="-6482.330704"/>
    <n v="16692.19688"/>
    <x v="114"/>
    <s v="Sep-2020"/>
  </r>
  <r>
    <x v="115"/>
    <s v="MLI"/>
    <x v="0"/>
    <x v="9"/>
    <x v="9"/>
    <s v="predicted"/>
    <n v="12805.45595"/>
    <n v="12610.107"/>
    <n v="-195.34895059999999"/>
    <n v="4605.6646250000003"/>
    <n v="-6756.4370449999997"/>
    <n v="16709.454969999999"/>
    <x v="114"/>
    <s v="Oct-2020"/>
  </r>
  <r>
    <x v="115"/>
    <s v="MLI"/>
    <x v="0"/>
    <x v="10"/>
    <x v="10"/>
    <s v="predicted"/>
    <n v="13116.89853"/>
    <n v="13165.538"/>
    <n v="48.639466540000001"/>
    <n v="4654.3040920000003"/>
    <n v="-7506.2164430000003"/>
    <n v="17192.538430000001"/>
    <x v="114"/>
    <s v="Nov-2020"/>
  </r>
  <r>
    <x v="115"/>
    <s v="MLI"/>
    <x v="0"/>
    <x v="11"/>
    <x v="11"/>
    <s v="predicted"/>
    <n v="13271.869360000001"/>
    <n v="14019.632"/>
    <n v="747.76264079999999"/>
    <n v="5402.0667329999997"/>
    <n v="-7192.8976830000001"/>
    <n v="18890.705880000001"/>
    <x v="114"/>
    <s v="Dec-2020"/>
  </r>
  <r>
    <x v="115"/>
    <s v="MLI"/>
    <x v="1"/>
    <x v="0"/>
    <x v="0"/>
    <s v="predicted"/>
    <n v="13409.578750000001"/>
    <n v="14097.03"/>
    <n v="687.45124659999999"/>
    <n v="6089.5179790000002"/>
    <n v="-7384.0025580000001"/>
    <n v="20186.260180000001"/>
    <x v="114"/>
    <s v="Jan-2021"/>
  </r>
  <r>
    <x v="115"/>
    <s v="MLI"/>
    <x v="1"/>
    <x v="1"/>
    <x v="1"/>
    <s v="predicted"/>
    <n v="13148.166649999999"/>
    <n v="13756.314"/>
    <n v="608.14734829999998"/>
    <n v="6697.665328"/>
    <n v="-6902.5165859999997"/>
    <n v="21544.271949999998"/>
    <x v="114"/>
    <s v="Feb-2021"/>
  </r>
  <r>
    <x v="115"/>
    <s v="MLI"/>
    <x v="1"/>
    <x v="2"/>
    <x v="2"/>
    <s v="predicted"/>
    <n v="12835.94191"/>
    <n v="13765.1"/>
    <n v="929.15809249999995"/>
    <n v="7626.8234199999997"/>
    <n v="-7262.5097699999997"/>
    <n v="22747.03629"/>
    <x v="114"/>
    <s v="Mar-2021"/>
  </r>
  <r>
    <x v="115"/>
    <s v="MLI"/>
    <x v="1"/>
    <x v="3"/>
    <x v="3"/>
    <s v="predicted"/>
    <n v="12593.28312"/>
    <n v="13561.53"/>
    <n v="968.24687530000006"/>
    <n v="8595.0702959999999"/>
    <n v="-6700.6482900000001"/>
    <n v="24249.609079999998"/>
    <x v="114"/>
    <s v="Apr-2021"/>
  </r>
  <r>
    <x v="115"/>
    <s v="MLI"/>
    <x v="1"/>
    <x v="4"/>
    <x v="4"/>
    <s v="predicted"/>
    <n v="12415.33743"/>
    <n v="13053.565000000001"/>
    <n v="638.22757369999999"/>
    <n v="9233.297869"/>
    <n v="-6758.168087"/>
    <n v="24689.655030000002"/>
    <x v="114"/>
    <s v="May-2021"/>
  </r>
  <r>
    <x v="115"/>
    <s v="MLI"/>
    <x v="1"/>
    <x v="5"/>
    <x v="5"/>
    <s v="predicted"/>
    <n v="12416.464459999999"/>
    <n v="13072.683000000001"/>
    <n v="656.21853920000001"/>
    <n v="9889.5164089999998"/>
    <n v="-6549.5240990000002"/>
    <n v="26173.267029999999"/>
    <x v="114"/>
    <s v="Jun-2021"/>
  </r>
  <r>
    <x v="115"/>
    <s v="MLI"/>
    <x v="1"/>
    <x v="6"/>
    <x v="6"/>
    <s v="predicted"/>
    <n v="12561.555700000001"/>
    <n v="13429.359"/>
    <n v="867.80330130000004"/>
    <n v="10757.31971"/>
    <n v="-6468.5493919999999"/>
    <n v="27377.166880000001"/>
    <x v="114"/>
    <s v="Jul-2021"/>
  </r>
  <r>
    <x v="115"/>
    <s v="MLI"/>
    <x v="1"/>
    <x v="7"/>
    <x v="7"/>
    <s v="predicted"/>
    <n v="12686.40552"/>
    <n v="13211.805"/>
    <n v="525.3994841"/>
    <n v="11282.71919"/>
    <n v="-5988.2115590000003"/>
    <n v="27500.819769999998"/>
    <x v="114"/>
    <s v="Aug-2021"/>
  </r>
  <r>
    <x v="115"/>
    <s v="MLI"/>
    <x v="1"/>
    <x v="8"/>
    <x v="8"/>
    <s v="predicted"/>
    <n v="12695.34"/>
    <n v="12798.536"/>
    <n v="103.19599959999999"/>
    <n v="11385.91519"/>
    <n v="-6792.606812"/>
    <n v="28475.765179999999"/>
    <x v="114"/>
    <s v="Sep-2021"/>
  </r>
  <r>
    <x v="115"/>
    <s v="MLI"/>
    <x v="1"/>
    <x v="9"/>
    <x v="9"/>
    <s v="predicted"/>
    <n v="12773.348459999999"/>
    <n v="12658.505999999999"/>
    <n v="-114.84246330000001"/>
    <n v="11271.07273"/>
    <n v="-7061.7436010000001"/>
    <n v="29604.265350000001"/>
    <x v="114"/>
    <s v="Oct-2021"/>
  </r>
  <r>
    <x v="115"/>
    <s v="MLI"/>
    <x v="1"/>
    <x v="10"/>
    <x v="10"/>
    <s v="predicted"/>
    <n v="13081.210709999999"/>
    <n v="13373.892"/>
    <n v="292.68129379999999"/>
    <n v="11563.75402"/>
    <n v="-7976.3097239999997"/>
    <n v="29835.33495"/>
    <x v="114"/>
    <s v="Nov-2021"/>
  </r>
  <r>
    <x v="115"/>
    <s v="MLI"/>
    <x v="1"/>
    <x v="11"/>
    <x v="11"/>
    <s v="predicted"/>
    <n v="13237.518830000001"/>
    <n v="14026.249"/>
    <n v="788.73016859999996"/>
    <n v="12352.484189999999"/>
    <n v="-8014.4537330000003"/>
    <n v="31137.595959999999"/>
    <x v="114"/>
    <s v="Dec-2021"/>
  </r>
  <r>
    <x v="116"/>
    <s v="MLT"/>
    <x v="0"/>
    <x v="0"/>
    <x v="0"/>
    <s v="reported"/>
    <n v="368.32965519999999"/>
    <n v="395"/>
    <n v="26.67034477"/>
    <n v="26.67034477"/>
    <n v="2.2831820650000001"/>
    <n v="49.688582940000003"/>
    <x v="115"/>
    <s v="Jan-2020"/>
  </r>
  <r>
    <x v="116"/>
    <s v="MLT"/>
    <x v="0"/>
    <x v="1"/>
    <x v="1"/>
    <s v="reported"/>
    <n v="373.2720746"/>
    <n v="317"/>
    <n v="-56.272074549999999"/>
    <n v="-29.601729779999999"/>
    <n v="-68.689750250000003"/>
    <n v="6.0371857660000003"/>
    <x v="115"/>
    <s v="Feb-2020"/>
  </r>
  <r>
    <x v="116"/>
    <s v="MLT"/>
    <x v="0"/>
    <x v="2"/>
    <x v="2"/>
    <s v="reported"/>
    <n v="343.22335629999998"/>
    <n v="376"/>
    <n v="32.776643659999998"/>
    <n v="3.1749138800000001"/>
    <n v="-44.805188180000002"/>
    <n v="45.191139990000003"/>
    <x v="115"/>
    <s v="Mar-2020"/>
  </r>
  <r>
    <x v="116"/>
    <s v="MLT"/>
    <x v="0"/>
    <x v="3"/>
    <x v="3"/>
    <s v="reported"/>
    <n v="307.84025129999998"/>
    <n v="325"/>
    <n v="17.159748700000002"/>
    <n v="20.33466258"/>
    <n v="-31.8792519"/>
    <n v="67.364999929999996"/>
    <x v="115"/>
    <s v="Apr-2020"/>
  </r>
  <r>
    <x v="116"/>
    <s v="MLT"/>
    <x v="0"/>
    <x v="4"/>
    <x v="4"/>
    <s v="reported"/>
    <n v="288.13856520000002"/>
    <n v="295"/>
    <n v="6.8614348490000001"/>
    <n v="27.196097429999998"/>
    <n v="-31.127016080000001"/>
    <n v="79.150769800000006"/>
    <x v="115"/>
    <s v="May-2020"/>
  </r>
  <r>
    <x v="116"/>
    <s v="MLT"/>
    <x v="0"/>
    <x v="5"/>
    <x v="5"/>
    <s v="reported"/>
    <n v="276.41521619999997"/>
    <n v="254"/>
    <n v="-22.415216189999999"/>
    <n v="4.7808812410000003"/>
    <n v="-58.879893500000001"/>
    <n v="62.280538829999998"/>
    <x v="115"/>
    <s v="Jun-2020"/>
  </r>
  <r>
    <x v="116"/>
    <s v="MLT"/>
    <x v="0"/>
    <x v="6"/>
    <x v="6"/>
    <s v="reported"/>
    <n v="275.2335951"/>
    <n v="294"/>
    <n v="18.766404900000001"/>
    <n v="23.547286150000001"/>
    <n v="-44.790146759999999"/>
    <n v="85.310449809999994"/>
    <x v="115"/>
    <s v="Jul-2020"/>
  </r>
  <r>
    <x v="116"/>
    <s v="MLT"/>
    <x v="0"/>
    <x v="7"/>
    <x v="7"/>
    <s v="reported"/>
    <n v="273.09458760000001"/>
    <n v="334"/>
    <n v="60.905412400000003"/>
    <n v="84.45269854"/>
    <n v="13.2741126"/>
    <n v="150.88829860000001"/>
    <x v="115"/>
    <s v="Aug-2020"/>
  </r>
  <r>
    <x v="116"/>
    <s v="MLT"/>
    <x v="0"/>
    <x v="8"/>
    <x v="8"/>
    <s v="reported"/>
    <n v="266.20721459999999"/>
    <n v="305"/>
    <n v="38.792785360000003"/>
    <n v="123.2454839"/>
    <n v="49.865043360000001"/>
    <n v="193.23807070000001"/>
    <x v="115"/>
    <s v="Sep-2020"/>
  </r>
  <r>
    <x v="116"/>
    <s v="MLT"/>
    <x v="0"/>
    <x v="9"/>
    <x v="9"/>
    <s v="reported"/>
    <n v="276.7683796"/>
    <n v="325"/>
    <n v="48.231620360000001"/>
    <n v="171.47710430000001"/>
    <n v="95.163984319999997"/>
    <n v="243.3362884"/>
    <x v="115"/>
    <s v="Oct-2020"/>
  </r>
  <r>
    <x v="116"/>
    <s v="MLT"/>
    <x v="0"/>
    <x v="10"/>
    <x v="10"/>
    <s v="reported"/>
    <n v="310.58121440000002"/>
    <n v="394"/>
    <n v="83.418785600000007"/>
    <n v="254.89588989999999"/>
    <n v="172.9453924"/>
    <n v="328.06579699999998"/>
    <x v="115"/>
    <s v="Nov-2020"/>
  </r>
  <r>
    <x v="116"/>
    <s v="MLT"/>
    <x v="0"/>
    <x v="11"/>
    <x v="11"/>
    <s v="reported"/>
    <n v="373.93539559999999"/>
    <n v="470"/>
    <n v="96.064604369999998"/>
    <n v="350.96049420000003"/>
    <n v="266.8831227"/>
    <n v="429.11354679999999"/>
    <x v="115"/>
    <s v="Dec-2020"/>
  </r>
  <r>
    <x v="116"/>
    <s v="MLT"/>
    <x v="1"/>
    <x v="0"/>
    <x v="0"/>
    <s v="reported"/>
    <n v="375.10839929999997"/>
    <n v="428"/>
    <n v="52.891600670000003"/>
    <n v="403.8520949"/>
    <n v="315.57927690000002"/>
    <n v="484.91039180000001"/>
    <x v="115"/>
    <s v="Jan-2021"/>
  </r>
  <r>
    <x v="116"/>
    <s v="MLT"/>
    <x v="1"/>
    <x v="1"/>
    <x v="1"/>
    <s v="reported"/>
    <n v="380.1712718"/>
    <n v="403"/>
    <n v="22.828728160000001"/>
    <n v="426.6808231"/>
    <n v="327.26988870000002"/>
    <n v="523.50958479999997"/>
    <x v="115"/>
    <s v="Feb-2021"/>
  </r>
  <r>
    <x v="116"/>
    <s v="MLT"/>
    <x v="1"/>
    <x v="2"/>
    <x v="2"/>
    <s v="reported"/>
    <n v="350.36568039999997"/>
    <n v="426"/>
    <n v="75.634319649999995"/>
    <n v="502.31514270000002"/>
    <n v="402.93666289999999"/>
    <n v="604.33664080000005"/>
    <x v="115"/>
    <s v="Mar-2021"/>
  </r>
  <r>
    <x v="116"/>
    <s v="MLT"/>
    <x v="1"/>
    <x v="3"/>
    <x v="3"/>
    <s v="reported"/>
    <n v="313.32998199999997"/>
    <n v="287"/>
    <n v="-26.329982009999998"/>
    <n v="475.98516069999999"/>
    <n v="369.90288529999998"/>
    <n v="580.96287129999996"/>
    <x v="115"/>
    <s v="Apr-2021"/>
  </r>
  <r>
    <x v="116"/>
    <s v="MLT"/>
    <x v="1"/>
    <x v="4"/>
    <x v="4"/>
    <s v="reported"/>
    <n v="293.14404389999999"/>
    <n v="324"/>
    <n v="30.855956110000001"/>
    <n v="506.84111680000001"/>
    <n v="396.01205640000001"/>
    <n v="611.82887789999995"/>
    <x v="115"/>
    <s v="May-2021"/>
  </r>
  <r>
    <x v="116"/>
    <s v="MLT"/>
    <x v="1"/>
    <x v="5"/>
    <x v="5"/>
    <s v="reported"/>
    <n v="281.9693795"/>
    <n v="271"/>
    <n v="-10.969379460000001"/>
    <n v="495.87173730000001"/>
    <n v="380.57401809999999"/>
    <n v="602.59499559999995"/>
    <x v="115"/>
    <s v="Jun-2021"/>
  </r>
  <r>
    <x v="116"/>
    <s v="MLT"/>
    <x v="1"/>
    <x v="6"/>
    <x v="6"/>
    <s v="reported"/>
    <n v="280.13245239999998"/>
    <n v="318"/>
    <n v="37.867547649999999"/>
    <n v="533.739285"/>
    <n v="421.30640540000002"/>
    <n v="642.0532657"/>
    <x v="115"/>
    <s v="Jul-2021"/>
  </r>
  <r>
    <x v="116"/>
    <s v="MLT"/>
    <x v="1"/>
    <x v="7"/>
    <x v="7"/>
    <s v="reported"/>
    <n v="278.59596679999999"/>
    <n v="374"/>
    <n v="95.404033159999997"/>
    <n v="629.14331819999995"/>
    <n v="514.47378979999996"/>
    <n v="739.79377729999999"/>
    <x v="115"/>
    <s v="Aug-2021"/>
  </r>
  <r>
    <x v="116"/>
    <s v="MLT"/>
    <x v="1"/>
    <x v="8"/>
    <x v="8"/>
    <s v="reported"/>
    <n v="271.47670549999998"/>
    <n v="294"/>
    <n v="22.523294539999998"/>
    <n v="651.66661269999997"/>
    <n v="533.04415449999999"/>
    <n v="768.65995780000003"/>
    <x v="115"/>
    <s v="Sep-2021"/>
  </r>
  <r>
    <x v="116"/>
    <s v="MLT"/>
    <x v="1"/>
    <x v="9"/>
    <x v="9"/>
    <s v="reported"/>
    <n v="281.79730999999998"/>
    <n v="300"/>
    <n v="18.20268999"/>
    <n v="669.86930270000005"/>
    <n v="549.98538550000001"/>
    <n v="790.09452499999998"/>
    <x v="115"/>
    <s v="Oct-2021"/>
  </r>
  <r>
    <x v="116"/>
    <s v="MLT"/>
    <x v="1"/>
    <x v="10"/>
    <x v="10"/>
    <s v="reported"/>
    <n v="316.58428170000002"/>
    <n v="323"/>
    <n v="6.4157183169999996"/>
    <n v="676.28502100000003"/>
    <n v="556.34020840000005"/>
    <n v="800.78709479999998"/>
    <x v="115"/>
    <s v="Nov-2021"/>
  </r>
  <r>
    <x v="116"/>
    <s v="MLT"/>
    <x v="1"/>
    <x v="11"/>
    <x v="11"/>
    <s v="reported"/>
    <n v="380.56857689999998"/>
    <n v="397"/>
    <n v="16.431423089999999"/>
    <n v="692.71644409999999"/>
    <n v="565.37867970000002"/>
    <n v="814.14281449999999"/>
    <x v="115"/>
    <s v="Dec-2021"/>
  </r>
  <r>
    <x v="117"/>
    <s v="MMR"/>
    <x v="0"/>
    <x v="0"/>
    <x v="0"/>
    <s v="predicted"/>
    <n v="32158.22236"/>
    <n v="33732.552000000003"/>
    <n v="1574.329639"/>
    <n v="1574.329639"/>
    <n v="-6274.350332"/>
    <n v="12000.032950000001"/>
    <x v="116"/>
    <s v="Jan-2020"/>
  </r>
  <r>
    <x v="117"/>
    <s v="MMR"/>
    <x v="0"/>
    <x v="1"/>
    <x v="1"/>
    <s v="predicted"/>
    <n v="31783.370439999999"/>
    <n v="32227.076000000001"/>
    <n v="443.70555739999998"/>
    <n v="2018.0351969999999"/>
    <n v="-10134.932210000001"/>
    <n v="16193.294819999999"/>
    <x v="116"/>
    <s v="Feb-2020"/>
  </r>
  <r>
    <x v="117"/>
    <s v="MMR"/>
    <x v="0"/>
    <x v="2"/>
    <x v="2"/>
    <s v="predicted"/>
    <n v="31245.61693"/>
    <n v="30248.892"/>
    <n v="-996.72493340000005"/>
    <n v="1021.310263"/>
    <n v="-13630.277819999999"/>
    <n v="16843.4179"/>
    <x v="116"/>
    <s v="Mar-2020"/>
  </r>
  <r>
    <x v="117"/>
    <s v="MMR"/>
    <x v="0"/>
    <x v="3"/>
    <x v="3"/>
    <s v="predicted"/>
    <n v="30904.025870000001"/>
    <n v="28262.902999999998"/>
    <n v="-2641.1228740000001"/>
    <n v="-1619.8126110000001"/>
    <n v="-18534.578130000002"/>
    <n v="16481.792099999999"/>
    <x v="116"/>
    <s v="Apr-2020"/>
  </r>
  <r>
    <x v="117"/>
    <s v="MMR"/>
    <x v="0"/>
    <x v="4"/>
    <x v="4"/>
    <s v="predicted"/>
    <n v="30700.765169999999"/>
    <n v="28651.29"/>
    <n v="-2049.4751740000002"/>
    <n v="-3669.2877840000001"/>
    <n v="-23408.708340000001"/>
    <n v="16070.18196"/>
    <x v="116"/>
    <s v="May-2020"/>
  </r>
  <r>
    <x v="117"/>
    <s v="MMR"/>
    <x v="0"/>
    <x v="5"/>
    <x v="5"/>
    <s v="predicted"/>
    <n v="30792.07591"/>
    <n v="30000.851999999999"/>
    <n v="-791.22391470000002"/>
    <n v="-4460.5116989999997"/>
    <n v="-24456.609619999999"/>
    <n v="17653.6885"/>
    <x v="116"/>
    <s v="Jun-2020"/>
  </r>
  <r>
    <x v="117"/>
    <s v="MMR"/>
    <x v="0"/>
    <x v="6"/>
    <x v="6"/>
    <s v="predicted"/>
    <n v="30851.596539999999"/>
    <n v="30838.795999999998"/>
    <n v="-12.800542030000001"/>
    <n v="-4473.3122409999996"/>
    <n v="-26054.565719999999"/>
    <n v="18549.476340000001"/>
    <x v="116"/>
    <s v="Jul-2020"/>
  </r>
  <r>
    <x v="117"/>
    <s v="MMR"/>
    <x v="0"/>
    <x v="7"/>
    <x v="7"/>
    <s v="predicted"/>
    <n v="30876.678500000002"/>
    <n v="31093.309000000001"/>
    <n v="216.63049659999999"/>
    <n v="-4256.6817440000004"/>
    <n v="-27109.511849999999"/>
    <n v="21320.591659999998"/>
    <x v="116"/>
    <s v="Aug-2020"/>
  </r>
  <r>
    <x v="117"/>
    <s v="MMR"/>
    <x v="0"/>
    <x v="8"/>
    <x v="8"/>
    <s v="predicted"/>
    <n v="30842.17625"/>
    <n v="33476.813000000002"/>
    <n v="2634.636747"/>
    <n v="-1622.0449980000001"/>
    <n v="-26062.36133"/>
    <n v="26023.336039999998"/>
    <x v="116"/>
    <s v="Sep-2020"/>
  </r>
  <r>
    <x v="117"/>
    <s v="MMR"/>
    <x v="0"/>
    <x v="9"/>
    <x v="9"/>
    <s v="predicted"/>
    <n v="30988.161080000002"/>
    <n v="34418.377999999997"/>
    <n v="3430.2169180000001"/>
    <n v="1808.17192"/>
    <n v="-24414.96644"/>
    <n v="31549.146560000001"/>
    <x v="116"/>
    <s v="Oct-2020"/>
  </r>
  <r>
    <x v="117"/>
    <s v="MMR"/>
    <x v="0"/>
    <x v="10"/>
    <x v="10"/>
    <s v="predicted"/>
    <n v="31427.58527"/>
    <n v="34490.1"/>
    <n v="3062.5147320000001"/>
    <n v="4870.6866520000003"/>
    <n v="-22780.2372"/>
    <n v="35648.479630000002"/>
    <x v="116"/>
    <s v="Nov-2020"/>
  </r>
  <r>
    <x v="117"/>
    <s v="MMR"/>
    <x v="0"/>
    <x v="11"/>
    <x v="11"/>
    <s v="predicted"/>
    <n v="32085.232479999999"/>
    <n v="35456.089999999997"/>
    <n v="3370.857524"/>
    <n v="8241.5441759999994"/>
    <n v="-21973.990949999999"/>
    <n v="40553.432390000002"/>
    <x v="116"/>
    <s v="Dec-2020"/>
  </r>
  <r>
    <x v="117"/>
    <s v="MMR"/>
    <x v="1"/>
    <x v="0"/>
    <x v="0"/>
    <s v="predicted"/>
    <n v="31769.75921"/>
    <n v="33094.648999999998"/>
    <n v="1324.889788"/>
    <n v="9566.4339639999998"/>
    <n v="-22409.02836"/>
    <n v="43577.946799999998"/>
    <x v="116"/>
    <s v="Jan-2021"/>
  </r>
  <r>
    <x v="117"/>
    <s v="MMR"/>
    <x v="1"/>
    <x v="1"/>
    <x v="1"/>
    <s v="predicted"/>
    <n v="31514.983680000001"/>
    <n v="31278.678"/>
    <n v="-236.30567669999999"/>
    <n v="9330.1282869999995"/>
    <n v="-24150.65696"/>
    <n v="43968.815710000003"/>
    <x v="116"/>
    <s v="Feb-2021"/>
  </r>
  <r>
    <x v="117"/>
    <s v="MMR"/>
    <x v="1"/>
    <x v="2"/>
    <x v="2"/>
    <s v="predicted"/>
    <n v="30840.902750000001"/>
    <n v="29307.781999999999"/>
    <n v="-1533.1207509999999"/>
    <n v="7797.0075360000001"/>
    <n v="-26464.795160000001"/>
    <n v="43093.949560000001"/>
    <x v="116"/>
    <s v="Mar-2021"/>
  </r>
  <r>
    <x v="117"/>
    <s v="MMR"/>
    <x v="1"/>
    <x v="3"/>
    <x v="3"/>
    <s v="predicted"/>
    <n v="30483.332890000001"/>
    <n v="28803.495999999999"/>
    <n v="-1679.83689"/>
    <n v="6117.1706450000001"/>
    <n v="-27954.346529999999"/>
    <n v="43133.346949999999"/>
    <x v="116"/>
    <s v="Apr-2021"/>
  </r>
  <r>
    <x v="117"/>
    <s v="MMR"/>
    <x v="1"/>
    <x v="4"/>
    <x v="4"/>
    <s v="predicted"/>
    <n v="30376.444390000001"/>
    <n v="29282.355"/>
    <n v="-1094.0893920000001"/>
    <n v="5023.0812539999997"/>
    <n v="-29728.41748"/>
    <n v="41807.30371"/>
    <x v="116"/>
    <s v="May-2021"/>
  </r>
  <r>
    <x v="117"/>
    <s v="MMR"/>
    <x v="1"/>
    <x v="5"/>
    <x v="5"/>
    <s v="predicted"/>
    <n v="30512.59836"/>
    <n v="31271.4"/>
    <n v="758.80163619999996"/>
    <n v="5781.8828899999999"/>
    <n v="-30393.857319999999"/>
    <n v="44124.838839999997"/>
    <x v="116"/>
    <s v="Jun-2021"/>
  </r>
  <r>
    <x v="117"/>
    <s v="MMR"/>
    <x v="1"/>
    <x v="6"/>
    <x v="6"/>
    <s v="predicted"/>
    <n v="30510.95232"/>
    <n v="46545.86"/>
    <n v="16034.90768"/>
    <n v="21816.790570000001"/>
    <n v="-15304.26657"/>
    <n v="63376.031629999998"/>
    <x v="116"/>
    <s v="Jul-2021"/>
  </r>
  <r>
    <x v="117"/>
    <s v="MMR"/>
    <x v="1"/>
    <x v="7"/>
    <x v="7"/>
    <s v="predicted"/>
    <n v="30493.102559999999"/>
    <n v="46223.745999999999"/>
    <n v="15730.64344"/>
    <n v="37547.434009999997"/>
    <n v="-2793.631277"/>
    <n v="81091.026970000006"/>
    <x v="116"/>
    <s v="Aug-2021"/>
  </r>
  <r>
    <x v="117"/>
    <s v="MMR"/>
    <x v="1"/>
    <x v="8"/>
    <x v="8"/>
    <s v="predicted"/>
    <n v="30441.54393"/>
    <n v="36634.955000000002"/>
    <n v="6193.4110719999999"/>
    <n v="43740.845079999999"/>
    <n v="2291.8054149999998"/>
    <n v="87843.134090000007"/>
    <x v="116"/>
    <s v="Sep-2021"/>
  </r>
  <r>
    <x v="117"/>
    <s v="MMR"/>
    <x v="1"/>
    <x v="9"/>
    <x v="9"/>
    <s v="predicted"/>
    <n v="30590.265630000002"/>
    <n v="34057.834000000003"/>
    <n v="3467.5683720000002"/>
    <n v="47208.41345"/>
    <n v="4732.3533829999997"/>
    <n v="92694.818539999993"/>
    <x v="116"/>
    <s v="Oct-2021"/>
  </r>
  <r>
    <x v="117"/>
    <s v="MMR"/>
    <x v="1"/>
    <x v="10"/>
    <x v="10"/>
    <s v="predicted"/>
    <n v="31090.423910000001"/>
    <n v="33293.389000000003"/>
    <n v="2202.9650879999999"/>
    <n v="49411.378539999998"/>
    <n v="5005.3716690000001"/>
    <n v="95736.955170000001"/>
    <x v="116"/>
    <s v="Nov-2021"/>
  </r>
  <r>
    <x v="117"/>
    <s v="MMR"/>
    <x v="1"/>
    <x v="11"/>
    <x v="11"/>
    <s v="predicted"/>
    <n v="31706.415150000001"/>
    <n v="34377.769"/>
    <n v="2671.3538530000001"/>
    <n v="52082.732389999997"/>
    <n v="9306.6640029999999"/>
    <n v="101035.69130000001"/>
    <x v="116"/>
    <s v="Dec-2021"/>
  </r>
  <r>
    <x v="118"/>
    <s v="MNE"/>
    <x v="0"/>
    <x v="0"/>
    <x v="0"/>
    <s v="reported"/>
    <n v="681.13954969999998"/>
    <n v="617"/>
    <n v="-64.139549669999994"/>
    <n v="-64.139549669999994"/>
    <n v="-100.33606"/>
    <n v="-29.53935663"/>
    <x v="117"/>
    <s v="Jan-2020"/>
  </r>
  <r>
    <x v="118"/>
    <s v="MNE"/>
    <x v="0"/>
    <x v="1"/>
    <x v="1"/>
    <s v="reported"/>
    <n v="661.43223860000001"/>
    <n v="625"/>
    <n v="-36.432238630000001"/>
    <n v="-100.57178829999999"/>
    <n v="-156.41816"/>
    <n v="-47.649118819999998"/>
    <x v="117"/>
    <s v="Feb-2020"/>
  </r>
  <r>
    <x v="118"/>
    <s v="MNE"/>
    <x v="0"/>
    <x v="2"/>
    <x v="2"/>
    <s v="reported"/>
    <n v="631.26022990000001"/>
    <n v="644"/>
    <n v="12.73977009"/>
    <n v="-87.832018210000001"/>
    <n v="-157.33055809999999"/>
    <n v="-18.209445219999999"/>
    <x v="117"/>
    <s v="Mar-2020"/>
  </r>
  <r>
    <x v="118"/>
    <s v="MNE"/>
    <x v="0"/>
    <x v="3"/>
    <x v="3"/>
    <s v="reported"/>
    <n v="596.40583779999997"/>
    <n v="536"/>
    <n v="-60.405837820000002"/>
    <n v="-148.23785599999999"/>
    <n v="-226.8770203"/>
    <n v="-74.036270079999994"/>
    <x v="117"/>
    <s v="Apr-2020"/>
  </r>
  <r>
    <x v="118"/>
    <s v="MNE"/>
    <x v="0"/>
    <x v="4"/>
    <x v="4"/>
    <s v="reported"/>
    <n v="569.40780900000004"/>
    <n v="539"/>
    <n v="-30.407808989999999"/>
    <n v="-178.64566500000001"/>
    <n v="-267.81921169999998"/>
    <n v="-97.675842700000004"/>
    <x v="117"/>
    <s v="May-2020"/>
  </r>
  <r>
    <x v="118"/>
    <s v="MNE"/>
    <x v="0"/>
    <x v="5"/>
    <x v="5"/>
    <s v="reported"/>
    <n v="570.63826930000005"/>
    <n v="537"/>
    <n v="-33.638269289999997"/>
    <n v="-212.2839343"/>
    <n v="-311.63048079999999"/>
    <n v="-119.87514349999999"/>
    <x v="117"/>
    <s v="Jun-2020"/>
  </r>
  <r>
    <x v="118"/>
    <s v="MNE"/>
    <x v="0"/>
    <x v="6"/>
    <x v="6"/>
    <s v="reported"/>
    <n v="575.06729370000005"/>
    <n v="728"/>
    <n v="152.93270630000001"/>
    <n v="-59.351227989999998"/>
    <n v="-166.97871710000001"/>
    <n v="41.301435570000002"/>
    <x v="117"/>
    <s v="Jul-2020"/>
  </r>
  <r>
    <x v="118"/>
    <s v="MNE"/>
    <x v="0"/>
    <x v="7"/>
    <x v="7"/>
    <s v="reported"/>
    <n v="565.10812099999998"/>
    <n v="644"/>
    <n v="78.891879029999998"/>
    <n v="19.54065104"/>
    <n v="-98.007129059999997"/>
    <n v="123.57415899999999"/>
    <x v="117"/>
    <s v="Aug-2020"/>
  </r>
  <r>
    <x v="118"/>
    <s v="MNE"/>
    <x v="0"/>
    <x v="8"/>
    <x v="8"/>
    <s v="reported"/>
    <n v="559.97378700000002"/>
    <n v="664"/>
    <n v="104.026213"/>
    <n v="123.566864"/>
    <n v="9.4006204199999992"/>
    <n v="226.68861150000001"/>
    <x v="117"/>
    <s v="Sep-2020"/>
  </r>
  <r>
    <x v="118"/>
    <s v="MNE"/>
    <x v="0"/>
    <x v="9"/>
    <x v="9"/>
    <s v="reported"/>
    <n v="584.32168620000004"/>
    <n v="804"/>
    <n v="219.67831380000001"/>
    <n v="343.24517780000002"/>
    <n v="224.87831879999999"/>
    <n v="455.07941030000001"/>
    <x v="117"/>
    <s v="Oct-2020"/>
  </r>
  <r>
    <x v="118"/>
    <s v="MNE"/>
    <x v="0"/>
    <x v="10"/>
    <x v="10"/>
    <s v="reported"/>
    <n v="625.79657080000004"/>
    <n v="831"/>
    <n v="205.20342919999999"/>
    <n v="548.44860700000004"/>
    <n v="426.18716410000002"/>
    <n v="668.89947370000004"/>
    <x v="117"/>
    <s v="Nov-2020"/>
  </r>
  <r>
    <x v="118"/>
    <s v="MNE"/>
    <x v="0"/>
    <x v="11"/>
    <x v="11"/>
    <s v="reported"/>
    <n v="682.42752340000004"/>
    <n v="871"/>
    <n v="188.57247659999999"/>
    <n v="737.0210836"/>
    <n v="607.15350269999999"/>
    <n v="858.26969429999997"/>
    <x v="117"/>
    <s v="Dec-2020"/>
  </r>
  <r>
    <x v="118"/>
    <s v="MNE"/>
    <x v="1"/>
    <x v="0"/>
    <x v="0"/>
    <s v="reported"/>
    <n v="684.48525930000005"/>
    <n v="906"/>
    <n v="221.5147407"/>
    <n v="958.53582429999994"/>
    <n v="823.93316130000005"/>
    <n v="1091.66515"/>
    <x v="117"/>
    <s v="Jan-2021"/>
  </r>
  <r>
    <x v="118"/>
    <s v="MNE"/>
    <x v="1"/>
    <x v="1"/>
    <x v="1"/>
    <s v="reported"/>
    <n v="663.22423500000002"/>
    <n v="930"/>
    <n v="266.77576499999998"/>
    <n v="1225.3115889999999"/>
    <n v="1088.1120980000001"/>
    <n v="1368.177042"/>
    <x v="117"/>
    <s v="Feb-2021"/>
  </r>
  <r>
    <x v="118"/>
    <s v="MNE"/>
    <x v="1"/>
    <x v="2"/>
    <x v="2"/>
    <s v="reported"/>
    <n v="634.36756449999996"/>
    <n v="1047"/>
    <n v="412.63243549999999"/>
    <n v="1637.944025"/>
    <n v="1489.447171"/>
    <n v="1785.8464369999999"/>
    <x v="117"/>
    <s v="Mar-2021"/>
  </r>
  <r>
    <x v="118"/>
    <s v="MNE"/>
    <x v="1"/>
    <x v="3"/>
    <x v="3"/>
    <s v="reported"/>
    <n v="598.26378509999995"/>
    <n v="930"/>
    <n v="331.73621489999999"/>
    <n v="1969.6802399999999"/>
    <n v="1815.101085"/>
    <n v="2127.564241"/>
    <x v="117"/>
    <s v="Apr-2021"/>
  </r>
  <r>
    <x v="118"/>
    <s v="MNE"/>
    <x v="1"/>
    <x v="4"/>
    <x v="4"/>
    <s v="reported"/>
    <n v="573.68186409999998"/>
    <n v="735"/>
    <n v="161.31813589999999"/>
    <n v="2130.998376"/>
    <n v="1969.9327129999999"/>
    <n v="2293.7100479999999"/>
    <x v="117"/>
    <s v="May-2021"/>
  </r>
  <r>
    <x v="118"/>
    <s v="MNE"/>
    <x v="1"/>
    <x v="5"/>
    <x v="5"/>
    <s v="reported"/>
    <n v="573.39013420000003"/>
    <n v="597"/>
    <n v="23.609865760000002"/>
    <n v="2154.6082409999999"/>
    <n v="1987.2976960000001"/>
    <n v="2322.4367940000002"/>
    <x v="117"/>
    <s v="Jun-2021"/>
  </r>
  <r>
    <x v="118"/>
    <s v="MNE"/>
    <x v="1"/>
    <x v="6"/>
    <x v="6"/>
    <s v="reported"/>
    <n v="578.97357369999997"/>
    <n v="649"/>
    <n v="70.026426349999994"/>
    <n v="2224.6346680000001"/>
    <n v="2062.037824"/>
    <n v="2396.0942110000001"/>
    <x v="117"/>
    <s v="Jul-2021"/>
  </r>
  <r>
    <x v="118"/>
    <s v="MNE"/>
    <x v="1"/>
    <x v="7"/>
    <x v="7"/>
    <s v="reported"/>
    <n v="569.59402829999999"/>
    <n v="815"/>
    <n v="245.40597170000001"/>
    <n v="2470.0406389999998"/>
    <n v="2293.1153319999999"/>
    <n v="2638.0821329999999"/>
    <x v="117"/>
    <s v="Aug-2021"/>
  </r>
  <r>
    <x v="118"/>
    <s v="MNE"/>
    <x v="1"/>
    <x v="8"/>
    <x v="8"/>
    <s v="reported"/>
    <n v="564.457312"/>
    <n v="870"/>
    <n v="305.542688"/>
    <n v="2775.5833269999998"/>
    <n v="2596.4614729999998"/>
    <n v="2953.4453490000001"/>
    <x v="117"/>
    <s v="Sep-2021"/>
  </r>
  <r>
    <x v="118"/>
    <s v="MNE"/>
    <x v="1"/>
    <x v="9"/>
    <x v="9"/>
    <s v="reported"/>
    <n v="585.89761280000005"/>
    <n v="902"/>
    <n v="316.10238720000001"/>
    <n v="3091.6857150000001"/>
    <n v="2901.9127990000002"/>
    <n v="3279.5969140000002"/>
    <x v="117"/>
    <s v="Oct-2021"/>
  </r>
  <r>
    <x v="118"/>
    <s v="MNE"/>
    <x v="1"/>
    <x v="10"/>
    <x v="10"/>
    <s v="reported"/>
    <n v="629.11529770000004"/>
    <n v="908"/>
    <n v="278.88470230000001"/>
    <n v="3370.5704169999999"/>
    <n v="3167.6426929999998"/>
    <n v="3564.3945060000001"/>
    <x v="117"/>
    <s v="Nov-2021"/>
  </r>
  <r>
    <x v="118"/>
    <s v="MNE"/>
    <x v="1"/>
    <x v="11"/>
    <x v="11"/>
    <s v="reported"/>
    <n v="686.69459740000002"/>
    <n v="840"/>
    <n v="153.30540260000001"/>
    <n v="3523.8758189999999"/>
    <n v="3317.6189949999998"/>
    <n v="3720.1943660000002"/>
    <x v="117"/>
    <s v="Dec-2021"/>
  </r>
  <r>
    <x v="119"/>
    <s v="MNG"/>
    <x v="0"/>
    <x v="0"/>
    <x v="0"/>
    <s v="reported"/>
    <n v="1704.8962059999999"/>
    <n v="1613"/>
    <n v="-92.880601310000003"/>
    <n v="-92.880601310000003"/>
    <n v="-151.86384480000001"/>
    <n v="-36.589020789999999"/>
    <x v="118"/>
    <s v="Jan-2020"/>
  </r>
  <r>
    <x v="119"/>
    <s v="MNG"/>
    <x v="0"/>
    <x v="1"/>
    <x v="1"/>
    <s v="reported"/>
    <n v="1706.2006690000001"/>
    <n v="1533"/>
    <n v="-174.1850642"/>
    <n v="-267.06566550000002"/>
    <n v="-353.64313340000001"/>
    <n v="-186.5299895"/>
    <x v="118"/>
    <s v="Feb-2020"/>
  </r>
  <r>
    <x v="119"/>
    <s v="MNG"/>
    <x v="0"/>
    <x v="2"/>
    <x v="2"/>
    <s v="reported"/>
    <n v="1709.874094"/>
    <n v="1526"/>
    <n v="-184.85848949999999"/>
    <n v="-451.92415490000002"/>
    <n v="-556.7598653"/>
    <n v="-341.37632910000002"/>
    <x v="118"/>
    <s v="Mar-2020"/>
  </r>
  <r>
    <x v="119"/>
    <s v="MNG"/>
    <x v="0"/>
    <x v="3"/>
    <x v="3"/>
    <s v="reported"/>
    <n v="1708.915305"/>
    <n v="1547"/>
    <n v="-162.8997009"/>
    <n v="-614.82385590000001"/>
    <n v="-739.42183899999998"/>
    <n v="-491.03734059999999"/>
    <x v="118"/>
    <s v="Apr-2020"/>
  </r>
  <r>
    <x v="119"/>
    <s v="MNG"/>
    <x v="0"/>
    <x v="4"/>
    <x v="4"/>
    <s v="reported"/>
    <n v="1712.038323"/>
    <n v="1521"/>
    <n v="-192.0227189"/>
    <n v="-806.84657470000002"/>
    <n v="-941.81290620000004"/>
    <n v="-673.52631469999994"/>
    <x v="118"/>
    <s v="May-2020"/>
  </r>
  <r>
    <x v="119"/>
    <s v="MNG"/>
    <x v="0"/>
    <x v="5"/>
    <x v="5"/>
    <s v="reported"/>
    <n v="1713.720677"/>
    <n v="1542"/>
    <n v="-172.7050725"/>
    <n v="-979.55164720000005"/>
    <n v="-1129.5163"/>
    <n v="-837.98057159999996"/>
    <x v="118"/>
    <s v="Jun-2020"/>
  </r>
  <r>
    <x v="119"/>
    <s v="MNG"/>
    <x v="0"/>
    <x v="6"/>
    <x v="6"/>
    <s v="reported"/>
    <n v="1715.1929479999999"/>
    <n v="1656"/>
    <n v="-60.177343350000001"/>
    <n v="-1039.728991"/>
    <n v="-1205.4642349999999"/>
    <n v="-883.39377439999998"/>
    <x v="118"/>
    <s v="Jul-2020"/>
  </r>
  <r>
    <x v="119"/>
    <s v="MNG"/>
    <x v="0"/>
    <x v="7"/>
    <x v="7"/>
    <s v="reported"/>
    <n v="1719.5200890000001"/>
    <n v="1572"/>
    <n v="-148.50448470000001"/>
    <n v="-1188.233475"/>
    <n v="-1374.5671420000001"/>
    <n v="-1017.927547"/>
    <x v="118"/>
    <s v="Aug-2020"/>
  </r>
  <r>
    <x v="119"/>
    <s v="MNG"/>
    <x v="0"/>
    <x v="8"/>
    <x v="8"/>
    <s v="reported"/>
    <n v="1720.881924"/>
    <n v="1659"/>
    <n v="-62.866319849999996"/>
    <n v="-1251.0997950000001"/>
    <n v="-1444.5209170000001"/>
    <n v="-1072.0457650000001"/>
    <x v="118"/>
    <s v="Sep-2020"/>
  </r>
  <r>
    <x v="119"/>
    <s v="MNG"/>
    <x v="0"/>
    <x v="9"/>
    <x v="9"/>
    <s v="reported"/>
    <n v="1722.698713"/>
    <n v="1685"/>
    <n v="-38.683108789999999"/>
    <n v="-1289.7829039999999"/>
    <n v="-1490.0639799999999"/>
    <n v="-1092.3309340000001"/>
    <x v="118"/>
    <s v="Oct-2020"/>
  </r>
  <r>
    <x v="119"/>
    <s v="MNG"/>
    <x v="0"/>
    <x v="10"/>
    <x v="10"/>
    <s v="reported"/>
    <n v="1728.407925"/>
    <n v="1509"/>
    <n v="-220.39232060000001"/>
    <n v="-1510.1752240000001"/>
    <n v="-1725.6613910000001"/>
    <n v="-1302.914904"/>
    <x v="118"/>
    <s v="Nov-2020"/>
  </r>
  <r>
    <x v="119"/>
    <s v="MNG"/>
    <x v="0"/>
    <x v="11"/>
    <x v="11"/>
    <s v="reported"/>
    <n v="1731.5334909999999"/>
    <n v="1439"/>
    <n v="-293.51788640000001"/>
    <n v="-1803.693111"/>
    <n v="-2023.5965630000001"/>
    <n v="-1589.9198060000001"/>
    <x v="118"/>
    <s v="Dec-2020"/>
  </r>
  <r>
    <x v="119"/>
    <s v="MNG"/>
    <x v="1"/>
    <x v="0"/>
    <x v="0"/>
    <s v="reported"/>
    <n v="1732.1869859999999"/>
    <n v="1359"/>
    <n v="-374.36826109999998"/>
    <n v="-2178.0613720000001"/>
    <n v="-2418.7902829999998"/>
    <n v="-1954.899394"/>
    <x v="118"/>
    <s v="Jan-2021"/>
  </r>
  <r>
    <x v="119"/>
    <s v="MNG"/>
    <x v="1"/>
    <x v="1"/>
    <x v="1"/>
    <s v="reported"/>
    <n v="1732.7393070000001"/>
    <n v="1461"/>
    <n v="-272.92058129999998"/>
    <n v="-2450.981953"/>
    <n v="-2711.7480209999999"/>
    <n v="-2204.8022270000001"/>
    <x v="118"/>
    <s v="Feb-2021"/>
  </r>
  <r>
    <x v="119"/>
    <s v="MNG"/>
    <x v="1"/>
    <x v="2"/>
    <x v="2"/>
    <s v="reported"/>
    <n v="1733.7329789999999"/>
    <n v="1631"/>
    <n v="-103.9142536"/>
    <n v="-2554.8962069999998"/>
    <n v="-2825.0549500000002"/>
    <n v="-2299.5340460000002"/>
    <x v="118"/>
    <s v="Mar-2021"/>
  </r>
  <r>
    <x v="119"/>
    <s v="MNG"/>
    <x v="1"/>
    <x v="3"/>
    <x v="3"/>
    <s v="reported"/>
    <n v="1737.897692"/>
    <n v="1753"/>
    <n v="13.921033380000001"/>
    <n v="-2540.9751729999998"/>
    <n v="-2810.9304569999999"/>
    <n v="-2273.1863480000002"/>
    <x v="118"/>
    <s v="Apr-2021"/>
  </r>
  <r>
    <x v="119"/>
    <s v="MNG"/>
    <x v="1"/>
    <x v="4"/>
    <x v="4"/>
    <s v="reported"/>
    <n v="1739.578984"/>
    <n v="1657"/>
    <n v="-83.760259000000005"/>
    <n v="-2624.7354319999999"/>
    <n v="-2916.3875349999998"/>
    <n v="-2335.0568109999999"/>
    <x v="118"/>
    <s v="May-2021"/>
  </r>
  <r>
    <x v="119"/>
    <s v="MNG"/>
    <x v="1"/>
    <x v="5"/>
    <x v="5"/>
    <s v="reported"/>
    <n v="1743.298499"/>
    <n v="2025"/>
    <n v="280.52022679999999"/>
    <n v="-2344.2152059999999"/>
    <n v="-2650.6162250000002"/>
    <n v="-2036.05701"/>
    <x v="118"/>
    <s v="Jun-2021"/>
  </r>
  <r>
    <x v="119"/>
    <s v="MNG"/>
    <x v="1"/>
    <x v="6"/>
    <x v="6"/>
    <s v="reported"/>
    <n v="1748.3632720000001"/>
    <n v="2148"/>
    <n v="398.45545320000002"/>
    <n v="-1945.7597519999999"/>
    <n v="-2275.0148009999998"/>
    <n v="-1632.6393969999999"/>
    <x v="118"/>
    <s v="Jul-2021"/>
  </r>
  <r>
    <x v="119"/>
    <s v="MNG"/>
    <x v="1"/>
    <x v="7"/>
    <x v="7"/>
    <s v="reported"/>
    <n v="1745.9943430000001"/>
    <n v="1982"/>
    <n v="234.82438260000001"/>
    <n v="-1710.9353699999999"/>
    <n v="-2053.0989519999998"/>
    <n v="-1389.5060739999999"/>
    <x v="118"/>
    <s v="Aug-2021"/>
  </r>
  <r>
    <x v="119"/>
    <s v="MNG"/>
    <x v="1"/>
    <x v="8"/>
    <x v="8"/>
    <s v="reported"/>
    <n v="1749.7164680000001"/>
    <n v="2393"/>
    <n v="642.10225700000001"/>
    <n v="-1068.8331129999999"/>
    <n v="-1410.0436139999999"/>
    <n v="-729.42730010000002"/>
    <x v="118"/>
    <s v="Sep-2021"/>
  </r>
  <r>
    <x v="119"/>
    <s v="MNG"/>
    <x v="1"/>
    <x v="9"/>
    <x v="9"/>
    <s v="reported"/>
    <n v="1750.7134940000001"/>
    <n v="2719"/>
    <n v="967.105231"/>
    <n v="-101.72788180000001"/>
    <n v="-448.72517900000003"/>
    <n v="236.8671434"/>
    <x v="118"/>
    <s v="Oct-2021"/>
  </r>
  <r>
    <x v="119"/>
    <s v="MNG"/>
    <x v="1"/>
    <x v="10"/>
    <x v="10"/>
    <s v="reported"/>
    <n v="1754.2068469999999"/>
    <n v="2303"/>
    <n v="547.61187829999994"/>
    <n v="445.88399650000002"/>
    <n v="93.205159609999995"/>
    <n v="817.70205550000003"/>
    <x v="118"/>
    <s v="Nov-2021"/>
  </r>
  <r>
    <x v="119"/>
    <s v="MNG"/>
    <x v="1"/>
    <x v="11"/>
    <x v="11"/>
    <s v="reported"/>
    <n v="1756.5287780000001"/>
    <n v="2108"/>
    <n v="350.28994729999999"/>
    <n v="796.17394379999996"/>
    <n v="420.75879609999998"/>
    <n v="1169.427731"/>
    <x v="118"/>
    <s v="Dec-2021"/>
  </r>
  <r>
    <x v="120"/>
    <s v="MOZ"/>
    <x v="0"/>
    <x v="0"/>
    <x v="0"/>
    <s v="predicted"/>
    <n v="23467.37974"/>
    <n v="23928.435000000001"/>
    <n v="461.05525640000002"/>
    <n v="461.05525640000002"/>
    <n v="-5627.2550799999999"/>
    <n v="7262.8676960000003"/>
    <x v="119"/>
    <s v="Jan-2020"/>
  </r>
  <r>
    <x v="120"/>
    <s v="MOZ"/>
    <x v="0"/>
    <x v="1"/>
    <x v="1"/>
    <s v="predicted"/>
    <n v="23458.570240000001"/>
    <n v="23387.413"/>
    <n v="-71.157237879999997"/>
    <n v="389.89801849999998"/>
    <n v="-8029.5548740000004"/>
    <n v="10266.693219999999"/>
    <x v="119"/>
    <s v="Feb-2020"/>
  </r>
  <r>
    <x v="120"/>
    <s v="MOZ"/>
    <x v="0"/>
    <x v="2"/>
    <x v="2"/>
    <s v="predicted"/>
    <n v="23545.747650000001"/>
    <n v="23906.482"/>
    <n v="360.73435260000002"/>
    <n v="750.63237119999997"/>
    <n v="-9940.6451649999999"/>
    <n v="12645.70478"/>
    <x v="119"/>
    <s v="Mar-2020"/>
  </r>
  <r>
    <x v="120"/>
    <s v="MOZ"/>
    <x v="0"/>
    <x v="3"/>
    <x v="3"/>
    <s v="predicted"/>
    <n v="23656.90869"/>
    <n v="22321.797999999999"/>
    <n v="-1335.1106890000001"/>
    <n v="-584.47831740000004"/>
    <n v="-12781.65785"/>
    <n v="12358.28802"/>
    <x v="119"/>
    <s v="Apr-2020"/>
  </r>
  <r>
    <x v="120"/>
    <s v="MOZ"/>
    <x v="0"/>
    <x v="4"/>
    <x v="4"/>
    <s v="predicted"/>
    <n v="24021.245070000001"/>
    <n v="23296.583999999999"/>
    <n v="-724.66107460000001"/>
    <n v="-1309.139392"/>
    <n v="-15220.45765"/>
    <n v="14050.439039999999"/>
    <x v="119"/>
    <s v="May-2020"/>
  </r>
  <r>
    <x v="120"/>
    <s v="MOZ"/>
    <x v="0"/>
    <x v="5"/>
    <x v="5"/>
    <s v="predicted"/>
    <n v="24261.909500000002"/>
    <n v="23864.223000000002"/>
    <n v="-397.68650100000002"/>
    <n v="-1706.825893"/>
    <n v="-16639.369149999999"/>
    <n v="14650.167079999999"/>
    <x v="119"/>
    <s v="Jun-2020"/>
  </r>
  <r>
    <x v="120"/>
    <s v="MOZ"/>
    <x v="0"/>
    <x v="6"/>
    <x v="6"/>
    <s v="predicted"/>
    <n v="24408.265609999999"/>
    <n v="25120.04"/>
    <n v="711.77439400000003"/>
    <n v="-995.05149900000004"/>
    <n v="-17611.083259999999"/>
    <n v="16330.47438"/>
    <x v="119"/>
    <s v="Jul-2020"/>
  </r>
  <r>
    <x v="120"/>
    <s v="MOZ"/>
    <x v="0"/>
    <x v="7"/>
    <x v="7"/>
    <s v="predicted"/>
    <n v="24153.576239999999"/>
    <n v="25680.883999999998"/>
    <n v="1527.3077639999999"/>
    <n v="532.25626509999995"/>
    <n v="-17799.70016"/>
    <n v="19165.88913"/>
    <x v="119"/>
    <s v="Aug-2020"/>
  </r>
  <r>
    <x v="120"/>
    <s v="MOZ"/>
    <x v="0"/>
    <x v="8"/>
    <x v="8"/>
    <s v="predicted"/>
    <n v="23893.1152"/>
    <n v="26262.202000000001"/>
    <n v="2369.0867990000002"/>
    <n v="2901.3430640000001"/>
    <n v="-15913.23328"/>
    <n v="23158.821169999999"/>
    <x v="119"/>
    <s v="Sep-2020"/>
  </r>
  <r>
    <x v="120"/>
    <s v="MOZ"/>
    <x v="0"/>
    <x v="9"/>
    <x v="9"/>
    <s v="predicted"/>
    <n v="23615.064139999999"/>
    <n v="24735.391"/>
    <n v="1120.326859"/>
    <n v="4021.6699229999999"/>
    <n v="-15978.270060000001"/>
    <n v="24643.25215"/>
    <x v="119"/>
    <s v="Oct-2020"/>
  </r>
  <r>
    <x v="120"/>
    <s v="MOZ"/>
    <x v="0"/>
    <x v="10"/>
    <x v="10"/>
    <s v="predicted"/>
    <n v="23325.73315"/>
    <n v="24271.654999999999"/>
    <n v="945.92185440000003"/>
    <n v="4967.591778"/>
    <n v="-15744.07985"/>
    <n v="26360.737440000001"/>
    <x v="119"/>
    <s v="Nov-2020"/>
  </r>
  <r>
    <x v="120"/>
    <s v="MOZ"/>
    <x v="0"/>
    <x v="11"/>
    <x v="11"/>
    <s v="predicted"/>
    <n v="23481.03889"/>
    <n v="24560.27"/>
    <n v="1079.2311130000001"/>
    <n v="6046.8228909999998"/>
    <n v="-15931.92366"/>
    <n v="28114.092390000002"/>
    <x v="119"/>
    <s v="Dec-2020"/>
  </r>
  <r>
    <x v="120"/>
    <s v="MOZ"/>
    <x v="1"/>
    <x v="0"/>
    <x v="0"/>
    <s v="predicted"/>
    <n v="23595.211340000002"/>
    <n v="27836.571"/>
    <n v="4241.3596559999996"/>
    <n v="10288.18255"/>
    <n v="-11891.18471"/>
    <n v="33355.40726"/>
    <x v="119"/>
    <s v="Jan-2021"/>
  </r>
  <r>
    <x v="120"/>
    <s v="MOZ"/>
    <x v="1"/>
    <x v="1"/>
    <x v="1"/>
    <s v="predicted"/>
    <n v="23582.133730000001"/>
    <n v="28017.47"/>
    <n v="4435.3362690000004"/>
    <n v="14723.518819999999"/>
    <n v="-9755.3394929999995"/>
    <n v="40317.290500000003"/>
    <x v="119"/>
    <s v="Feb-2021"/>
  </r>
  <r>
    <x v="120"/>
    <s v="MOZ"/>
    <x v="1"/>
    <x v="2"/>
    <x v="2"/>
    <s v="predicted"/>
    <n v="23678.542959999999"/>
    <n v="26517.792000000001"/>
    <n v="2839.2490429999998"/>
    <n v="17562.76786"/>
    <n v="-8209.0567350000001"/>
    <n v="42914.994019999998"/>
    <x v="119"/>
    <s v="Mar-2021"/>
  </r>
  <r>
    <x v="120"/>
    <s v="MOZ"/>
    <x v="1"/>
    <x v="3"/>
    <x v="3"/>
    <s v="predicted"/>
    <n v="23806.01339"/>
    <n v="24557.789000000001"/>
    <n v="751.77560540000002"/>
    <n v="18314.543460000001"/>
    <n v="-8802.1149580000001"/>
    <n v="45356.88409"/>
    <x v="119"/>
    <s v="Apr-2021"/>
  </r>
  <r>
    <x v="120"/>
    <s v="MOZ"/>
    <x v="1"/>
    <x v="4"/>
    <x v="4"/>
    <s v="predicted"/>
    <n v="24161.609100000001"/>
    <n v="24109.286"/>
    <n v="-52.323100699999998"/>
    <n v="18262.220359999999"/>
    <n v="-9579.075272"/>
    <n v="44787.205600000001"/>
    <x v="119"/>
    <s v="May-2021"/>
  </r>
  <r>
    <x v="120"/>
    <s v="MOZ"/>
    <x v="1"/>
    <x v="5"/>
    <x v="5"/>
    <s v="predicted"/>
    <n v="24394.728210000001"/>
    <n v="24898.134999999998"/>
    <n v="503.40678739999998"/>
    <n v="18765.62715"/>
    <n v="-11466.25382"/>
    <n v="46587.124940000002"/>
    <x v="119"/>
    <s v="Jun-2021"/>
  </r>
  <r>
    <x v="120"/>
    <s v="MOZ"/>
    <x v="1"/>
    <x v="6"/>
    <x v="6"/>
    <s v="predicted"/>
    <n v="24555.330870000002"/>
    <n v="30880.608"/>
    <n v="6325.2771300000004"/>
    <n v="25090.904279999999"/>
    <n v="-6086.8133340000004"/>
    <n v="55635.726929999997"/>
    <x v="119"/>
    <s v="Jul-2021"/>
  </r>
  <r>
    <x v="120"/>
    <s v="MOZ"/>
    <x v="1"/>
    <x v="7"/>
    <x v="7"/>
    <s v="predicted"/>
    <n v="24290.813440000002"/>
    <n v="29426.82"/>
    <n v="5136.0065549999999"/>
    <n v="30226.91084"/>
    <n v="-2033.126258"/>
    <n v="60656.491179999997"/>
    <x v="119"/>
    <s v="Aug-2021"/>
  </r>
  <r>
    <x v="120"/>
    <s v="MOZ"/>
    <x v="1"/>
    <x v="8"/>
    <x v="8"/>
    <s v="predicted"/>
    <n v="24026.598239999999"/>
    <n v="25505.294999999998"/>
    <n v="1478.696764"/>
    <n v="31705.607599999999"/>
    <n v="-1650.433941"/>
    <n v="63324.6973"/>
    <x v="119"/>
    <s v="Sep-2021"/>
  </r>
  <r>
    <x v="120"/>
    <s v="MOZ"/>
    <x v="1"/>
    <x v="9"/>
    <x v="9"/>
    <s v="predicted"/>
    <n v="23746.609420000001"/>
    <n v="23920.319"/>
    <n v="173.7095836"/>
    <n v="31879.317179999998"/>
    <n v="-775.3726643"/>
    <n v="64546.270960000002"/>
    <x v="119"/>
    <s v="Oct-2021"/>
  </r>
  <r>
    <x v="120"/>
    <s v="MOZ"/>
    <x v="1"/>
    <x v="10"/>
    <x v="10"/>
    <s v="predicted"/>
    <n v="23450.165489999999"/>
    <n v="23889.244999999999"/>
    <n v="439.07950510000001"/>
    <n v="32318.396690000001"/>
    <n v="-2592.5225380000002"/>
    <n v="66105.800059999994"/>
    <x v="119"/>
    <s v="Nov-2021"/>
  </r>
  <r>
    <x v="120"/>
    <s v="MOZ"/>
    <x v="1"/>
    <x v="11"/>
    <x v="11"/>
    <s v="predicted"/>
    <n v="23619.476930000001"/>
    <n v="26949.194"/>
    <n v="3329.717075"/>
    <n v="35648.11376"/>
    <n v="246.14562100000001"/>
    <n v="68527.552979999993"/>
    <x v="119"/>
    <s v="Dec-2021"/>
  </r>
  <r>
    <x v="121"/>
    <s v="MRT"/>
    <x v="0"/>
    <x v="0"/>
    <x v="0"/>
    <s v="predicted"/>
    <n v="2310.2505609999998"/>
    <n v="2394.1799999999998"/>
    <n v="83.929438840000003"/>
    <n v="83.929438840000003"/>
    <n v="-509.14135959999999"/>
    <n v="741.96786210000005"/>
    <x v="120"/>
    <s v="Jan-2020"/>
  </r>
  <r>
    <x v="121"/>
    <s v="MRT"/>
    <x v="0"/>
    <x v="1"/>
    <x v="1"/>
    <s v="predicted"/>
    <n v="2258.661454"/>
    <n v="2259.1030000000001"/>
    <n v="0.44154638099999999"/>
    <n v="84.370985219999994"/>
    <n v="-749.35688479999999"/>
    <n v="1040.71478"/>
    <x v="120"/>
    <s v="Feb-2020"/>
  </r>
  <r>
    <x v="121"/>
    <s v="MRT"/>
    <x v="0"/>
    <x v="2"/>
    <x v="2"/>
    <s v="predicted"/>
    <n v="2236.6117429999999"/>
    <n v="2907.47"/>
    <n v="670.85825690000001"/>
    <n v="755.22924209999996"/>
    <n v="-364.36998849999998"/>
    <n v="1948.2285589999999"/>
    <x v="120"/>
    <s v="Mar-2020"/>
  </r>
  <r>
    <x v="121"/>
    <s v="MRT"/>
    <x v="0"/>
    <x v="3"/>
    <x v="3"/>
    <s v="predicted"/>
    <n v="2190.723497"/>
    <n v="2019.528"/>
    <n v="-171.19549699999999"/>
    <n v="584.03374510000003"/>
    <n v="-615.87226629999998"/>
    <n v="1969.9947"/>
    <x v="120"/>
    <s v="Apr-2020"/>
  </r>
  <r>
    <x v="121"/>
    <s v="MRT"/>
    <x v="0"/>
    <x v="4"/>
    <x v="4"/>
    <s v="predicted"/>
    <n v="2149.3615770000001"/>
    <n v="2319.0169999999998"/>
    <n v="169.6554228"/>
    <n v="753.68916790000003"/>
    <n v="-636.99981400000001"/>
    <n v="2286.4231970000001"/>
    <x v="120"/>
    <s v="May-2020"/>
  </r>
  <r>
    <x v="121"/>
    <s v="MRT"/>
    <x v="0"/>
    <x v="5"/>
    <x v="5"/>
    <s v="predicted"/>
    <n v="2128.7629870000001"/>
    <n v="2727.971"/>
    <n v="599.20801259999996"/>
    <n v="1352.897181"/>
    <n v="-248.36624399999999"/>
    <n v="3088.1128279999998"/>
    <x v="120"/>
    <s v="Jun-2020"/>
  </r>
  <r>
    <x v="121"/>
    <s v="MRT"/>
    <x v="0"/>
    <x v="6"/>
    <x v="6"/>
    <s v="predicted"/>
    <n v="2134.5283030000001"/>
    <n v="2524.0509999999999"/>
    <n v="389.52269719999998"/>
    <n v="1742.4198779999999"/>
    <n v="-34.029917079999997"/>
    <n v="3770.5583660000002"/>
    <x v="120"/>
    <s v="Jul-2020"/>
  </r>
  <r>
    <x v="121"/>
    <s v="MRT"/>
    <x v="0"/>
    <x v="7"/>
    <x v="7"/>
    <s v="predicted"/>
    <n v="2145.3870240000001"/>
    <n v="2309.1790000000001"/>
    <n v="163.7919756"/>
    <n v="1906.211853"/>
    <n v="37.988796280000003"/>
    <n v="4034.3514810000001"/>
    <x v="120"/>
    <s v="Aug-2020"/>
  </r>
  <r>
    <x v="121"/>
    <s v="MRT"/>
    <x v="0"/>
    <x v="8"/>
    <x v="8"/>
    <s v="predicted"/>
    <n v="2163.5967850000002"/>
    <n v="2206.5549999999998"/>
    <n v="42.958214730000002"/>
    <n v="1949.1700679999999"/>
    <n v="-33.897635940000001"/>
    <n v="4030.6316040000002"/>
    <x v="120"/>
    <s v="Sep-2020"/>
  </r>
  <r>
    <x v="121"/>
    <s v="MRT"/>
    <x v="0"/>
    <x v="9"/>
    <x v="9"/>
    <s v="predicted"/>
    <n v="2187.1053910000001"/>
    <n v="2124.6889999999999"/>
    <n v="-62.41639138"/>
    <n v="1886.7536769999999"/>
    <n v="-102.6159401"/>
    <n v="4091.6792340000002"/>
    <x v="120"/>
    <s v="Oct-2020"/>
  </r>
  <r>
    <x v="121"/>
    <s v="MRT"/>
    <x v="0"/>
    <x v="10"/>
    <x v="10"/>
    <s v="predicted"/>
    <n v="2246.9473149999999"/>
    <n v="2297.7150000000001"/>
    <n v="50.767685450000002"/>
    <n v="1937.521362"/>
    <n v="-168.2847184"/>
    <n v="4233.3146219999999"/>
    <x v="120"/>
    <s v="Nov-2020"/>
  </r>
  <r>
    <x v="121"/>
    <s v="MRT"/>
    <x v="0"/>
    <x v="11"/>
    <x v="11"/>
    <s v="predicted"/>
    <n v="2296.6147810000002"/>
    <n v="2484.6959999999999"/>
    <n v="188.0812191"/>
    <n v="2125.6025810000001"/>
    <n v="-15.113824620000001"/>
    <n v="4485.1349630000004"/>
    <x v="120"/>
    <s v="Dec-2020"/>
  </r>
  <r>
    <x v="121"/>
    <s v="MRT"/>
    <x v="1"/>
    <x v="0"/>
    <x v="0"/>
    <s v="predicted"/>
    <n v="2328.6210679999999"/>
    <n v="2614.6370000000002"/>
    <n v="286.01593209999999"/>
    <n v="2411.6185129999999"/>
    <n v="132.61165779999999"/>
    <n v="4772.7396150000004"/>
    <x v="120"/>
    <s v="Jan-2021"/>
  </r>
  <r>
    <x v="121"/>
    <s v="MRT"/>
    <x v="1"/>
    <x v="1"/>
    <x v="1"/>
    <s v="predicted"/>
    <n v="2276.5121020000001"/>
    <n v="2418.15"/>
    <n v="141.6378982"/>
    <n v="2553.2564120000002"/>
    <n v="45.45835864"/>
    <n v="5035.5823440000004"/>
    <x v="120"/>
    <s v="Feb-2021"/>
  </r>
  <r>
    <x v="121"/>
    <s v="MRT"/>
    <x v="1"/>
    <x v="2"/>
    <x v="2"/>
    <s v="predicted"/>
    <n v="2254.5533329999998"/>
    <n v="2349.5940000000001"/>
    <n v="95.040667069999998"/>
    <n v="2648.2970789999999"/>
    <n v="195.29440539999999"/>
    <n v="5255.7454820000003"/>
    <x v="120"/>
    <s v="Mar-2021"/>
  </r>
  <r>
    <x v="121"/>
    <s v="MRT"/>
    <x v="1"/>
    <x v="3"/>
    <x v="3"/>
    <s v="predicted"/>
    <n v="2206.471798"/>
    <n v="2300.1469999999999"/>
    <n v="93.675202350000006"/>
    <n v="2741.9722809999998"/>
    <n v="86.085960700000001"/>
    <n v="5360.4915469999996"/>
    <x v="120"/>
    <s v="Apr-2021"/>
  </r>
  <r>
    <x v="121"/>
    <s v="MRT"/>
    <x v="1"/>
    <x v="4"/>
    <x v="4"/>
    <s v="predicted"/>
    <n v="2166.768908"/>
    <n v="2304.35"/>
    <n v="137.58109229999999"/>
    <n v="2879.5533730000002"/>
    <n v="95.798912380000004"/>
    <n v="5623.3682749999998"/>
    <x v="120"/>
    <s v="May-2021"/>
  </r>
  <r>
    <x v="121"/>
    <s v="MRT"/>
    <x v="1"/>
    <x v="5"/>
    <x v="5"/>
    <s v="predicted"/>
    <n v="2146.4767870000001"/>
    <n v="2322.8980000000001"/>
    <n v="176.42121349999999"/>
    <n v="3055.9745870000002"/>
    <n v="205.94613150000001"/>
    <n v="5793.4296759999997"/>
    <x v="120"/>
    <s v="Jun-2021"/>
  </r>
  <r>
    <x v="121"/>
    <s v="MRT"/>
    <x v="1"/>
    <x v="6"/>
    <x v="6"/>
    <s v="predicted"/>
    <n v="2149.74478"/>
    <n v="2508.3960000000002"/>
    <n v="358.65122009999999"/>
    <n v="3414.6258069999999"/>
    <n v="489.03707259999999"/>
    <n v="6161.6043579999996"/>
    <x v="120"/>
    <s v="Jul-2021"/>
  </r>
  <r>
    <x v="121"/>
    <s v="MRT"/>
    <x v="1"/>
    <x v="7"/>
    <x v="7"/>
    <s v="predicted"/>
    <n v="2161.8342210000001"/>
    <n v="2786.6610000000001"/>
    <n v="624.82677880000006"/>
    <n v="4039.4525859999999"/>
    <n v="1016.348057"/>
    <n v="7072.4595140000001"/>
    <x v="120"/>
    <s v="Aug-2021"/>
  </r>
  <r>
    <x v="121"/>
    <s v="MRT"/>
    <x v="1"/>
    <x v="8"/>
    <x v="8"/>
    <s v="predicted"/>
    <n v="2180.6111350000001"/>
    <n v="2408.2080000000001"/>
    <n v="227.5968647"/>
    <n v="4267.0494500000004"/>
    <n v="1185.3236830000001"/>
    <n v="7541.9614519999996"/>
    <x v="120"/>
    <s v="Sep-2021"/>
  </r>
  <r>
    <x v="121"/>
    <s v="MRT"/>
    <x v="1"/>
    <x v="9"/>
    <x v="9"/>
    <s v="predicted"/>
    <n v="2205.5355880000002"/>
    <n v="2253.2489999999998"/>
    <n v="47.71341185"/>
    <n v="4314.7628619999996"/>
    <n v="1259.0912639999999"/>
    <n v="7653.3394159999998"/>
    <x v="120"/>
    <s v="Oct-2021"/>
  </r>
  <r>
    <x v="121"/>
    <s v="MRT"/>
    <x v="1"/>
    <x v="10"/>
    <x v="10"/>
    <s v="predicted"/>
    <n v="2265.7706450000001"/>
    <n v="2392.9470000000001"/>
    <n v="127.17635490000001"/>
    <n v="4441.9392170000001"/>
    <n v="1303.6311860000001"/>
    <n v="7712.5139019999997"/>
    <x v="120"/>
    <s v="Nov-2021"/>
  </r>
  <r>
    <x v="121"/>
    <s v="MRT"/>
    <x v="1"/>
    <x v="11"/>
    <x v="11"/>
    <s v="predicted"/>
    <n v="2313.8541839999998"/>
    <n v="2430.6610000000001"/>
    <n v="116.80681629999999"/>
    <n v="4558.7460339999998"/>
    <n v="1398.2539859999999"/>
    <n v="7699.8642680000003"/>
    <x v="120"/>
    <s v="Dec-2021"/>
  </r>
  <r>
    <x v="122"/>
    <s v="MUS"/>
    <x v="0"/>
    <x v="0"/>
    <x v="0"/>
    <s v="reported"/>
    <n v="950.48900070000002"/>
    <n v="965"/>
    <n v="14.34433261"/>
    <n v="14.34433261"/>
    <n v="-24.366223170000001"/>
    <n v="52.944428819999999"/>
    <x v="121"/>
    <s v="Jan-2020"/>
  </r>
  <r>
    <x v="122"/>
    <s v="MUS"/>
    <x v="0"/>
    <x v="1"/>
    <x v="1"/>
    <s v="reported"/>
    <n v="882.21776399999999"/>
    <n v="845"/>
    <n v="-37.384430620000003"/>
    <n v="-23.040098010000001"/>
    <n v="-81.564941759999996"/>
    <n v="36.490245629999997"/>
    <x v="121"/>
    <s v="Feb-2020"/>
  </r>
  <r>
    <x v="122"/>
    <s v="MUS"/>
    <x v="0"/>
    <x v="2"/>
    <x v="2"/>
    <s v="reported"/>
    <n v="959.4905503"/>
    <n v="929"/>
    <n v="-30.657216949999999"/>
    <n v="-53.697314949999999"/>
    <n v="-131.917248"/>
    <n v="29.049681660000001"/>
    <x v="121"/>
    <s v="Mar-2020"/>
  </r>
  <r>
    <x v="122"/>
    <s v="MUS"/>
    <x v="0"/>
    <x v="3"/>
    <x v="3"/>
    <s v="reported"/>
    <n v="894.67652580000004"/>
    <n v="850"/>
    <n v="-44.843192479999999"/>
    <n v="-98.540507430000005"/>
    <n v="-184.94391540000001"/>
    <n v="-4.6280301279999998"/>
    <x v="121"/>
    <s v="Apr-2020"/>
  </r>
  <r>
    <x v="122"/>
    <s v="MUS"/>
    <x v="0"/>
    <x v="4"/>
    <x v="4"/>
    <s v="reported"/>
    <n v="915.64317119999998"/>
    <n v="893"/>
    <n v="-22.809837859999998"/>
    <n v="-121.3503453"/>
    <n v="-218.5966056"/>
    <n v="-14.289845"/>
    <x v="121"/>
    <s v="May-2020"/>
  </r>
  <r>
    <x v="122"/>
    <s v="MUS"/>
    <x v="0"/>
    <x v="5"/>
    <x v="5"/>
    <s v="reported"/>
    <n v="907.77183920000004"/>
    <n v="910"/>
    <n v="2.0614941739999999"/>
    <n v="-119.2888511"/>
    <n v="-223.83274950000001"/>
    <n v="-6.0804743380000001"/>
    <x v="121"/>
    <s v="Jun-2020"/>
  </r>
  <r>
    <x v="122"/>
    <s v="MUS"/>
    <x v="0"/>
    <x v="6"/>
    <x v="6"/>
    <s v="reported"/>
    <n v="1072.6914870000001"/>
    <n v="1006"/>
    <n v="-66.858153869999995"/>
    <n v="-186.14700500000001"/>
    <n v="-314.89101920000002"/>
    <n v="-61.107654969999999"/>
    <x v="121"/>
    <s v="Jul-2020"/>
  </r>
  <r>
    <x v="122"/>
    <s v="MUS"/>
    <x v="0"/>
    <x v="7"/>
    <x v="7"/>
    <s v="reported"/>
    <n v="1032.380128"/>
    <n v="1002"/>
    <n v="-30.546794370000001"/>
    <n v="-216.69379939999999"/>
    <n v="-354.073576"/>
    <n v="-83.519591199999994"/>
    <x v="121"/>
    <s v="Aug-2020"/>
  </r>
  <r>
    <x v="122"/>
    <s v="MUS"/>
    <x v="0"/>
    <x v="8"/>
    <x v="8"/>
    <s v="reported"/>
    <n v="994.19908480000004"/>
    <n v="906"/>
    <n v="-88.365751470000006"/>
    <n v="-305.05955080000001"/>
    <n v="-450.07242380000002"/>
    <n v="-161.24346689999999"/>
    <x v="121"/>
    <s v="Sep-2020"/>
  </r>
  <r>
    <x v="122"/>
    <s v="MUS"/>
    <x v="0"/>
    <x v="9"/>
    <x v="9"/>
    <s v="reported"/>
    <n v="944.70544389999998"/>
    <n v="932"/>
    <n v="-12.87211054"/>
    <n v="-317.9316614"/>
    <n v="-469.2216507"/>
    <n v="-167.20979030000001"/>
    <x v="121"/>
    <s v="Oct-2020"/>
  </r>
  <r>
    <x v="122"/>
    <s v="MUS"/>
    <x v="0"/>
    <x v="10"/>
    <x v="10"/>
    <s v="reported"/>
    <n v="903.34576809999999"/>
    <n v="899"/>
    <n v="-4.5124347680000003"/>
    <n v="-322.44409610000002"/>
    <n v="-480.7208948"/>
    <n v="-169.66209910000001"/>
    <x v="121"/>
    <s v="Nov-2020"/>
  </r>
  <r>
    <x v="122"/>
    <s v="MUS"/>
    <x v="0"/>
    <x v="11"/>
    <x v="11"/>
    <s v="reported"/>
    <n v="979.49232219999999"/>
    <n v="923"/>
    <n v="-56.658988880000003"/>
    <n v="-379.10308500000002"/>
    <n v="-539.65763219999997"/>
    <n v="-220.56043750000001"/>
    <x v="121"/>
    <s v="Dec-2020"/>
  </r>
  <r>
    <x v="122"/>
    <s v="MUS"/>
    <x v="1"/>
    <x v="0"/>
    <x v="0"/>
    <s v="reported"/>
    <n v="982.37089860000003"/>
    <n v="955"/>
    <n v="-27.53756525"/>
    <n v="-406.6406503"/>
    <n v="-580.82924519999995"/>
    <n v="-239.4023019"/>
    <x v="121"/>
    <s v="Jan-2021"/>
  </r>
  <r>
    <x v="122"/>
    <s v="MUS"/>
    <x v="1"/>
    <x v="1"/>
    <x v="1"/>
    <s v="reported"/>
    <n v="909.90207980000002"/>
    <n v="853"/>
    <n v="-57.068746439999998"/>
    <n v="-463.70939670000001"/>
    <n v="-636.2622963"/>
    <n v="-282.10347050000001"/>
    <x v="121"/>
    <s v="Feb-2021"/>
  </r>
  <r>
    <x v="122"/>
    <s v="MUS"/>
    <x v="1"/>
    <x v="2"/>
    <x v="2"/>
    <s v="reported"/>
    <n v="989.46419300000002"/>
    <n v="952"/>
    <n v="-37.630859690000001"/>
    <n v="-501.34025639999999"/>
    <n v="-687.22646229999998"/>
    <n v="-313.42615269999999"/>
    <x v="121"/>
    <s v="Mar-2021"/>
  </r>
  <r>
    <x v="122"/>
    <s v="MUS"/>
    <x v="1"/>
    <x v="3"/>
    <x v="3"/>
    <s v="reported"/>
    <n v="923.7311469"/>
    <n v="864"/>
    <n v="-59.897813569999997"/>
    <n v="-561.23806999999999"/>
    <n v="-754.96166909999999"/>
    <n v="-381.13863329999998"/>
    <x v="121"/>
    <s v="Apr-2021"/>
  </r>
  <r>
    <x v="122"/>
    <s v="MUS"/>
    <x v="1"/>
    <x v="4"/>
    <x v="4"/>
    <s v="reported"/>
    <n v="947.51646860000005"/>
    <n v="888"/>
    <n v="-59.683135270000001"/>
    <n v="-620.92120520000003"/>
    <n v="-830.81469379999999"/>
    <n v="-431.62682769999998"/>
    <x v="121"/>
    <s v="May-2021"/>
  </r>
  <r>
    <x v="122"/>
    <s v="MUS"/>
    <x v="1"/>
    <x v="5"/>
    <x v="5"/>
    <s v="reported"/>
    <n v="938.04868950000002"/>
    <n v="952"/>
    <n v="13.7846438"/>
    <n v="-607.13656140000001"/>
    <n v="-822.96316750000005"/>
    <n v="-398.64111530000002"/>
    <x v="121"/>
    <s v="Jun-2021"/>
  </r>
  <r>
    <x v="122"/>
    <s v="MUS"/>
    <x v="1"/>
    <x v="6"/>
    <x v="6"/>
    <s v="reported"/>
    <n v="1104.9064920000001"/>
    <n v="1012"/>
    <n v="-93.073158550000002"/>
    <n v="-700.20971999999995"/>
    <n v="-918.67221810000001"/>
    <n v="-497.87883049999999"/>
    <x v="121"/>
    <s v="Jul-2021"/>
  </r>
  <r>
    <x v="122"/>
    <s v="MUS"/>
    <x v="1"/>
    <x v="7"/>
    <x v="7"/>
    <s v="reported"/>
    <n v="1065.315124"/>
    <n v="1178"/>
    <n v="112.5182093"/>
    <n v="-587.69151069999998"/>
    <n v="-813.34413810000001"/>
    <n v="-373.51327409999999"/>
    <x v="121"/>
    <s v="Aug-2021"/>
  </r>
  <r>
    <x v="122"/>
    <s v="MUS"/>
    <x v="1"/>
    <x v="8"/>
    <x v="8"/>
    <s v="reported"/>
    <n v="1029.2083479999999"/>
    <n v="1203"/>
    <n v="173.6249851"/>
    <n v="-414.06652559999998"/>
    <n v="-652.65620560000002"/>
    <n v="-200.03460659999999"/>
    <x v="121"/>
    <s v="Sep-2021"/>
  </r>
  <r>
    <x v="122"/>
    <s v="MUS"/>
    <x v="1"/>
    <x v="9"/>
    <x v="9"/>
    <s v="reported"/>
    <n v="974.34958640000002"/>
    <n v="1220"/>
    <n v="245.4837469"/>
    <n v="-168.58277870000001"/>
    <n v="-410.01625159999998"/>
    <n v="58.432854740000003"/>
    <x v="121"/>
    <s v="Oct-2021"/>
  </r>
  <r>
    <x v="122"/>
    <s v="MUS"/>
    <x v="1"/>
    <x v="10"/>
    <x v="10"/>
    <s v="reported"/>
    <n v="933.40341430000001"/>
    <n v="1761"/>
    <n v="827.42991910000001"/>
    <n v="658.84714029999998"/>
    <n v="407.72883880000001"/>
    <n v="888.56471250000004"/>
    <x v="121"/>
    <s v="Nov-2021"/>
  </r>
  <r>
    <x v="122"/>
    <s v="MUS"/>
    <x v="1"/>
    <x v="11"/>
    <x v="11"/>
    <s v="reported"/>
    <n v="1010.91326"/>
    <n v="1436"/>
    <n v="424.92007360000002"/>
    <n v="1083.767214"/>
    <n v="836.55561009999997"/>
    <n v="1322.1067"/>
    <x v="121"/>
    <s v="Dec-2021"/>
  </r>
  <r>
    <x v="123"/>
    <s v="MWI"/>
    <x v="0"/>
    <x v="0"/>
    <x v="0"/>
    <s v="predicted"/>
    <n v="8851.0206610000005"/>
    <n v="9196.7060000000001"/>
    <n v="345.68533869999999"/>
    <n v="345.68533869999999"/>
    <n v="-1861.3974410000001"/>
    <n v="3307.7575649999999"/>
    <x v="122"/>
    <s v="Jan-2020"/>
  </r>
  <r>
    <x v="123"/>
    <s v="MWI"/>
    <x v="0"/>
    <x v="1"/>
    <x v="1"/>
    <s v="predicted"/>
    <n v="8836.0646899999992"/>
    <n v="8916.7749999999996"/>
    <n v="80.710309839999994"/>
    <n v="426.39564860000002"/>
    <n v="-2443.470343"/>
    <n v="4011.0587409999998"/>
    <x v="122"/>
    <s v="Feb-2020"/>
  </r>
  <r>
    <x v="123"/>
    <s v="MWI"/>
    <x v="0"/>
    <x v="2"/>
    <x v="2"/>
    <s v="predicted"/>
    <n v="8858.0980039999995"/>
    <n v="8808.9639999999999"/>
    <n v="-49.134003829999997"/>
    <n v="377.26164469999998"/>
    <n v="-3314.6911540000001"/>
    <n v="4692.5008250000001"/>
    <x v="122"/>
    <s v="Mar-2020"/>
  </r>
  <r>
    <x v="123"/>
    <s v="MWI"/>
    <x v="0"/>
    <x v="3"/>
    <x v="3"/>
    <s v="predicted"/>
    <n v="8870.3861699999998"/>
    <n v="8394.9380000000001"/>
    <n v="-475.44817019999999"/>
    <n v="-98.186525459999999"/>
    <n v="-4413.5579260000004"/>
    <n v="5155.8608240000003"/>
    <x v="122"/>
    <s v="Apr-2020"/>
  </r>
  <r>
    <x v="123"/>
    <s v="MWI"/>
    <x v="0"/>
    <x v="4"/>
    <x v="4"/>
    <s v="predicted"/>
    <n v="8990.7717260000009"/>
    <n v="8494.2289999999994"/>
    <n v="-496.54272600000002"/>
    <n v="-594.72925139999995"/>
    <n v="-5733.413466"/>
    <n v="5028.4190239999998"/>
    <x v="122"/>
    <s v="May-2020"/>
  </r>
  <r>
    <x v="123"/>
    <s v="MWI"/>
    <x v="0"/>
    <x v="5"/>
    <x v="5"/>
    <s v="predicted"/>
    <n v="9072.5881719999998"/>
    <n v="9059.2649999999994"/>
    <n v="-13.323172469999999"/>
    <n v="-608.05242390000001"/>
    <n v="-6286.5609599999998"/>
    <n v="5771.1488879999997"/>
    <x v="122"/>
    <s v="Jun-2020"/>
  </r>
  <r>
    <x v="123"/>
    <s v="MWI"/>
    <x v="0"/>
    <x v="6"/>
    <x v="6"/>
    <s v="predicted"/>
    <n v="9129.9589980000001"/>
    <n v="9955.1020000000008"/>
    <n v="825.14300160000005"/>
    <n v="217.09057770000001"/>
    <n v="-5894.3839740000003"/>
    <n v="7052.3710339999998"/>
    <x v="122"/>
    <s v="Jul-2020"/>
  </r>
  <r>
    <x v="123"/>
    <s v="MWI"/>
    <x v="0"/>
    <x v="7"/>
    <x v="7"/>
    <s v="predicted"/>
    <n v="9026.7165499999992"/>
    <n v="9653.7929999999997"/>
    <n v="627.07645019999995"/>
    <n v="844.16702789999999"/>
    <n v="-5514.6806980000001"/>
    <n v="7707.4380529999999"/>
    <x v="122"/>
    <s v="Aug-2020"/>
  </r>
  <r>
    <x v="123"/>
    <s v="MWI"/>
    <x v="0"/>
    <x v="8"/>
    <x v="8"/>
    <s v="predicted"/>
    <n v="8915.5899279999994"/>
    <n v="9104.7880000000005"/>
    <n v="189.198072"/>
    <n v="1033.3651"/>
    <n v="-5898.3391009999996"/>
    <n v="8447.9630359999992"/>
    <x v="122"/>
    <s v="Sep-2020"/>
  </r>
  <r>
    <x v="123"/>
    <s v="MWI"/>
    <x v="0"/>
    <x v="9"/>
    <x v="9"/>
    <s v="predicted"/>
    <n v="8783.5858850000004"/>
    <n v="8758.0059999999994"/>
    <n v="-25.579884929999999"/>
    <n v="1007.785215"/>
    <n v="-6406.6675670000004"/>
    <n v="8553.3802070000002"/>
    <x v="122"/>
    <s v="Oct-2020"/>
  </r>
  <r>
    <x v="123"/>
    <s v="MWI"/>
    <x v="0"/>
    <x v="10"/>
    <x v="10"/>
    <s v="predicted"/>
    <n v="8713.9305660000009"/>
    <n v="8557.6110000000008"/>
    <n v="-156.31956579999999"/>
    <n v="851.46564920000003"/>
    <n v="-6844.8414190000003"/>
    <n v="8296.3199299999997"/>
    <x v="122"/>
    <s v="Nov-2020"/>
  </r>
  <r>
    <x v="123"/>
    <s v="MWI"/>
    <x v="0"/>
    <x v="11"/>
    <x v="11"/>
    <s v="predicted"/>
    <n v="8838.2679059999991"/>
    <n v="8753.2209999999995"/>
    <n v="-85.046906149999998"/>
    <n v="766.41874310000003"/>
    <n v="-7315.8010709999999"/>
    <n v="8807.5716960000009"/>
    <x v="122"/>
    <s v="Dec-2020"/>
  </r>
  <r>
    <x v="123"/>
    <s v="MWI"/>
    <x v="1"/>
    <x v="0"/>
    <x v="0"/>
    <s v="predicted"/>
    <n v="8757.5353410000007"/>
    <n v="10925.739"/>
    <n v="2168.2036589999998"/>
    <n v="2934.622402"/>
    <n v="-5591.1895960000002"/>
    <n v="11800.901690000001"/>
    <x v="122"/>
    <s v="Jan-2021"/>
  </r>
  <r>
    <x v="123"/>
    <s v="MWI"/>
    <x v="1"/>
    <x v="1"/>
    <x v="1"/>
    <s v="predicted"/>
    <n v="8745.2707829999999"/>
    <n v="10426.290000000001"/>
    <n v="1681.019217"/>
    <n v="4615.641619"/>
    <n v="-4254.0104789999996"/>
    <n v="13927.58059"/>
    <x v="122"/>
    <s v="Feb-2021"/>
  </r>
  <r>
    <x v="123"/>
    <s v="MWI"/>
    <x v="1"/>
    <x v="2"/>
    <x v="2"/>
    <s v="predicted"/>
    <n v="8764.713248"/>
    <n v="9255.6440000000002"/>
    <n v="490.93075169999997"/>
    <n v="5106.5723699999999"/>
    <n v="-3839.6658090000001"/>
    <n v="14922.38479"/>
    <x v="122"/>
    <s v="Mar-2021"/>
  </r>
  <r>
    <x v="123"/>
    <s v="MWI"/>
    <x v="1"/>
    <x v="3"/>
    <x v="3"/>
    <s v="predicted"/>
    <n v="8783.4173630000005"/>
    <n v="8915.7669999999998"/>
    <n v="132.34963680000001"/>
    <n v="5238.9220070000001"/>
    <n v="-4049.9612160000001"/>
    <n v="15494.82552"/>
    <x v="122"/>
    <s v="Apr-2021"/>
  </r>
  <r>
    <x v="123"/>
    <s v="MWI"/>
    <x v="1"/>
    <x v="4"/>
    <x v="4"/>
    <s v="predicted"/>
    <n v="8901.8763290000006"/>
    <n v="8814.9590000000007"/>
    <n v="-86.917329170000002"/>
    <n v="5152.0046780000002"/>
    <n v="-4136.2817869999999"/>
    <n v="16110.35979"/>
    <x v="122"/>
    <s v="May-2021"/>
  </r>
  <r>
    <x v="123"/>
    <s v="MWI"/>
    <x v="1"/>
    <x v="5"/>
    <x v="5"/>
    <s v="predicted"/>
    <n v="8973.6852490000001"/>
    <n v="9311.2890000000007"/>
    <n v="337.60375149999999"/>
    <n v="5489.6084289999999"/>
    <n v="-4582.4791759999998"/>
    <n v="16396.816699999999"/>
    <x v="122"/>
    <s v="Jun-2021"/>
  </r>
  <r>
    <x v="123"/>
    <s v="MWI"/>
    <x v="1"/>
    <x v="6"/>
    <x v="6"/>
    <s v="predicted"/>
    <n v="9032.6738750000004"/>
    <n v="10952.403"/>
    <n v="1919.7291250000001"/>
    <n v="7409.3375539999997"/>
    <n v="-3091.7027090000001"/>
    <n v="19224.669010000001"/>
    <x v="122"/>
    <s v="Jul-2021"/>
  </r>
  <r>
    <x v="123"/>
    <s v="MWI"/>
    <x v="1"/>
    <x v="7"/>
    <x v="7"/>
    <s v="predicted"/>
    <n v="8929.5040289999997"/>
    <n v="11319.069"/>
    <n v="2389.5649709999998"/>
    <n v="9798.9025249999995"/>
    <n v="-1415.945303"/>
    <n v="21354.416659999999"/>
    <x v="122"/>
    <s v="Aug-2021"/>
  </r>
  <r>
    <x v="123"/>
    <s v="MWI"/>
    <x v="1"/>
    <x v="8"/>
    <x v="8"/>
    <s v="predicted"/>
    <n v="8826.7480959999994"/>
    <n v="9220.2970000000005"/>
    <n v="393.54890380000001"/>
    <n v="10192.451429999999"/>
    <n v="-1618.947236"/>
    <n v="22473.308239999998"/>
    <x v="122"/>
    <s v="Sep-2021"/>
  </r>
  <r>
    <x v="123"/>
    <s v="MWI"/>
    <x v="1"/>
    <x v="9"/>
    <x v="9"/>
    <s v="predicted"/>
    <n v="8693.1865140000009"/>
    <n v="8711.5879999999997"/>
    <n v="18.4014858"/>
    <n v="10210.85291"/>
    <n v="-1987.523731"/>
    <n v="22819.815310000002"/>
    <x v="122"/>
    <s v="Oct-2021"/>
  </r>
  <r>
    <x v="123"/>
    <s v="MWI"/>
    <x v="1"/>
    <x v="10"/>
    <x v="10"/>
    <s v="predicted"/>
    <n v="8625.7296819999992"/>
    <n v="8627.0310000000009"/>
    <n v="1.301318414"/>
    <n v="10212.15423"/>
    <n v="-2102.574122"/>
    <n v="22987.303339999999"/>
    <x v="122"/>
    <s v="Nov-2021"/>
  </r>
  <r>
    <x v="123"/>
    <s v="MWI"/>
    <x v="1"/>
    <x v="11"/>
    <x v="11"/>
    <s v="predicted"/>
    <n v="8740.8744150000002"/>
    <n v="9553.5660000000007"/>
    <n v="812.69158479999999"/>
    <n v="11024.84582"/>
    <n v="-1378.126737"/>
    <n v="24205.28124"/>
    <x v="122"/>
    <s v="Dec-2021"/>
  </r>
  <r>
    <x v="124"/>
    <s v="MYS"/>
    <x v="0"/>
    <x v="0"/>
    <x v="0"/>
    <s v="reported"/>
    <n v="15361.51633"/>
    <n v="16028"/>
    <n v="666.31700160000003"/>
    <n v="666.31700160000003"/>
    <n v="366.51798730000002"/>
    <n v="968.82995189999997"/>
    <x v="123"/>
    <s v="Jan-2020"/>
  </r>
  <r>
    <x v="124"/>
    <s v="MYS"/>
    <x v="0"/>
    <x v="1"/>
    <x v="1"/>
    <s v="reported"/>
    <n v="14435.81115"/>
    <n v="13827"/>
    <n v="-608.9778202"/>
    <n v="57.339181459999999"/>
    <n v="-416.28901350000001"/>
    <n v="548.1434964"/>
    <x v="123"/>
    <s v="Feb-2020"/>
  </r>
  <r>
    <x v="124"/>
    <s v="MYS"/>
    <x v="0"/>
    <x v="2"/>
    <x v="2"/>
    <s v="reported"/>
    <n v="15564.66662"/>
    <n v="14676"/>
    <n v="-888.83328610000001"/>
    <n v="-831.49410469999998"/>
    <n v="-1484.3877649999999"/>
    <n v="-211.92220399999999"/>
    <x v="123"/>
    <s v="Mar-2020"/>
  </r>
  <r>
    <x v="124"/>
    <s v="MYS"/>
    <x v="0"/>
    <x v="3"/>
    <x v="3"/>
    <s v="reported"/>
    <n v="14903.472089999999"/>
    <n v="13038"/>
    <n v="-1865.638753"/>
    <n v="-2697.1328579999999"/>
    <n v="-3450.626072"/>
    <n v="-1961.8935180000001"/>
    <x v="123"/>
    <s v="Apr-2020"/>
  </r>
  <r>
    <x v="124"/>
    <s v="MYS"/>
    <x v="0"/>
    <x v="4"/>
    <x v="4"/>
    <s v="reported"/>
    <n v="15217.234630000001"/>
    <n v="13886"/>
    <n v="-1331.4013010000001"/>
    <n v="-4028.5341589999998"/>
    <n v="-4870.7269839999999"/>
    <n v="-3235.341727"/>
    <x v="123"/>
    <s v="May-2020"/>
  </r>
  <r>
    <x v="124"/>
    <s v="MYS"/>
    <x v="0"/>
    <x v="5"/>
    <x v="5"/>
    <s v="reported"/>
    <n v="14941.29441"/>
    <n v="13317"/>
    <n v="-1624.4610740000001"/>
    <n v="-5652.9952329999996"/>
    <n v="-6631.2815739999996"/>
    <n v="-4721.2383220000002"/>
    <x v="123"/>
    <s v="Jun-2020"/>
  </r>
  <r>
    <x v="124"/>
    <s v="MYS"/>
    <x v="0"/>
    <x v="6"/>
    <x v="6"/>
    <s v="reported"/>
    <n v="15479.080089999999"/>
    <n v="13659"/>
    <n v="-1820.24676"/>
    <n v="-7473.2419920000002"/>
    <n v="-8484.7990900000004"/>
    <n v="-6462.012256"/>
    <x v="123"/>
    <s v="Jul-2020"/>
  </r>
  <r>
    <x v="124"/>
    <s v="MYS"/>
    <x v="0"/>
    <x v="7"/>
    <x v="7"/>
    <s v="reported"/>
    <n v="15048.559600000001"/>
    <n v="13950"/>
    <n v="-1098.726265"/>
    <n v="-8571.9682570000004"/>
    <n v="-9689.0896499999999"/>
    <n v="-7487.0296559999997"/>
    <x v="123"/>
    <s v="Aug-2020"/>
  </r>
  <r>
    <x v="124"/>
    <s v="MYS"/>
    <x v="0"/>
    <x v="8"/>
    <x v="8"/>
    <s v="reported"/>
    <n v="14279.845590000001"/>
    <n v="13249"/>
    <n v="-1031.012256"/>
    <n v="-9602.9805130000004"/>
    <n v="-10802.776"/>
    <n v="-8511.6851829999996"/>
    <x v="123"/>
    <s v="Sep-2020"/>
  </r>
  <r>
    <x v="124"/>
    <s v="MYS"/>
    <x v="0"/>
    <x v="9"/>
    <x v="9"/>
    <s v="reported"/>
    <n v="14781.74343"/>
    <n v="13880"/>
    <n v="-901.91010110000002"/>
    <n v="-10504.89061"/>
    <n v="-11741.82944"/>
    <n v="-9241.9774159999997"/>
    <x v="123"/>
    <s v="Oct-2020"/>
  </r>
  <r>
    <x v="124"/>
    <s v="MYS"/>
    <x v="0"/>
    <x v="10"/>
    <x v="10"/>
    <s v="reported"/>
    <n v="14755.273020000001"/>
    <n v="12846"/>
    <n v="-1909.439689"/>
    <n v="-12414.3303"/>
    <n v="-13718.65641"/>
    <n v="-11163.486070000001"/>
    <x v="123"/>
    <s v="Nov-2020"/>
  </r>
  <r>
    <x v="124"/>
    <s v="MYS"/>
    <x v="0"/>
    <x v="11"/>
    <x v="11"/>
    <s v="reported"/>
    <n v="15755.111699999999"/>
    <n v="14151"/>
    <n v="-1604.2783649999999"/>
    <n v="-14018.60867"/>
    <n v="-15273.800929999999"/>
    <n v="-12683.38163"/>
    <x v="123"/>
    <s v="Dec-2020"/>
  </r>
  <r>
    <x v="124"/>
    <s v="MYS"/>
    <x v="1"/>
    <x v="0"/>
    <x v="0"/>
    <s v="reported"/>
    <n v="15795.529109999999"/>
    <n v="16184"/>
    <n v="380.55422190000002"/>
    <n v="-13638.05445"/>
    <n v="-14972.196180000001"/>
    <n v="-12239.512549999999"/>
    <x v="123"/>
    <s v="Jan-2021"/>
  </r>
  <r>
    <x v="124"/>
    <s v="MYS"/>
    <x v="1"/>
    <x v="1"/>
    <x v="1"/>
    <s v="reported"/>
    <n v="14841.3923"/>
    <n v="14332"/>
    <n v="-517.30896929999994"/>
    <n v="-14155.36341"/>
    <n v="-15521.670480000001"/>
    <n v="-12765.1608"/>
    <x v="123"/>
    <s v="Feb-2021"/>
  </r>
  <r>
    <x v="124"/>
    <s v="MYS"/>
    <x v="1"/>
    <x v="2"/>
    <x v="2"/>
    <s v="reported"/>
    <n v="15999.946840000001"/>
    <n v="15391"/>
    <n v="-616.86350789999995"/>
    <n v="-14772.226919999999"/>
    <n v="-16187.384529999999"/>
    <n v="-13281.734930000001"/>
    <x v="123"/>
    <s v="Mar-2021"/>
  </r>
  <r>
    <x v="124"/>
    <s v="MYS"/>
    <x v="1"/>
    <x v="3"/>
    <x v="3"/>
    <s v="reported"/>
    <n v="15294.73747"/>
    <n v="14895"/>
    <n v="-407.6541416"/>
    <n v="-15179.88106"/>
    <n v="-16745.0874"/>
    <n v="-13634.007180000001"/>
    <x v="123"/>
    <s v="Apr-2021"/>
  </r>
  <r>
    <x v="124"/>
    <s v="MYS"/>
    <x v="1"/>
    <x v="4"/>
    <x v="4"/>
    <s v="reported"/>
    <n v="15630.138580000001"/>
    <n v="18089"/>
    <n v="2450.944755"/>
    <n v="-12728.936309999999"/>
    <n v="-14322.37045"/>
    <n v="-11150.75813"/>
    <x v="123"/>
    <s v="May-2021"/>
  </r>
  <r>
    <x v="124"/>
    <s v="MYS"/>
    <x v="1"/>
    <x v="5"/>
    <x v="5"/>
    <s v="reported"/>
    <n v="15349.00735"/>
    <n v="17756"/>
    <n v="2399.0759870000002"/>
    <n v="-10329.86032"/>
    <n v="-12019.81407"/>
    <n v="-8672.5084979999992"/>
    <x v="123"/>
    <s v="Jun-2021"/>
  </r>
  <r>
    <x v="124"/>
    <s v="MYS"/>
    <x v="1"/>
    <x v="6"/>
    <x v="6"/>
    <s v="reported"/>
    <n v="15912.88762"/>
    <n v="24520"/>
    <n v="8599.1957120000006"/>
    <n v="-1730.66461"/>
    <n v="-3479.0740249999999"/>
    <n v="1.674000895"/>
    <x v="123"/>
    <s v="Jul-2021"/>
  </r>
  <r>
    <x v="124"/>
    <s v="MYS"/>
    <x v="1"/>
    <x v="7"/>
    <x v="7"/>
    <s v="reported"/>
    <n v="15471.66209"/>
    <n v="26799"/>
    <n v="11319.42124"/>
    <n v="9588.7566349999997"/>
    <n v="7791.4060760000002"/>
    <n v="11294.11169"/>
    <x v="123"/>
    <s v="Aug-2021"/>
  </r>
  <r>
    <x v="124"/>
    <s v="MYS"/>
    <x v="1"/>
    <x v="8"/>
    <x v="8"/>
    <s v="reported"/>
    <n v="14689.19839"/>
    <n v="22287"/>
    <n v="7589.8849479999999"/>
    <n v="17178.64158"/>
    <n v="15427.418110000001"/>
    <n v="18933.39516"/>
    <x v="123"/>
    <s v="Sep-2021"/>
  </r>
  <r>
    <x v="124"/>
    <s v="MYS"/>
    <x v="1"/>
    <x v="9"/>
    <x v="9"/>
    <s v="reported"/>
    <n v="15199.43916"/>
    <n v="19439"/>
    <n v="4231.6441779999996"/>
    <n v="21410.285759999999"/>
    <n v="19560.696550000001"/>
    <n v="23192.84794"/>
    <x v="123"/>
    <s v="Oct-2021"/>
  </r>
  <r>
    <x v="124"/>
    <s v="MYS"/>
    <x v="1"/>
    <x v="10"/>
    <x v="10"/>
    <s v="reported"/>
    <n v="15180.10058"/>
    <n v="17165"/>
    <n v="1976.982757"/>
    <n v="23387.268520000001"/>
    <n v="21477.362209999999"/>
    <n v="25227.329389999999"/>
    <x v="123"/>
    <s v="Nov-2021"/>
  </r>
  <r>
    <x v="124"/>
    <s v="MYS"/>
    <x v="1"/>
    <x v="11"/>
    <x v="11"/>
    <s v="reported"/>
    <n v="16203.94967"/>
    <n v="17712"/>
    <n v="1500.1336659999999"/>
    <n v="24887.402180000001"/>
    <n v="22875.661690000001"/>
    <n v="26740.113099999999"/>
    <x v="123"/>
    <s v="Dec-2021"/>
  </r>
  <r>
    <x v="125"/>
    <s v="NAM"/>
    <x v="0"/>
    <x v="0"/>
    <x v="0"/>
    <s v="predicted"/>
    <n v="1460.7517760000001"/>
    <n v="1522.578"/>
    <n v="61.826223710000001"/>
    <n v="61.826223710000001"/>
    <n v="-326.4664717"/>
    <n v="493.24069500000002"/>
    <x v="124"/>
    <s v="Jan-2020"/>
  </r>
  <r>
    <x v="125"/>
    <s v="NAM"/>
    <x v="0"/>
    <x v="1"/>
    <x v="1"/>
    <s v="predicted"/>
    <n v="1464.2760350000001"/>
    <n v="1491.472"/>
    <n v="27.19596537"/>
    <n v="89.022189080000004"/>
    <n v="-463.53394279999998"/>
    <n v="705.77556070000003"/>
    <x v="124"/>
    <s v="Feb-2020"/>
  </r>
  <r>
    <x v="125"/>
    <s v="NAM"/>
    <x v="0"/>
    <x v="2"/>
    <x v="2"/>
    <s v="predicted"/>
    <n v="1475.9165149999999"/>
    <n v="1453.633"/>
    <n v="-22.283514759999999"/>
    <n v="66.738674320000001"/>
    <n v="-583.55974660000004"/>
    <n v="757.41055400000005"/>
    <x v="124"/>
    <s v="Mar-2020"/>
  </r>
  <r>
    <x v="125"/>
    <s v="NAM"/>
    <x v="0"/>
    <x v="3"/>
    <x v="3"/>
    <s v="predicted"/>
    <n v="1498.798849"/>
    <n v="1355.0619999999999"/>
    <n v="-143.73684940000001"/>
    <n v="-76.998175079999996"/>
    <n v="-809.32685990000004"/>
    <n v="677.64979229999994"/>
    <x v="124"/>
    <s v="Apr-2020"/>
  </r>
  <r>
    <x v="125"/>
    <s v="NAM"/>
    <x v="0"/>
    <x v="4"/>
    <x v="4"/>
    <s v="predicted"/>
    <n v="1525.7583709999999"/>
    <n v="1383.075"/>
    <n v="-142.6833709"/>
    <n v="-219.6815459"/>
    <n v="-1056.9092350000001"/>
    <n v="635.92948390000004"/>
    <x v="124"/>
    <s v="May-2020"/>
  </r>
  <r>
    <x v="125"/>
    <s v="NAM"/>
    <x v="0"/>
    <x v="5"/>
    <x v="5"/>
    <s v="predicted"/>
    <n v="1548.360148"/>
    <n v="1411.106"/>
    <n v="-137.2541482"/>
    <n v="-356.93569409999998"/>
    <n v="-1228.0029300000001"/>
    <n v="565.53961839999999"/>
    <x v="124"/>
    <s v="Jun-2020"/>
  </r>
  <r>
    <x v="125"/>
    <s v="NAM"/>
    <x v="0"/>
    <x v="6"/>
    <x v="6"/>
    <s v="predicted"/>
    <n v="1554.5214639999999"/>
    <n v="1606.24"/>
    <n v="51.71853608"/>
    <n v="-305.21715810000001"/>
    <n v="-1334.688915"/>
    <n v="751.53656669999998"/>
    <x v="124"/>
    <s v="Jul-2020"/>
  </r>
  <r>
    <x v="125"/>
    <s v="NAM"/>
    <x v="0"/>
    <x v="7"/>
    <x v="7"/>
    <s v="predicted"/>
    <n v="1546.966424"/>
    <n v="1828.326"/>
    <n v="281.35957610000003"/>
    <n v="-23.857581979999999"/>
    <n v="-1157.1531950000001"/>
    <n v="1199.562887"/>
    <x v="124"/>
    <s v="Aug-2020"/>
  </r>
  <r>
    <x v="125"/>
    <s v="NAM"/>
    <x v="0"/>
    <x v="8"/>
    <x v="8"/>
    <s v="predicted"/>
    <n v="1509.9133019999999"/>
    <n v="1735.973"/>
    <n v="226.0596979"/>
    <n v="202.20211599999999"/>
    <n v="-1002.173306"/>
    <n v="1557.598561"/>
    <x v="124"/>
    <s v="Sep-2020"/>
  </r>
  <r>
    <x v="125"/>
    <s v="NAM"/>
    <x v="0"/>
    <x v="9"/>
    <x v="9"/>
    <s v="predicted"/>
    <n v="1481.263416"/>
    <n v="1577.3309999999999"/>
    <n v="96.067584330000003"/>
    <n v="298.26970030000001"/>
    <n v="-987.70687799999996"/>
    <n v="1667.719507"/>
    <x v="124"/>
    <s v="Oct-2020"/>
  </r>
  <r>
    <x v="125"/>
    <s v="NAM"/>
    <x v="0"/>
    <x v="10"/>
    <x v="10"/>
    <s v="predicted"/>
    <n v="1475.4446499999999"/>
    <n v="1571.1980000000001"/>
    <n v="95.753349779999994"/>
    <n v="394.02305009999998"/>
    <n v="-957.65250830000002"/>
    <n v="1808.2645259999999"/>
    <x v="124"/>
    <s v="Nov-2020"/>
  </r>
  <r>
    <x v="125"/>
    <s v="NAM"/>
    <x v="0"/>
    <x v="11"/>
    <x v="11"/>
    <s v="predicted"/>
    <n v="1465.908821"/>
    <n v="1697.846"/>
    <n v="231.9371788"/>
    <n v="625.96022879999998"/>
    <n v="-827.48421370000005"/>
    <n v="2097.7252159999998"/>
    <x v="124"/>
    <s v="Dec-2020"/>
  </r>
  <r>
    <x v="125"/>
    <s v="NAM"/>
    <x v="1"/>
    <x v="0"/>
    <x v="0"/>
    <s v="predicted"/>
    <n v="1441.536282"/>
    <n v="1870.7809999999999"/>
    <n v="429.2447181"/>
    <n v="1055.2049469999999"/>
    <n v="-514.49257160000002"/>
    <n v="2669.3538149999999"/>
    <x v="124"/>
    <s v="Jan-2021"/>
  </r>
  <r>
    <x v="125"/>
    <s v="NAM"/>
    <x v="1"/>
    <x v="1"/>
    <x v="1"/>
    <s v="predicted"/>
    <n v="1443.076092"/>
    <n v="1735.8720000000001"/>
    <n v="292.79590789999997"/>
    <n v="1348.000855"/>
    <n v="-229.86805670000001"/>
    <n v="2976.447134"/>
    <x v="124"/>
    <s v="Feb-2021"/>
  </r>
  <r>
    <x v="125"/>
    <s v="NAM"/>
    <x v="1"/>
    <x v="2"/>
    <x v="2"/>
    <s v="predicted"/>
    <n v="1453.5701859999999"/>
    <n v="1793.9749999999999"/>
    <n v="340.4048138"/>
    <n v="1688.405669"/>
    <n v="15.761673480000001"/>
    <n v="3425.5024290000001"/>
    <x v="124"/>
    <s v="Mar-2021"/>
  </r>
  <r>
    <x v="125"/>
    <s v="NAM"/>
    <x v="1"/>
    <x v="3"/>
    <x v="3"/>
    <s v="predicted"/>
    <n v="1476.7010330000001"/>
    <n v="1827.8589999999999"/>
    <n v="351.15796749999998"/>
    <n v="2039.5636360000001"/>
    <n v="318.78172269999999"/>
    <n v="3790.3652999999999"/>
    <x v="124"/>
    <s v="Apr-2021"/>
  </r>
  <r>
    <x v="125"/>
    <s v="NAM"/>
    <x v="1"/>
    <x v="4"/>
    <x v="4"/>
    <s v="predicted"/>
    <n v="1503.5365079999999"/>
    <n v="1955.164"/>
    <n v="451.62749239999999"/>
    <n v="2491.1911279999999"/>
    <n v="630.90714700000001"/>
    <n v="4292.4348090000003"/>
    <x v="124"/>
    <s v="May-2021"/>
  </r>
  <r>
    <x v="125"/>
    <s v="NAM"/>
    <x v="1"/>
    <x v="5"/>
    <x v="5"/>
    <s v="predicted"/>
    <n v="1529.2558120000001"/>
    <n v="2665.7420000000002"/>
    <n v="1136.4861880000001"/>
    <n v="3627.6773170000001"/>
    <n v="1700.361625"/>
    <n v="5584.6722520000003"/>
    <x v="124"/>
    <s v="Jun-2021"/>
  </r>
  <r>
    <x v="125"/>
    <s v="NAM"/>
    <x v="1"/>
    <x v="6"/>
    <x v="6"/>
    <s v="predicted"/>
    <n v="1531.864941"/>
    <n v="3383.7849999999999"/>
    <n v="1851.920059"/>
    <n v="5479.5973750000003"/>
    <n v="3444.9445759999999"/>
    <n v="7745.2099520000002"/>
    <x v="124"/>
    <s v="Jul-2021"/>
  </r>
  <r>
    <x v="125"/>
    <s v="NAM"/>
    <x v="1"/>
    <x v="7"/>
    <x v="7"/>
    <s v="predicted"/>
    <n v="1524.4189329999999"/>
    <n v="2178.7860000000001"/>
    <n v="654.36706709999999"/>
    <n v="6133.9644420000004"/>
    <n v="4021.2291909999999"/>
    <n v="8479.2708010000006"/>
    <x v="124"/>
    <s v="Aug-2021"/>
  </r>
  <r>
    <x v="125"/>
    <s v="NAM"/>
    <x v="1"/>
    <x v="8"/>
    <x v="8"/>
    <s v="predicted"/>
    <n v="1488.0830289999999"/>
    <n v="1793.874"/>
    <n v="305.7909707"/>
    <n v="6439.7554129999999"/>
    <n v="4139.588812"/>
    <n v="8804.2232750000003"/>
    <x v="124"/>
    <s v="Sep-2021"/>
  </r>
  <r>
    <x v="125"/>
    <s v="NAM"/>
    <x v="1"/>
    <x v="9"/>
    <x v="9"/>
    <s v="predicted"/>
    <n v="1459.5813780000001"/>
    <n v="1581.5119999999999"/>
    <n v="121.93062159999999"/>
    <n v="6561.6860349999997"/>
    <n v="4267.3797500000001"/>
    <n v="8956.5261059999993"/>
    <x v="124"/>
    <s v="Oct-2021"/>
  </r>
  <r>
    <x v="125"/>
    <s v="NAM"/>
    <x v="1"/>
    <x v="10"/>
    <x v="10"/>
    <s v="predicted"/>
    <n v="1454.1934200000001"/>
    <n v="1527.3409999999999"/>
    <n v="73.14757951"/>
    <n v="6634.8336140000001"/>
    <n v="4366.2400740000003"/>
    <n v="9127.7316599999995"/>
    <x v="124"/>
    <s v="Nov-2021"/>
  </r>
  <r>
    <x v="125"/>
    <s v="NAM"/>
    <x v="1"/>
    <x v="11"/>
    <x v="11"/>
    <s v="predicted"/>
    <n v="1446.372513"/>
    <n v="1701.2729999999999"/>
    <n v="254.90048659999999"/>
    <n v="6889.734101"/>
    <n v="4560.9396390000002"/>
    <n v="9339.2242549999992"/>
    <x v="124"/>
    <s v="Dec-2021"/>
  </r>
  <r>
    <x v="126"/>
    <s v="NER"/>
    <x v="0"/>
    <x v="0"/>
    <x v="0"/>
    <s v="predicted"/>
    <n v="16192.317429999999"/>
    <n v="16950.867999999999"/>
    <n v="758.55056679999996"/>
    <n v="758.55056679999996"/>
    <n v="-3438.572647"/>
    <n v="5722.2910430000002"/>
    <x v="125"/>
    <s v="Jan-2020"/>
  </r>
  <r>
    <x v="126"/>
    <s v="NER"/>
    <x v="0"/>
    <x v="1"/>
    <x v="1"/>
    <s v="predicted"/>
    <n v="15935.50448"/>
    <n v="16149.991"/>
    <n v="214.48652390000001"/>
    <n v="973.03709070000002"/>
    <n v="-5093.1315130000003"/>
    <n v="7807.4323549999999"/>
    <x v="125"/>
    <s v="Feb-2020"/>
  </r>
  <r>
    <x v="126"/>
    <s v="NER"/>
    <x v="0"/>
    <x v="2"/>
    <x v="2"/>
    <s v="predicted"/>
    <n v="15374.633680000001"/>
    <n v="15356.691000000001"/>
    <n v="-17.94268228"/>
    <n v="955.09440840000002"/>
    <n v="-6276.6455139999998"/>
    <n v="8990.2756580000005"/>
    <x v="125"/>
    <s v="Mar-2020"/>
  </r>
  <r>
    <x v="126"/>
    <s v="NER"/>
    <x v="0"/>
    <x v="3"/>
    <x v="3"/>
    <s v="predicted"/>
    <n v="15074.145570000001"/>
    <n v="15375.258"/>
    <n v="301.11242520000002"/>
    <n v="1256.2068340000001"/>
    <n v="-6600.7945419999996"/>
    <n v="10576.135910000001"/>
    <x v="125"/>
    <s v="Apr-2020"/>
  </r>
  <r>
    <x v="126"/>
    <s v="NER"/>
    <x v="0"/>
    <x v="4"/>
    <x v="4"/>
    <s v="predicted"/>
    <n v="14806.441790000001"/>
    <n v="15694.772999999999"/>
    <n v="888.33121400000005"/>
    <n v="2144.5380479999999"/>
    <n v="-6893.3139229999997"/>
    <n v="12763.68053"/>
    <x v="125"/>
    <s v="May-2020"/>
  </r>
  <r>
    <x v="126"/>
    <s v="NER"/>
    <x v="0"/>
    <x v="5"/>
    <x v="5"/>
    <s v="predicted"/>
    <n v="14741.67598"/>
    <n v="15707.005999999999"/>
    <n v="965.33002060000001"/>
    <n v="3109.8680680000002"/>
    <n v="-6899.4128380000002"/>
    <n v="14674.80955"/>
    <x v="125"/>
    <s v="Jun-2020"/>
  </r>
  <r>
    <x v="126"/>
    <s v="NER"/>
    <x v="0"/>
    <x v="6"/>
    <x v="6"/>
    <s v="predicted"/>
    <n v="14999.28883"/>
    <n v="15818.397000000001"/>
    <n v="819.10817459999998"/>
    <n v="3928.9762430000001"/>
    <n v="-7265.7523250000004"/>
    <n v="16908.882140000002"/>
    <x v="125"/>
    <s v="Jul-2020"/>
  </r>
  <r>
    <x v="126"/>
    <s v="NER"/>
    <x v="0"/>
    <x v="7"/>
    <x v="7"/>
    <s v="predicted"/>
    <n v="15138.692209999999"/>
    <n v="15357.442999999999"/>
    <n v="218.75078569999999"/>
    <n v="4147.7270280000002"/>
    <n v="-7472.4314549999999"/>
    <n v="17943.30975"/>
    <x v="125"/>
    <s v="Aug-2020"/>
  </r>
  <r>
    <x v="126"/>
    <s v="NER"/>
    <x v="0"/>
    <x v="8"/>
    <x v="8"/>
    <s v="predicted"/>
    <n v="15123.350469999999"/>
    <n v="15012.036"/>
    <n v="-111.3144707"/>
    <n v="4036.412558"/>
    <n v="-8629.9021780000003"/>
    <n v="18926.20608"/>
    <x v="125"/>
    <s v="Sep-2020"/>
  </r>
  <r>
    <x v="126"/>
    <s v="NER"/>
    <x v="0"/>
    <x v="9"/>
    <x v="9"/>
    <s v="predicted"/>
    <n v="15241.048510000001"/>
    <n v="14749.531999999999"/>
    <n v="-491.5165088"/>
    <n v="3544.8960489999999"/>
    <n v="-9916.0530720000006"/>
    <n v="19146.723890000001"/>
    <x v="125"/>
    <s v="Oct-2020"/>
  </r>
  <r>
    <x v="126"/>
    <s v="NER"/>
    <x v="0"/>
    <x v="10"/>
    <x v="10"/>
    <s v="predicted"/>
    <n v="15760.76605"/>
    <n v="15488.85"/>
    <n v="-271.91604710000001"/>
    <n v="3272.9800019999998"/>
    <n v="-11139.11501"/>
    <n v="19373.708139999999"/>
    <x v="125"/>
    <s v="Nov-2020"/>
  </r>
  <r>
    <x v="126"/>
    <s v="NER"/>
    <x v="0"/>
    <x v="11"/>
    <x v="11"/>
    <s v="predicted"/>
    <n v="16029.88939"/>
    <n v="16364.47"/>
    <n v="334.58060879999999"/>
    <n v="3607.5606109999999"/>
    <n v="-10884.97381"/>
    <n v="21128.669109999999"/>
    <x v="125"/>
    <s v="Dec-2020"/>
  </r>
  <r>
    <x v="126"/>
    <s v="NER"/>
    <x v="1"/>
    <x v="0"/>
    <x v="0"/>
    <s v="predicted"/>
    <n v="16292.28004"/>
    <n v="17437.103999999999"/>
    <n v="1144.8239550000001"/>
    <n v="4752.3845659999997"/>
    <n v="-10691.38078"/>
    <n v="22673.90294"/>
    <x v="125"/>
    <s v="Jan-2021"/>
  </r>
  <r>
    <x v="126"/>
    <s v="NER"/>
    <x v="1"/>
    <x v="1"/>
    <x v="1"/>
    <s v="predicted"/>
    <n v="16030.644319999999"/>
    <n v="17039.835999999999"/>
    <n v="1009.191678"/>
    <n v="5761.5762439999999"/>
    <n v="-10416.842790000001"/>
    <n v="24246.998950000001"/>
    <x v="125"/>
    <s v="Feb-2021"/>
  </r>
  <r>
    <x v="126"/>
    <s v="NER"/>
    <x v="1"/>
    <x v="2"/>
    <x v="2"/>
    <s v="predicted"/>
    <n v="15465.529039999999"/>
    <n v="16759.352999999999"/>
    <n v="1293.823963"/>
    <n v="7055.4002069999997"/>
    <n v="-9502.9596309999997"/>
    <n v="25375.55575"/>
    <x v="125"/>
    <s v="Mar-2021"/>
  </r>
  <r>
    <x v="126"/>
    <s v="NER"/>
    <x v="1"/>
    <x v="3"/>
    <x v="3"/>
    <s v="predicted"/>
    <n v="15159.25"/>
    <n v="16022.962"/>
    <n v="863.71200339999996"/>
    <n v="7919.1122100000002"/>
    <n v="-9006.201599"/>
    <n v="26588.97595"/>
    <x v="125"/>
    <s v="Apr-2021"/>
  </r>
  <r>
    <x v="126"/>
    <s v="NER"/>
    <x v="1"/>
    <x v="4"/>
    <x v="4"/>
    <s v="predicted"/>
    <n v="14899.86217"/>
    <n v="15661.449000000001"/>
    <n v="761.58682590000001"/>
    <n v="8680.699036"/>
    <n v="-9027.6517100000001"/>
    <n v="27517.044519999999"/>
    <x v="125"/>
    <s v="May-2021"/>
  </r>
  <r>
    <x v="126"/>
    <s v="NER"/>
    <x v="1"/>
    <x v="5"/>
    <x v="5"/>
    <s v="predicted"/>
    <n v="14829.877409999999"/>
    <n v="16074.981"/>
    <n v="1245.1035870000001"/>
    <n v="9925.8026229999996"/>
    <n v="-8579.0810590000001"/>
    <n v="30042.820400000001"/>
    <x v="125"/>
    <s v="Jun-2021"/>
  </r>
  <r>
    <x v="126"/>
    <s v="NER"/>
    <x v="1"/>
    <x v="6"/>
    <x v="6"/>
    <s v="predicted"/>
    <n v="15090.97068"/>
    <n v="16447.933000000001"/>
    <n v="1356.9623220000001"/>
    <n v="11282.764939999999"/>
    <n v="-7509.9567059999999"/>
    <n v="32658.36116"/>
    <x v="125"/>
    <s v="Jul-2021"/>
  </r>
  <r>
    <x v="126"/>
    <s v="NER"/>
    <x v="1"/>
    <x v="7"/>
    <x v="7"/>
    <s v="predicted"/>
    <n v="15231.557870000001"/>
    <n v="15998.73"/>
    <n v="767.17213059999995"/>
    <n v="12049.93708"/>
    <n v="-7202.2054699999999"/>
    <n v="33936.99437"/>
    <x v="125"/>
    <s v="Aug-2021"/>
  </r>
  <r>
    <x v="126"/>
    <s v="NER"/>
    <x v="1"/>
    <x v="8"/>
    <x v="8"/>
    <s v="predicted"/>
    <n v="15212.40409"/>
    <n v="15343.324000000001"/>
    <n v="130.919905"/>
    <n v="12180.85698"/>
    <n v="-7069.5832780000001"/>
    <n v="34199.941180000002"/>
    <x v="125"/>
    <s v="Sep-2021"/>
  </r>
  <r>
    <x v="126"/>
    <s v="NER"/>
    <x v="1"/>
    <x v="9"/>
    <x v="9"/>
    <s v="predicted"/>
    <n v="15333.56853"/>
    <n v="15098.485000000001"/>
    <n v="-235.0835319"/>
    <n v="11945.773450000001"/>
    <n v="-8151.0018360000004"/>
    <n v="34704.855170000003"/>
    <x v="125"/>
    <s v="Oct-2021"/>
  </r>
  <r>
    <x v="126"/>
    <s v="NER"/>
    <x v="1"/>
    <x v="10"/>
    <x v="10"/>
    <s v="predicted"/>
    <n v="15851.4962"/>
    <n v="15842.257"/>
    <n v="-9.2391962220000003"/>
    <n v="11936.534250000001"/>
    <n v="-8609.1307859999997"/>
    <n v="35480.606339999998"/>
    <x v="125"/>
    <s v="Nov-2021"/>
  </r>
  <r>
    <x v="126"/>
    <s v="NER"/>
    <x v="1"/>
    <x v="11"/>
    <x v="11"/>
    <s v="predicted"/>
    <n v="16131.938120000001"/>
    <n v="16472.36"/>
    <n v="340.42187660000002"/>
    <n v="12276.95613"/>
    <n v="-9045.4173800000008"/>
    <n v="36300.185519999999"/>
    <x v="125"/>
    <s v="Dec-2021"/>
  </r>
  <r>
    <x v="127"/>
    <s v="NGA"/>
    <x v="0"/>
    <x v="0"/>
    <x v="0"/>
    <s v="predicted"/>
    <n v="139379.75099999999"/>
    <n v="144116.47200000001"/>
    <n v="4736.7210080000004"/>
    <n v="4736.7210080000004"/>
    <n v="-29517.60599"/>
    <n v="46594.338179999999"/>
    <x v="126"/>
    <s v="Jan-2020"/>
  </r>
  <r>
    <x v="127"/>
    <s v="NGA"/>
    <x v="0"/>
    <x v="1"/>
    <x v="1"/>
    <s v="predicted"/>
    <n v="137418.8982"/>
    <n v="136763.05499999999"/>
    <n v="-655.84317439999995"/>
    <n v="4080.877833"/>
    <n v="-45661.294759999997"/>
    <n v="61776.83165"/>
    <x v="126"/>
    <s v="Feb-2020"/>
  </r>
  <r>
    <x v="127"/>
    <s v="NGA"/>
    <x v="0"/>
    <x v="2"/>
    <x v="2"/>
    <s v="predicted"/>
    <n v="134639.84969999999"/>
    <n v="135331.32699999999"/>
    <n v="691.47729379999998"/>
    <n v="4772.3551269999998"/>
    <n v="-58137.117019999998"/>
    <n v="70473.292490000007"/>
    <x v="126"/>
    <s v="Mar-2020"/>
  </r>
  <r>
    <x v="127"/>
    <s v="NGA"/>
    <x v="0"/>
    <x v="3"/>
    <x v="3"/>
    <s v="predicted"/>
    <n v="134479.3438"/>
    <n v="127047.522"/>
    <n v="-7431.8218120000001"/>
    <n v="-2659.4666849999999"/>
    <n v="-71812.555460000003"/>
    <n v="77618.716289999997"/>
    <x v="126"/>
    <s v="Apr-2020"/>
  </r>
  <r>
    <x v="127"/>
    <s v="NGA"/>
    <x v="0"/>
    <x v="4"/>
    <x v="4"/>
    <s v="predicted"/>
    <n v="135044.8933"/>
    <n v="136282.476"/>
    <n v="1237.5827139999999"/>
    <n v="-1421.8839720000001"/>
    <n v="-77788.705520000003"/>
    <n v="91884.336800000005"/>
    <x v="126"/>
    <s v="May-2020"/>
  </r>
  <r>
    <x v="127"/>
    <s v="NGA"/>
    <x v="0"/>
    <x v="5"/>
    <x v="5"/>
    <s v="predicted"/>
    <n v="136382.0729"/>
    <n v="149678.06700000001"/>
    <n v="13295.99411"/>
    <n v="11874.110140000001"/>
    <n v="-72437.193169999999"/>
    <n v="111565.17819999999"/>
    <x v="126"/>
    <s v="Jun-2020"/>
  </r>
  <r>
    <x v="127"/>
    <s v="NGA"/>
    <x v="0"/>
    <x v="6"/>
    <x v="6"/>
    <s v="predicted"/>
    <n v="138445.15789999999"/>
    <n v="151649.829"/>
    <n v="13204.67115"/>
    <n v="25078.781289999999"/>
    <n v="-72175.162530000001"/>
    <n v="137212.6544"/>
    <x v="126"/>
    <s v="Jul-2020"/>
  </r>
  <r>
    <x v="127"/>
    <s v="NGA"/>
    <x v="0"/>
    <x v="7"/>
    <x v="7"/>
    <s v="predicted"/>
    <n v="138934.5521"/>
    <n v="147028.342"/>
    <n v="8093.7898660000001"/>
    <n v="33172.571150000003"/>
    <n v="-72537.211679999993"/>
    <n v="146255.2764"/>
    <x v="126"/>
    <s v="Aug-2020"/>
  </r>
  <r>
    <x v="127"/>
    <s v="NGA"/>
    <x v="0"/>
    <x v="8"/>
    <x v="8"/>
    <s v="predicted"/>
    <n v="138521.42019999999"/>
    <n v="141871.91200000001"/>
    <n v="3350.4918429999998"/>
    <n v="36523.063000000002"/>
    <n v="-80724.746750000006"/>
    <n v="151734.42449999999"/>
    <x v="126"/>
    <s v="Sep-2020"/>
  </r>
  <r>
    <x v="127"/>
    <s v="NGA"/>
    <x v="0"/>
    <x v="9"/>
    <x v="9"/>
    <s v="predicted"/>
    <n v="137502.32620000001"/>
    <n v="135467.253"/>
    <n v="-2035.0731599999999"/>
    <n v="34487.989840000002"/>
    <n v="-86081.515249999997"/>
    <n v="159335.413"/>
    <x v="126"/>
    <s v="Oct-2020"/>
  </r>
  <r>
    <x v="127"/>
    <s v="NGA"/>
    <x v="0"/>
    <x v="10"/>
    <x v="10"/>
    <s v="predicted"/>
    <n v="137933.5338"/>
    <n v="135977.47200000001"/>
    <n v="-1956.061833"/>
    <n v="32531.928"/>
    <n v="-93009.901419999995"/>
    <n v="165663.34020000001"/>
    <x v="126"/>
    <s v="Nov-2020"/>
  </r>
  <r>
    <x v="127"/>
    <s v="NGA"/>
    <x v="0"/>
    <x v="11"/>
    <x v="11"/>
    <s v="predicted"/>
    <n v="138591.35870000001"/>
    <n v="142001.64600000001"/>
    <n v="3410.2872969999999"/>
    <n v="35942.215300000003"/>
    <n v="-98521.711420000007"/>
    <n v="170811.5583"/>
    <x v="126"/>
    <s v="Dec-2020"/>
  </r>
  <r>
    <x v="127"/>
    <s v="NGA"/>
    <x v="1"/>
    <x v="0"/>
    <x v="0"/>
    <s v="predicted"/>
    <n v="139032.1986"/>
    <n v="145790.79999999999"/>
    <n v="6758.601396"/>
    <n v="42700.816700000003"/>
    <n v="-94342.410929999998"/>
    <n v="182016.467"/>
    <x v="126"/>
    <s v="Jan-2021"/>
  </r>
  <r>
    <x v="127"/>
    <s v="NGA"/>
    <x v="1"/>
    <x v="1"/>
    <x v="1"/>
    <s v="predicted"/>
    <n v="137086.52420000001"/>
    <n v="148449.655"/>
    <n v="11363.13084"/>
    <n v="54063.947540000001"/>
    <n v="-86964.101049999997"/>
    <n v="197404.4754"/>
    <x v="126"/>
    <s v="Feb-2021"/>
  </r>
  <r>
    <x v="127"/>
    <s v="NGA"/>
    <x v="1"/>
    <x v="2"/>
    <x v="2"/>
    <s v="predicted"/>
    <n v="134312.4241"/>
    <n v="139837.272"/>
    <n v="5524.8479129999996"/>
    <n v="59588.795449999998"/>
    <n v="-86140.881640000007"/>
    <n v="214361.2758"/>
    <x v="126"/>
    <s v="Mar-2021"/>
  </r>
  <r>
    <x v="127"/>
    <s v="NGA"/>
    <x v="1"/>
    <x v="3"/>
    <x v="3"/>
    <s v="predicted"/>
    <n v="134125.49340000001"/>
    <n v="133123.269"/>
    <n v="-1002.224381"/>
    <n v="58586.571069999998"/>
    <n v="-93471.038440000004"/>
    <n v="217944.17249999999"/>
    <x v="126"/>
    <s v="Apr-2021"/>
  </r>
  <r>
    <x v="127"/>
    <s v="NGA"/>
    <x v="1"/>
    <x v="4"/>
    <x v="4"/>
    <s v="predicted"/>
    <n v="134737.0577"/>
    <n v="135315.60699999999"/>
    <n v="578.54932980000001"/>
    <n v="59165.1204"/>
    <n v="-92555.651230000003"/>
    <n v="221275.89989999999"/>
    <x v="126"/>
    <s v="May-2021"/>
  </r>
  <r>
    <x v="127"/>
    <s v="NGA"/>
    <x v="1"/>
    <x v="5"/>
    <x v="5"/>
    <s v="predicted"/>
    <n v="136053.79490000001"/>
    <n v="136865.128"/>
    <n v="811.33310080000001"/>
    <n v="59976.453500000003"/>
    <n v="-102411.4393"/>
    <n v="226357.7341"/>
    <x v="126"/>
    <s v="Jun-2021"/>
  </r>
  <r>
    <x v="127"/>
    <s v="NGA"/>
    <x v="1"/>
    <x v="6"/>
    <x v="6"/>
    <s v="predicted"/>
    <n v="138110.57279999999"/>
    <n v="136337.845"/>
    <n v="-1772.7277939999999"/>
    <n v="58203.725709999999"/>
    <n v="-104279.2552"/>
    <n v="234546.27009999999"/>
    <x v="126"/>
    <s v="Jul-2021"/>
  </r>
  <r>
    <x v="127"/>
    <s v="NGA"/>
    <x v="1"/>
    <x v="7"/>
    <x v="7"/>
    <s v="predicted"/>
    <n v="138588.99729999999"/>
    <n v="139740.389"/>
    <n v="1151.3916959999999"/>
    <n v="59355.117400000003"/>
    <n v="-109746.1934"/>
    <n v="240362.75709999999"/>
    <x v="126"/>
    <s v="Aug-2021"/>
  </r>
  <r>
    <x v="127"/>
    <s v="NGA"/>
    <x v="1"/>
    <x v="8"/>
    <x v="8"/>
    <s v="predicted"/>
    <n v="138188.67679999999"/>
    <n v="138601.56400000001"/>
    <n v="412.88716799999997"/>
    <n v="59768.004569999997"/>
    <n v="-108738.2169"/>
    <n v="237997.6587"/>
    <x v="126"/>
    <s v="Sep-2021"/>
  </r>
  <r>
    <x v="127"/>
    <s v="NGA"/>
    <x v="1"/>
    <x v="9"/>
    <x v="9"/>
    <s v="predicted"/>
    <n v="137140.80710000001"/>
    <n v="134013.63099999999"/>
    <n v="-3127.1760859999999"/>
    <n v="56640.82849"/>
    <n v="-115767.61259999999"/>
    <n v="237790.3273"/>
    <x v="126"/>
    <s v="Oct-2021"/>
  </r>
  <r>
    <x v="127"/>
    <s v="NGA"/>
    <x v="1"/>
    <x v="10"/>
    <x v="10"/>
    <s v="predicted"/>
    <n v="137591.1127"/>
    <n v="135657.03599999999"/>
    <n v="-1934.076693"/>
    <n v="54706.751790000002"/>
    <n v="-118201.6473"/>
    <n v="244569.83749999999"/>
    <x v="126"/>
    <s v="Nov-2021"/>
  </r>
  <r>
    <x v="127"/>
    <s v="NGA"/>
    <x v="1"/>
    <x v="11"/>
    <x v="11"/>
    <s v="predicted"/>
    <n v="138242.33470000001"/>
    <n v="143499.88500000001"/>
    <n v="5257.5502550000001"/>
    <n v="59964.302049999998"/>
    <n v="-119303.499"/>
    <n v="249684.14799999999"/>
    <x v="126"/>
    <s v="Dec-2021"/>
  </r>
  <r>
    <x v="128"/>
    <s v="NIC"/>
    <x v="0"/>
    <x v="0"/>
    <x v="0"/>
    <s v="reported"/>
    <n v="2162.7748230000002"/>
    <n v="2144"/>
    <n v="-21.774823420000001"/>
    <n v="-21.774823420000001"/>
    <n v="-89.851790919999999"/>
    <n v="42.983096949999997"/>
    <x v="127"/>
    <s v="Jan-2020"/>
  </r>
  <r>
    <x v="128"/>
    <s v="NIC"/>
    <x v="0"/>
    <x v="1"/>
    <x v="1"/>
    <s v="reported"/>
    <n v="1888.773737"/>
    <n v="1942"/>
    <n v="50.22626348"/>
    <n v="28.451440059999999"/>
    <n v="-67.355093460000006"/>
    <n v="127.4461852"/>
    <x v="127"/>
    <s v="Feb-2020"/>
  </r>
  <r>
    <x v="128"/>
    <s v="NIC"/>
    <x v="0"/>
    <x v="2"/>
    <x v="2"/>
    <s v="reported"/>
    <n v="2031.709372"/>
    <n v="1986"/>
    <n v="-48.709371830000002"/>
    <n v="-20.257931769999999"/>
    <n v="-149.71167779999999"/>
    <n v="104.397071"/>
    <x v="127"/>
    <s v="Mar-2020"/>
  </r>
  <r>
    <x v="128"/>
    <s v="NIC"/>
    <x v="0"/>
    <x v="3"/>
    <x v="3"/>
    <s v="reported"/>
    <n v="2073.2888499999999"/>
    <n v="2122"/>
    <n v="45.7111503"/>
    <n v="25.453218530000001"/>
    <n v="-126.777714"/>
    <n v="176.75368850000001"/>
    <x v="127"/>
    <s v="Apr-2020"/>
  </r>
  <r>
    <x v="128"/>
    <s v="NIC"/>
    <x v="0"/>
    <x v="4"/>
    <x v="4"/>
    <s v="reported"/>
    <n v="2077.7088629999998"/>
    <n v="5615"/>
    <n v="3534.2911370000002"/>
    <n v="3559.7443549999998"/>
    <n v="3379.9311080000002"/>
    <n v="3739.211726"/>
    <x v="127"/>
    <s v="May-2020"/>
  </r>
  <r>
    <x v="128"/>
    <s v="NIC"/>
    <x v="0"/>
    <x v="5"/>
    <x v="5"/>
    <s v="reported"/>
    <n v="2108.2546900000002"/>
    <n v="5582"/>
    <n v="3470.7453099999998"/>
    <n v="7030.4896660000004"/>
    <n v="6837.8839310000003"/>
    <n v="7219.6498009999996"/>
    <x v="127"/>
    <s v="Jun-2020"/>
  </r>
  <r>
    <x v="128"/>
    <s v="NIC"/>
    <x v="0"/>
    <x v="6"/>
    <x v="6"/>
    <s v="reported"/>
    <n v="2207.6361999999999"/>
    <n v="3207"/>
    <n v="996.3637999"/>
    <n v="8026.8534650000001"/>
    <n v="7805.2366659999998"/>
    <n v="8247.7373910000006"/>
    <x v="127"/>
    <s v="Jul-2020"/>
  </r>
  <r>
    <x v="128"/>
    <s v="NIC"/>
    <x v="0"/>
    <x v="7"/>
    <x v="7"/>
    <s v="reported"/>
    <n v="2203.6283570000001"/>
    <n v="2354"/>
    <n v="147.37164329999999"/>
    <n v="8174.225109"/>
    <n v="7931.8866180000005"/>
    <n v="8398.2918740000005"/>
    <x v="127"/>
    <s v="Aug-2020"/>
  </r>
  <r>
    <x v="128"/>
    <s v="NIC"/>
    <x v="0"/>
    <x v="8"/>
    <x v="8"/>
    <s v="reported"/>
    <n v="2157.901136"/>
    <n v="2008"/>
    <n v="-152.9011362"/>
    <n v="8021.3239729999996"/>
    <n v="7777.2904399999998"/>
    <n v="8267.1023239999995"/>
    <x v="127"/>
    <s v="Sep-2020"/>
  </r>
  <r>
    <x v="128"/>
    <s v="NIC"/>
    <x v="0"/>
    <x v="9"/>
    <x v="9"/>
    <s v="reported"/>
    <n v="2220.5953509999999"/>
    <n v="2135"/>
    <n v="-88.595351039999997"/>
    <n v="7932.7286210000002"/>
    <n v="7676.234923"/>
    <n v="8192.214962"/>
    <x v="127"/>
    <s v="Oct-2020"/>
  </r>
  <r>
    <x v="128"/>
    <s v="NIC"/>
    <x v="0"/>
    <x v="10"/>
    <x v="10"/>
    <s v="reported"/>
    <n v="2195.6389690000001"/>
    <n v="2240"/>
    <n v="41.361030900000003"/>
    <n v="7974.0896519999997"/>
    <n v="7703.7862510000004"/>
    <n v="8248.7394010000007"/>
    <x v="127"/>
    <s v="Nov-2020"/>
  </r>
  <r>
    <x v="128"/>
    <s v="NIC"/>
    <x v="0"/>
    <x v="11"/>
    <x v="11"/>
    <s v="reported"/>
    <n v="2198.767151"/>
    <n v="2346"/>
    <n v="144.23284870000001"/>
    <n v="8118.3225009999996"/>
    <n v="7836.4576550000002"/>
    <n v="8405.5953069999996"/>
    <x v="127"/>
    <s v="Dec-2020"/>
  </r>
  <r>
    <x v="128"/>
    <s v="NIC"/>
    <x v="1"/>
    <x v="0"/>
    <x v="0"/>
    <s v="reported"/>
    <n v="2199.4617549999998"/>
    <n v="2314"/>
    <n v="112.0382451"/>
    <n v="8230.3607460000003"/>
    <n v="7937.4484819999998"/>
    <n v="8520.6861210000006"/>
    <x v="127"/>
    <s v="Jan-2021"/>
  </r>
  <r>
    <x v="128"/>
    <s v="NIC"/>
    <x v="1"/>
    <x v="1"/>
    <x v="1"/>
    <s v="reported"/>
    <n v="1924.1573679999999"/>
    <n v="1922"/>
    <n v="-4.6573680169999996"/>
    <n v="8225.7033780000002"/>
    <n v="7926.3827620000002"/>
    <n v="8531.1001890000007"/>
    <x v="127"/>
    <s v="Feb-2021"/>
  </r>
  <r>
    <x v="128"/>
    <s v="NIC"/>
    <x v="1"/>
    <x v="2"/>
    <x v="2"/>
    <s v="reported"/>
    <n v="2068.7835930000001"/>
    <n v="2147"/>
    <n v="75.716407070000002"/>
    <n v="8301.419785"/>
    <n v="7982.9598880000003"/>
    <n v="8623.9423339999994"/>
    <x v="127"/>
    <s v="Mar-2021"/>
  </r>
  <r>
    <x v="128"/>
    <s v="NIC"/>
    <x v="1"/>
    <x v="3"/>
    <x v="3"/>
    <s v="reported"/>
    <n v="2110.337833"/>
    <n v="2205"/>
    <n v="92.162167339999996"/>
    <n v="8393.5819530000008"/>
    <n v="8067.1147300000002"/>
    <n v="8714.0063370000007"/>
    <x v="127"/>
    <s v="Apr-2021"/>
  </r>
  <r>
    <x v="128"/>
    <s v="NIC"/>
    <x v="1"/>
    <x v="4"/>
    <x v="4"/>
    <s v="reported"/>
    <n v="2110.6687980000002"/>
    <n v="2509"/>
    <n v="395.83120179999997"/>
    <n v="8789.4131539999998"/>
    <n v="8439.9702959999995"/>
    <n v="9133.2768770000002"/>
    <x v="127"/>
    <s v="May-2021"/>
  </r>
  <r>
    <x v="128"/>
    <s v="NIC"/>
    <x v="1"/>
    <x v="5"/>
    <x v="5"/>
    <s v="reported"/>
    <n v="2139.627168"/>
    <n v="2692"/>
    <n v="549.87283219999995"/>
    <n v="9339.2859869999993"/>
    <n v="8982.6794190000001"/>
    <n v="9699.9037900000003"/>
    <x v="127"/>
    <s v="Jun-2021"/>
  </r>
  <r>
    <x v="128"/>
    <s v="NIC"/>
    <x v="1"/>
    <x v="6"/>
    <x v="6"/>
    <s v="reported"/>
    <n v="2243.568479"/>
    <n v="3099"/>
    <n v="852.93152099999998"/>
    <n v="10192.21751"/>
    <n v="9817.0205600000008"/>
    <n v="10568.65921"/>
    <x v="127"/>
    <s v="Jul-2021"/>
  </r>
  <r>
    <x v="128"/>
    <s v="NIC"/>
    <x v="1"/>
    <x v="7"/>
    <x v="7"/>
    <s v="reported"/>
    <n v="2240.633401"/>
    <n v="3620"/>
    <n v="1376.866599"/>
    <n v="11569.08411"/>
    <n v="11175.881020000001"/>
    <n v="11963.133459999999"/>
    <x v="127"/>
    <s v="Aug-2021"/>
  </r>
  <r>
    <x v="128"/>
    <s v="NIC"/>
    <x v="1"/>
    <x v="8"/>
    <x v="8"/>
    <s v="reported"/>
    <n v="2192.827843"/>
    <n v="6143"/>
    <n v="3947.672157"/>
    <n v="15516.75626"/>
    <n v="15116.74502"/>
    <n v="15924.722830000001"/>
    <x v="127"/>
    <s v="Sep-2021"/>
  </r>
  <r>
    <x v="128"/>
    <s v="NIC"/>
    <x v="1"/>
    <x v="9"/>
    <x v="9"/>
    <s v="reported"/>
    <n v="2257.2963209999998"/>
    <n v="3965"/>
    <n v="1705.203679"/>
    <n v="17221.959940000001"/>
    <n v="16814.569630000002"/>
    <n v="17629.125670000001"/>
    <x v="127"/>
    <s v="Oct-2021"/>
  </r>
  <r>
    <x v="128"/>
    <s v="NIC"/>
    <x v="1"/>
    <x v="10"/>
    <x v="10"/>
    <s v="reported"/>
    <n v="2232.8857159999998"/>
    <n v="2274"/>
    <n v="38.61428403"/>
    <n v="17260.574229999998"/>
    <n v="16833.428660000001"/>
    <n v="17674.421539999999"/>
    <x v="127"/>
    <s v="Nov-2021"/>
  </r>
  <r>
    <x v="128"/>
    <s v="NIC"/>
    <x v="1"/>
    <x v="11"/>
    <x v="11"/>
    <s v="reported"/>
    <n v="2232.620852"/>
    <n v="2109"/>
    <n v="-126.1208525"/>
    <n v="17134.453369999999"/>
    <n v="16704.93102"/>
    <n v="17566.41894"/>
    <x v="127"/>
    <s v="Dec-2021"/>
  </r>
  <r>
    <x v="129"/>
    <s v="NIU"/>
    <x v="0"/>
    <x v="0"/>
    <x v="0"/>
    <s v="predicted"/>
    <n v="1.019146538"/>
    <n v="1.0169999999999999"/>
    <n v="-2.1465379999999999E-3"/>
    <n v="-2.1465379999999999E-3"/>
    <n v="-1.436104812"/>
    <n v="2.2654729410000001"/>
    <x v="128"/>
    <s v="Jan-2020"/>
  </r>
  <r>
    <x v="129"/>
    <s v="NIU"/>
    <x v="0"/>
    <x v="1"/>
    <x v="1"/>
    <s v="predicted"/>
    <n v="1.0081884109999999"/>
    <n v="0.96599999999999997"/>
    <n v="-4.2188411000000002E-2"/>
    <n v="-4.4334947999999999E-2"/>
    <n v="-2.296310407"/>
    <n v="3.2196227259999999"/>
    <x v="128"/>
    <s v="Feb-2020"/>
  </r>
  <r>
    <x v="129"/>
    <s v="NIU"/>
    <x v="0"/>
    <x v="2"/>
    <x v="2"/>
    <s v="predicted"/>
    <n v="1.011957934"/>
    <n v="1"/>
    <n v="-1.1957934E-2"/>
    <n v="-5.6292883000000002E-2"/>
    <n v="-3.0969031889999998"/>
    <n v="3.892124103"/>
    <x v="128"/>
    <s v="Mar-2020"/>
  </r>
  <r>
    <x v="129"/>
    <s v="NIU"/>
    <x v="0"/>
    <x v="3"/>
    <x v="3"/>
    <s v="predicted"/>
    <n v="1.014585136"/>
    <n v="1.0149999999999999"/>
    <n v="4.1486399999999998E-4"/>
    <n v="-5.5878018000000002E-2"/>
    <n v="-3.6124905690000002"/>
    <n v="4.5085035510000004"/>
    <x v="128"/>
    <s v="Apr-2020"/>
  </r>
  <r>
    <x v="129"/>
    <s v="NIU"/>
    <x v="0"/>
    <x v="4"/>
    <x v="4"/>
    <s v="predicted"/>
    <n v="1.0286102420000001"/>
    <n v="1.0680000000000001"/>
    <n v="3.9389757999999997E-2"/>
    <n v="-1.6488260000000001E-2"/>
    <n v="-4.2268193439999999"/>
    <n v="5.3448729909999999"/>
    <x v="128"/>
    <s v="May-2020"/>
  </r>
  <r>
    <x v="129"/>
    <s v="NIU"/>
    <x v="0"/>
    <x v="5"/>
    <x v="5"/>
    <s v="predicted"/>
    <n v="1.033753304"/>
    <n v="1.0509999999999999"/>
    <n v="1.7246695999999999E-2"/>
    <n v="7.5843600000000003E-4"/>
    <n v="-4.5578595760000002"/>
    <n v="5.8718904030000001"/>
    <x v="128"/>
    <s v="Jun-2020"/>
  </r>
  <r>
    <x v="129"/>
    <s v="NIU"/>
    <x v="0"/>
    <x v="6"/>
    <x v="6"/>
    <s v="predicted"/>
    <n v="1.0342681250000001"/>
    <n v="1.0580000000000001"/>
    <n v="2.3731874999999999E-2"/>
    <n v="2.4490310000000001E-2"/>
    <n v="-5.1130602080000003"/>
    <n v="6.208715282"/>
    <x v="128"/>
    <s v="Jul-2020"/>
  </r>
  <r>
    <x v="129"/>
    <s v="NIU"/>
    <x v="0"/>
    <x v="7"/>
    <x v="7"/>
    <s v="predicted"/>
    <n v="1.018718703"/>
    <n v="1.0069999999999999"/>
    <n v="-1.1718703E-2"/>
    <n v="1.2771607000000001E-2"/>
    <n v="-5.576989384"/>
    <n v="6.6094440140000001"/>
    <x v="128"/>
    <s v="Aug-2020"/>
  </r>
  <r>
    <x v="129"/>
    <s v="NIU"/>
    <x v="0"/>
    <x v="8"/>
    <x v="8"/>
    <s v="predicted"/>
    <n v="1.0261983640000001"/>
    <n v="1.0009999999999999"/>
    <n v="-2.5198364000000001E-2"/>
    <n v="-1.2426757E-2"/>
    <n v="-5.9007590759999999"/>
    <n v="7.0170866209999998"/>
    <x v="128"/>
    <s v="Sep-2020"/>
  </r>
  <r>
    <x v="129"/>
    <s v="NIU"/>
    <x v="0"/>
    <x v="9"/>
    <x v="9"/>
    <s v="predicted"/>
    <n v="1.031416018"/>
    <n v="1.0169999999999999"/>
    <n v="-1.4416017999999999E-2"/>
    <n v="-2.6842774999999999E-2"/>
    <n v="-6.0962148459999996"/>
    <n v="7.210073231"/>
    <x v="128"/>
    <s v="Oct-2020"/>
  </r>
  <r>
    <x v="129"/>
    <s v="NIU"/>
    <x v="0"/>
    <x v="10"/>
    <x v="10"/>
    <s v="predicted"/>
    <n v="1.010322194"/>
    <n v="0.97099999999999997"/>
    <n v="-3.9322193999999998E-2"/>
    <n v="-6.6164968000000005E-2"/>
    <n v="-6.5274634709999999"/>
    <n v="7.4505318860000003"/>
    <x v="128"/>
    <s v="Nov-2020"/>
  </r>
  <r>
    <x v="129"/>
    <s v="NIU"/>
    <x v="0"/>
    <x v="11"/>
    <x v="11"/>
    <s v="predicted"/>
    <n v="1.0122882200000001"/>
    <n v="1.0169999999999999"/>
    <n v="4.7117799999999996E-3"/>
    <n v="-6.1453187999999999E-2"/>
    <n v="-6.8340387050000002"/>
    <n v="7.7013466179999996"/>
    <x v="128"/>
    <s v="Dec-2020"/>
  </r>
  <r>
    <x v="129"/>
    <s v="NIU"/>
    <x v="1"/>
    <x v="0"/>
    <x v="0"/>
    <s v="predicted"/>
    <n v="1.235921515"/>
    <n v="1.2589999999999999"/>
    <n v="2.3078484999999999E-2"/>
    <n v="-3.8374703000000003E-2"/>
    <n v="-7.6868514689999996"/>
    <n v="8.1699047749999991"/>
    <x v="128"/>
    <s v="Jan-2021"/>
  </r>
  <r>
    <x v="129"/>
    <s v="NIU"/>
    <x v="1"/>
    <x v="1"/>
    <x v="1"/>
    <s v="predicted"/>
    <n v="1.233147188"/>
    <n v="1.228"/>
    <n v="-5.1471879999999996E-3"/>
    <n v="-4.3521891E-2"/>
    <n v="-8.2063853590000004"/>
    <n v="8.9660291520000008"/>
    <x v="128"/>
    <s v="Feb-2021"/>
  </r>
  <r>
    <x v="129"/>
    <s v="NIU"/>
    <x v="1"/>
    <x v="2"/>
    <x v="2"/>
    <s v="predicted"/>
    <n v="1.2660132019999999"/>
    <n v="1.2"/>
    <n v="-6.6013202000000007E-2"/>
    <n v="-0.109535093"/>
    <n v="-8.4396987229999993"/>
    <n v="8.9037718829999992"/>
    <x v="128"/>
    <s v="Mar-2021"/>
  </r>
  <r>
    <x v="129"/>
    <s v="NIU"/>
    <x v="1"/>
    <x v="3"/>
    <x v="3"/>
    <s v="predicted"/>
    <n v="1.2439642660000001"/>
    <n v="1.2669999999999999"/>
    <n v="2.3035733999999999E-2"/>
    <n v="-8.6499358999999998E-2"/>
    <n v="-8.8331046260000008"/>
    <n v="9.5131990220000002"/>
    <x v="128"/>
    <s v="Apr-2021"/>
  </r>
  <r>
    <x v="129"/>
    <s v="NIU"/>
    <x v="1"/>
    <x v="4"/>
    <x v="4"/>
    <s v="predicted"/>
    <n v="1.265416994"/>
    <n v="1.282"/>
    <n v="1.6583006000000001E-2"/>
    <n v="-6.9916353000000001E-2"/>
    <n v="-9.0355859170000006"/>
    <n v="10.286781850000001"/>
    <x v="128"/>
    <s v="May-2021"/>
  </r>
  <r>
    <x v="129"/>
    <s v="NIU"/>
    <x v="1"/>
    <x v="5"/>
    <x v="5"/>
    <s v="predicted"/>
    <n v="1.249867689"/>
    <n v="1.2270000000000001"/>
    <n v="-2.2867689E-2"/>
    <n v="-9.2784041999999997E-2"/>
    <n v="-9.3924411459999995"/>
    <n v="10.1248849"/>
    <x v="128"/>
    <s v="Jun-2021"/>
  </r>
  <r>
    <x v="129"/>
    <s v="NIU"/>
    <x v="1"/>
    <x v="6"/>
    <x v="6"/>
    <s v="predicted"/>
    <n v="1.2786160870000001"/>
    <n v="1.3169999999999999"/>
    <n v="3.8383912999999999E-2"/>
    <n v="-5.4400128999999998E-2"/>
    <n v="-9.8817393720000002"/>
    <n v="10.6197201"/>
    <x v="128"/>
    <s v="Jul-2021"/>
  </r>
  <r>
    <x v="129"/>
    <s v="NIU"/>
    <x v="1"/>
    <x v="7"/>
    <x v="7"/>
    <s v="predicted"/>
    <n v="1.257242749"/>
    <n v="1.274"/>
    <n v="1.6757251000000001E-2"/>
    <n v="-3.7642876999999998E-2"/>
    <n v="-10.139522380000001"/>
    <n v="11.500142029999999"/>
    <x v="128"/>
    <s v="Aug-2021"/>
  </r>
  <r>
    <x v="129"/>
    <s v="NIU"/>
    <x v="1"/>
    <x v="8"/>
    <x v="8"/>
    <s v="predicted"/>
    <n v="1.252089722"/>
    <n v="1.266"/>
    <n v="1.3910278E-2"/>
    <n v="-2.37326E-2"/>
    <n v="-10.73618566"/>
    <n v="11.329034269999999"/>
    <x v="128"/>
    <s v="Sep-2021"/>
  </r>
  <r>
    <x v="129"/>
    <s v="NIU"/>
    <x v="1"/>
    <x v="9"/>
    <x v="9"/>
    <s v="predicted"/>
    <n v="1.260462443"/>
    <n v="1.33"/>
    <n v="6.9537557E-2"/>
    <n v="4.5804957E-2"/>
    <n v="-11.186661880000001"/>
    <n v="11.82355641"/>
    <x v="128"/>
    <s v="Oct-2021"/>
  </r>
  <r>
    <x v="129"/>
    <s v="NIU"/>
    <x v="1"/>
    <x v="10"/>
    <x v="10"/>
    <s v="predicted"/>
    <n v="1.2400608719999999"/>
    <n v="1.343"/>
    <n v="0.102939128"/>
    <n v="0.148744085"/>
    <n v="-10.852309079999999"/>
    <n v="11.90157104"/>
    <x v="128"/>
    <s v="Nov-2021"/>
  </r>
  <r>
    <x v="129"/>
    <s v="NIU"/>
    <x v="1"/>
    <x v="11"/>
    <x v="11"/>
    <s v="predicted"/>
    <n v="1.2441831400000001"/>
    <n v="1.431"/>
    <n v="0.18681686"/>
    <n v="0.33556094600000003"/>
    <n v="-10.893566440000001"/>
    <n v="12.39111087"/>
    <x v="128"/>
    <s v="Dec-2021"/>
  </r>
  <r>
    <x v="130"/>
    <s v="NLD"/>
    <x v="0"/>
    <x v="0"/>
    <x v="0"/>
    <s v="reported"/>
    <n v="14013.14363"/>
    <n v="14043"/>
    <n v="-3.5602934309999998"/>
    <n v="-3.5602934309999998"/>
    <n v="-506.77605540000002"/>
    <n v="453.03847439999998"/>
    <x v="129"/>
    <s v="Jan-2020"/>
  </r>
  <r>
    <x v="130"/>
    <s v="NLD"/>
    <x v="0"/>
    <x v="1"/>
    <x v="1"/>
    <s v="reported"/>
    <n v="14135.75632"/>
    <n v="12912"/>
    <n v="-1257.1729849999999"/>
    <n v="-1260.7332779999999"/>
    <n v="-2032.8768950000001"/>
    <n v="-447.66447879999998"/>
    <x v="129"/>
    <s v="Feb-2020"/>
  </r>
  <r>
    <x v="130"/>
    <s v="NLD"/>
    <x v="0"/>
    <x v="2"/>
    <x v="2"/>
    <s v="reported"/>
    <n v="13934.39321"/>
    <n v="16292"/>
    <n v="2324.1901200000002"/>
    <n v="1063.4568420000001"/>
    <n v="35.127240870000001"/>
    <n v="2099.779755"/>
    <x v="129"/>
    <s v="Mar-2020"/>
  </r>
  <r>
    <x v="130"/>
    <s v="NLD"/>
    <x v="0"/>
    <x v="3"/>
    <x v="3"/>
    <s v="reported"/>
    <n v="12824.00841"/>
    <n v="18765"/>
    <n v="5907.5749249999999"/>
    <n v="6971.0317660000001"/>
    <n v="5817.924008"/>
    <n v="8130.0326219999997"/>
    <x v="129"/>
    <s v="Apr-2020"/>
  </r>
  <r>
    <x v="130"/>
    <s v="NLD"/>
    <x v="0"/>
    <x v="4"/>
    <x v="4"/>
    <s v="reported"/>
    <n v="12188.95759"/>
    <n v="12718"/>
    <n v="495.62573880000002"/>
    <n v="7466.6575050000001"/>
    <n v="6207.1346540000004"/>
    <n v="8736.2138059999997"/>
    <x v="129"/>
    <s v="May-2020"/>
  </r>
  <r>
    <x v="130"/>
    <s v="NLD"/>
    <x v="0"/>
    <x v="5"/>
    <x v="5"/>
    <s v="reported"/>
    <n v="11818.225549999999"/>
    <n v="11480"/>
    <n v="-371.64221359999999"/>
    <n v="7095.015292"/>
    <n v="5716.5679639999998"/>
    <n v="8479.0476299999991"/>
    <x v="129"/>
    <s v="Jun-2020"/>
  </r>
  <r>
    <x v="130"/>
    <s v="NLD"/>
    <x v="0"/>
    <x v="6"/>
    <x v="6"/>
    <s v="reported"/>
    <n v="11912.630939999999"/>
    <n v="11609"/>
    <n v="-337.04760670000002"/>
    <n v="6757.9676849999996"/>
    <n v="5343.1278709999997"/>
    <n v="8231.5298039999998"/>
    <x v="129"/>
    <s v="Jul-2020"/>
  </r>
  <r>
    <x v="130"/>
    <s v="NLD"/>
    <x v="0"/>
    <x v="7"/>
    <x v="7"/>
    <s v="reported"/>
    <n v="11737.91554"/>
    <n v="12588"/>
    <n v="816.66779729999996"/>
    <n v="7574.6354819999997"/>
    <n v="6103.0067259999996"/>
    <n v="9144.1309550000005"/>
    <x v="129"/>
    <s v="Aug-2020"/>
  </r>
  <r>
    <x v="130"/>
    <s v="NLD"/>
    <x v="0"/>
    <x v="8"/>
    <x v="8"/>
    <s v="reported"/>
    <n v="11753.013059999999"/>
    <n v="11948"/>
    <n v="161.57026970000001"/>
    <n v="7736.2057519999998"/>
    <n v="6195.7647440000001"/>
    <n v="9339.9741219999996"/>
    <x v="129"/>
    <s v="Sep-2020"/>
  </r>
  <r>
    <x v="130"/>
    <s v="NLD"/>
    <x v="0"/>
    <x v="9"/>
    <x v="9"/>
    <s v="reported"/>
    <n v="12280.136399999999"/>
    <n v="14568"/>
    <n v="2254.4469349999999"/>
    <n v="9990.6526869999998"/>
    <n v="8287.8021260000005"/>
    <n v="11654.87599"/>
    <x v="129"/>
    <s v="Oct-2020"/>
  </r>
  <r>
    <x v="130"/>
    <s v="NLD"/>
    <x v="0"/>
    <x v="10"/>
    <x v="10"/>
    <s v="reported"/>
    <n v="12981.106089999999"/>
    <n v="14940"/>
    <n v="1925.4772419999999"/>
    <n v="11916.129929999999"/>
    <n v="10193.253220000001"/>
    <n v="13724.12977"/>
    <x v="129"/>
    <s v="Nov-2020"/>
  </r>
  <r>
    <x v="130"/>
    <s v="NLD"/>
    <x v="0"/>
    <x v="11"/>
    <x v="11"/>
    <s v="reported"/>
    <n v="14098.70759"/>
    <n v="16746"/>
    <n v="2613.8757390000001"/>
    <n v="14530.00567"/>
    <n v="12630.60295"/>
    <n v="16431.269939999998"/>
    <x v="129"/>
    <s v="Dec-2020"/>
  </r>
  <r>
    <x v="130"/>
    <s v="NLD"/>
    <x v="1"/>
    <x v="0"/>
    <x v="0"/>
    <s v="reported"/>
    <n v="14101.265020000001"/>
    <n v="17321"/>
    <n v="3219.7349770000001"/>
    <n v="17749.74064"/>
    <n v="15781.84909"/>
    <n v="19806.74495"/>
    <x v="129"/>
    <s v="Jan-2021"/>
  </r>
  <r>
    <x v="130"/>
    <s v="NLD"/>
    <x v="1"/>
    <x v="1"/>
    <x v="1"/>
    <s v="reported"/>
    <n v="14243.240299999999"/>
    <n v="13939"/>
    <n v="-304.24029730000001"/>
    <n v="17445.500349999998"/>
    <n v="15286.4095"/>
    <n v="19524.875039999999"/>
    <x v="129"/>
    <s v="Feb-2021"/>
  </r>
  <r>
    <x v="130"/>
    <s v="NLD"/>
    <x v="1"/>
    <x v="2"/>
    <x v="2"/>
    <s v="reported"/>
    <n v="14025.194"/>
    <n v="13800"/>
    <n v="-225.19400289999999"/>
    <n v="17220.306339999999"/>
    <n v="15004.60224"/>
    <n v="19318.037219999998"/>
    <x v="129"/>
    <s v="Mar-2021"/>
  </r>
  <r>
    <x v="130"/>
    <s v="NLD"/>
    <x v="1"/>
    <x v="3"/>
    <x v="3"/>
    <s v="reported"/>
    <n v="12915.931839999999"/>
    <n v="13498"/>
    <n v="582.0681568"/>
    <n v="17802.374500000002"/>
    <n v="15519.283229999999"/>
    <n v="20088.648829999998"/>
    <x v="129"/>
    <s v="Apr-2021"/>
  </r>
  <r>
    <x v="130"/>
    <s v="NLD"/>
    <x v="1"/>
    <x v="4"/>
    <x v="4"/>
    <s v="reported"/>
    <n v="12280.319240000001"/>
    <n v="13139"/>
    <n v="858.6807642"/>
    <n v="18661.055270000001"/>
    <n v="16225.06954"/>
    <n v="21080.74163"/>
    <x v="129"/>
    <s v="May-2021"/>
  </r>
  <r>
    <x v="130"/>
    <s v="NLD"/>
    <x v="1"/>
    <x v="5"/>
    <x v="5"/>
    <s v="reported"/>
    <n v="11910.90021"/>
    <n v="12206"/>
    <n v="295.09979149999998"/>
    <n v="18956.155060000001"/>
    <n v="16453.9948"/>
    <n v="21386.295849999999"/>
    <x v="129"/>
    <s v="Jun-2021"/>
  </r>
  <r>
    <x v="130"/>
    <s v="NLD"/>
    <x v="1"/>
    <x v="6"/>
    <x v="6"/>
    <s v="reported"/>
    <n v="11991.560160000001"/>
    <n v="12579"/>
    <n v="587.43983969999999"/>
    <n v="19543.5949"/>
    <n v="17048.369149999999"/>
    <n v="21966.794839999999"/>
    <x v="129"/>
    <s v="Jul-2021"/>
  </r>
  <r>
    <x v="130"/>
    <s v="NLD"/>
    <x v="1"/>
    <x v="7"/>
    <x v="7"/>
    <s v="reported"/>
    <n v="11826.5798"/>
    <n v="12860"/>
    <n v="1033.4202049999999"/>
    <n v="20577.015100000001"/>
    <n v="17924.11421"/>
    <n v="23142.385389999999"/>
    <x v="129"/>
    <s v="Aug-2021"/>
  </r>
  <r>
    <x v="130"/>
    <s v="NLD"/>
    <x v="1"/>
    <x v="8"/>
    <x v="8"/>
    <s v="reported"/>
    <n v="11804.917380000001"/>
    <n v="12695"/>
    <n v="890.08262219999995"/>
    <n v="21467.097720000002"/>
    <n v="18775.853429999999"/>
    <n v="24122.01413"/>
    <x v="129"/>
    <s v="Sep-2021"/>
  </r>
  <r>
    <x v="130"/>
    <s v="NLD"/>
    <x v="1"/>
    <x v="9"/>
    <x v="9"/>
    <s v="reported"/>
    <n v="12380.60572"/>
    <n v="14107"/>
    <n v="1726.39428"/>
    <n v="23193.491999999998"/>
    <n v="20402.456590000002"/>
    <n v="25908.478289999999"/>
    <x v="129"/>
    <s v="Oct-2021"/>
  </r>
  <r>
    <x v="130"/>
    <s v="NLD"/>
    <x v="1"/>
    <x v="10"/>
    <x v="10"/>
    <s v="reported"/>
    <n v="13049.406419999999"/>
    <n v="16736"/>
    <n v="3686.593582"/>
    <n v="26880.085589999999"/>
    <n v="24059.3442"/>
    <n v="29698.396479999999"/>
    <x v="129"/>
    <s v="Nov-2021"/>
  </r>
  <r>
    <x v="130"/>
    <s v="NLD"/>
    <x v="1"/>
    <x v="11"/>
    <x v="11"/>
    <s v="reported"/>
    <n v="14224.38766"/>
    <n v="17876"/>
    <n v="3651.6123360000001"/>
    <n v="30531.697919999999"/>
    <n v="27684.514179999998"/>
    <n v="33366.927669999997"/>
    <x v="129"/>
    <s v="Dec-2021"/>
  </r>
  <r>
    <x v="131"/>
    <s v="NOR"/>
    <x v="0"/>
    <x v="0"/>
    <x v="0"/>
    <s v="reported"/>
    <n v="3815.225328"/>
    <n v="3850"/>
    <n v="33.858005519999999"/>
    <n v="33.858005519999999"/>
    <n v="-67.181178930000002"/>
    <n v="138.92440579999999"/>
    <x v="130"/>
    <s v="Jan-2020"/>
  </r>
  <r>
    <x v="131"/>
    <s v="NOR"/>
    <x v="0"/>
    <x v="1"/>
    <x v="1"/>
    <s v="reported"/>
    <n v="3560.3316359999999"/>
    <n v="3414"/>
    <n v="-147.2483029"/>
    <n v="-113.39029739999999"/>
    <n v="-278.38971129999999"/>
    <n v="50.665239399999997"/>
    <x v="130"/>
    <s v="Feb-2020"/>
  </r>
  <r>
    <x v="131"/>
    <s v="NOR"/>
    <x v="0"/>
    <x v="2"/>
    <x v="2"/>
    <s v="reported"/>
    <n v="3624.5259000000001"/>
    <n v="3646"/>
    <n v="20.557433459999999"/>
    <n v="-92.832863889999999"/>
    <n v="-290.67035449999997"/>
    <n v="109.1328795"/>
    <x v="130"/>
    <s v="Mar-2020"/>
  </r>
  <r>
    <x v="131"/>
    <s v="NOR"/>
    <x v="0"/>
    <x v="3"/>
    <x v="3"/>
    <s v="reported"/>
    <n v="3350.8099480000001"/>
    <n v="3456"/>
    <n v="104.2733853"/>
    <n v="11.440521390000001"/>
    <n v="-220.6469171"/>
    <n v="237.84196990000001"/>
    <x v="130"/>
    <s v="Apr-2020"/>
  </r>
  <r>
    <x v="131"/>
    <s v="NOR"/>
    <x v="0"/>
    <x v="4"/>
    <x v="4"/>
    <s v="reported"/>
    <n v="3215.8813890000001"/>
    <n v="3151"/>
    <n v="-65.798055169999998"/>
    <n v="-54.357533779999997"/>
    <n v="-299.90967790000002"/>
    <n v="191.62220880000001"/>
    <x v="130"/>
    <s v="May-2020"/>
  </r>
  <r>
    <x v="131"/>
    <s v="NOR"/>
    <x v="0"/>
    <x v="5"/>
    <x v="5"/>
    <s v="reported"/>
    <n v="3102.2456309999998"/>
    <n v="3030"/>
    <n v="-73.162298010000001"/>
    <n v="-127.51983180000001"/>
    <n v="-404.3819853"/>
    <n v="129.09055509999999"/>
    <x v="130"/>
    <s v="Jun-2020"/>
  </r>
  <r>
    <x v="131"/>
    <s v="NOR"/>
    <x v="0"/>
    <x v="6"/>
    <x v="6"/>
    <s v="reported"/>
    <n v="3189.734931"/>
    <n v="3185"/>
    <n v="-5.6515975200000002"/>
    <n v="-133.1714293"/>
    <n v="-418.36677049999997"/>
    <n v="146.87688750000001"/>
    <x v="130"/>
    <s v="Jul-2020"/>
  </r>
  <r>
    <x v="131"/>
    <s v="NOR"/>
    <x v="0"/>
    <x v="7"/>
    <x v="7"/>
    <s v="reported"/>
    <n v="3156.6095529999998"/>
    <n v="3232"/>
    <n v="74.473780110000007"/>
    <n v="-58.697649200000001"/>
    <n v="-368.5456322"/>
    <n v="242.47892479999999"/>
    <x v="130"/>
    <s v="Aug-2020"/>
  </r>
  <r>
    <x v="131"/>
    <s v="NOR"/>
    <x v="0"/>
    <x v="8"/>
    <x v="8"/>
    <s v="reported"/>
    <n v="3107.5455280000001"/>
    <n v="3247"/>
    <n v="138.53780520000001"/>
    <n v="79.840155999999993"/>
    <n v="-239.87464220000001"/>
    <n v="406.4306277"/>
    <x v="130"/>
    <s v="Sep-2020"/>
  </r>
  <r>
    <x v="131"/>
    <s v="NOR"/>
    <x v="0"/>
    <x v="9"/>
    <x v="9"/>
    <s v="reported"/>
    <n v="3275.8472099999999"/>
    <n v="3379"/>
    <n v="102.2361238"/>
    <n v="182.07627980000001"/>
    <n v="-170.08202589999999"/>
    <n v="520.61544609999999"/>
    <x v="130"/>
    <s v="Oct-2020"/>
  </r>
  <r>
    <x v="131"/>
    <s v="NOR"/>
    <x v="0"/>
    <x v="10"/>
    <x v="10"/>
    <s v="reported"/>
    <n v="3358.0028689999999"/>
    <n v="3357"/>
    <n v="-1.9195354680000001"/>
    <n v="180.15674430000001"/>
    <n v="-184.8737199"/>
    <n v="543.74910560000001"/>
    <x v="130"/>
    <s v="Nov-2020"/>
  </r>
  <r>
    <x v="131"/>
    <s v="NOR"/>
    <x v="0"/>
    <x v="11"/>
    <x v="11"/>
    <s v="reported"/>
    <n v="3811.9545240000002"/>
    <n v="3651"/>
    <n v="-161.87119029999999"/>
    <n v="18.28555407"/>
    <n v="-365.8886905"/>
    <n v="396.99417870000002"/>
    <x v="130"/>
    <s v="Dec-2020"/>
  </r>
  <r>
    <x v="131"/>
    <s v="NOR"/>
    <x v="1"/>
    <x v="0"/>
    <x v="0"/>
    <s v="reported"/>
    <n v="3810.1360030000001"/>
    <n v="3770"/>
    <n v="-40.136002820000002"/>
    <n v="-21.850448740000001"/>
    <n v="-416.59411460000001"/>
    <n v="371.49700489999998"/>
    <x v="130"/>
    <s v="Jan-2021"/>
  </r>
  <r>
    <x v="131"/>
    <s v="NOR"/>
    <x v="1"/>
    <x v="1"/>
    <x v="1"/>
    <s v="reported"/>
    <n v="3552.6560840000002"/>
    <n v="3131"/>
    <n v="-421.65608359999999"/>
    <n v="-443.50653240000003"/>
    <n v="-858.44674640000005"/>
    <n v="-19.174647449999998"/>
    <x v="130"/>
    <s v="Feb-2021"/>
  </r>
  <r>
    <x v="131"/>
    <s v="NOR"/>
    <x v="1"/>
    <x v="2"/>
    <x v="2"/>
    <s v="reported"/>
    <n v="3623.6650089999998"/>
    <n v="3360"/>
    <n v="-263.66500910000002"/>
    <n v="-707.17154149999999"/>
    <n v="-1148.2600030000001"/>
    <n v="-269.4622718"/>
    <x v="130"/>
    <s v="Mar-2021"/>
  </r>
  <r>
    <x v="131"/>
    <s v="NOR"/>
    <x v="1"/>
    <x v="3"/>
    <x v="3"/>
    <s v="reported"/>
    <n v="3344.177365"/>
    <n v="3248"/>
    <n v="-96.177364760000003"/>
    <n v="-803.34890629999995"/>
    <n v="-1285.60826"/>
    <n v="-333.76103280000001"/>
    <x v="130"/>
    <s v="Apr-2021"/>
  </r>
  <r>
    <x v="131"/>
    <s v="NOR"/>
    <x v="1"/>
    <x v="4"/>
    <x v="4"/>
    <s v="reported"/>
    <n v="3214.9364919999998"/>
    <n v="3196"/>
    <n v="-18.93649151"/>
    <n v="-822.28539780000006"/>
    <n v="-1324.8118440000001"/>
    <n v="-346.84247690000001"/>
    <x v="130"/>
    <s v="May-2021"/>
  </r>
  <r>
    <x v="131"/>
    <s v="NOR"/>
    <x v="1"/>
    <x v="5"/>
    <x v="5"/>
    <s v="reported"/>
    <n v="3096.1815109999998"/>
    <n v="3040"/>
    <n v="-56.181511149999999"/>
    <n v="-878.46690890000002"/>
    <n v="-1392.598833"/>
    <n v="-385.7196672"/>
    <x v="130"/>
    <s v="Jun-2021"/>
  </r>
  <r>
    <x v="131"/>
    <s v="NOR"/>
    <x v="1"/>
    <x v="6"/>
    <x v="6"/>
    <s v="reported"/>
    <n v="3178.6688399999998"/>
    <n v="3294"/>
    <n v="115.33116029999999"/>
    <n v="-763.13574860000006"/>
    <n v="-1290.202565"/>
    <n v="-239.51574740000001"/>
    <x v="130"/>
    <s v="Jul-2021"/>
  </r>
  <r>
    <x v="131"/>
    <s v="NOR"/>
    <x v="1"/>
    <x v="7"/>
    <x v="7"/>
    <s v="reported"/>
    <n v="3151.2126709999998"/>
    <n v="3453"/>
    <n v="301.7873295"/>
    <n v="-461.34841920000002"/>
    <n v="-999.5109913"/>
    <n v="63.527490180000001"/>
    <x v="130"/>
    <s v="Aug-2021"/>
  </r>
  <r>
    <x v="131"/>
    <s v="NOR"/>
    <x v="1"/>
    <x v="8"/>
    <x v="8"/>
    <s v="reported"/>
    <n v="3100.2170019999999"/>
    <n v="3451"/>
    <n v="350.78299770000001"/>
    <n v="-110.5654215"/>
    <n v="-678.59595130000002"/>
    <n v="430.32954000000001"/>
    <x v="130"/>
    <s v="Sep-2021"/>
  </r>
  <r>
    <x v="131"/>
    <s v="NOR"/>
    <x v="1"/>
    <x v="9"/>
    <x v="9"/>
    <s v="reported"/>
    <n v="3272.2229200000002"/>
    <n v="3693"/>
    <n v="420.77708009999998"/>
    <n v="310.21165860000002"/>
    <n v="-250.92308969999999"/>
    <n v="865.91338389999999"/>
    <x v="130"/>
    <s v="Oct-2021"/>
  </r>
  <r>
    <x v="131"/>
    <s v="NOR"/>
    <x v="1"/>
    <x v="10"/>
    <x v="10"/>
    <s v="reported"/>
    <n v="3354.3449909999999"/>
    <n v="4017"/>
    <n v="662.65500889999998"/>
    <n v="972.86666749999995"/>
    <n v="404.7881428"/>
    <n v="1558.005212"/>
    <x v="130"/>
    <s v="Nov-2021"/>
  </r>
  <r>
    <x v="131"/>
    <s v="NOR"/>
    <x v="1"/>
    <x v="11"/>
    <x v="11"/>
    <s v="reported"/>
    <n v="3806.4354469999998"/>
    <n v="4350"/>
    <n v="543.56455349999999"/>
    <n v="1516.4312210000001"/>
    <n v="912.58942709999997"/>
    <n v="2098.6415470000002"/>
    <x v="130"/>
    <s v="Dec-2021"/>
  </r>
  <r>
    <x v="132"/>
    <s v="NPL"/>
    <x v="0"/>
    <x v="0"/>
    <x v="0"/>
    <s v="predicted"/>
    <n v="15704.56784"/>
    <n v="15752.7"/>
    <n v="48.132155730000001"/>
    <n v="48.132155730000001"/>
    <n v="-3828.5944789999999"/>
    <n v="4580.9344940000001"/>
    <x v="131"/>
    <s v="Jan-2020"/>
  </r>
  <r>
    <x v="132"/>
    <s v="NPL"/>
    <x v="0"/>
    <x v="1"/>
    <x v="1"/>
    <s v="predicted"/>
    <n v="15455.33963"/>
    <n v="14917.264999999999"/>
    <n v="-538.07463480000001"/>
    <n v="-489.94247899999999"/>
    <n v="-6111.4230809999999"/>
    <n v="5739.0230089999995"/>
    <x v="131"/>
    <s v="Feb-2020"/>
  </r>
  <r>
    <x v="132"/>
    <s v="NPL"/>
    <x v="0"/>
    <x v="2"/>
    <x v="2"/>
    <s v="predicted"/>
    <n v="15073.53218"/>
    <n v="14309.048000000001"/>
    <n v="-764.48418070000002"/>
    <n v="-1254.4266600000001"/>
    <n v="-8003.7334890000002"/>
    <n v="6319.3788299999997"/>
    <x v="131"/>
    <s v="Mar-2020"/>
  </r>
  <r>
    <x v="132"/>
    <s v="NPL"/>
    <x v="0"/>
    <x v="3"/>
    <x v="3"/>
    <s v="predicted"/>
    <n v="14729.03564"/>
    <n v="12512.734"/>
    <n v="-2216.301641"/>
    <n v="-3470.7283010000001"/>
    <n v="-11471.637479999999"/>
    <n v="4649.4434840000004"/>
    <x v="131"/>
    <s v="Apr-2020"/>
  </r>
  <r>
    <x v="132"/>
    <s v="NPL"/>
    <x v="0"/>
    <x v="4"/>
    <x v="4"/>
    <s v="predicted"/>
    <n v="14466.29"/>
    <n v="13273.514999999999"/>
    <n v="-1192.774997"/>
    <n v="-4663.5032979999996"/>
    <n v="-12816.51686"/>
    <n v="4393.1742770000001"/>
    <x v="131"/>
    <s v="May-2020"/>
  </r>
  <r>
    <x v="132"/>
    <s v="NPL"/>
    <x v="0"/>
    <x v="5"/>
    <x v="5"/>
    <s v="predicted"/>
    <n v="14264.530479999999"/>
    <n v="14057.293"/>
    <n v="-207.2374792"/>
    <n v="-4870.740777"/>
    <n v="-13922.335709999999"/>
    <n v="5137.6584670000002"/>
    <x v="131"/>
    <s v="Jun-2020"/>
  </r>
  <r>
    <x v="132"/>
    <s v="NPL"/>
    <x v="0"/>
    <x v="6"/>
    <x v="6"/>
    <s v="predicted"/>
    <n v="14191.93469"/>
    <n v="14345.398999999999"/>
    <n v="153.4643093"/>
    <n v="-4717.276468"/>
    <n v="-15129.99359"/>
    <n v="5952.0680359999997"/>
    <x v="131"/>
    <s v="Jul-2020"/>
  </r>
  <r>
    <x v="132"/>
    <s v="NPL"/>
    <x v="0"/>
    <x v="7"/>
    <x v="7"/>
    <s v="predicted"/>
    <n v="14200.15603"/>
    <n v="15452.956"/>
    <n v="1252.7999669999999"/>
    <n v="-3464.4765000000002"/>
    <n v="-14678.448420000001"/>
    <n v="8280.4439669999992"/>
    <x v="131"/>
    <s v="Aug-2020"/>
  </r>
  <r>
    <x v="132"/>
    <s v="NPL"/>
    <x v="0"/>
    <x v="8"/>
    <x v="8"/>
    <s v="predicted"/>
    <n v="14310.958420000001"/>
    <n v="16268.151"/>
    <n v="1957.192577"/>
    <n v="-1507.283923"/>
    <n v="-12717.25922"/>
    <n v="10990.58394"/>
    <x v="131"/>
    <s v="Sep-2020"/>
  </r>
  <r>
    <x v="132"/>
    <s v="NPL"/>
    <x v="0"/>
    <x v="9"/>
    <x v="9"/>
    <s v="predicted"/>
    <n v="14591.67555"/>
    <n v="17940.518"/>
    <n v="3348.8424460000001"/>
    <n v="1841.5585229999999"/>
    <n v="-10268.26325"/>
    <n v="14736.69939"/>
    <x v="131"/>
    <s v="Oct-2020"/>
  </r>
  <r>
    <x v="132"/>
    <s v="NPL"/>
    <x v="0"/>
    <x v="10"/>
    <x v="10"/>
    <s v="predicted"/>
    <n v="15117.873900000001"/>
    <n v="19153.865000000002"/>
    <n v="4035.9911000000002"/>
    <n v="5877.5496229999999"/>
    <n v="-7424.4546529999998"/>
    <n v="20501.981370000001"/>
    <x v="131"/>
    <s v="Nov-2020"/>
  </r>
  <r>
    <x v="132"/>
    <s v="NPL"/>
    <x v="0"/>
    <x v="11"/>
    <x v="11"/>
    <s v="predicted"/>
    <n v="15411.898359999999"/>
    <n v="18352.722000000002"/>
    <n v="2940.8236430000002"/>
    <n v="8818.3732650000002"/>
    <n v="-5206.6427759999997"/>
    <n v="23117.299640000001"/>
    <x v="131"/>
    <s v="Dec-2020"/>
  </r>
  <r>
    <x v="132"/>
    <s v="NPL"/>
    <x v="1"/>
    <x v="0"/>
    <x v="0"/>
    <s v="predicted"/>
    <n v="15851.040419999999"/>
    <n v="16786.237000000001"/>
    <n v="935.19657589999997"/>
    <n v="9753.5698410000005"/>
    <n v="-4896.8621990000001"/>
    <n v="24520.862270000001"/>
    <x v="131"/>
    <s v="Jan-2021"/>
  </r>
  <r>
    <x v="132"/>
    <s v="NPL"/>
    <x v="1"/>
    <x v="1"/>
    <x v="1"/>
    <s v="predicted"/>
    <n v="15611.414070000001"/>
    <n v="15084.995000000001"/>
    <n v="-526.41907260000005"/>
    <n v="9227.1507689999999"/>
    <n v="-5846.5060199999998"/>
    <n v="24851.989389999999"/>
    <x v="131"/>
    <s v="Feb-2021"/>
  </r>
  <r>
    <x v="132"/>
    <s v="NPL"/>
    <x v="1"/>
    <x v="2"/>
    <x v="2"/>
    <s v="predicted"/>
    <n v="15226.04862"/>
    <n v="14969.945"/>
    <n v="-256.10361940000001"/>
    <n v="8971.047149"/>
    <n v="-7193.1899810000004"/>
    <n v="25203.46931"/>
    <x v="131"/>
    <s v="Mar-2021"/>
  </r>
  <r>
    <x v="132"/>
    <s v="NPL"/>
    <x v="1"/>
    <x v="3"/>
    <x v="3"/>
    <s v="predicted"/>
    <n v="14856.872499999999"/>
    <n v="16378.526"/>
    <n v="1521.653501"/>
    <n v="10492.700650000001"/>
    <n v="-6640.0509179999999"/>
    <n v="27431.593799999999"/>
    <x v="131"/>
    <s v="Apr-2021"/>
  </r>
  <r>
    <x v="132"/>
    <s v="NPL"/>
    <x v="1"/>
    <x v="4"/>
    <x v="4"/>
    <s v="predicted"/>
    <n v="14588.53983"/>
    <n v="22549.589"/>
    <n v="7961.0491750000001"/>
    <n v="18453.749820000001"/>
    <n v="-123.8678634"/>
    <n v="36396.56134"/>
    <x v="131"/>
    <s v="May-2021"/>
  </r>
  <r>
    <x v="132"/>
    <s v="NPL"/>
    <x v="1"/>
    <x v="5"/>
    <x v="5"/>
    <s v="predicted"/>
    <n v="14378.94706"/>
    <n v="18544.27"/>
    <n v="4165.3229430000001"/>
    <n v="22619.072769999999"/>
    <n v="4977.2566939999997"/>
    <n v="40908.256079999999"/>
    <x v="131"/>
    <s v="Jun-2021"/>
  </r>
  <r>
    <x v="132"/>
    <s v="NPL"/>
    <x v="1"/>
    <x v="6"/>
    <x v="6"/>
    <s v="predicted"/>
    <n v="14330.6895"/>
    <n v="17389.596000000001"/>
    <n v="3058.9064979999998"/>
    <n v="25677.97927"/>
    <n v="7140.3660689999997"/>
    <n v="44309.128219999999"/>
    <x v="131"/>
    <s v="Jul-2021"/>
  </r>
  <r>
    <x v="132"/>
    <s v="NPL"/>
    <x v="1"/>
    <x v="7"/>
    <x v="7"/>
    <s v="predicted"/>
    <n v="14341.717549999999"/>
    <n v="17789.126"/>
    <n v="3447.4084499999999"/>
    <n v="29125.387719999999"/>
    <n v="9447.0022389999995"/>
    <n v="48722.17555"/>
    <x v="131"/>
    <s v="Aug-2021"/>
  </r>
  <r>
    <x v="132"/>
    <s v="NPL"/>
    <x v="1"/>
    <x v="8"/>
    <x v="8"/>
    <s v="predicted"/>
    <n v="14457.84405"/>
    <n v="16074.522999999999"/>
    <n v="1616.6789490000001"/>
    <n v="30742.06666"/>
    <n v="11112.61822"/>
    <n v="50863.18993"/>
    <x v="131"/>
    <s v="Sep-2021"/>
  </r>
  <r>
    <x v="132"/>
    <s v="NPL"/>
    <x v="1"/>
    <x v="9"/>
    <x v="9"/>
    <s v="predicted"/>
    <n v="14715.153969999999"/>
    <n v="16335.958000000001"/>
    <n v="1620.8040289999999"/>
    <n v="32362.87069"/>
    <n v="11703.25806"/>
    <n v="51459.304089999998"/>
    <x v="131"/>
    <s v="Oct-2021"/>
  </r>
  <r>
    <x v="132"/>
    <s v="NPL"/>
    <x v="1"/>
    <x v="10"/>
    <x v="10"/>
    <s v="predicted"/>
    <n v="15271.029350000001"/>
    <n v="16501.484"/>
    <n v="1230.4546459999999"/>
    <n v="33593.325340000003"/>
    <n v="12531.073399999999"/>
    <n v="54060.767359999998"/>
    <x v="131"/>
    <s v="Nov-2021"/>
  </r>
  <r>
    <x v="132"/>
    <s v="NPL"/>
    <x v="1"/>
    <x v="11"/>
    <x v="11"/>
    <s v="predicted"/>
    <n v="15566.703079999999"/>
    <n v="16814.531999999999"/>
    <n v="1247.8289159999999"/>
    <n v="34841.154260000003"/>
    <n v="12523.60808"/>
    <n v="56393.66878"/>
    <x v="131"/>
    <s v="Dec-2021"/>
  </r>
  <r>
    <x v="133"/>
    <s v="NRU"/>
    <x v="0"/>
    <x v="0"/>
    <x v="0"/>
    <s v="predicted"/>
    <n v="5.1120489200000003"/>
    <n v="5.2889999999999997"/>
    <n v="0.17695108000000001"/>
    <n v="0.17695108000000001"/>
    <n v="-3.9820270569999998"/>
    <n v="5.5284294139999997"/>
    <x v="132"/>
    <s v="Jan-2020"/>
  </r>
  <r>
    <x v="133"/>
    <s v="NRU"/>
    <x v="0"/>
    <x v="1"/>
    <x v="1"/>
    <s v="predicted"/>
    <n v="5.1606058380000004"/>
    <n v="5.0990000000000002"/>
    <n v="-6.1605838000000003E-2"/>
    <n v="0.115345241"/>
    <n v="-5.7252721009999998"/>
    <n v="7.3061335029999999"/>
    <x v="132"/>
    <s v="Feb-2020"/>
  </r>
  <r>
    <x v="133"/>
    <s v="NRU"/>
    <x v="0"/>
    <x v="2"/>
    <x v="2"/>
    <s v="predicted"/>
    <n v="5.1342170659999997"/>
    <n v="4.8979999999999997"/>
    <n v="-0.236217066"/>
    <n v="-0.120871825"/>
    <n v="-7.1438565059999997"/>
    <n v="8.3332574239999992"/>
    <x v="132"/>
    <s v="Mar-2020"/>
  </r>
  <r>
    <x v="133"/>
    <s v="NRU"/>
    <x v="0"/>
    <x v="3"/>
    <x v="3"/>
    <s v="predicted"/>
    <n v="5.1037668480000002"/>
    <n v="5.07"/>
    <n v="-3.3766848000000002E-2"/>
    <n v="-0.154638672"/>
    <n v="-8.7071813720000009"/>
    <n v="9.5249155590000001"/>
    <x v="132"/>
    <s v="Apr-2020"/>
  </r>
  <r>
    <x v="133"/>
    <s v="NRU"/>
    <x v="0"/>
    <x v="4"/>
    <x v="4"/>
    <s v="predicted"/>
    <n v="5.1335610110000003"/>
    <n v="5.181"/>
    <n v="4.7438989000000001E-2"/>
    <n v="-0.107199684"/>
    <n v="-9.5487666820000001"/>
    <n v="10.86618271"/>
    <x v="132"/>
    <s v="May-2020"/>
  </r>
  <r>
    <x v="133"/>
    <s v="NRU"/>
    <x v="0"/>
    <x v="5"/>
    <x v="5"/>
    <s v="predicted"/>
    <n v="5.1305821539999998"/>
    <n v="5.0979999999999999"/>
    <n v="-3.2582154000000002E-2"/>
    <n v="-0.13978183799999999"/>
    <n v="-10.79241047"/>
    <n v="11.198362169999999"/>
    <x v="132"/>
    <s v="Jun-2020"/>
  </r>
  <r>
    <x v="133"/>
    <s v="NRU"/>
    <x v="0"/>
    <x v="6"/>
    <x v="6"/>
    <s v="predicted"/>
    <n v="5.1131311259999999"/>
    <n v="4.827"/>
    <n v="-0.28613112600000001"/>
    <n v="-0.425912964"/>
    <n v="-12.284954279999999"/>
    <n v="12.08058099"/>
    <x v="132"/>
    <s v="Jul-2020"/>
  </r>
  <r>
    <x v="133"/>
    <s v="NRU"/>
    <x v="0"/>
    <x v="7"/>
    <x v="7"/>
    <s v="predicted"/>
    <n v="5.1276342750000001"/>
    <n v="4.931"/>
    <n v="-0.196634275"/>
    <n v="-0.62254723899999997"/>
    <n v="-13.180252279999999"/>
    <n v="13.313801550000001"/>
    <x v="132"/>
    <s v="Aug-2020"/>
  </r>
  <r>
    <x v="133"/>
    <s v="NRU"/>
    <x v="0"/>
    <x v="8"/>
    <x v="8"/>
    <s v="predicted"/>
    <n v="5.1635996149999999"/>
    <n v="5"/>
    <n v="-0.163599615"/>
    <n v="-0.78614685399999995"/>
    <n v="-13.82360229"/>
    <n v="14.17347204"/>
    <x v="132"/>
    <s v="Sep-2020"/>
  </r>
  <r>
    <x v="133"/>
    <s v="NRU"/>
    <x v="0"/>
    <x v="9"/>
    <x v="9"/>
    <s v="predicted"/>
    <n v="5.1471790369999999"/>
    <n v="4.9660000000000002"/>
    <n v="-0.18117903699999999"/>
    <n v="-0.96732589099999999"/>
    <n v="-15.21402232"/>
    <n v="14.804789359999999"/>
    <x v="132"/>
    <s v="Oct-2020"/>
  </r>
  <r>
    <x v="133"/>
    <s v="NRU"/>
    <x v="0"/>
    <x v="10"/>
    <x v="10"/>
    <s v="predicted"/>
    <n v="5.1373361419999997"/>
    <n v="4.8179999999999996"/>
    <n v="-0.31933614199999999"/>
    <n v="-1.286662033"/>
    <n v="-15.89499567"/>
    <n v="14.65973211"/>
    <x v="132"/>
    <s v="Nov-2020"/>
  </r>
  <r>
    <x v="133"/>
    <s v="NRU"/>
    <x v="0"/>
    <x v="11"/>
    <x v="11"/>
    <s v="predicted"/>
    <n v="5.1505921839999997"/>
    <n v="4.9429999999999996"/>
    <n v="-0.20759218400000001"/>
    <n v="-1.4942542169999999"/>
    <n v="-16.123437719999998"/>
    <n v="14.73123822"/>
    <x v="132"/>
    <s v="Dec-2020"/>
  </r>
  <r>
    <x v="133"/>
    <s v="NRU"/>
    <x v="1"/>
    <x v="0"/>
    <x v="0"/>
    <s v="predicted"/>
    <n v="5.0680488559999999"/>
    <n v="5.0030000000000001"/>
    <n v="-6.5048856000000002E-2"/>
    <n v="-1.5593030729999999"/>
    <n v="-17.058896090000001"/>
    <n v="15.8685458"/>
    <x v="132"/>
    <s v="Jan-2021"/>
  </r>
  <r>
    <x v="133"/>
    <s v="NRU"/>
    <x v="1"/>
    <x v="1"/>
    <x v="1"/>
    <s v="predicted"/>
    <n v="5.0838279819999999"/>
    <n v="4.9340000000000002"/>
    <n v="-0.149827982"/>
    <n v="-1.7091310550000001"/>
    <n v="-17.771340250000002"/>
    <n v="16.312748389999999"/>
    <x v="132"/>
    <s v="Feb-2021"/>
  </r>
  <r>
    <x v="133"/>
    <s v="NRU"/>
    <x v="1"/>
    <x v="2"/>
    <x v="2"/>
    <s v="predicted"/>
    <n v="5.0728602450000002"/>
    <n v="5.1070000000000002"/>
    <n v="3.4139755000000001E-2"/>
    <n v="-1.6749913000000001"/>
    <n v="-17.991561269999998"/>
    <n v="17.33987239"/>
    <x v="132"/>
    <s v="Mar-2021"/>
  </r>
  <r>
    <x v="133"/>
    <s v="NRU"/>
    <x v="1"/>
    <x v="3"/>
    <x v="3"/>
    <s v="predicted"/>
    <n v="5.0622667379999999"/>
    <n v="5.01"/>
    <n v="-5.2266738E-2"/>
    <n v="-1.727258038"/>
    <n v="-18.90827513"/>
    <n v="17.619508360000001"/>
    <x v="132"/>
    <s v="Apr-2021"/>
  </r>
  <r>
    <x v="133"/>
    <s v="NRU"/>
    <x v="1"/>
    <x v="4"/>
    <x v="4"/>
    <s v="predicted"/>
    <n v="5.0762365420000002"/>
    <n v="5.3529999999999998"/>
    <n v="0.27676345800000002"/>
    <n v="-1.4504945789999999"/>
    <n v="-18.881799059999999"/>
    <n v="18.644435600000001"/>
    <x v="132"/>
    <s v="May-2021"/>
  </r>
  <r>
    <x v="133"/>
    <s v="NRU"/>
    <x v="1"/>
    <x v="5"/>
    <x v="5"/>
    <s v="predicted"/>
    <n v="5.0644747360000002"/>
    <n v="5.4160000000000004"/>
    <n v="0.351525264"/>
    <n v="-1.098969316"/>
    <n v="-18.907882149999999"/>
    <n v="19.411078759999999"/>
    <x v="132"/>
    <s v="Jun-2021"/>
  </r>
  <r>
    <x v="133"/>
    <s v="NRU"/>
    <x v="1"/>
    <x v="6"/>
    <x v="6"/>
    <s v="predicted"/>
    <n v="5.0789091480000002"/>
    <n v="5.4889999999999999"/>
    <n v="0.41009085200000001"/>
    <n v="-0.68887846399999997"/>
    <n v="-18.84429879"/>
    <n v="20.505213919999999"/>
    <x v="132"/>
    <s v="Jul-2021"/>
  </r>
  <r>
    <x v="133"/>
    <s v="NRU"/>
    <x v="1"/>
    <x v="7"/>
    <x v="7"/>
    <s v="predicted"/>
    <n v="5.0859835950000001"/>
    <n v="5.3550000000000004"/>
    <n v="0.26901640500000001"/>
    <n v="-0.41986205799999998"/>
    <n v="-18.844679849999999"/>
    <n v="22.304904199999999"/>
    <x v="132"/>
    <s v="Aug-2021"/>
  </r>
  <r>
    <x v="133"/>
    <s v="NRU"/>
    <x v="1"/>
    <x v="8"/>
    <x v="8"/>
    <s v="predicted"/>
    <n v="5.1133563879999997"/>
    <n v="5.4420000000000002"/>
    <n v="0.32864361199999997"/>
    <n v="-9.1218446999999994E-2"/>
    <n v="-19.3123191"/>
    <n v="22.225676629999999"/>
    <x v="132"/>
    <s v="Sep-2021"/>
  </r>
  <r>
    <x v="133"/>
    <s v="NRU"/>
    <x v="1"/>
    <x v="9"/>
    <x v="9"/>
    <s v="predicted"/>
    <n v="5.0728614649999999"/>
    <n v="5.3120000000000003"/>
    <n v="0.23913853500000001"/>
    <n v="0.14792008800000001"/>
    <n v="-19.649914190000001"/>
    <n v="23.69619402"/>
    <x v="132"/>
    <s v="Oct-2021"/>
  </r>
  <r>
    <x v="133"/>
    <s v="NRU"/>
    <x v="1"/>
    <x v="10"/>
    <x v="10"/>
    <s v="predicted"/>
    <n v="5.0764079789999998"/>
    <n v="5.5170000000000003"/>
    <n v="0.440592021"/>
    <n v="0.58851210899999995"/>
    <n v="-20.269776449999998"/>
    <n v="24.381609489999999"/>
    <x v="132"/>
    <s v="Nov-2021"/>
  </r>
  <r>
    <x v="133"/>
    <s v="NRU"/>
    <x v="1"/>
    <x v="11"/>
    <x v="11"/>
    <s v="predicted"/>
    <n v="5.0809575990000004"/>
    <n v="5.5629999999999997"/>
    <n v="0.48204240100000001"/>
    <n v="1.0705545110000001"/>
    <n v="-20.422993259999998"/>
    <n v="24.762824940000002"/>
    <x v="132"/>
    <s v="Dec-2021"/>
  </r>
  <r>
    <x v="134"/>
    <s v="NZL"/>
    <x v="0"/>
    <x v="0"/>
    <x v="0"/>
    <s v="reported"/>
    <n v="2698.518278"/>
    <n v="2693"/>
    <n v="-5.5182784490000003"/>
    <n v="-5.5182784490000003"/>
    <n v="-74.820888629999999"/>
    <n v="61.029355410000001"/>
    <x v="133"/>
    <s v="Jan-2020"/>
  </r>
  <r>
    <x v="134"/>
    <s v="NZL"/>
    <x v="0"/>
    <x v="1"/>
    <x v="1"/>
    <s v="reported"/>
    <n v="2469.4569270000002"/>
    <n v="2514"/>
    <n v="44.543072799999997"/>
    <n v="39.024794350000001"/>
    <n v="-71.563856329999993"/>
    <n v="137.9613402"/>
    <x v="133"/>
    <s v="Feb-2020"/>
  </r>
  <r>
    <x v="134"/>
    <s v="NZL"/>
    <x v="0"/>
    <x v="2"/>
    <x v="2"/>
    <s v="reported"/>
    <n v="2708.1796589999999"/>
    <n v="2708"/>
    <n v="-0.179658702"/>
    <n v="38.845135650000003"/>
    <n v="-100.1212969"/>
    <n v="177.47710520000001"/>
    <x v="133"/>
    <s v="Mar-2020"/>
  </r>
  <r>
    <x v="134"/>
    <s v="NZL"/>
    <x v="0"/>
    <x v="3"/>
    <x v="3"/>
    <s v="reported"/>
    <n v="2753.1815059999999"/>
    <n v="2716"/>
    <n v="-37.18150644"/>
    <n v="1.6636292050000001"/>
    <n v="-163.35197890000001"/>
    <n v="171.2444792"/>
    <x v="133"/>
    <s v="Apr-2020"/>
  </r>
  <r>
    <x v="134"/>
    <s v="NZL"/>
    <x v="0"/>
    <x v="4"/>
    <x v="4"/>
    <s v="reported"/>
    <n v="2941.0839259999998"/>
    <n v="2697"/>
    <n v="-244.08392599999999"/>
    <n v="-242.42029669999999"/>
    <n v="-414.38847900000002"/>
    <n v="-53.275147820000001"/>
    <x v="133"/>
    <s v="May-2020"/>
  </r>
  <r>
    <x v="134"/>
    <s v="NZL"/>
    <x v="0"/>
    <x v="5"/>
    <x v="5"/>
    <s v="reported"/>
    <n v="3074.347053"/>
    <n v="2706"/>
    <n v="-368.34705289999999"/>
    <n v="-610.76734969999995"/>
    <n v="-822.7531553"/>
    <n v="-391.71039430000002"/>
    <x v="133"/>
    <s v="Jun-2020"/>
  </r>
  <r>
    <x v="134"/>
    <s v="NZL"/>
    <x v="0"/>
    <x v="6"/>
    <x v="6"/>
    <s v="reported"/>
    <n v="3329.4247300000002"/>
    <n v="2917"/>
    <n v="-412.42473030000002"/>
    <n v="-1023.19208"/>
    <n v="-1264.871101"/>
    <n v="-790.73387349999996"/>
    <x v="133"/>
    <s v="Jul-2020"/>
  </r>
  <r>
    <x v="134"/>
    <s v="NZL"/>
    <x v="0"/>
    <x v="7"/>
    <x v="7"/>
    <s v="reported"/>
    <n v="3340.366485"/>
    <n v="2817"/>
    <n v="-523.36648509999998"/>
    <n v="-1546.558565"/>
    <n v="-1809.4537600000001"/>
    <n v="-1278.855505"/>
    <x v="133"/>
    <s v="Aug-2020"/>
  </r>
  <r>
    <x v="134"/>
    <s v="NZL"/>
    <x v="0"/>
    <x v="8"/>
    <x v="8"/>
    <s v="reported"/>
    <n v="3061.1390200000001"/>
    <n v="2659"/>
    <n v="-402.13901959999998"/>
    <n v="-1948.6975849999999"/>
    <n v="-2232.5222359999998"/>
    <n v="-1656.75865"/>
    <x v="133"/>
    <s v="Sep-2020"/>
  </r>
  <r>
    <x v="134"/>
    <s v="NZL"/>
    <x v="0"/>
    <x v="9"/>
    <x v="9"/>
    <s v="reported"/>
    <n v="2950.348931"/>
    <n v="2786"/>
    <n v="-164.34893059999999"/>
    <n v="-2113.046515"/>
    <n v="-2408.5702379999998"/>
    <n v="-1792.282461"/>
    <x v="133"/>
    <s v="Oct-2020"/>
  </r>
  <r>
    <x v="134"/>
    <s v="NZL"/>
    <x v="0"/>
    <x v="10"/>
    <x v="10"/>
    <s v="reported"/>
    <n v="2768.1816979999999"/>
    <n v="2654"/>
    <n v="-114.18169760000001"/>
    <n v="-2227.2282129999999"/>
    <n v="-2546.8552479999998"/>
    <n v="-1888.13573"/>
    <x v="133"/>
    <s v="Nov-2020"/>
  </r>
  <r>
    <x v="134"/>
    <s v="NZL"/>
    <x v="0"/>
    <x v="11"/>
    <x v="11"/>
    <s v="reported"/>
    <n v="2750.4357879999998"/>
    <n v="2871"/>
    <n v="120.5642124"/>
    <n v="-2106.6640000000002"/>
    <n v="-2437.3580820000002"/>
    <n v="-1753.671192"/>
    <x v="133"/>
    <s v="Dec-2020"/>
  </r>
  <r>
    <x v="134"/>
    <s v="NZL"/>
    <x v="1"/>
    <x v="0"/>
    <x v="0"/>
    <s v="reported"/>
    <n v="2754.3322309999999"/>
    <n v="2851"/>
    <n v="96.584435850000006"/>
    <n v="-2010.079565"/>
    <n v="-2348.543948"/>
    <n v="-1656.302882"/>
    <x v="133"/>
    <s v="Jan-2021"/>
  </r>
  <r>
    <x v="134"/>
    <s v="NZL"/>
    <x v="1"/>
    <x v="1"/>
    <x v="1"/>
    <s v="reported"/>
    <n v="2521.5079430000001"/>
    <n v="2483"/>
    <n v="-38.591276450000002"/>
    <n v="-2048.6708410000001"/>
    <n v="-2390.0391220000001"/>
    <n v="-1692.0500520000001"/>
    <x v="133"/>
    <s v="Feb-2021"/>
  </r>
  <r>
    <x v="134"/>
    <s v="NZL"/>
    <x v="1"/>
    <x v="2"/>
    <x v="2"/>
    <s v="reported"/>
    <n v="2761.594912"/>
    <n v="2817"/>
    <n v="55.321754349999999"/>
    <n v="-1993.3490870000001"/>
    <n v="-2373.637835"/>
    <n v="-1621.1975190000001"/>
    <x v="133"/>
    <s v="Mar-2021"/>
  </r>
  <r>
    <x v="134"/>
    <s v="NZL"/>
    <x v="1"/>
    <x v="3"/>
    <x v="3"/>
    <s v="reported"/>
    <n v="2813.1043420000001"/>
    <n v="2778"/>
    <n v="-35.187675339999998"/>
    <n v="-2028.536762"/>
    <n v="-2403.517546"/>
    <n v="-1634.890097"/>
    <x v="133"/>
    <s v="Apr-2021"/>
  </r>
  <r>
    <x v="134"/>
    <s v="NZL"/>
    <x v="1"/>
    <x v="4"/>
    <x v="4"/>
    <s v="reported"/>
    <n v="2997.7275690000001"/>
    <n v="2926"/>
    <n v="-71.81090202"/>
    <n v="-2100.3476639999999"/>
    <n v="-2494.9209729999998"/>
    <n v="-1675.978292"/>
    <x v="133"/>
    <s v="May-2021"/>
  </r>
  <r>
    <x v="134"/>
    <s v="NZL"/>
    <x v="1"/>
    <x v="5"/>
    <x v="5"/>
    <s v="reported"/>
    <n v="3139.108831"/>
    <n v="2955"/>
    <n v="-184.1921639"/>
    <n v="-2284.5398279999999"/>
    <n v="-2719.707844"/>
    <n v="-1843.963751"/>
    <x v="133"/>
    <s v="Jun-2021"/>
  </r>
  <r>
    <x v="134"/>
    <s v="NZL"/>
    <x v="1"/>
    <x v="6"/>
    <x v="6"/>
    <s v="reported"/>
    <n v="3403.292379"/>
    <n v="3285"/>
    <n v="-118.3757126"/>
    <n v="-2402.9155409999998"/>
    <n v="-2860.3351429999998"/>
    <n v="-1960.0412550000001"/>
    <x v="133"/>
    <s v="Jul-2021"/>
  </r>
  <r>
    <x v="134"/>
    <s v="NZL"/>
    <x v="1"/>
    <x v="7"/>
    <x v="7"/>
    <s v="reported"/>
    <n v="3409.382646"/>
    <n v="3361"/>
    <n v="-48.465979679999997"/>
    <n v="-2451.3815199999999"/>
    <n v="-2920.7350590000001"/>
    <n v="-1997.704821"/>
    <x v="133"/>
    <s v="Aug-2021"/>
  </r>
  <r>
    <x v="134"/>
    <s v="NZL"/>
    <x v="1"/>
    <x v="8"/>
    <x v="8"/>
    <s v="reported"/>
    <n v="3121.3305270000001"/>
    <n v="2904"/>
    <n v="-217.41386030000001"/>
    <n v="-2668.79538"/>
    <n v="-3135.619432"/>
    <n v="-2203.4961239999998"/>
    <x v="133"/>
    <s v="Sep-2021"/>
  </r>
  <r>
    <x v="134"/>
    <s v="NZL"/>
    <x v="1"/>
    <x v="9"/>
    <x v="9"/>
    <s v="reported"/>
    <n v="3011.7434320000002"/>
    <n v="2886"/>
    <n v="-125.82676530000001"/>
    <n v="-2794.6221460000002"/>
    <n v="-3272.1419919999998"/>
    <n v="-2303.1681330000001"/>
    <x v="133"/>
    <s v="Oct-2021"/>
  </r>
  <r>
    <x v="134"/>
    <s v="NZL"/>
    <x v="1"/>
    <x v="10"/>
    <x v="10"/>
    <s v="reported"/>
    <n v="2831.9357970000001"/>
    <n v="2793"/>
    <n v="-39.019130529999998"/>
    <n v="-2833.6412759999998"/>
    <n v="-3318.7801370000002"/>
    <n v="-2319.4083420000002"/>
    <x v="133"/>
    <s v="Nov-2021"/>
  </r>
  <r>
    <x v="134"/>
    <s v="NZL"/>
    <x v="1"/>
    <x v="11"/>
    <x v="11"/>
    <s v="reported"/>
    <n v="2805.4534859999999"/>
    <n v="2869"/>
    <n v="63.463180940000001"/>
    <n v="-2770.1780950000002"/>
    <n v="-3249.3091420000001"/>
    <n v="-2248.4991249999998"/>
    <x v="133"/>
    <s v="Dec-2021"/>
  </r>
  <r>
    <x v="135"/>
    <s v="OMN"/>
    <x v="0"/>
    <x v="0"/>
    <x v="0"/>
    <s v="reported"/>
    <n v="1401.1835470000001"/>
    <n v="1523"/>
    <n v="121.3658423"/>
    <n v="121.3658423"/>
    <n v="43.069395610000001"/>
    <n v="191.63342879999999"/>
    <x v="134"/>
    <s v="Jan-2020"/>
  </r>
  <r>
    <x v="135"/>
    <s v="OMN"/>
    <x v="0"/>
    <x v="1"/>
    <x v="1"/>
    <s v="reported"/>
    <n v="1398.8540049999999"/>
    <n v="1332"/>
    <n v="-67.304616060000001"/>
    <n v="54.061226220000002"/>
    <n v="-60.781317309999999"/>
    <n v="164.79453219999999"/>
    <x v="134"/>
    <s v="Feb-2020"/>
  </r>
  <r>
    <x v="135"/>
    <s v="OMN"/>
    <x v="0"/>
    <x v="2"/>
    <x v="2"/>
    <s v="reported"/>
    <n v="1389.1501659999999"/>
    <n v="1245"/>
    <n v="-144.6007773"/>
    <n v="-90.539551029999998"/>
    <n v="-244.57932460000001"/>
    <n v="38.174920110000002"/>
    <x v="134"/>
    <s v="Mar-2020"/>
  </r>
  <r>
    <x v="135"/>
    <s v="OMN"/>
    <x v="0"/>
    <x v="3"/>
    <x v="3"/>
    <s v="reported"/>
    <n v="1373.541972"/>
    <n v="1205"/>
    <n v="-168.992583"/>
    <n v="-259.53213410000001"/>
    <n v="-428.969403"/>
    <n v="-102.6373363"/>
    <x v="134"/>
    <s v="Apr-2020"/>
  </r>
  <r>
    <x v="135"/>
    <s v="OMN"/>
    <x v="0"/>
    <x v="4"/>
    <x v="4"/>
    <s v="reported"/>
    <n v="1356.746114"/>
    <n v="1263"/>
    <n v="-94.19672473"/>
    <n v="-353.72885880000001"/>
    <n v="-541.24638389999996"/>
    <n v="-179.8976662"/>
    <x v="134"/>
    <s v="May-2020"/>
  </r>
  <r>
    <x v="135"/>
    <s v="OMN"/>
    <x v="0"/>
    <x v="5"/>
    <x v="5"/>
    <s v="reported"/>
    <n v="1350.7284440000001"/>
    <n v="1559"/>
    <n v="207.82094530000001"/>
    <n v="-145.90791350000001"/>
    <n v="-362.60075890000002"/>
    <n v="50.02816318"/>
    <x v="134"/>
    <s v="Jun-2020"/>
  </r>
  <r>
    <x v="135"/>
    <s v="OMN"/>
    <x v="0"/>
    <x v="6"/>
    <x v="6"/>
    <s v="reported"/>
    <n v="1348.457656"/>
    <n v="1910"/>
    <n v="561.09173269999997"/>
    <n v="415.18381920000002"/>
    <n v="182.67995759999999"/>
    <n v="633.99969629999998"/>
    <x v="134"/>
    <s v="Jul-2020"/>
  </r>
  <r>
    <x v="135"/>
    <s v="OMN"/>
    <x v="0"/>
    <x v="7"/>
    <x v="7"/>
    <s v="reported"/>
    <n v="1355.0903519999999"/>
    <n v="1840"/>
    <n v="484.45903650000002"/>
    <n v="899.64285570000004"/>
    <n v="648.98950760000002"/>
    <n v="1138.0005080000001"/>
    <x v="134"/>
    <s v="Aug-2020"/>
  </r>
  <r>
    <x v="135"/>
    <s v="OMN"/>
    <x v="0"/>
    <x v="8"/>
    <x v="8"/>
    <s v="reported"/>
    <n v="1363.606256"/>
    <n v="1950"/>
    <n v="585.94313269999998"/>
    <n v="1485.585988"/>
    <n v="1230.867489"/>
    <n v="1726.3721439999999"/>
    <x v="134"/>
    <s v="Sep-2020"/>
  </r>
  <r>
    <x v="135"/>
    <s v="OMN"/>
    <x v="0"/>
    <x v="9"/>
    <x v="9"/>
    <s v="reported"/>
    <n v="1378.9854519999999"/>
    <n v="2025"/>
    <n v="645.56393720000005"/>
    <n v="2131.1499260000001"/>
    <n v="1872.2958960000001"/>
    <n v="2380.9906780000001"/>
    <x v="134"/>
    <s v="Oct-2020"/>
  </r>
  <r>
    <x v="135"/>
    <s v="OMN"/>
    <x v="0"/>
    <x v="10"/>
    <x v="10"/>
    <s v="reported"/>
    <n v="1402.9080530000001"/>
    <n v="1652"/>
    <n v="248.64133609999999"/>
    <n v="2379.7912620000002"/>
    <n v="2105.298119"/>
    <n v="2661.094431"/>
    <x v="134"/>
    <s v="Nov-2020"/>
  </r>
  <r>
    <x v="135"/>
    <s v="OMN"/>
    <x v="0"/>
    <x v="11"/>
    <x v="11"/>
    <s v="reported"/>
    <n v="1421.875536"/>
    <n v="1577"/>
    <n v="154.67385239999999"/>
    <n v="2534.4651140000001"/>
    <n v="2259.0912149999999"/>
    <n v="2826.2558469999999"/>
    <x v="134"/>
    <s v="Dec-2020"/>
  </r>
  <r>
    <x v="135"/>
    <s v="OMN"/>
    <x v="1"/>
    <x v="0"/>
    <x v="0"/>
    <s v="reported"/>
    <n v="1423.401969"/>
    <n v="1575"/>
    <n v="149.34497479999999"/>
    <n v="2683.8100890000001"/>
    <n v="2382.9662189999999"/>
    <n v="2997.5370579999999"/>
    <x v="134"/>
    <s v="Jan-2021"/>
  </r>
  <r>
    <x v="135"/>
    <s v="OMN"/>
    <x v="1"/>
    <x v="1"/>
    <x v="1"/>
    <s v="reported"/>
    <n v="1420.252045"/>
    <n v="1432"/>
    <n v="9.4948993169999998"/>
    <n v="2693.3049879999999"/>
    <n v="2373.118692"/>
    <n v="3028.5621839999999"/>
    <x v="134"/>
    <s v="Feb-2021"/>
  </r>
  <r>
    <x v="135"/>
    <s v="OMN"/>
    <x v="1"/>
    <x v="2"/>
    <x v="2"/>
    <s v="reported"/>
    <n v="1414.7630810000001"/>
    <n v="1670"/>
    <n v="252.98386300000001"/>
    <n v="2946.2888509999998"/>
    <n v="2596.9666470000002"/>
    <n v="3309.1022670000002"/>
    <x v="134"/>
    <s v="Mar-2021"/>
  </r>
  <r>
    <x v="135"/>
    <s v="OMN"/>
    <x v="1"/>
    <x v="3"/>
    <x v="3"/>
    <s v="reported"/>
    <n v="1394.8804749999999"/>
    <n v="2061"/>
    <n v="663.86646870000004"/>
    <n v="3610.1553199999998"/>
    <n v="3242.8139609999998"/>
    <n v="3986.3870189999998"/>
    <x v="134"/>
    <s v="Apr-2021"/>
  </r>
  <r>
    <x v="135"/>
    <s v="OMN"/>
    <x v="1"/>
    <x v="4"/>
    <x v="4"/>
    <s v="reported"/>
    <n v="1380.6835880000001"/>
    <n v="2226"/>
    <n v="843.063356"/>
    <n v="4453.2186760000004"/>
    <n v="4077.7534850000002"/>
    <n v="4843.3641209999996"/>
    <x v="134"/>
    <s v="May-2021"/>
  </r>
  <r>
    <x v="135"/>
    <s v="OMN"/>
    <x v="1"/>
    <x v="5"/>
    <x v="5"/>
    <s v="reported"/>
    <n v="1374.546321"/>
    <n v="3166"/>
    <n v="1789.200623"/>
    <n v="6242.4192990000001"/>
    <n v="5857.335368"/>
    <n v="6658.3868359999997"/>
    <x v="134"/>
    <s v="Jun-2021"/>
  </r>
  <r>
    <x v="135"/>
    <s v="OMN"/>
    <x v="1"/>
    <x v="6"/>
    <x v="6"/>
    <s v="reported"/>
    <n v="1375.0276839999999"/>
    <n v="3289"/>
    <n v="1911.7192600000001"/>
    <n v="8154.138559"/>
    <n v="7758.0383259999999"/>
    <n v="8560.4565390000007"/>
    <x v="134"/>
    <s v="Jul-2021"/>
  </r>
  <r>
    <x v="135"/>
    <s v="OMN"/>
    <x v="1"/>
    <x v="7"/>
    <x v="7"/>
    <s v="reported"/>
    <n v="1378.566366"/>
    <n v="1840"/>
    <n v="459.1805784"/>
    <n v="8613.3191370000004"/>
    <n v="8202.9442510000008"/>
    <n v="9025.3374330000006"/>
    <x v="134"/>
    <s v="Aug-2021"/>
  </r>
  <r>
    <x v="135"/>
    <s v="OMN"/>
    <x v="1"/>
    <x v="8"/>
    <x v="8"/>
    <s v="reported"/>
    <n v="1385.2433599999999"/>
    <n v="1297"/>
    <n v="-90.496415600000006"/>
    <n v="8522.8227220000008"/>
    <n v="8106.8023430000003"/>
    <n v="8950.2279569999992"/>
    <x v="134"/>
    <s v="Sep-2021"/>
  </r>
  <r>
    <x v="135"/>
    <s v="OMN"/>
    <x v="1"/>
    <x v="9"/>
    <x v="9"/>
    <s v="reported"/>
    <n v="1404.051903"/>
    <n v="1393"/>
    <n v="-13.304958879999999"/>
    <n v="8509.5177629999998"/>
    <n v="8068.145031"/>
    <n v="8924.4093140000004"/>
    <x v="134"/>
    <s v="Oct-2021"/>
  </r>
  <r>
    <x v="135"/>
    <s v="OMN"/>
    <x v="1"/>
    <x v="10"/>
    <x v="10"/>
    <s v="reported"/>
    <n v="1428.7375810000001"/>
    <n v="1353"/>
    <n v="-77.990637120000002"/>
    <n v="8431.5271260000009"/>
    <n v="7970.7130349999998"/>
    <n v="8869.1559679999991"/>
    <x v="134"/>
    <s v="Nov-2021"/>
  </r>
  <r>
    <x v="135"/>
    <s v="OMN"/>
    <x v="1"/>
    <x v="11"/>
    <x v="11"/>
    <s v="reported"/>
    <n v="1442.3993069999999"/>
    <n v="1490"/>
    <n v="45.347637460000001"/>
    <n v="8476.8747629999998"/>
    <n v="8004.3945219999996"/>
    <n v="8934.5292260000006"/>
    <x v="134"/>
    <s v="Dec-2021"/>
  </r>
  <r>
    <x v="136"/>
    <s v="PAK"/>
    <x v="0"/>
    <x v="0"/>
    <x v="0"/>
    <s v="predicted"/>
    <n v="148269.39840000001"/>
    <n v="150336.20699999999"/>
    <n v="2066.808634"/>
    <n v="2066.808634"/>
    <n v="-33843.749170000003"/>
    <n v="47644.644220000002"/>
    <x v="135"/>
    <s v="Jan-2020"/>
  </r>
  <r>
    <x v="136"/>
    <s v="PAK"/>
    <x v="0"/>
    <x v="1"/>
    <x v="1"/>
    <s v="predicted"/>
    <n v="144105.13589999999"/>
    <n v="140954.04500000001"/>
    <n v="-3151.09087"/>
    <n v="-1084.282236"/>
    <n v="-50711.239119999998"/>
    <n v="57607.524980000002"/>
    <x v="135"/>
    <s v="Feb-2020"/>
  </r>
  <r>
    <x v="136"/>
    <s v="PAK"/>
    <x v="0"/>
    <x v="2"/>
    <x v="2"/>
    <s v="predicted"/>
    <n v="141299.08309999999"/>
    <n v="134454.41"/>
    <n v="-6844.6730889999999"/>
    <n v="-7928.9553239999996"/>
    <n v="-68585.485270000005"/>
    <n v="62658.315089999996"/>
    <x v="135"/>
    <s v="Mar-2020"/>
  </r>
  <r>
    <x v="136"/>
    <s v="PAK"/>
    <x v="0"/>
    <x v="3"/>
    <x v="3"/>
    <s v="predicted"/>
    <n v="135807.32800000001"/>
    <n v="132022.174"/>
    <n v="-3785.1539889999999"/>
    <n v="-11714.10931"/>
    <n v="-80607.751669999998"/>
    <n v="67632.402260000003"/>
    <x v="135"/>
    <s v="Apr-2020"/>
  </r>
  <r>
    <x v="136"/>
    <s v="PAK"/>
    <x v="0"/>
    <x v="4"/>
    <x v="4"/>
    <s v="predicted"/>
    <n v="132137.39509999999"/>
    <n v="146020.88699999999"/>
    <n v="13883.49188"/>
    <n v="2169.3825689999999"/>
    <n v="-77992.630550000002"/>
    <n v="90889.299299999999"/>
    <x v="135"/>
    <s v="May-2020"/>
  </r>
  <r>
    <x v="136"/>
    <s v="PAK"/>
    <x v="0"/>
    <x v="5"/>
    <x v="5"/>
    <s v="predicted"/>
    <n v="129969.91069999999"/>
    <n v="167275.31400000001"/>
    <n v="37305.403339999997"/>
    <n v="39474.785909999999"/>
    <n v="-53250.569300000003"/>
    <n v="138258.20819999999"/>
    <x v="135"/>
    <s v="Jun-2020"/>
  </r>
  <r>
    <x v="136"/>
    <s v="PAK"/>
    <x v="0"/>
    <x v="6"/>
    <x v="6"/>
    <s v="predicted"/>
    <n v="129864.7954"/>
    <n v="157970.859"/>
    <n v="28106.06365"/>
    <n v="67580.849560000002"/>
    <n v="-38229.394390000001"/>
    <n v="177752.1992"/>
    <x v="135"/>
    <s v="Jul-2020"/>
  </r>
  <r>
    <x v="136"/>
    <s v="PAK"/>
    <x v="0"/>
    <x v="7"/>
    <x v="7"/>
    <s v="predicted"/>
    <n v="130519.1789"/>
    <n v="146088.826"/>
    <n v="15569.647129999999"/>
    <n v="83150.49669"/>
    <n v="-23802.75605"/>
    <n v="197415.36069999999"/>
    <x v="135"/>
    <s v="Aug-2020"/>
  </r>
  <r>
    <x v="136"/>
    <s v="PAK"/>
    <x v="0"/>
    <x v="8"/>
    <x v="8"/>
    <s v="predicted"/>
    <n v="132748.8284"/>
    <n v="143260.74400000001"/>
    <n v="10511.915569999999"/>
    <n v="93662.412259999997"/>
    <n v="-21477.626469999999"/>
    <n v="215581.74660000001"/>
    <x v="135"/>
    <s v="Sep-2020"/>
  </r>
  <r>
    <x v="136"/>
    <s v="PAK"/>
    <x v="0"/>
    <x v="9"/>
    <x v="9"/>
    <s v="predicted"/>
    <n v="136828.087"/>
    <n v="148056.22399999999"/>
    <n v="11228.136990000001"/>
    <n v="104890.54919999999"/>
    <n v="-18930.26268"/>
    <n v="235854.15460000001"/>
    <x v="135"/>
    <s v="Oct-2020"/>
  </r>
  <r>
    <x v="136"/>
    <s v="PAK"/>
    <x v="0"/>
    <x v="10"/>
    <x v="10"/>
    <s v="predicted"/>
    <n v="142235.22820000001"/>
    <n v="162185.82399999999"/>
    <n v="19950.59578"/>
    <n v="124841.145"/>
    <n v="-9664.8483500000002"/>
    <n v="264030.06920000003"/>
    <x v="135"/>
    <s v="Nov-2020"/>
  </r>
  <r>
    <x v="136"/>
    <s v="PAK"/>
    <x v="0"/>
    <x v="11"/>
    <x v="11"/>
    <s v="predicted"/>
    <n v="146444.61499999999"/>
    <n v="167674.351"/>
    <n v="21229.735960000002"/>
    <n v="146070.88099999999"/>
    <n v="2600.4478760000002"/>
    <n v="296618.88449999999"/>
    <x v="135"/>
    <s v="Dec-2020"/>
  </r>
  <r>
    <x v="136"/>
    <s v="PAK"/>
    <x v="1"/>
    <x v="0"/>
    <x v="0"/>
    <s v="predicted"/>
    <n v="149314.44810000001"/>
    <n v="158039.027"/>
    <n v="8724.5788819999998"/>
    <n v="154795.45989999999"/>
    <n v="9483.3443360000001"/>
    <n v="311728.91810000001"/>
    <x v="135"/>
    <s v="Jan-2021"/>
  </r>
  <r>
    <x v="136"/>
    <s v="PAK"/>
    <x v="1"/>
    <x v="1"/>
    <x v="1"/>
    <s v="predicted"/>
    <n v="145113.09150000001"/>
    <n v="148372.54699999999"/>
    <n v="3259.455512"/>
    <n v="158054.9154"/>
    <n v="5948.7944479999996"/>
    <n v="324709.18780000001"/>
    <x v="135"/>
    <s v="Feb-2021"/>
  </r>
  <r>
    <x v="136"/>
    <s v="PAK"/>
    <x v="1"/>
    <x v="2"/>
    <x v="2"/>
    <s v="predicted"/>
    <n v="142308.7169"/>
    <n v="149224.46400000001"/>
    <n v="6915.7470960000001"/>
    <n v="164970.66250000001"/>
    <n v="759.57200139999998"/>
    <n v="332903.62219999998"/>
    <x v="135"/>
    <s v="Mar-2021"/>
  </r>
  <r>
    <x v="136"/>
    <s v="PAK"/>
    <x v="1"/>
    <x v="3"/>
    <x v="3"/>
    <s v="predicted"/>
    <n v="136868.30230000001"/>
    <n v="154207.29800000001"/>
    <n v="17338.99567"/>
    <n v="182309.65820000001"/>
    <n v="13131.381160000001"/>
    <n v="353493.978"/>
    <x v="135"/>
    <s v="Apr-2021"/>
  </r>
  <r>
    <x v="136"/>
    <s v="PAK"/>
    <x v="1"/>
    <x v="4"/>
    <x v="4"/>
    <s v="predicted"/>
    <n v="133042.68789999999"/>
    <n v="150748.386"/>
    <n v="17705.698100000001"/>
    <n v="200015.35630000001"/>
    <n v="28908.55083"/>
    <n v="376241.40720000002"/>
    <x v="135"/>
    <s v="May-2021"/>
  </r>
  <r>
    <x v="136"/>
    <s v="PAK"/>
    <x v="1"/>
    <x v="5"/>
    <x v="5"/>
    <s v="predicted"/>
    <n v="130864.9633"/>
    <n v="143869.519"/>
    <n v="13004.555710000001"/>
    <n v="213019.91200000001"/>
    <n v="40947.164049999999"/>
    <n v="393439.74060000002"/>
    <x v="135"/>
    <s v="Jun-2021"/>
  </r>
  <r>
    <x v="136"/>
    <s v="PAK"/>
    <x v="1"/>
    <x v="6"/>
    <x v="6"/>
    <s v="predicted"/>
    <n v="130759.30650000001"/>
    <n v="142417.29999999999"/>
    <n v="11657.99352"/>
    <n v="224677.90549999999"/>
    <n v="51133.336210000001"/>
    <n v="410007.95510000002"/>
    <x v="135"/>
    <s v="Jul-2021"/>
  </r>
  <r>
    <x v="136"/>
    <s v="PAK"/>
    <x v="1"/>
    <x v="7"/>
    <x v="7"/>
    <s v="predicted"/>
    <n v="131435.9902"/>
    <n v="152811.258"/>
    <n v="21375.26785"/>
    <n v="246053.17329999999"/>
    <n v="68599.626239999998"/>
    <n v="444978.2941"/>
    <x v="135"/>
    <s v="Aug-2021"/>
  </r>
  <r>
    <x v="136"/>
    <s v="PAK"/>
    <x v="1"/>
    <x v="8"/>
    <x v="8"/>
    <s v="predicted"/>
    <n v="133670.58559999999"/>
    <n v="150863.43599999999"/>
    <n v="17192.850399999999"/>
    <n v="263246.02370000002"/>
    <n v="79761.927249999993"/>
    <n v="462156.30450000003"/>
    <x v="135"/>
    <s v="Sep-2021"/>
  </r>
  <r>
    <x v="136"/>
    <s v="PAK"/>
    <x v="1"/>
    <x v="9"/>
    <x v="9"/>
    <s v="predicted"/>
    <n v="137798.64939999999"/>
    <n v="149304.552"/>
    <n v="11505.90264"/>
    <n v="274751.9264"/>
    <n v="89149.697310000003"/>
    <n v="475147.6862"/>
    <x v="135"/>
    <s v="Oct-2021"/>
  </r>
  <r>
    <x v="136"/>
    <s v="PAK"/>
    <x v="1"/>
    <x v="10"/>
    <x v="10"/>
    <s v="predicted"/>
    <n v="143273.98019999999"/>
    <n v="156255.83100000001"/>
    <n v="12981.850829999999"/>
    <n v="287733.77720000001"/>
    <n v="99511.717279999997"/>
    <n v="501926.17369999998"/>
    <x v="135"/>
    <s v="Nov-2021"/>
  </r>
  <r>
    <x v="136"/>
    <s v="PAK"/>
    <x v="1"/>
    <x v="11"/>
    <x v="11"/>
    <s v="predicted"/>
    <n v="147461.3585"/>
    <n v="162504.88500000001"/>
    <n v="15043.526449999999"/>
    <n v="302777.30369999999"/>
    <n v="115560.0192"/>
    <n v="516627.17700000003"/>
    <x v="135"/>
    <s v="Dec-2021"/>
  </r>
  <r>
    <x v="137"/>
    <s v="PAN"/>
    <x v="0"/>
    <x v="0"/>
    <x v="0"/>
    <s v="reported"/>
    <n v="1718.259648"/>
    <n v="2032"/>
    <n v="305.9070188"/>
    <n v="305.9070188"/>
    <n v="252.5174518"/>
    <n v="359.89460250000002"/>
    <x v="136"/>
    <s v="Jan-2020"/>
  </r>
  <r>
    <x v="137"/>
    <s v="PAN"/>
    <x v="0"/>
    <x v="1"/>
    <x v="1"/>
    <s v="reported"/>
    <n v="1692.5822439999999"/>
    <n v="1531"/>
    <n v="-169.41557689999999"/>
    <n v="136.49144190000001"/>
    <n v="56.170737029999998"/>
    <n v="225.5617896"/>
    <x v="136"/>
    <s v="Feb-2020"/>
  </r>
  <r>
    <x v="137"/>
    <s v="PAN"/>
    <x v="0"/>
    <x v="2"/>
    <x v="2"/>
    <s v="reported"/>
    <n v="1684.172217"/>
    <n v="1287"/>
    <n v="-405.00555020000002"/>
    <n v="-268.51410829999998"/>
    <n v="-372.33525420000001"/>
    <n v="-165.13133790000001"/>
    <x v="136"/>
    <s v="Mar-2020"/>
  </r>
  <r>
    <x v="137"/>
    <s v="PAN"/>
    <x v="0"/>
    <x v="3"/>
    <x v="3"/>
    <s v="reported"/>
    <n v="1693.3085410000001"/>
    <n v="1109"/>
    <n v="-592.14187449999997"/>
    <n v="-860.65598279999995"/>
    <n v="-985.56618570000001"/>
    <n v="-741.29672140000002"/>
    <x v="136"/>
    <s v="Apr-2020"/>
  </r>
  <r>
    <x v="137"/>
    <s v="PAN"/>
    <x v="0"/>
    <x v="4"/>
    <x v="4"/>
    <s v="reported"/>
    <n v="1713.609089"/>
    <n v="1442"/>
    <n v="-279.44242270000001"/>
    <n v="-1140.098405"/>
    <n v="-1278.348215"/>
    <n v="-1002.645209"/>
    <x v="136"/>
    <s v="May-2020"/>
  </r>
  <r>
    <x v="137"/>
    <s v="PAN"/>
    <x v="0"/>
    <x v="5"/>
    <x v="5"/>
    <s v="reported"/>
    <n v="1743.608219"/>
    <n v="2284"/>
    <n v="532.55844809999996"/>
    <n v="-607.53995740000005"/>
    <n v="-755.59199720000004"/>
    <n v="-463.93598029999998"/>
    <x v="136"/>
    <s v="Jun-2020"/>
  </r>
  <r>
    <x v="137"/>
    <s v="PAN"/>
    <x v="0"/>
    <x v="6"/>
    <x v="6"/>
    <s v="reported"/>
    <n v="1771.355176"/>
    <n v="2742"/>
    <n v="962.81149089999997"/>
    <n v="355.27153349999998"/>
    <n v="187.50996929999999"/>
    <n v="521.50700810000001"/>
    <x v="136"/>
    <s v="Jul-2020"/>
  </r>
  <r>
    <x v="137"/>
    <s v="PAN"/>
    <x v="0"/>
    <x v="7"/>
    <x v="7"/>
    <s v="reported"/>
    <n v="1785.7810549999999"/>
    <n v="2668"/>
    <n v="874.38561189999996"/>
    <n v="1229.6571449999999"/>
    <n v="1058.4126180000001"/>
    <n v="1408.3525239999999"/>
    <x v="136"/>
    <s v="Aug-2020"/>
  </r>
  <r>
    <x v="137"/>
    <s v="PAN"/>
    <x v="0"/>
    <x v="8"/>
    <x v="8"/>
    <s v="reported"/>
    <n v="1791.479666"/>
    <n v="2401"/>
    <n v="601.6870007"/>
    <n v="1831.3441459999999"/>
    <n v="1652.596399"/>
    <n v="2007.0293670000001"/>
    <x v="136"/>
    <s v="Sep-2020"/>
  </r>
  <r>
    <x v="137"/>
    <s v="PAN"/>
    <x v="0"/>
    <x v="9"/>
    <x v="9"/>
    <s v="reported"/>
    <n v="1790.4829159999999"/>
    <n v="2131"/>
    <n v="332.68375070000002"/>
    <n v="2164.0278969999999"/>
    <n v="1982.235653"/>
    <n v="2354.3811959999998"/>
    <x v="136"/>
    <s v="Oct-2020"/>
  </r>
  <r>
    <x v="137"/>
    <s v="PAN"/>
    <x v="0"/>
    <x v="10"/>
    <x v="10"/>
    <s v="reported"/>
    <n v="1777.490636"/>
    <n v="2108"/>
    <n v="322.67603100000002"/>
    <n v="2486.7039279999999"/>
    <n v="2296.5078760000001"/>
    <n v="2699.6553669999998"/>
    <x v="136"/>
    <s v="Nov-2020"/>
  </r>
  <r>
    <x v="137"/>
    <s v="PAN"/>
    <x v="0"/>
    <x v="11"/>
    <x v="11"/>
    <s v="reported"/>
    <n v="1757.59473"/>
    <n v="2140"/>
    <n v="374.57193660000002"/>
    <n v="2861.2758640000002"/>
    <n v="2652.4633100000001"/>
    <n v="3078.006245"/>
    <x v="136"/>
    <s v="Dec-2020"/>
  </r>
  <r>
    <x v="137"/>
    <s v="PAN"/>
    <x v="1"/>
    <x v="0"/>
    <x v="0"/>
    <s v="reported"/>
    <n v="1764.766959"/>
    <n v="3147"/>
    <n v="1381.733041"/>
    <n v="4243.0089049999997"/>
    <n v="4033.335364"/>
    <n v="4467.5155500000001"/>
    <x v="136"/>
    <s v="Jan-2021"/>
  </r>
  <r>
    <x v="137"/>
    <s v="PAN"/>
    <x v="1"/>
    <x v="1"/>
    <x v="1"/>
    <s v="reported"/>
    <n v="1739.141703"/>
    <n v="3028"/>
    <n v="1288.358297"/>
    <n v="5531.3672029999998"/>
    <n v="5303.0110569999997"/>
    <n v="5769.5935360000003"/>
    <x v="136"/>
    <s v="Feb-2021"/>
  </r>
  <r>
    <x v="137"/>
    <s v="PAN"/>
    <x v="1"/>
    <x v="2"/>
    <x v="2"/>
    <s v="reported"/>
    <n v="1730.186993"/>
    <n v="2437"/>
    <n v="706.31300680000004"/>
    <n v="6237.6802090000001"/>
    <n v="5986.0817520000001"/>
    <n v="6481.0567730000002"/>
    <x v="136"/>
    <s v="Mar-2021"/>
  </r>
  <r>
    <x v="137"/>
    <s v="PAN"/>
    <x v="1"/>
    <x v="3"/>
    <x v="3"/>
    <s v="reported"/>
    <n v="1741.515148"/>
    <n v="1872"/>
    <n v="129.9848519"/>
    <n v="6367.6650609999997"/>
    <n v="6120.5642420000004"/>
    <n v="6624.1439559999999"/>
    <x v="136"/>
    <s v="Apr-2021"/>
  </r>
  <r>
    <x v="137"/>
    <s v="PAN"/>
    <x v="1"/>
    <x v="4"/>
    <x v="4"/>
    <s v="reported"/>
    <n v="1759.6771759999999"/>
    <n v="1795"/>
    <n v="34.82282386"/>
    <n v="6402.4878849999996"/>
    <n v="6130.5136439999997"/>
    <n v="6673.1668339999997"/>
    <x v="136"/>
    <s v="May-2021"/>
  </r>
  <r>
    <x v="137"/>
    <s v="PAN"/>
    <x v="1"/>
    <x v="5"/>
    <x v="5"/>
    <s v="reported"/>
    <n v="1789.1405219999999"/>
    <n v="1953"/>
    <n v="163.3594779"/>
    <n v="6565.8473629999999"/>
    <n v="6294.0795209999997"/>
    <n v="6843.8645079999997"/>
    <x v="136"/>
    <s v="Jun-2021"/>
  </r>
  <r>
    <x v="137"/>
    <s v="PAN"/>
    <x v="1"/>
    <x v="6"/>
    <x v="6"/>
    <s v="reported"/>
    <n v="1819.719754"/>
    <n v="2068"/>
    <n v="247.78024600000001"/>
    <n v="6813.6276090000001"/>
    <n v="6539.188674"/>
    <n v="7115.1624590000001"/>
    <x v="136"/>
    <s v="Jul-2021"/>
  </r>
  <r>
    <x v="137"/>
    <s v="PAN"/>
    <x v="1"/>
    <x v="7"/>
    <x v="7"/>
    <s v="reported"/>
    <n v="1837.1757640000001"/>
    <n v="2142"/>
    <n v="304.32423549999999"/>
    <n v="7117.9518440000002"/>
    <n v="6826.5718530000004"/>
    <n v="7423.8121659999997"/>
    <x v="136"/>
    <s v="Aug-2021"/>
  </r>
  <r>
    <x v="137"/>
    <s v="PAN"/>
    <x v="1"/>
    <x v="8"/>
    <x v="8"/>
    <s v="reported"/>
    <n v="1838.0844030000001"/>
    <n v="1998"/>
    <n v="159.41559670000001"/>
    <n v="7277.3674410000003"/>
    <n v="6974.0542560000004"/>
    <n v="7568.8384070000002"/>
    <x v="136"/>
    <s v="Sep-2021"/>
  </r>
  <r>
    <x v="137"/>
    <s v="PAN"/>
    <x v="1"/>
    <x v="9"/>
    <x v="9"/>
    <s v="reported"/>
    <n v="1840.5073050000001"/>
    <n v="1821"/>
    <n v="-20.007305169999999"/>
    <n v="7257.3601360000002"/>
    <n v="6915.2977499999997"/>
    <n v="7556.7854340000004"/>
    <x v="136"/>
    <s v="Oct-2021"/>
  </r>
  <r>
    <x v="137"/>
    <s v="PAN"/>
    <x v="1"/>
    <x v="10"/>
    <x v="10"/>
    <s v="predicted"/>
    <n v="1828.541759"/>
    <n v="1895.33"/>
    <n v="66.288240909999999"/>
    <n v="7323.6483770000004"/>
    <n v="6762.7566649999999"/>
    <n v="7942.8217080000004"/>
    <x v="136"/>
    <s v="Nov-2021"/>
  </r>
  <r>
    <x v="137"/>
    <s v="PAN"/>
    <x v="1"/>
    <x v="11"/>
    <x v="11"/>
    <s v="predicted"/>
    <n v="1807.4123890000001"/>
    <n v="1975.6780000000001"/>
    <n v="167.76561140000001"/>
    <n v="7491.4139880000002"/>
    <n v="6690.7653710000004"/>
    <n v="8389.3684439999997"/>
    <x v="136"/>
    <s v="Dec-2021"/>
  </r>
  <r>
    <x v="138"/>
    <s v="PER"/>
    <x v="0"/>
    <x v="0"/>
    <x v="0"/>
    <s v="reported"/>
    <n v="16491.898160000001"/>
    <n v="15196"/>
    <n v="-1306.690417"/>
    <n v="-1306.690417"/>
    <n v="-1987.4221809999999"/>
    <n v="-582.47655999999995"/>
    <x v="137"/>
    <s v="Jan-2020"/>
  </r>
  <r>
    <x v="138"/>
    <s v="PER"/>
    <x v="0"/>
    <x v="1"/>
    <x v="1"/>
    <s v="reported"/>
    <n v="16179.13104"/>
    <n v="14480"/>
    <n v="-1709.923303"/>
    <n v="-3016.6137199999998"/>
    <n v="-4074.935375"/>
    <n v="-1924.2580379999999"/>
    <x v="137"/>
    <s v="Feb-2020"/>
  </r>
  <r>
    <x v="138"/>
    <s v="PER"/>
    <x v="0"/>
    <x v="2"/>
    <x v="2"/>
    <s v="reported"/>
    <n v="16164.882180000001"/>
    <n v="15058"/>
    <n v="-1117.674444"/>
    <n v="-4134.2881649999999"/>
    <n v="-5494.278969"/>
    <n v="-2667.1690840000001"/>
    <x v="137"/>
    <s v="Mar-2020"/>
  </r>
  <r>
    <x v="138"/>
    <s v="PER"/>
    <x v="0"/>
    <x v="3"/>
    <x v="3"/>
    <s v="reported"/>
    <n v="16318.218080000001"/>
    <n v="20190"/>
    <n v="3860.9896650000001"/>
    <n v="-273.29849960000001"/>
    <n v="-1770.192503"/>
    <n v="1304.762076"/>
    <x v="137"/>
    <s v="Apr-2020"/>
  </r>
  <r>
    <x v="138"/>
    <s v="PER"/>
    <x v="0"/>
    <x v="4"/>
    <x v="4"/>
    <s v="reported"/>
    <n v="16770.159739999999"/>
    <n v="38170"/>
    <n v="21389.047999999999"/>
    <n v="21115.749500000002"/>
    <n v="19327.228319999998"/>
    <n v="22901.76066"/>
    <x v="137"/>
    <s v="May-2020"/>
  </r>
  <r>
    <x v="138"/>
    <s v="PER"/>
    <x v="0"/>
    <x v="5"/>
    <x v="5"/>
    <s v="reported"/>
    <n v="17414.55975"/>
    <n v="39846"/>
    <n v="22420.647990000001"/>
    <n v="43536.397490000003"/>
    <n v="41424.672559999999"/>
    <n v="45563.148280000001"/>
    <x v="137"/>
    <s v="Jun-2020"/>
  </r>
  <r>
    <x v="138"/>
    <s v="PER"/>
    <x v="0"/>
    <x v="6"/>
    <x v="6"/>
    <s v="reported"/>
    <n v="17912.880099999998"/>
    <n v="41840"/>
    <n v="23916.32764"/>
    <n v="67452.725130000006"/>
    <n v="65127.100030000001"/>
    <n v="69752.938720000006"/>
    <x v="137"/>
    <s v="Jul-2020"/>
  </r>
  <r>
    <x v="138"/>
    <s v="PER"/>
    <x v="0"/>
    <x v="7"/>
    <x v="7"/>
    <s v="reported"/>
    <n v="18167.00416"/>
    <n v="39809"/>
    <n v="21631.203580000001"/>
    <n v="89083.928709999993"/>
    <n v="86500.430890000003"/>
    <n v="91544.214500000002"/>
    <x v="137"/>
    <s v="Aug-2020"/>
  </r>
  <r>
    <x v="138"/>
    <s v="PER"/>
    <x v="0"/>
    <x v="8"/>
    <x v="8"/>
    <s v="reported"/>
    <n v="18095.8014"/>
    <n v="24530"/>
    <n v="6423.4063450000003"/>
    <n v="95507.335049999994"/>
    <n v="92798.997759999998"/>
    <n v="98177.783169999995"/>
    <x v="137"/>
    <s v="Sep-2020"/>
  </r>
  <r>
    <x v="138"/>
    <s v="PER"/>
    <x v="0"/>
    <x v="9"/>
    <x v="9"/>
    <s v="reported"/>
    <n v="17839.614150000001"/>
    <n v="19578"/>
    <n v="1727.5935930000001"/>
    <n v="97234.928650000002"/>
    <n v="94415.603959999993"/>
    <n v="99926.650219999996"/>
    <x v="137"/>
    <s v="Oct-2020"/>
  </r>
  <r>
    <x v="138"/>
    <s v="PER"/>
    <x v="0"/>
    <x v="10"/>
    <x v="10"/>
    <s v="reported"/>
    <n v="17389.403859999999"/>
    <n v="17678"/>
    <n v="277.80387990000003"/>
    <n v="97512.732529999994"/>
    <n v="94413.581680000003"/>
    <n v="100469.42969999999"/>
    <x v="137"/>
    <s v="Nov-2020"/>
  </r>
  <r>
    <x v="138"/>
    <s v="PER"/>
    <x v="0"/>
    <x v="11"/>
    <x v="11"/>
    <s v="reported"/>
    <n v="16903.32689"/>
    <n v="19508"/>
    <n v="2593.880846"/>
    <n v="100106.6134"/>
    <n v="96897.891199999998"/>
    <n v="103277.31630000001"/>
    <x v="137"/>
    <s v="Dec-2020"/>
  </r>
  <r>
    <x v="138"/>
    <s v="PER"/>
    <x v="1"/>
    <x v="0"/>
    <x v="0"/>
    <s v="reported"/>
    <n v="16964.59893"/>
    <n v="30495"/>
    <n v="13516.96365"/>
    <n v="113623.577"/>
    <n v="110300.2497"/>
    <n v="116929.1961"/>
    <x v="137"/>
    <s v="Jan-2021"/>
  </r>
  <r>
    <x v="138"/>
    <s v="PER"/>
    <x v="1"/>
    <x v="1"/>
    <x v="1"/>
    <s v="reported"/>
    <n v="16581.315030000002"/>
    <n v="40277"/>
    <n v="23682.24755"/>
    <n v="137305.82459999999"/>
    <n v="133753.82680000001"/>
    <n v="140770.63500000001"/>
    <x v="137"/>
    <s v="Feb-2021"/>
  </r>
  <r>
    <x v="138"/>
    <s v="PER"/>
    <x v="1"/>
    <x v="2"/>
    <x v="2"/>
    <s v="reported"/>
    <n v="16598.515739999999"/>
    <n v="44944"/>
    <n v="28332.046839999999"/>
    <n v="165637.8714"/>
    <n v="161943.1974"/>
    <n v="169329.62100000001"/>
    <x v="137"/>
    <s v="Mar-2021"/>
  </r>
  <r>
    <x v="138"/>
    <s v="PER"/>
    <x v="1"/>
    <x v="3"/>
    <x v="3"/>
    <s v="reported"/>
    <n v="16778.372579999999"/>
    <n v="47491"/>
    <n v="30699.19"/>
    <n v="196337.06140000001"/>
    <n v="192391.538"/>
    <n v="200090.41159999999"/>
    <x v="137"/>
    <s v="Apr-2021"/>
  </r>
  <r>
    <x v="138"/>
    <s v="PER"/>
    <x v="1"/>
    <x v="4"/>
    <x v="4"/>
    <s v="reported"/>
    <n v="17166.12514"/>
    <n v="38278"/>
    <n v="21098.437440000002"/>
    <n v="217435.4988"/>
    <n v="213217.94339999999"/>
    <n v="221443.48499999999"/>
    <x v="137"/>
    <s v="May-2021"/>
  </r>
  <r>
    <x v="138"/>
    <s v="PER"/>
    <x v="1"/>
    <x v="5"/>
    <x v="5"/>
    <s v="reported"/>
    <n v="17887.444019999999"/>
    <n v="25989"/>
    <n v="8088.1185539999997"/>
    <n v="225523.61739999999"/>
    <n v="221155.70379999999"/>
    <n v="229604.69889999999"/>
    <x v="137"/>
    <s v="Jun-2021"/>
  </r>
  <r>
    <x v="138"/>
    <s v="PER"/>
    <x v="1"/>
    <x v="6"/>
    <x v="6"/>
    <s v="reported"/>
    <n v="18405.008140000002"/>
    <n v="20366"/>
    <n v="1947.5544359999999"/>
    <n v="227471.17180000001"/>
    <n v="222921.4829"/>
    <n v="231911.16570000001"/>
    <x v="137"/>
    <s v="Jul-2021"/>
  </r>
  <r>
    <x v="138"/>
    <s v="PER"/>
    <x v="1"/>
    <x v="7"/>
    <x v="7"/>
    <s v="reported"/>
    <n v="18667.772939999999"/>
    <n v="18270"/>
    <n v="-411.21036199999998"/>
    <n v="227059.9615"/>
    <n v="222540.91750000001"/>
    <n v="231516.29240000001"/>
    <x v="137"/>
    <s v="Aug-2021"/>
  </r>
  <r>
    <x v="138"/>
    <s v="PER"/>
    <x v="1"/>
    <x v="8"/>
    <x v="8"/>
    <s v="reported"/>
    <n v="18578.543249999999"/>
    <n v="16882"/>
    <n v="-1709.9806679999999"/>
    <n v="225349.98079999999"/>
    <n v="220681.55780000001"/>
    <n v="229991.09770000001"/>
    <x v="137"/>
    <s v="Sep-2021"/>
  </r>
  <r>
    <x v="138"/>
    <s v="PER"/>
    <x v="1"/>
    <x v="9"/>
    <x v="9"/>
    <s v="reported"/>
    <n v="18245.639009999999"/>
    <n v="17237"/>
    <n v="-1022.07643"/>
    <n v="224327.9044"/>
    <n v="219663.94820000001"/>
    <n v="229020.64790000001"/>
    <x v="137"/>
    <s v="Oct-2021"/>
  </r>
  <r>
    <x v="138"/>
    <s v="PER"/>
    <x v="1"/>
    <x v="10"/>
    <x v="10"/>
    <s v="reported"/>
    <n v="17837.151999999998"/>
    <n v="16637"/>
    <n v="-1213.589422"/>
    <n v="223114.315"/>
    <n v="218060.73869999999"/>
    <n v="228167.2947"/>
    <x v="137"/>
    <s v="Nov-2021"/>
  </r>
  <r>
    <x v="138"/>
    <s v="PER"/>
    <x v="1"/>
    <x v="11"/>
    <x v="11"/>
    <s v="reported"/>
    <n v="17343.088510000001"/>
    <n v="18433"/>
    <n v="1076.4740690000001"/>
    <n v="224190.78899999999"/>
    <n v="218753.73560000001"/>
    <n v="229385.8941"/>
    <x v="137"/>
    <s v="Dec-2021"/>
  </r>
  <r>
    <x v="139"/>
    <s v="PHL"/>
    <x v="0"/>
    <x v="0"/>
    <x v="0"/>
    <s v="reported"/>
    <n v="53437.552230000001"/>
    <n v="53500"/>
    <n v="-79.135566310000002"/>
    <n v="-79.135566310000002"/>
    <n v="-1170.8927040000001"/>
    <n v="1111.9449930000001"/>
    <x v="138"/>
    <s v="Jan-2020"/>
  </r>
  <r>
    <x v="139"/>
    <s v="PHL"/>
    <x v="0"/>
    <x v="1"/>
    <x v="1"/>
    <s v="reported"/>
    <n v="48848.96615"/>
    <n v="46256"/>
    <n v="-2734.5494880000001"/>
    <n v="-2813.685054"/>
    <n v="-4597.5129450000004"/>
    <n v="-980.93309520000003"/>
    <x v="138"/>
    <s v="Feb-2020"/>
  </r>
  <r>
    <x v="139"/>
    <s v="PHL"/>
    <x v="0"/>
    <x v="2"/>
    <x v="2"/>
    <s v="reported"/>
    <n v="50545.124640000002"/>
    <n v="45996"/>
    <n v="-4690.707969"/>
    <n v="-7504.3930229999996"/>
    <n v="-9807.3138589999999"/>
    <n v="-5140.6830849999997"/>
    <x v="138"/>
    <s v="Mar-2020"/>
  </r>
  <r>
    <x v="139"/>
    <s v="PHL"/>
    <x v="0"/>
    <x v="3"/>
    <x v="3"/>
    <s v="reported"/>
    <n v="50592.009039999997"/>
    <n v="44768"/>
    <n v="-5965.5923769999999"/>
    <n v="-13469.9854"/>
    <n v="-16214.811299999999"/>
    <n v="-10613.86723"/>
    <x v="138"/>
    <s v="Apr-2020"/>
  </r>
  <r>
    <x v="139"/>
    <s v="PHL"/>
    <x v="0"/>
    <x v="4"/>
    <x v="4"/>
    <s v="reported"/>
    <n v="51832.259570000002"/>
    <n v="50251"/>
    <n v="-1722.8429020000001"/>
    <n v="-15192.828299999999"/>
    <n v="-18340.151150000002"/>
    <n v="-12001.774359999999"/>
    <x v="138"/>
    <s v="May-2020"/>
  </r>
  <r>
    <x v="139"/>
    <s v="PHL"/>
    <x v="0"/>
    <x v="5"/>
    <x v="5"/>
    <s v="reported"/>
    <n v="49359.759149999998"/>
    <n v="48484"/>
    <n v="-1017.342481"/>
    <n v="-16210.17078"/>
    <n v="-19312.131570000001"/>
    <n v="-12809.940689999999"/>
    <x v="138"/>
    <s v="Jun-2020"/>
  </r>
  <r>
    <x v="139"/>
    <s v="PHL"/>
    <x v="0"/>
    <x v="6"/>
    <x v="6"/>
    <s v="reported"/>
    <n v="51876.916669999999"/>
    <n v="54412"/>
    <n v="2393.4999969999999"/>
    <n v="-13816.67079"/>
    <n v="-17340.986550000001"/>
    <n v="-10107.53147"/>
    <x v="138"/>
    <s v="Jul-2020"/>
  </r>
  <r>
    <x v="139"/>
    <s v="PHL"/>
    <x v="0"/>
    <x v="7"/>
    <x v="7"/>
    <s v="reported"/>
    <n v="53706.981469999999"/>
    <n v="56827"/>
    <n v="2978.435195"/>
    <n v="-10838.23559"/>
    <n v="-14968.23849"/>
    <n v="-6654.6445880000001"/>
    <x v="138"/>
    <s v="Aug-2020"/>
  </r>
  <r>
    <x v="139"/>
    <s v="PHL"/>
    <x v="0"/>
    <x v="8"/>
    <x v="8"/>
    <s v="reported"/>
    <n v="52802.751900000003"/>
    <n v="53953"/>
    <n v="1008.664762"/>
    <n v="-9829.5708290000002"/>
    <n v="-14051.057570000001"/>
    <n v="-5650.5132059999996"/>
    <x v="138"/>
    <s v="Sep-2020"/>
  </r>
  <r>
    <x v="139"/>
    <s v="PHL"/>
    <x v="0"/>
    <x v="9"/>
    <x v="9"/>
    <s v="reported"/>
    <n v="54194.437409999999"/>
    <n v="54200"/>
    <n v="-136.02073920000001"/>
    <n v="-9965.5915679999998"/>
    <n v="-14240.831620000001"/>
    <n v="-5306.7691590000004"/>
    <x v="138"/>
    <s v="Oct-2020"/>
  </r>
  <r>
    <x v="139"/>
    <s v="PHL"/>
    <x v="0"/>
    <x v="10"/>
    <x v="10"/>
    <s v="reported"/>
    <n v="52289.748599999999"/>
    <n v="51558"/>
    <n v="-873.33193080000001"/>
    <n v="-10838.923500000001"/>
    <n v="-15529.272300000001"/>
    <n v="-6027.0345660000003"/>
    <x v="138"/>
    <s v="Nov-2020"/>
  </r>
  <r>
    <x v="139"/>
    <s v="PHL"/>
    <x v="0"/>
    <x v="11"/>
    <x v="11"/>
    <s v="reported"/>
    <n v="54433.066899999998"/>
    <n v="53731"/>
    <n v="-843.65023429999997"/>
    <n v="-11682.57373"/>
    <n v="-16842.327089999999"/>
    <n v="-6606.1625530000001"/>
    <x v="138"/>
    <s v="Dec-2020"/>
  </r>
  <r>
    <x v="139"/>
    <s v="PHL"/>
    <x v="1"/>
    <x v="0"/>
    <x v="0"/>
    <s v="reported"/>
    <n v="54547.000569999997"/>
    <n v="59993"/>
    <n v="5304.749433"/>
    <n v="-6377.8243009999997"/>
    <n v="-11731.189420000001"/>
    <n v="-1039.721374"/>
    <x v="138"/>
    <s v="Jan-2021"/>
  </r>
  <r>
    <x v="139"/>
    <s v="PHL"/>
    <x v="1"/>
    <x v="1"/>
    <x v="1"/>
    <s v="reported"/>
    <n v="49895.51614"/>
    <n v="53861"/>
    <n v="3824.2338629999999"/>
    <n v="-2553.5904369999998"/>
    <n v="-7968.8232619999999"/>
    <n v="3066.9111680000001"/>
    <x v="138"/>
    <s v="Feb-2021"/>
  </r>
  <r>
    <x v="139"/>
    <s v="PHL"/>
    <x v="1"/>
    <x v="2"/>
    <x v="2"/>
    <s v="reported"/>
    <n v="51621.373050000002"/>
    <n v="62558"/>
    <n v="10795.37695"/>
    <n v="8241.7865099999999"/>
    <n v="2542.7285870000001"/>
    <n v="13938.13839"/>
    <x v="138"/>
    <s v="Mar-2021"/>
  </r>
  <r>
    <x v="139"/>
    <s v="PHL"/>
    <x v="1"/>
    <x v="3"/>
    <x v="3"/>
    <s v="reported"/>
    <n v="51660.486749999996"/>
    <n v="70556"/>
    <n v="18754.26325"/>
    <n v="26996.049760000002"/>
    <n v="21257.708429999999"/>
    <n v="32853.35254"/>
    <x v="138"/>
    <s v="Apr-2021"/>
  </r>
  <r>
    <x v="139"/>
    <s v="PHL"/>
    <x v="1"/>
    <x v="4"/>
    <x v="4"/>
    <s v="reported"/>
    <n v="52978.504869999997"/>
    <n v="71920"/>
    <n v="18800.245129999999"/>
    <n v="45796.294889999997"/>
    <n v="39559.278570000002"/>
    <n v="52252.711210000001"/>
    <x v="138"/>
    <s v="May-2021"/>
  </r>
  <r>
    <x v="139"/>
    <s v="PHL"/>
    <x v="1"/>
    <x v="5"/>
    <x v="5"/>
    <s v="reported"/>
    <n v="50397.133370000003"/>
    <n v="68399"/>
    <n v="17860.61663"/>
    <n v="63656.911520000001"/>
    <n v="57256.773359999999"/>
    <n v="70227.475949999993"/>
    <x v="138"/>
    <s v="Jun-2021"/>
  </r>
  <r>
    <x v="139"/>
    <s v="PHL"/>
    <x v="1"/>
    <x v="6"/>
    <x v="6"/>
    <s v="reported"/>
    <n v="52943.960030000002"/>
    <n v="75672"/>
    <n v="22586.789970000002"/>
    <n v="86243.701490000007"/>
    <n v="79874.127869999997"/>
    <n v="92816.56422"/>
    <x v="138"/>
    <s v="Jul-2021"/>
  </r>
  <r>
    <x v="139"/>
    <s v="PHL"/>
    <x v="1"/>
    <x v="7"/>
    <x v="7"/>
    <s v="reported"/>
    <n v="54816.540309999997"/>
    <n v="97880"/>
    <n v="42922.209690000003"/>
    <n v="129165.9112"/>
    <n v="122273.4265"/>
    <n v="136227.72719999999"/>
    <x v="138"/>
    <s v="Aug-2021"/>
  </r>
  <r>
    <x v="139"/>
    <s v="PHL"/>
    <x v="1"/>
    <x v="8"/>
    <x v="8"/>
    <s v="reported"/>
    <n v="53951.011700000003"/>
    <n v="119758"/>
    <n v="65665.738299999997"/>
    <n v="194831.6495"/>
    <n v="187098.24960000001"/>
    <n v="202062.41080000001"/>
    <x v="138"/>
    <s v="Sep-2021"/>
  </r>
  <r>
    <x v="139"/>
    <s v="PHL"/>
    <x v="1"/>
    <x v="9"/>
    <x v="9"/>
    <s v="reported"/>
    <n v="55310.579339999997"/>
    <n v="84428"/>
    <n v="28976.17066"/>
    <n v="223807.82010000001"/>
    <n v="216298.77059999999"/>
    <n v="231175.09909999999"/>
    <x v="138"/>
    <s v="Oct-2021"/>
  </r>
  <r>
    <x v="139"/>
    <s v="PHL"/>
    <x v="1"/>
    <x v="10"/>
    <x v="10"/>
    <s v="reported"/>
    <n v="53407.885000000002"/>
    <n v="58202"/>
    <n v="4652.8649990000004"/>
    <n v="228460.6851"/>
    <n v="220893.68"/>
    <n v="235665.5171"/>
    <x v="138"/>
    <s v="Nov-2021"/>
  </r>
  <r>
    <x v="139"/>
    <s v="PHL"/>
    <x v="1"/>
    <x v="11"/>
    <x v="11"/>
    <s v="reported"/>
    <n v="55580.805849999997"/>
    <n v="56202"/>
    <n v="479.9441473"/>
    <n v="228940.6293"/>
    <n v="221039.2469"/>
    <n v="236621.9467"/>
    <x v="138"/>
    <s v="Dec-2021"/>
  </r>
  <r>
    <x v="140"/>
    <s v="PLW"/>
    <x v="0"/>
    <x v="0"/>
    <x v="0"/>
    <s v="predicted"/>
    <n v="19.73122974"/>
    <n v="19.881"/>
    <n v="0.14977025899999999"/>
    <n v="0.14977025899999999"/>
    <n v="-9.1737284330000008"/>
    <n v="12.38221927"/>
    <x v="139"/>
    <s v="Jan-2020"/>
  </r>
  <r>
    <x v="140"/>
    <s v="PLW"/>
    <x v="0"/>
    <x v="1"/>
    <x v="1"/>
    <s v="predicted"/>
    <n v="19.683041660000001"/>
    <n v="19.812000000000001"/>
    <n v="0.12895833800000001"/>
    <n v="0.27872859700000002"/>
    <n v="-13.68202127"/>
    <n v="17.072739210000002"/>
    <x v="139"/>
    <s v="Feb-2020"/>
  </r>
  <r>
    <x v="140"/>
    <s v="PLW"/>
    <x v="0"/>
    <x v="2"/>
    <x v="2"/>
    <s v="predicted"/>
    <n v="19.665144659999999"/>
    <n v="20.058"/>
    <n v="0.39285534300000002"/>
    <n v="0.67158393999999999"/>
    <n v="-16.203927419999999"/>
    <n v="20.586080549999998"/>
    <x v="139"/>
    <s v="Mar-2020"/>
  </r>
  <r>
    <x v="140"/>
    <s v="PLW"/>
    <x v="0"/>
    <x v="3"/>
    <x v="3"/>
    <s v="predicted"/>
    <n v="19.68515678"/>
    <n v="20.082999999999998"/>
    <n v="0.397843222"/>
    <n v="1.069427162"/>
    <n v="-19.618950479999999"/>
    <n v="24.504812650000002"/>
    <x v="139"/>
    <s v="Apr-2020"/>
  </r>
  <r>
    <x v="140"/>
    <s v="PLW"/>
    <x v="0"/>
    <x v="4"/>
    <x v="4"/>
    <s v="predicted"/>
    <n v="19.613960169999999"/>
    <n v="20.558"/>
    <n v="0.94403982600000003"/>
    <n v="2.0134669889999999"/>
    <n v="-20.968164860000002"/>
    <n v="28.404505799999999"/>
    <x v="139"/>
    <s v="May-2020"/>
  </r>
  <r>
    <x v="140"/>
    <s v="PLW"/>
    <x v="0"/>
    <x v="5"/>
    <x v="5"/>
    <s v="predicted"/>
    <n v="19.686346140000001"/>
    <n v="20.206"/>
    <n v="0.519653857"/>
    <n v="2.5331208460000001"/>
    <n v="-22.388617549999999"/>
    <n v="29.852583419999998"/>
    <x v="139"/>
    <s v="Jun-2020"/>
  </r>
  <r>
    <x v="140"/>
    <s v="PLW"/>
    <x v="0"/>
    <x v="6"/>
    <x v="6"/>
    <s v="predicted"/>
    <n v="19.700069249999999"/>
    <n v="20.306000000000001"/>
    <n v="0.60593074800000002"/>
    <n v="3.1390515940000001"/>
    <n v="-24.442032510000001"/>
    <n v="32.188803190000002"/>
    <x v="139"/>
    <s v="Jul-2020"/>
  </r>
  <r>
    <x v="140"/>
    <s v="PLW"/>
    <x v="0"/>
    <x v="7"/>
    <x v="7"/>
    <s v="predicted"/>
    <n v="19.775145930000001"/>
    <n v="19.873999999999999"/>
    <n v="9.8854067000000004E-2"/>
    <n v="3.2379056610000001"/>
    <n v="-26.094134579999999"/>
    <n v="33.782139389999998"/>
    <x v="139"/>
    <s v="Aug-2020"/>
  </r>
  <r>
    <x v="140"/>
    <s v="PLW"/>
    <x v="0"/>
    <x v="8"/>
    <x v="8"/>
    <s v="predicted"/>
    <n v="19.627774519999999"/>
    <n v="19.773"/>
    <n v="0.14522547499999999"/>
    <n v="3.3831311359999998"/>
    <n v="-26.855408829999998"/>
    <n v="37.699288989999999"/>
    <x v="139"/>
    <s v="Sep-2020"/>
  </r>
  <r>
    <x v="140"/>
    <s v="PLW"/>
    <x v="0"/>
    <x v="9"/>
    <x v="9"/>
    <s v="predicted"/>
    <n v="19.69204435"/>
    <n v="19.283999999999999"/>
    <n v="-0.40804434699999997"/>
    <n v="2.9750867900000002"/>
    <n v="-28.368190930000001"/>
    <n v="38.062341170000003"/>
    <x v="139"/>
    <s v="Oct-2020"/>
  </r>
  <r>
    <x v="140"/>
    <s v="PLW"/>
    <x v="0"/>
    <x v="10"/>
    <x v="10"/>
    <s v="predicted"/>
    <n v="19.726113120000001"/>
    <n v="19.370999999999999"/>
    <n v="-0.355113122"/>
    <n v="2.6199736680000001"/>
    <n v="-30.39925727"/>
    <n v="40.012167009999999"/>
    <x v="139"/>
    <s v="Nov-2020"/>
  </r>
  <r>
    <x v="140"/>
    <s v="PLW"/>
    <x v="0"/>
    <x v="11"/>
    <x v="11"/>
    <s v="predicted"/>
    <n v="19.740169680000001"/>
    <n v="19.861999999999998"/>
    <n v="0.12183031699999999"/>
    <n v="2.7418039859999999"/>
    <n v="-33.285525"/>
    <n v="40.983981239999999"/>
    <x v="139"/>
    <s v="Dec-2020"/>
  </r>
  <r>
    <x v="140"/>
    <s v="PLW"/>
    <x v="1"/>
    <x v="0"/>
    <x v="0"/>
    <s v="predicted"/>
    <n v="20.185603910000001"/>
    <n v="20.442"/>
    <n v="0.25639608600000002"/>
    <n v="2.9982000719999999"/>
    <n v="-33.22776004"/>
    <n v="42.261647019999998"/>
    <x v="139"/>
    <s v="Jan-2021"/>
  </r>
  <r>
    <x v="140"/>
    <s v="PLW"/>
    <x v="1"/>
    <x v="1"/>
    <x v="1"/>
    <s v="predicted"/>
    <n v="20.167775599999999"/>
    <n v="20.187999999999999"/>
    <n v="2.0224401999999999E-2"/>
    <n v="3.0184244740000001"/>
    <n v="-33.940735439999997"/>
    <n v="42.933570709999998"/>
    <x v="139"/>
    <s v="Feb-2021"/>
  </r>
  <r>
    <x v="140"/>
    <s v="PLW"/>
    <x v="1"/>
    <x v="2"/>
    <x v="2"/>
    <s v="predicted"/>
    <n v="20.12705545"/>
    <n v="20.132000000000001"/>
    <n v="4.9445469999999997E-3"/>
    <n v="3.0233690219999998"/>
    <n v="-35.072607060000003"/>
    <n v="45.881607459999998"/>
    <x v="139"/>
    <s v="Mar-2021"/>
  </r>
  <r>
    <x v="140"/>
    <s v="PLW"/>
    <x v="1"/>
    <x v="3"/>
    <x v="3"/>
    <s v="predicted"/>
    <n v="20.059624379999999"/>
    <n v="20.140999999999998"/>
    <n v="8.1375617999999997E-2"/>
    <n v="3.1047446399999998"/>
    <n v="-36.182130069999999"/>
    <n v="46.841250989999999"/>
    <x v="139"/>
    <s v="Apr-2021"/>
  </r>
  <r>
    <x v="140"/>
    <s v="PLW"/>
    <x v="1"/>
    <x v="4"/>
    <x v="4"/>
    <s v="predicted"/>
    <n v="20.08331755"/>
    <n v="20.006"/>
    <n v="-7.7317553999999997E-2"/>
    <n v="3.0274270859999999"/>
    <n v="-36.230112750000004"/>
    <n v="47.835549540000002"/>
    <x v="139"/>
    <s v="May-2021"/>
  </r>
  <r>
    <x v="140"/>
    <s v="PLW"/>
    <x v="1"/>
    <x v="5"/>
    <x v="5"/>
    <s v="predicted"/>
    <n v="20.141434740000001"/>
    <n v="20.521999999999998"/>
    <n v="0.38056526299999999"/>
    <n v="3.4079923490000001"/>
    <n v="-37.896080840000003"/>
    <n v="49.742270599999998"/>
    <x v="139"/>
    <s v="Jun-2021"/>
  </r>
  <r>
    <x v="140"/>
    <s v="PLW"/>
    <x v="1"/>
    <x v="6"/>
    <x v="6"/>
    <s v="predicted"/>
    <n v="20.147276860000002"/>
    <n v="20.494"/>
    <n v="0.34672314300000001"/>
    <n v="3.7547154919999999"/>
    <n v="-38.258506820000001"/>
    <n v="51.311435439999997"/>
    <x v="139"/>
    <s v="Jul-2021"/>
  </r>
  <r>
    <x v="140"/>
    <s v="PLW"/>
    <x v="1"/>
    <x v="7"/>
    <x v="7"/>
    <s v="predicted"/>
    <n v="20.209732710000001"/>
    <n v="20.606999999999999"/>
    <n v="0.39726728700000002"/>
    <n v="4.1519827789999999"/>
    <n v="-40.301037870000002"/>
    <n v="54.775888719999998"/>
    <x v="139"/>
    <s v="Aug-2021"/>
  </r>
  <r>
    <x v="140"/>
    <s v="PLW"/>
    <x v="1"/>
    <x v="8"/>
    <x v="8"/>
    <s v="predicted"/>
    <n v="20.095722559999999"/>
    <n v="20.867999999999999"/>
    <n v="0.77227744399999998"/>
    <n v="4.9242602230000001"/>
    <n v="-41.480604309999997"/>
    <n v="56.139155989999999"/>
    <x v="139"/>
    <s v="Sep-2021"/>
  </r>
  <r>
    <x v="140"/>
    <s v="PLW"/>
    <x v="1"/>
    <x v="9"/>
    <x v="9"/>
    <s v="predicted"/>
    <n v="20.08876841"/>
    <n v="21.041"/>
    <n v="0.95223158799999996"/>
    <n v="5.8764918110000002"/>
    <n v="-41.706142610000001"/>
    <n v="57.315901789999998"/>
    <x v="139"/>
    <s v="Oct-2021"/>
  </r>
  <r>
    <x v="140"/>
    <s v="PLW"/>
    <x v="1"/>
    <x v="10"/>
    <x v="10"/>
    <s v="predicted"/>
    <n v="20.08483829"/>
    <n v="21.271000000000001"/>
    <n v="1.1861617090000001"/>
    <n v="7.0626535199999996"/>
    <n v="-41.346646909999997"/>
    <n v="58.5651273"/>
    <x v="139"/>
    <s v="Nov-2021"/>
  </r>
  <r>
    <x v="140"/>
    <s v="PLW"/>
    <x v="1"/>
    <x v="11"/>
    <x v="11"/>
    <s v="predicted"/>
    <n v="20.197280159999998"/>
    <n v="21.831"/>
    <n v="1.633719836"/>
    <n v="8.6963733560000005"/>
    <n v="-40.553364969999997"/>
    <n v="61.976976180000001"/>
    <x v="139"/>
    <s v="Dec-2021"/>
  </r>
  <r>
    <x v="141"/>
    <s v="PNG"/>
    <x v="0"/>
    <x v="0"/>
    <x v="0"/>
    <s v="predicted"/>
    <n v="5098.9867860000004"/>
    <n v="4930.6729999999998"/>
    <n v="-168.31378549999999"/>
    <n v="-168.31378549999999"/>
    <n v="-1442.534913"/>
    <n v="1420.8100300000001"/>
    <x v="140"/>
    <s v="Jan-2020"/>
  </r>
  <r>
    <x v="141"/>
    <s v="PNG"/>
    <x v="0"/>
    <x v="1"/>
    <x v="1"/>
    <s v="predicted"/>
    <n v="5102.3046530000001"/>
    <n v="4868.29"/>
    <n v="-234.01465289999999"/>
    <n v="-402.32843839999998"/>
    <n v="-2073.8311020000001"/>
    <n v="1787.572079"/>
    <x v="140"/>
    <s v="Feb-2020"/>
  </r>
  <r>
    <x v="141"/>
    <s v="PNG"/>
    <x v="0"/>
    <x v="2"/>
    <x v="2"/>
    <s v="predicted"/>
    <n v="5102.7385899999999"/>
    <n v="5009.8919999999998"/>
    <n v="-92.846590129999996"/>
    <n v="-495.1750285"/>
    <n v="-2906.2686480000002"/>
    <n v="2100.9426840000001"/>
    <x v="140"/>
    <s v="Mar-2020"/>
  </r>
  <r>
    <x v="141"/>
    <s v="PNG"/>
    <x v="0"/>
    <x v="3"/>
    <x v="3"/>
    <s v="predicted"/>
    <n v="5104.4075409999996"/>
    <n v="4707.18"/>
    <n v="-397.22754099999997"/>
    <n v="-892.40256950000003"/>
    <n v="-3624.9259999999999"/>
    <n v="2166.1965530000002"/>
    <x v="140"/>
    <s v="Apr-2020"/>
  </r>
  <r>
    <x v="141"/>
    <s v="PNG"/>
    <x v="0"/>
    <x v="4"/>
    <x v="4"/>
    <s v="predicted"/>
    <n v="5113.7088620000004"/>
    <n v="5138.4359999999997"/>
    <n v="24.727137939999999"/>
    <n v="-867.67543160000002"/>
    <n v="-3854.4096509999999"/>
    <n v="2319.5238559999998"/>
    <x v="140"/>
    <s v="May-2020"/>
  </r>
  <r>
    <x v="141"/>
    <s v="PNG"/>
    <x v="0"/>
    <x v="5"/>
    <x v="5"/>
    <s v="predicted"/>
    <n v="5130.0844520000001"/>
    <n v="5387.2190000000001"/>
    <n v="257.13454830000001"/>
    <n v="-610.54088330000002"/>
    <n v="-3882.6387989999998"/>
    <n v="2908.055327"/>
    <x v="140"/>
    <s v="Jun-2020"/>
  </r>
  <r>
    <x v="141"/>
    <s v="PNG"/>
    <x v="0"/>
    <x v="6"/>
    <x v="6"/>
    <s v="predicted"/>
    <n v="5143.7935180000004"/>
    <n v="5695.9790000000003"/>
    <n v="552.18548220000002"/>
    <n v="-58.35540108"/>
    <n v="-3633.1042349999998"/>
    <n v="3872.1557379999999"/>
    <x v="140"/>
    <s v="Jul-2020"/>
  </r>
  <r>
    <x v="141"/>
    <s v="PNG"/>
    <x v="0"/>
    <x v="7"/>
    <x v="7"/>
    <s v="predicted"/>
    <n v="5137.1267580000003"/>
    <n v="5719.7749999999996"/>
    <n v="582.64824199999998"/>
    <n v="524.29284089999999"/>
    <n v="-3381.3298639999998"/>
    <n v="4753.959965"/>
    <x v="140"/>
    <s v="Aug-2020"/>
  </r>
  <r>
    <x v="141"/>
    <s v="PNG"/>
    <x v="0"/>
    <x v="8"/>
    <x v="8"/>
    <s v="predicted"/>
    <n v="5124.5324449999998"/>
    <n v="5734.1589999999997"/>
    <n v="609.62655549999999"/>
    <n v="1133.919396"/>
    <n v="-3209.1794150000001"/>
    <n v="5874.2719710000001"/>
    <x v="140"/>
    <s v="Sep-2020"/>
  </r>
  <r>
    <x v="141"/>
    <s v="PNG"/>
    <x v="0"/>
    <x v="9"/>
    <x v="9"/>
    <s v="predicted"/>
    <n v="5105.1098549999997"/>
    <n v="5467.933"/>
    <n v="362.8231452"/>
    <n v="1496.742542"/>
    <n v="-3240.970092"/>
    <n v="6372.5332930000004"/>
    <x v="140"/>
    <s v="Oct-2020"/>
  </r>
  <r>
    <x v="141"/>
    <s v="PNG"/>
    <x v="0"/>
    <x v="10"/>
    <x v="10"/>
    <s v="predicted"/>
    <n v="5100.07024"/>
    <n v="5380.3710000000001"/>
    <n v="280.30076009999999"/>
    <n v="1777.043302"/>
    <n v="-3329.4524160000001"/>
    <n v="7149.3821079999998"/>
    <x v="140"/>
    <s v="Nov-2020"/>
  </r>
  <r>
    <x v="141"/>
    <s v="PNG"/>
    <x v="0"/>
    <x v="11"/>
    <x v="11"/>
    <s v="predicted"/>
    <n v="5101.071637"/>
    <n v="5384.27"/>
    <n v="283.19836270000002"/>
    <n v="2060.2416640000001"/>
    <n v="-3122.9251850000001"/>
    <n v="7689.2895689999996"/>
    <x v="140"/>
    <s v="Dec-2020"/>
  </r>
  <r>
    <x v="141"/>
    <s v="PNG"/>
    <x v="1"/>
    <x v="0"/>
    <x v="0"/>
    <s v="predicted"/>
    <n v="5157.8051569999998"/>
    <n v="5253.5010000000002"/>
    <n v="95.695843359999998"/>
    <n v="2155.937508"/>
    <n v="-3319.9169830000001"/>
    <n v="7807.0564260000001"/>
    <x v="140"/>
    <s v="Jan-2021"/>
  </r>
  <r>
    <x v="141"/>
    <s v="PNG"/>
    <x v="1"/>
    <x v="1"/>
    <x v="1"/>
    <s v="predicted"/>
    <n v="5164.758425"/>
    <n v="5239.4960000000001"/>
    <n v="74.737575500000005"/>
    <n v="2230.6750830000001"/>
    <n v="-3312.1407159999999"/>
    <n v="8169.7209110000003"/>
    <x v="140"/>
    <s v="Feb-2021"/>
  </r>
  <r>
    <x v="141"/>
    <s v="PNG"/>
    <x v="1"/>
    <x v="2"/>
    <x v="2"/>
    <s v="predicted"/>
    <n v="5162.9283869999999"/>
    <n v="5111.3519999999999"/>
    <n v="-51.576386530000001"/>
    <n v="2179.0986969999999"/>
    <n v="-3611.1222520000001"/>
    <n v="8375.8807880000004"/>
    <x v="140"/>
    <s v="Mar-2021"/>
  </r>
  <r>
    <x v="141"/>
    <s v="PNG"/>
    <x v="1"/>
    <x v="3"/>
    <x v="3"/>
    <s v="predicted"/>
    <n v="5165.9191300000002"/>
    <n v="5125.8860000000004"/>
    <n v="-40.033129940000002"/>
    <n v="2139.0655670000001"/>
    <n v="-3510.0300790000001"/>
    <n v="8474.7211869999992"/>
    <x v="140"/>
    <s v="Apr-2021"/>
  </r>
  <r>
    <x v="141"/>
    <s v="PNG"/>
    <x v="1"/>
    <x v="4"/>
    <x v="4"/>
    <s v="predicted"/>
    <n v="5171.0888660000001"/>
    <n v="5987.3159999999998"/>
    <n v="816.22713380000005"/>
    <n v="2955.2927009999999"/>
    <n v="-3033.4088019999999"/>
    <n v="9501.260209"/>
    <x v="140"/>
    <s v="May-2021"/>
  </r>
  <r>
    <x v="141"/>
    <s v="PNG"/>
    <x v="1"/>
    <x v="5"/>
    <x v="5"/>
    <s v="predicted"/>
    <n v="5191.8447980000001"/>
    <n v="5630.2520000000004"/>
    <n v="438.40720149999999"/>
    <n v="3393.6999019999998"/>
    <n v="-2750.7928350000002"/>
    <n v="10280.69521"/>
    <x v="140"/>
    <s v="Jun-2021"/>
  </r>
  <r>
    <x v="141"/>
    <s v="PNG"/>
    <x v="1"/>
    <x v="6"/>
    <x v="6"/>
    <s v="predicted"/>
    <n v="5203.8140370000001"/>
    <n v="5824.2860000000001"/>
    <n v="620.47196289999999"/>
    <n v="4014.1718649999998"/>
    <n v="-2229.273631"/>
    <n v="11043.494699999999"/>
    <x v="140"/>
    <s v="Jul-2021"/>
  </r>
  <r>
    <x v="141"/>
    <s v="PNG"/>
    <x v="1"/>
    <x v="7"/>
    <x v="7"/>
    <s v="predicted"/>
    <n v="5198.2110659999998"/>
    <n v="5654.9790000000003"/>
    <n v="456.7679339"/>
    <n v="4470.9397989999998"/>
    <n v="-1975.5206720000001"/>
    <n v="11454.187110000001"/>
    <x v="140"/>
    <s v="Aug-2021"/>
  </r>
  <r>
    <x v="141"/>
    <s v="PNG"/>
    <x v="1"/>
    <x v="8"/>
    <x v="8"/>
    <s v="predicted"/>
    <n v="5184.2710619999998"/>
    <n v="6134.0870000000004"/>
    <n v="949.81593780000003"/>
    <n v="5420.7557370000004"/>
    <n v="-1209.626295"/>
    <n v="12364.35189"/>
    <x v="140"/>
    <s v="Sep-2021"/>
  </r>
  <r>
    <x v="141"/>
    <s v="PNG"/>
    <x v="1"/>
    <x v="9"/>
    <x v="9"/>
    <s v="predicted"/>
    <n v="5164.0236960000002"/>
    <n v="6287.2370000000001"/>
    <n v="1123.2133040000001"/>
    <n v="6543.9690410000003"/>
    <n v="-277.2370128"/>
    <n v="13935.16821"/>
    <x v="140"/>
    <s v="Oct-2021"/>
  </r>
  <r>
    <x v="141"/>
    <s v="PNG"/>
    <x v="1"/>
    <x v="10"/>
    <x v="10"/>
    <s v="predicted"/>
    <n v="5158.7215029999998"/>
    <n v="6328.2449999999999"/>
    <n v="1169.5234969999999"/>
    <n v="7713.4925380000004"/>
    <n v="543.14631559999998"/>
    <n v="14998.52576"/>
    <x v="140"/>
    <s v="Nov-2021"/>
  </r>
  <r>
    <x v="141"/>
    <s v="PNG"/>
    <x v="1"/>
    <x v="11"/>
    <x v="11"/>
    <s v="predicted"/>
    <n v="5158.9690170000003"/>
    <n v="6067.0810000000001"/>
    <n v="908.11198339999999"/>
    <n v="8621.6045219999996"/>
    <n v="1325.2666409999999"/>
    <n v="16097.69455"/>
    <x v="140"/>
    <s v="Dec-2021"/>
  </r>
  <r>
    <x v="142"/>
    <s v="POL"/>
    <x v="0"/>
    <x v="0"/>
    <x v="0"/>
    <s v="reported"/>
    <n v="36989.725700000003"/>
    <n v="36475"/>
    <n v="-514.97570299999995"/>
    <n v="-514.97570299999995"/>
    <n v="-1784.624272"/>
    <n v="727.26274069999999"/>
    <x v="141"/>
    <s v="Jan-2020"/>
  </r>
  <r>
    <x v="142"/>
    <s v="POL"/>
    <x v="0"/>
    <x v="1"/>
    <x v="1"/>
    <s v="reported"/>
    <n v="37774.759810000003"/>
    <n v="35148"/>
    <n v="-2627.009806"/>
    <n v="-3141.9855090000001"/>
    <n v="-5096.5915340000001"/>
    <n v="-1321.2971190000001"/>
    <x v="141"/>
    <s v="Feb-2020"/>
  </r>
  <r>
    <x v="142"/>
    <s v="POL"/>
    <x v="0"/>
    <x v="2"/>
    <x v="2"/>
    <s v="reported"/>
    <n v="37288.851909999998"/>
    <n v="36737"/>
    <n v="-552.10190999999998"/>
    <n v="-3694.087419"/>
    <n v="-6271.4029140000002"/>
    <n v="-1279.3815830000001"/>
    <x v="141"/>
    <s v="Mar-2020"/>
  </r>
  <r>
    <x v="142"/>
    <s v="POL"/>
    <x v="0"/>
    <x v="3"/>
    <x v="3"/>
    <s v="reported"/>
    <n v="34998.759209999997"/>
    <n v="34063"/>
    <n v="-936.0092085"/>
    <n v="-4630.0966269999999"/>
    <n v="-7556.6205840000002"/>
    <n v="-1827.2931920000001"/>
    <x v="141"/>
    <s v="Apr-2020"/>
  </r>
  <r>
    <x v="142"/>
    <s v="POL"/>
    <x v="0"/>
    <x v="4"/>
    <x v="4"/>
    <s v="reported"/>
    <n v="33112.371440000003"/>
    <n v="33641"/>
    <n v="528.37855730000001"/>
    <n v="-4101.7180699999999"/>
    <n v="-7442.6041740000001"/>
    <n v="-851.77840490000006"/>
    <x v="141"/>
    <s v="May-2020"/>
  </r>
  <r>
    <x v="142"/>
    <s v="POL"/>
    <x v="0"/>
    <x v="5"/>
    <x v="5"/>
    <s v="reported"/>
    <n v="32102.732240000001"/>
    <n v="32506"/>
    <n v="403.01776319999999"/>
    <n v="-3698.7003070000001"/>
    <n v="-7262.0135069999997"/>
    <n v="-219.8003981"/>
    <x v="141"/>
    <s v="Jun-2020"/>
  </r>
  <r>
    <x v="142"/>
    <s v="POL"/>
    <x v="0"/>
    <x v="6"/>
    <x v="6"/>
    <s v="reported"/>
    <n v="32089.00232"/>
    <n v="33414"/>
    <n v="1324.7476750000001"/>
    <n v="-2373.952632"/>
    <n v="-6223.7261060000001"/>
    <n v="1153.493387"/>
    <x v="141"/>
    <s v="Jul-2020"/>
  </r>
  <r>
    <x v="142"/>
    <s v="POL"/>
    <x v="0"/>
    <x v="7"/>
    <x v="7"/>
    <s v="reported"/>
    <n v="32101.994500000001"/>
    <n v="34717"/>
    <n v="2614.7555000000002"/>
    <n v="240.80286799999999"/>
    <n v="-3859.3804239999999"/>
    <n v="3955.6848340000001"/>
    <x v="141"/>
    <s v="Aug-2020"/>
  </r>
  <r>
    <x v="142"/>
    <s v="POL"/>
    <x v="0"/>
    <x v="8"/>
    <x v="8"/>
    <s v="reported"/>
    <n v="32433.96747"/>
    <n v="34237"/>
    <n v="1802.7825319999999"/>
    <n v="2043.585401"/>
    <n v="-2312.527912"/>
    <n v="6006.9587709999996"/>
    <x v="141"/>
    <s v="Sep-2020"/>
  </r>
  <r>
    <x v="142"/>
    <s v="POL"/>
    <x v="0"/>
    <x v="9"/>
    <x v="9"/>
    <s v="reported"/>
    <n v="33757.801460000002"/>
    <n v="49226"/>
    <n v="15467.948539999999"/>
    <n v="17511.533940000001"/>
    <n v="13098.994350000001"/>
    <n v="21713.56755"/>
    <x v="141"/>
    <s v="Oct-2020"/>
  </r>
  <r>
    <x v="142"/>
    <s v="POL"/>
    <x v="0"/>
    <x v="10"/>
    <x v="10"/>
    <s v="reported"/>
    <n v="35089.871679999997"/>
    <n v="64293"/>
    <n v="29202.87832"/>
    <n v="46714.412259999997"/>
    <n v="42038.998760000002"/>
    <n v="51203.606829999997"/>
    <x v="141"/>
    <s v="Nov-2020"/>
  </r>
  <r>
    <x v="142"/>
    <s v="POL"/>
    <x v="0"/>
    <x v="11"/>
    <x v="11"/>
    <s v="reported"/>
    <n v="37363.00099"/>
    <n v="53681"/>
    <n v="16317.74901"/>
    <n v="63032.16128"/>
    <n v="58169.963989999997"/>
    <n v="67733.284419999996"/>
    <x v="141"/>
    <s v="Dec-2020"/>
  </r>
  <r>
    <x v="142"/>
    <s v="POL"/>
    <x v="1"/>
    <x v="0"/>
    <x v="0"/>
    <s v="reported"/>
    <n v="37361.5625"/>
    <n v="48917"/>
    <n v="11555.354170000001"/>
    <n v="74587.515450000006"/>
    <n v="69385.379530000006"/>
    <n v="79389.236449999997"/>
    <x v="141"/>
    <s v="Jan-2021"/>
  </r>
  <r>
    <x v="142"/>
    <s v="POL"/>
    <x v="1"/>
    <x v="1"/>
    <x v="1"/>
    <s v="reported"/>
    <n v="38189.654580000002"/>
    <n v="39818"/>
    <n v="1628.2620870000001"/>
    <n v="76215.777530000007"/>
    <n v="70915.549880000006"/>
    <n v="81366.846369999999"/>
    <x v="141"/>
    <s v="Feb-2021"/>
  </r>
  <r>
    <x v="142"/>
    <s v="POL"/>
    <x v="1"/>
    <x v="2"/>
    <x v="2"/>
    <s v="reported"/>
    <n v="37724.390870000003"/>
    <n v="51088"/>
    <n v="13363.525799999999"/>
    <n v="89579.303329999995"/>
    <n v="84011.237810000006"/>
    <n v="95129.453399999999"/>
    <x v="141"/>
    <s v="Mar-2021"/>
  </r>
  <r>
    <x v="142"/>
    <s v="POL"/>
    <x v="1"/>
    <x v="3"/>
    <x v="3"/>
    <s v="reported"/>
    <n v="35396.332640000001"/>
    <n v="54399"/>
    <n v="19002.584030000002"/>
    <n v="108581.88740000001"/>
    <n v="102787.0947"/>
    <n v="114237.1087"/>
    <x v="141"/>
    <s v="Apr-2021"/>
  </r>
  <r>
    <x v="142"/>
    <s v="POL"/>
    <x v="1"/>
    <x v="4"/>
    <x v="4"/>
    <s v="reported"/>
    <n v="33490.629000000001"/>
    <n v="41003"/>
    <n v="7512.2876679999999"/>
    <n v="116094.175"/>
    <n v="110011.59880000001"/>
    <n v="122062.37480000001"/>
    <x v="141"/>
    <s v="May-2021"/>
  </r>
  <r>
    <x v="142"/>
    <s v="POL"/>
    <x v="1"/>
    <x v="5"/>
    <x v="5"/>
    <s v="reported"/>
    <n v="32444.355459999999"/>
    <n v="35067"/>
    <n v="2622.561209"/>
    <n v="118716.7362"/>
    <n v="112612.837"/>
    <n v="124992.0852"/>
    <x v="141"/>
    <s v="Jun-2021"/>
  </r>
  <r>
    <x v="142"/>
    <s v="POL"/>
    <x v="1"/>
    <x v="6"/>
    <x v="6"/>
    <s v="reported"/>
    <n v="32451.377219999998"/>
    <n v="33909"/>
    <n v="1457.539444"/>
    <n v="120174.2757"/>
    <n v="113771.3342"/>
    <n v="126500.68829999999"/>
    <x v="141"/>
    <s v="Jul-2021"/>
  </r>
  <r>
    <x v="142"/>
    <s v="POL"/>
    <x v="1"/>
    <x v="7"/>
    <x v="7"/>
    <s v="reported"/>
    <n v="32477.58236"/>
    <n v="33019"/>
    <n v="541.33430499999997"/>
    <n v="120715.61"/>
    <n v="114275.8517"/>
    <n v="127177.6691"/>
    <x v="141"/>
    <s v="Aug-2021"/>
  </r>
  <r>
    <x v="142"/>
    <s v="POL"/>
    <x v="1"/>
    <x v="8"/>
    <x v="8"/>
    <s v="reported"/>
    <n v="32787.141060000002"/>
    <n v="33938"/>
    <n v="1150.775611"/>
    <n v="121866.38559999999"/>
    <n v="115404.5407"/>
    <n v="128320.4737"/>
    <x v="141"/>
    <s v="Sep-2021"/>
  </r>
  <r>
    <x v="142"/>
    <s v="POL"/>
    <x v="1"/>
    <x v="9"/>
    <x v="9"/>
    <s v="reported"/>
    <n v="34173.923569999999"/>
    <n v="38854"/>
    <n v="4679.9930949999998"/>
    <n v="126546.3787"/>
    <n v="119755.217"/>
    <n v="133494.17730000001"/>
    <x v="141"/>
    <s v="Oct-2021"/>
  </r>
  <r>
    <x v="142"/>
    <s v="POL"/>
    <x v="1"/>
    <x v="10"/>
    <x v="10"/>
    <s v="reported"/>
    <n v="35484.736700000001"/>
    <n v="49282"/>
    <n v="13797.179969999999"/>
    <n v="140343.55869999999"/>
    <n v="133268.58850000001"/>
    <n v="147119.89189999999"/>
    <x v="141"/>
    <s v="Nov-2021"/>
  </r>
  <r>
    <x v="142"/>
    <s v="POL"/>
    <x v="1"/>
    <x v="11"/>
    <x v="11"/>
    <s v="reported"/>
    <n v="37782.093999999997"/>
    <n v="60583"/>
    <n v="22800.822670000001"/>
    <n v="163144.38130000001"/>
    <n v="156115.16680000001"/>
    <n v="170256.3303"/>
    <x v="141"/>
    <s v="Dec-2021"/>
  </r>
  <r>
    <x v="143"/>
    <s v="PRK"/>
    <x v="0"/>
    <x v="0"/>
    <x v="0"/>
    <s v="predicted"/>
    <n v="20863.277480000001"/>
    <n v="21583.907999999999"/>
    <n v="720.63052370000003"/>
    <n v="720.63052370000003"/>
    <n v="-5066.006781"/>
    <n v="7997.4994340000003"/>
    <x v="142"/>
    <s v="Jan-2020"/>
  </r>
  <r>
    <x v="143"/>
    <s v="PRK"/>
    <x v="0"/>
    <x v="1"/>
    <x v="1"/>
    <s v="predicted"/>
    <n v="20562.1682"/>
    <n v="20541.962"/>
    <n v="-20.206204809999999"/>
    <n v="700.4243189"/>
    <n v="-7403.4037330000001"/>
    <n v="9939.9534609999992"/>
    <x v="142"/>
    <s v="Feb-2020"/>
  </r>
  <r>
    <x v="143"/>
    <s v="PRK"/>
    <x v="0"/>
    <x v="2"/>
    <x v="2"/>
    <s v="predicted"/>
    <n v="19689.473849999998"/>
    <n v="20084.937000000002"/>
    <n v="395.46314669999998"/>
    <n v="1095.8874659999999"/>
    <n v="-8765.0926870000003"/>
    <n v="12265.00856"/>
    <x v="142"/>
    <s v="Mar-2020"/>
  </r>
  <r>
    <x v="143"/>
    <s v="PRK"/>
    <x v="0"/>
    <x v="3"/>
    <x v="3"/>
    <s v="predicted"/>
    <n v="19094.173650000001"/>
    <n v="19813.195"/>
    <n v="719.02134609999996"/>
    <n v="1814.9088119999999"/>
    <n v="-9031.7146410000005"/>
    <n v="13313.9684"/>
    <x v="142"/>
    <s v="Apr-2020"/>
  </r>
  <r>
    <x v="143"/>
    <s v="PRK"/>
    <x v="0"/>
    <x v="4"/>
    <x v="4"/>
    <s v="predicted"/>
    <n v="18286.997630000002"/>
    <n v="19048.482"/>
    <n v="761.48437320000005"/>
    <n v="2576.3931849999999"/>
    <n v="-10944.649450000001"/>
    <n v="16717.99685"/>
    <x v="142"/>
    <s v="May-2020"/>
  </r>
  <r>
    <x v="143"/>
    <s v="PRK"/>
    <x v="0"/>
    <x v="5"/>
    <x v="5"/>
    <s v="predicted"/>
    <n v="17642.16937"/>
    <n v="18263.315999999999"/>
    <n v="621.14663069999995"/>
    <n v="3197.539816"/>
    <n v="-11244.98741"/>
    <n v="19223.30877"/>
    <x v="142"/>
    <s v="Jun-2020"/>
  </r>
  <r>
    <x v="143"/>
    <s v="PRK"/>
    <x v="0"/>
    <x v="6"/>
    <x v="6"/>
    <s v="predicted"/>
    <n v="17505.208630000001"/>
    <n v="17686.420999999998"/>
    <n v="181.21236719999999"/>
    <n v="3378.7521830000001"/>
    <n v="-12538.71867"/>
    <n v="20002.660179999999"/>
    <x v="142"/>
    <s v="Jul-2020"/>
  </r>
  <r>
    <x v="143"/>
    <s v="PRK"/>
    <x v="0"/>
    <x v="7"/>
    <x v="7"/>
    <s v="predicted"/>
    <n v="17247.661609999999"/>
    <n v="17475.240000000002"/>
    <n v="227.57839000000001"/>
    <n v="3606.3305730000002"/>
    <n v="-12761.92807"/>
    <n v="21494.60239"/>
    <x v="142"/>
    <s v="Aug-2020"/>
  </r>
  <r>
    <x v="143"/>
    <s v="PRK"/>
    <x v="0"/>
    <x v="8"/>
    <x v="8"/>
    <s v="predicted"/>
    <n v="17965.729579999999"/>
    <n v="18302.776999999998"/>
    <n v="337.0474208"/>
    <n v="3943.3779939999999"/>
    <n v="-13388.64093"/>
    <n v="22247.73704"/>
    <x v="142"/>
    <s v="Sep-2020"/>
  </r>
  <r>
    <x v="143"/>
    <s v="PRK"/>
    <x v="0"/>
    <x v="9"/>
    <x v="9"/>
    <s v="predicted"/>
    <n v="18756.826860000001"/>
    <n v="18762.241999999998"/>
    <n v="5.4151369870000003"/>
    <n v="3948.7931309999999"/>
    <n v="-14497.79329"/>
    <n v="22985.710129999999"/>
    <x v="142"/>
    <s v="Oct-2020"/>
  </r>
  <r>
    <x v="143"/>
    <s v="PRK"/>
    <x v="0"/>
    <x v="10"/>
    <x v="10"/>
    <s v="predicted"/>
    <n v="19710.063870000002"/>
    <n v="19801.297999999999"/>
    <n v="91.234132729999999"/>
    <n v="4040.0272629999999"/>
    <n v="-15231.742850000001"/>
    <n v="25073.36148"/>
    <x v="142"/>
    <s v="Nov-2020"/>
  </r>
  <r>
    <x v="143"/>
    <s v="PRK"/>
    <x v="0"/>
    <x v="11"/>
    <x v="11"/>
    <s v="predicted"/>
    <n v="20942.454529999999"/>
    <n v="21399.125"/>
    <n v="456.6704737"/>
    <n v="4496.6977370000004"/>
    <n v="-16220.64579"/>
    <n v="26395.043290000001"/>
    <x v="142"/>
    <s v="Dec-2020"/>
  </r>
  <r>
    <x v="143"/>
    <s v="PRK"/>
    <x v="1"/>
    <x v="0"/>
    <x v="0"/>
    <s v="predicted"/>
    <n v="21139.091939999998"/>
    <n v="20799.203000000001"/>
    <n v="-339.8889446"/>
    <n v="4156.8087930000002"/>
    <n v="-16282.45667"/>
    <n v="27231.829300000001"/>
    <x v="142"/>
    <s v="Jan-2021"/>
  </r>
  <r>
    <x v="143"/>
    <s v="PRK"/>
    <x v="1"/>
    <x v="1"/>
    <x v="1"/>
    <s v="predicted"/>
    <n v="20827.23142"/>
    <n v="20482.625"/>
    <n v="-344.60642300000001"/>
    <n v="3812.20237"/>
    <n v="-18312.681120000001"/>
    <n v="27304.066429999999"/>
    <x v="142"/>
    <s v="Feb-2021"/>
  </r>
  <r>
    <x v="143"/>
    <s v="PRK"/>
    <x v="1"/>
    <x v="2"/>
    <x v="2"/>
    <s v="predicted"/>
    <n v="19986.796289999998"/>
    <n v="19509.141"/>
    <n v="-477.65529070000002"/>
    <n v="3334.5470789999999"/>
    <n v="-19198.07228"/>
    <n v="28917.74987"/>
    <x v="142"/>
    <s v="Mar-2021"/>
  </r>
  <r>
    <x v="143"/>
    <s v="PRK"/>
    <x v="1"/>
    <x v="3"/>
    <x v="3"/>
    <s v="predicted"/>
    <n v="19380.3105"/>
    <n v="18733.863000000001"/>
    <n v="-646.44749590000004"/>
    <n v="2688.0995830000002"/>
    <n v="-21603.90292"/>
    <n v="27531.258249999999"/>
    <x v="142"/>
    <s v="Apr-2021"/>
  </r>
  <r>
    <x v="143"/>
    <s v="PRK"/>
    <x v="1"/>
    <x v="4"/>
    <x v="4"/>
    <s v="predicted"/>
    <n v="18481.24955"/>
    <n v="18292.045999999998"/>
    <n v="-189.20354570000001"/>
    <n v="2498.896037"/>
    <n v="-20948.41258"/>
    <n v="28744.549599999998"/>
    <x v="142"/>
    <s v="May-2021"/>
  </r>
  <r>
    <x v="143"/>
    <s v="PRK"/>
    <x v="1"/>
    <x v="5"/>
    <x v="5"/>
    <s v="predicted"/>
    <n v="17853.240740000001"/>
    <n v="17741.098999999998"/>
    <n v="-112.1417409"/>
    <n v="2386.7542960000001"/>
    <n v="-21700.651819999999"/>
    <n v="29028.03011"/>
    <x v="142"/>
    <s v="Jun-2021"/>
  </r>
  <r>
    <x v="143"/>
    <s v="PRK"/>
    <x v="1"/>
    <x v="6"/>
    <x v="6"/>
    <s v="predicted"/>
    <n v="17743.658719999999"/>
    <n v="18047.817999999999"/>
    <n v="304.15927770000002"/>
    <n v="2690.9135740000002"/>
    <n v="-21393.617300000002"/>
    <n v="28882.16705"/>
    <x v="142"/>
    <s v="Jul-2021"/>
  </r>
  <r>
    <x v="143"/>
    <s v="PRK"/>
    <x v="1"/>
    <x v="7"/>
    <x v="7"/>
    <s v="predicted"/>
    <n v="17540.582399999999"/>
    <n v="18401.906999999999"/>
    <n v="861.32459970000002"/>
    <n v="3552.2381740000001"/>
    <n v="-22050.940330000001"/>
    <n v="31850.001039999999"/>
    <x v="142"/>
    <s v="Aug-2021"/>
  </r>
  <r>
    <x v="143"/>
    <s v="PRK"/>
    <x v="1"/>
    <x v="8"/>
    <x v="8"/>
    <s v="predicted"/>
    <n v="18238.182629999999"/>
    <n v="18321.842000000001"/>
    <n v="83.659369280000007"/>
    <n v="3635.897543"/>
    <n v="-23524.74627"/>
    <n v="32384.55948"/>
    <x v="142"/>
    <s v="Sep-2021"/>
  </r>
  <r>
    <x v="143"/>
    <s v="PRK"/>
    <x v="1"/>
    <x v="9"/>
    <x v="9"/>
    <s v="predicted"/>
    <n v="19084.309260000002"/>
    <n v="18896.727999999999"/>
    <n v="-187.58126129999999"/>
    <n v="3448.3162819999998"/>
    <n v="-24226.797999999999"/>
    <n v="32107.158490000002"/>
    <x v="142"/>
    <s v="Oct-2021"/>
  </r>
  <r>
    <x v="143"/>
    <s v="PRK"/>
    <x v="1"/>
    <x v="10"/>
    <x v="10"/>
    <s v="predicted"/>
    <n v="19938.644909999999"/>
    <n v="20330.307000000001"/>
    <n v="391.66208610000001"/>
    <n v="3839.978368"/>
    <n v="-24180.528389999999"/>
    <n v="33536.607210000002"/>
    <x v="142"/>
    <s v="Nov-2021"/>
  </r>
  <r>
    <x v="143"/>
    <s v="PRK"/>
    <x v="1"/>
    <x v="11"/>
    <x v="11"/>
    <s v="predicted"/>
    <n v="21198.836009999999"/>
    <n v="22459.936000000002"/>
    <n v="1261.0999890000001"/>
    <n v="5101.078356"/>
    <n v="-23534.738700000002"/>
    <n v="34816.995920000001"/>
    <x v="142"/>
    <s v="Dec-2021"/>
  </r>
  <r>
    <x v="144"/>
    <s v="PRT"/>
    <x v="0"/>
    <x v="0"/>
    <x v="0"/>
    <s v="reported"/>
    <n v="11269.27601"/>
    <n v="11823"/>
    <n v="553.55732439999997"/>
    <n v="553.55732439999997"/>
    <n v="-34.841921499999998"/>
    <n v="1120.79269"/>
    <x v="143"/>
    <s v="Jan-2020"/>
  </r>
  <r>
    <x v="144"/>
    <s v="PRT"/>
    <x v="0"/>
    <x v="1"/>
    <x v="1"/>
    <s v="reported"/>
    <n v="10920.852290000001"/>
    <n v="9886"/>
    <n v="-1035.0189539999999"/>
    <n v="-481.46162930000003"/>
    <n v="-1469.6441259999999"/>
    <n v="376.13109379999997"/>
    <x v="143"/>
    <s v="Feb-2020"/>
  </r>
  <r>
    <x v="144"/>
    <s v="PRT"/>
    <x v="0"/>
    <x v="2"/>
    <x v="2"/>
    <s v="reported"/>
    <n v="10068.304330000001"/>
    <n v="10616"/>
    <n v="547.52899860000002"/>
    <n v="66.067369299999996"/>
    <n v="-1112.204058"/>
    <n v="1144.380085"/>
    <x v="143"/>
    <s v="Mar-2020"/>
  </r>
  <r>
    <x v="144"/>
    <s v="PRT"/>
    <x v="0"/>
    <x v="3"/>
    <x v="3"/>
    <s v="reported"/>
    <n v="9148.1494249999996"/>
    <n v="10448"/>
    <n v="1299.683908"/>
    <n v="1365.751278"/>
    <n v="73.797039290000001"/>
    <n v="2555.5345769999999"/>
    <x v="143"/>
    <s v="Apr-2020"/>
  </r>
  <r>
    <x v="144"/>
    <s v="PRT"/>
    <x v="0"/>
    <x v="4"/>
    <x v="4"/>
    <s v="reported"/>
    <n v="8654.3661229999998"/>
    <n v="9567"/>
    <n v="912.46721060000004"/>
    <n v="2278.218488"/>
    <n v="856.72878360000004"/>
    <n v="3764.2980010000001"/>
    <x v="143"/>
    <s v="May-2020"/>
  </r>
  <r>
    <x v="144"/>
    <s v="PRT"/>
    <x v="0"/>
    <x v="5"/>
    <x v="5"/>
    <s v="reported"/>
    <n v="8312.4572850000004"/>
    <n v="8546"/>
    <n v="233.376048"/>
    <n v="2511.5945360000001"/>
    <n v="943.97012059999997"/>
    <n v="4081.584261"/>
    <x v="143"/>
    <s v="Jun-2020"/>
  </r>
  <r>
    <x v="144"/>
    <s v="PRT"/>
    <x v="0"/>
    <x v="6"/>
    <x v="6"/>
    <s v="reported"/>
    <n v="8305.8792680000006"/>
    <n v="10383"/>
    <n v="2076.9540659999998"/>
    <n v="4588.5486019999998"/>
    <n v="2917.7315010000002"/>
    <n v="6289.6086459999997"/>
    <x v="143"/>
    <s v="Jul-2020"/>
  </r>
  <r>
    <x v="144"/>
    <s v="PRT"/>
    <x v="0"/>
    <x v="7"/>
    <x v="7"/>
    <s v="reported"/>
    <n v="8305.0032429999992"/>
    <n v="9051"/>
    <n v="745.83009070000003"/>
    <n v="5334.3786929999997"/>
    <n v="3596.6877949999998"/>
    <n v="7055.525259"/>
    <x v="143"/>
    <s v="Aug-2020"/>
  </r>
  <r>
    <x v="144"/>
    <s v="PRT"/>
    <x v="0"/>
    <x v="8"/>
    <x v="8"/>
    <s v="reported"/>
    <n v="8102.2232199999999"/>
    <n v="8942"/>
    <n v="839.61011299999996"/>
    <n v="6173.9888060000003"/>
    <n v="4294.7614990000002"/>
    <n v="7978.8565440000002"/>
    <x v="143"/>
    <s v="Sep-2020"/>
  </r>
  <r>
    <x v="144"/>
    <s v="PRT"/>
    <x v="0"/>
    <x v="9"/>
    <x v="9"/>
    <s v="reported"/>
    <n v="8518.0067299999992"/>
    <n v="9946"/>
    <n v="1427.826603"/>
    <n v="7601.8154089999998"/>
    <n v="5650.5768189999999"/>
    <n v="9490.4784980000004"/>
    <x v="143"/>
    <s v="Oct-2020"/>
  </r>
  <r>
    <x v="144"/>
    <s v="PRT"/>
    <x v="0"/>
    <x v="10"/>
    <x v="10"/>
    <s v="reported"/>
    <n v="9500.7796149999995"/>
    <n v="11470"/>
    <n v="1969.053719"/>
    <n v="9570.8691280000003"/>
    <n v="7421.7782429999997"/>
    <n v="11607.646710000001"/>
    <x v="143"/>
    <s v="Nov-2020"/>
  </r>
  <r>
    <x v="144"/>
    <s v="PRT"/>
    <x v="0"/>
    <x v="11"/>
    <x v="11"/>
    <s v="reported"/>
    <n v="11332.67102"/>
    <n v="13007"/>
    <n v="1674.162313"/>
    <n v="11245.031440000001"/>
    <n v="9056.9606339999991"/>
    <n v="13384.254790000001"/>
    <x v="143"/>
    <s v="Dec-2020"/>
  </r>
  <r>
    <x v="144"/>
    <s v="PRT"/>
    <x v="1"/>
    <x v="0"/>
    <x v="0"/>
    <s v="reported"/>
    <n v="11324.10397"/>
    <n v="19671"/>
    <n v="8346.8960299999999"/>
    <n v="19591.927469999999"/>
    <n v="17335.605589999999"/>
    <n v="21834.600119999999"/>
    <x v="143"/>
    <s v="Jan-2021"/>
  </r>
  <r>
    <x v="144"/>
    <s v="PRT"/>
    <x v="1"/>
    <x v="1"/>
    <x v="1"/>
    <s v="reported"/>
    <n v="10966.145259999999"/>
    <n v="12764"/>
    <n v="1797.8547390000001"/>
    <n v="21389.782210000001"/>
    <n v="19044.036240000001"/>
    <n v="23741.600829999999"/>
    <x v="143"/>
    <s v="Feb-2021"/>
  </r>
  <r>
    <x v="144"/>
    <s v="PRT"/>
    <x v="1"/>
    <x v="2"/>
    <x v="2"/>
    <s v="reported"/>
    <n v="10140.01208"/>
    <n v="9578"/>
    <n v="-562.01208459999998"/>
    <n v="20827.770130000001"/>
    <n v="18487.678660000001"/>
    <n v="23319.437030000001"/>
    <x v="143"/>
    <s v="Mar-2021"/>
  </r>
  <r>
    <x v="144"/>
    <s v="PRT"/>
    <x v="1"/>
    <x v="3"/>
    <x v="3"/>
    <s v="reported"/>
    <n v="9161.8484160000007"/>
    <n v="8449"/>
    <n v="-712.84841570000003"/>
    <n v="20114.921709999999"/>
    <n v="17538.582350000001"/>
    <n v="22698.669519999999"/>
    <x v="143"/>
    <s v="Apr-2021"/>
  </r>
  <r>
    <x v="144"/>
    <s v="PRT"/>
    <x v="1"/>
    <x v="4"/>
    <x v="4"/>
    <s v="reported"/>
    <n v="8684.0298490000005"/>
    <n v="8602"/>
    <n v="-82.029848990000005"/>
    <n v="20032.89186"/>
    <n v="17487.465260000001"/>
    <n v="22701.53815"/>
    <x v="143"/>
    <s v="May-2021"/>
  </r>
  <r>
    <x v="144"/>
    <s v="PRT"/>
    <x v="1"/>
    <x v="5"/>
    <x v="5"/>
    <s v="reported"/>
    <n v="8360.8618970000007"/>
    <n v="8240"/>
    <n v="-120.8618967"/>
    <n v="19912.02996"/>
    <n v="17213.783340000002"/>
    <n v="22658.185870000001"/>
    <x v="143"/>
    <s v="Jun-2021"/>
  </r>
  <r>
    <x v="144"/>
    <s v="PRT"/>
    <x v="1"/>
    <x v="6"/>
    <x v="6"/>
    <s v="reported"/>
    <n v="8344.9206819999999"/>
    <n v="8784"/>
    <n v="439.07931830000001"/>
    <n v="20351.109280000001"/>
    <n v="17564.313709999999"/>
    <n v="23166.036090000001"/>
    <x v="143"/>
    <s v="Jul-2021"/>
  </r>
  <r>
    <x v="144"/>
    <s v="PRT"/>
    <x v="1"/>
    <x v="7"/>
    <x v="7"/>
    <s v="reported"/>
    <n v="8326.2426670000004"/>
    <n v="9257"/>
    <n v="930.75733319999995"/>
    <n v="21281.866620000001"/>
    <n v="18467.97465"/>
    <n v="24162.01856"/>
    <x v="143"/>
    <s v="Aug-2021"/>
  </r>
  <r>
    <x v="144"/>
    <s v="PRT"/>
    <x v="1"/>
    <x v="8"/>
    <x v="8"/>
    <s v="reported"/>
    <n v="8138.678954"/>
    <n v="8591"/>
    <n v="452.32104600000002"/>
    <n v="21734.18766"/>
    <n v="18733.335510000001"/>
    <n v="24626.172009999998"/>
    <x v="143"/>
    <s v="Sep-2021"/>
  </r>
  <r>
    <x v="144"/>
    <s v="PRT"/>
    <x v="1"/>
    <x v="9"/>
    <x v="9"/>
    <s v="reported"/>
    <n v="8565.5902029999997"/>
    <n v="9372"/>
    <n v="806.40979700000003"/>
    <n v="22540.597460000001"/>
    <n v="19612.481240000001"/>
    <n v="25408.126479999999"/>
    <x v="143"/>
    <s v="Oct-2021"/>
  </r>
  <r>
    <x v="144"/>
    <s v="PRT"/>
    <x v="1"/>
    <x v="10"/>
    <x v="10"/>
    <s v="reported"/>
    <n v="9546.7427029999999"/>
    <n v="10381"/>
    <n v="834.25729669999998"/>
    <n v="23374.854759999998"/>
    <n v="20242.802390000001"/>
    <n v="26454.794129999998"/>
    <x v="143"/>
    <s v="Nov-2021"/>
  </r>
  <r>
    <x v="144"/>
    <s v="PRT"/>
    <x v="1"/>
    <x v="11"/>
    <x v="11"/>
    <s v="reported"/>
    <n v="11383.6101"/>
    <n v="11499"/>
    <n v="115.38990269999999"/>
    <n v="23490.24466"/>
    <n v="20244.802930000002"/>
    <n v="26618.69195"/>
    <x v="143"/>
    <s v="Dec-2021"/>
  </r>
  <r>
    <x v="145"/>
    <s v="PRY"/>
    <x v="0"/>
    <x v="0"/>
    <x v="0"/>
    <s v="reported"/>
    <n v="2687.7402820000002"/>
    <n v="2748"/>
    <n v="60.259718220000003"/>
    <n v="60.259718220000003"/>
    <n v="-59.140412120000001"/>
    <n v="169.5013501"/>
    <x v="144"/>
    <s v="Jan-2020"/>
  </r>
  <r>
    <x v="145"/>
    <s v="PRY"/>
    <x v="0"/>
    <x v="1"/>
    <x v="1"/>
    <s v="reported"/>
    <n v="2601.1716929999998"/>
    <n v="2761"/>
    <n v="159.82830730000001"/>
    <n v="220.08802549999999"/>
    <n v="36.159776669999999"/>
    <n v="393.38713660000002"/>
    <x v="144"/>
    <s v="Feb-2020"/>
  </r>
  <r>
    <x v="145"/>
    <s v="PRY"/>
    <x v="0"/>
    <x v="2"/>
    <x v="2"/>
    <s v="reported"/>
    <n v="2642.2644559999999"/>
    <n v="2912"/>
    <n v="269.73554350000001"/>
    <n v="489.82356900000002"/>
    <n v="248.21885779999999"/>
    <n v="718.89369790000001"/>
    <x v="144"/>
    <s v="Mar-2020"/>
  </r>
  <r>
    <x v="145"/>
    <s v="PRY"/>
    <x v="0"/>
    <x v="3"/>
    <x v="3"/>
    <s v="reported"/>
    <n v="2712.8811730000002"/>
    <n v="2465"/>
    <n v="-247.88117339999999"/>
    <n v="241.9423956"/>
    <n v="-40.988688269999997"/>
    <n v="506.09497249999998"/>
    <x v="144"/>
    <s v="Apr-2020"/>
  </r>
  <r>
    <x v="145"/>
    <s v="PRY"/>
    <x v="0"/>
    <x v="4"/>
    <x v="4"/>
    <s v="reported"/>
    <n v="2966.9552450000001"/>
    <n v="2576"/>
    <n v="-390.95524549999999"/>
    <n v="-149.0128498"/>
    <n v="-468.31796700000001"/>
    <n v="157.94341259999999"/>
    <x v="144"/>
    <s v="May-2020"/>
  </r>
  <r>
    <x v="145"/>
    <s v="PRY"/>
    <x v="0"/>
    <x v="5"/>
    <x v="5"/>
    <s v="reported"/>
    <n v="3242.0170520000001"/>
    <n v="2723"/>
    <n v="-519.01705200000004"/>
    <n v="-668.02990179999995"/>
    <n v="-1018.150348"/>
    <n v="-316.84399910000002"/>
    <x v="144"/>
    <s v="Jun-2020"/>
  </r>
  <r>
    <x v="145"/>
    <s v="PRY"/>
    <x v="0"/>
    <x v="6"/>
    <x v="6"/>
    <s v="reported"/>
    <n v="3274.4127389999999"/>
    <n v="2875"/>
    <n v="-399.41273869999998"/>
    <n v="-1067.4426410000001"/>
    <n v="-1466.168964"/>
    <n v="-664.43647750000002"/>
    <x v="144"/>
    <s v="Jul-2020"/>
  </r>
  <r>
    <x v="145"/>
    <s v="PRY"/>
    <x v="0"/>
    <x v="7"/>
    <x v="7"/>
    <s v="reported"/>
    <n v="3081.2895549999998"/>
    <n v="3346"/>
    <n v="264.71044540000003"/>
    <n v="-802.73219519999998"/>
    <n v="-1237.8503390000001"/>
    <n v="-379.22573010000002"/>
    <x v="144"/>
    <s v="Aug-2020"/>
  </r>
  <r>
    <x v="145"/>
    <s v="PRY"/>
    <x v="0"/>
    <x v="8"/>
    <x v="8"/>
    <s v="reported"/>
    <n v="2839.3861609999999"/>
    <n v="3345"/>
    <n v="505.61383869999997"/>
    <n v="-297.1183565"/>
    <n v="-739.20876169999997"/>
    <n v="167.2598184"/>
    <x v="144"/>
    <s v="Sep-2020"/>
  </r>
  <r>
    <x v="145"/>
    <s v="PRY"/>
    <x v="0"/>
    <x v="9"/>
    <x v="9"/>
    <s v="reported"/>
    <n v="2695.4730500000001"/>
    <n v="3333"/>
    <n v="637.52694989999998"/>
    <n v="340.40859330000001"/>
    <n v="-116.8421998"/>
    <n v="822.03905469999995"/>
    <x v="144"/>
    <s v="Oct-2020"/>
  </r>
  <r>
    <x v="145"/>
    <s v="PRY"/>
    <x v="0"/>
    <x v="10"/>
    <x v="10"/>
    <s v="reported"/>
    <n v="2640.493633"/>
    <n v="3005"/>
    <n v="364.50636689999999"/>
    <n v="704.91496029999996"/>
    <n v="217.03593290000001"/>
    <n v="1218.790058"/>
    <x v="144"/>
    <s v="Nov-2020"/>
  </r>
  <r>
    <x v="145"/>
    <s v="PRY"/>
    <x v="0"/>
    <x v="11"/>
    <x v="11"/>
    <s v="reported"/>
    <n v="2734.4872070000001"/>
    <n v="3453"/>
    <n v="718.5127933"/>
    <n v="1423.427754"/>
    <n v="940.45868640000003"/>
    <n v="1951.707911"/>
    <x v="144"/>
    <s v="Dec-2020"/>
  </r>
  <r>
    <x v="145"/>
    <s v="PRY"/>
    <x v="1"/>
    <x v="0"/>
    <x v="0"/>
    <s v="reported"/>
    <n v="2738.0573760000002"/>
    <n v="3224"/>
    <n v="481.65817420000002"/>
    <n v="1905.085928"/>
    <n v="1401.462577"/>
    <n v="2462.1499509999999"/>
    <x v="144"/>
    <s v="Jan-2021"/>
  </r>
  <r>
    <x v="145"/>
    <s v="PRY"/>
    <x v="1"/>
    <x v="1"/>
    <x v="1"/>
    <s v="reported"/>
    <n v="2643.5034900000001"/>
    <n v="3248"/>
    <n v="600.21206010000003"/>
    <n v="2505.2979879999998"/>
    <n v="1999.2389820000001"/>
    <n v="3051.3950840000002"/>
    <x v="144"/>
    <s v="Feb-2021"/>
  </r>
  <r>
    <x v="145"/>
    <s v="PRY"/>
    <x v="1"/>
    <x v="2"/>
    <x v="2"/>
    <s v="reported"/>
    <n v="2686.7645149999998"/>
    <n v="4676"/>
    <n v="1984.9510359999999"/>
    <n v="4490.2490230000003"/>
    <n v="3956.0121220000001"/>
    <n v="5084.4676339999996"/>
    <x v="144"/>
    <s v="Mar-2021"/>
  </r>
  <r>
    <x v="145"/>
    <s v="PRY"/>
    <x v="1"/>
    <x v="3"/>
    <x v="3"/>
    <s v="reported"/>
    <n v="2764.954577"/>
    <n v="6339"/>
    <n v="3569.7609729999999"/>
    <n v="8060.0099970000001"/>
    <n v="7501.3952369999997"/>
    <n v="8654.6899119999998"/>
    <x v="144"/>
    <s v="Apr-2021"/>
  </r>
  <r>
    <x v="145"/>
    <s v="PRY"/>
    <x v="1"/>
    <x v="4"/>
    <x v="4"/>
    <s v="reported"/>
    <n v="3017.033109"/>
    <n v="7601"/>
    <n v="4579.6824409999999"/>
    <n v="12639.692440000001"/>
    <n v="12055.038119999999"/>
    <n v="13267.093360000001"/>
    <x v="144"/>
    <s v="May-2021"/>
  </r>
  <r>
    <x v="145"/>
    <s v="PRY"/>
    <x v="1"/>
    <x v="5"/>
    <x v="5"/>
    <s v="reported"/>
    <n v="3299.7072440000002"/>
    <n v="7250"/>
    <n v="3946.0083060000002"/>
    <n v="16585.70074"/>
    <n v="15975.910809999999"/>
    <n v="17227.170139999998"/>
    <x v="144"/>
    <s v="Jun-2021"/>
  </r>
  <r>
    <x v="145"/>
    <s v="PRY"/>
    <x v="1"/>
    <x v="6"/>
    <x v="6"/>
    <s v="reported"/>
    <n v="3335.9469979999999"/>
    <n v="5111"/>
    <n v="1770.7685530000001"/>
    <n v="18356.469300000001"/>
    <n v="17694.7143"/>
    <n v="19010.86722"/>
    <x v="144"/>
    <s v="Jul-2021"/>
  </r>
  <r>
    <x v="145"/>
    <s v="PRY"/>
    <x v="1"/>
    <x v="7"/>
    <x v="7"/>
    <s v="reported"/>
    <n v="3135.376925"/>
    <n v="3706"/>
    <n v="566.3386256"/>
    <n v="18922.807919999999"/>
    <n v="18270.763040000002"/>
    <n v="19624.120159999999"/>
    <x v="144"/>
    <s v="Aug-2021"/>
  </r>
  <r>
    <x v="145"/>
    <s v="PRY"/>
    <x v="1"/>
    <x v="8"/>
    <x v="8"/>
    <s v="reported"/>
    <n v="2887.1589560000002"/>
    <n v="2906"/>
    <n v="14.556594110000001"/>
    <n v="18937.364519999999"/>
    <n v="18249.354090000001"/>
    <n v="19650.515729999999"/>
    <x v="144"/>
    <s v="Sep-2021"/>
  </r>
  <r>
    <x v="145"/>
    <s v="PRY"/>
    <x v="1"/>
    <x v="9"/>
    <x v="9"/>
    <s v="reported"/>
    <n v="2738.222655"/>
    <n v="2906"/>
    <n v="163.49289569999999"/>
    <n v="19100.857410000001"/>
    <n v="18414.948499999999"/>
    <n v="19838.395039999999"/>
    <x v="144"/>
    <s v="Oct-2021"/>
  </r>
  <r>
    <x v="145"/>
    <s v="PRY"/>
    <x v="1"/>
    <x v="10"/>
    <x v="10"/>
    <s v="reported"/>
    <n v="2684.610725"/>
    <n v="2829"/>
    <n v="140.10482540000001"/>
    <n v="19240.962240000001"/>
    <n v="18513.217530000002"/>
    <n v="20012.859560000001"/>
    <x v="144"/>
    <s v="Nov-2021"/>
  </r>
  <r>
    <x v="145"/>
    <s v="PRY"/>
    <x v="1"/>
    <x v="11"/>
    <x v="11"/>
    <s v="reported"/>
    <n v="2777.6297890000001"/>
    <n v="3336"/>
    <n v="554.08576089999997"/>
    <n v="19795.047999999999"/>
    <n v="19036.91504"/>
    <n v="20553.321650000002"/>
    <x v="144"/>
    <s v="Dec-2021"/>
  </r>
  <r>
    <x v="146"/>
    <s v="QAT"/>
    <x v="0"/>
    <x v="0"/>
    <x v="0"/>
    <s v="reported"/>
    <n v="311.9747764"/>
    <n v="305"/>
    <n v="-6.9747763689999998"/>
    <n v="-6.9747763689999998"/>
    <n v="-20.42644276"/>
    <n v="6.4538649430000001"/>
    <x v="145"/>
    <s v="Jan-2020"/>
  </r>
  <r>
    <x v="146"/>
    <s v="QAT"/>
    <x v="0"/>
    <x v="1"/>
    <x v="1"/>
    <s v="reported"/>
    <n v="304.9867979"/>
    <n v="315"/>
    <n v="10.01320207"/>
    <n v="3.0384256970000001"/>
    <n v="-16.233178469999999"/>
    <n v="22.222209429999999"/>
    <x v="145"/>
    <s v="Feb-2020"/>
  </r>
  <r>
    <x v="146"/>
    <s v="QAT"/>
    <x v="0"/>
    <x v="2"/>
    <x v="2"/>
    <s v="reported"/>
    <n v="300.69090240000003"/>
    <n v="351"/>
    <n v="50.309097620000003"/>
    <n v="53.347523320000001"/>
    <n v="28.517999159999999"/>
    <n v="77.142858989999993"/>
    <x v="145"/>
    <s v="Mar-2020"/>
  </r>
  <r>
    <x v="146"/>
    <s v="QAT"/>
    <x v="0"/>
    <x v="3"/>
    <x v="3"/>
    <s v="reported"/>
    <n v="300.44595429999998"/>
    <n v="264"/>
    <n v="-36.445954280000002"/>
    <n v="16.901569039999998"/>
    <n v="-11.480316139999999"/>
    <n v="45.368475369999999"/>
    <x v="145"/>
    <s v="Apr-2020"/>
  </r>
  <r>
    <x v="146"/>
    <s v="QAT"/>
    <x v="0"/>
    <x v="4"/>
    <x v="4"/>
    <s v="reported"/>
    <n v="299.52847450000002"/>
    <n v="378"/>
    <n v="78.471525459999995"/>
    <n v="95.373094499999993"/>
    <n v="63.285208949999998"/>
    <n v="125.5142421"/>
    <x v="145"/>
    <s v="May-2020"/>
  </r>
  <r>
    <x v="146"/>
    <s v="QAT"/>
    <x v="0"/>
    <x v="5"/>
    <x v="5"/>
    <s v="reported"/>
    <n v="292.12221090000003"/>
    <n v="482"/>
    <n v="189.8777891"/>
    <n v="285.25088360000001"/>
    <n v="249.9655909"/>
    <n v="320.55454959999997"/>
    <x v="145"/>
    <s v="Jun-2020"/>
  </r>
  <r>
    <x v="146"/>
    <s v="QAT"/>
    <x v="0"/>
    <x v="6"/>
    <x v="6"/>
    <s v="reported"/>
    <n v="285.08267210000002"/>
    <n v="428"/>
    <n v="142.9173279"/>
    <n v="428.16821160000001"/>
    <n v="388.9942858"/>
    <n v="466.26398740000002"/>
    <x v="145"/>
    <s v="Jul-2020"/>
  </r>
  <r>
    <x v="146"/>
    <s v="QAT"/>
    <x v="0"/>
    <x v="7"/>
    <x v="7"/>
    <s v="reported"/>
    <n v="284.44040960000001"/>
    <n v="332"/>
    <n v="47.559590419999999"/>
    <n v="475.727802"/>
    <n v="434.35200179999998"/>
    <n v="515.74469599999998"/>
    <x v="145"/>
    <s v="Aug-2020"/>
  </r>
  <r>
    <x v="146"/>
    <s v="QAT"/>
    <x v="0"/>
    <x v="8"/>
    <x v="8"/>
    <s v="reported"/>
    <n v="290.5998199"/>
    <n v="343"/>
    <n v="52.400180059999997"/>
    <n v="528.12798199999997"/>
    <n v="486.38058419999999"/>
    <n v="570.67986859999996"/>
    <x v="145"/>
    <s v="Sep-2020"/>
  </r>
  <r>
    <x v="146"/>
    <s v="QAT"/>
    <x v="0"/>
    <x v="9"/>
    <x v="9"/>
    <s v="reported"/>
    <n v="300.91573190000003"/>
    <n v="359"/>
    <n v="58.08426807"/>
    <n v="586.21225010000001"/>
    <n v="542.12164289999998"/>
    <n v="631.71185860000003"/>
    <x v="145"/>
    <s v="Oct-2020"/>
  </r>
  <r>
    <x v="146"/>
    <s v="QAT"/>
    <x v="0"/>
    <x v="10"/>
    <x v="10"/>
    <s v="reported"/>
    <n v="309.00463810000002"/>
    <n v="267"/>
    <n v="-42.004638100000001"/>
    <n v="544.20761200000004"/>
    <n v="494.51561750000002"/>
    <n v="590.88745080000001"/>
    <x v="145"/>
    <s v="Nov-2020"/>
  </r>
  <r>
    <x v="146"/>
    <s v="QAT"/>
    <x v="0"/>
    <x v="11"/>
    <x v="11"/>
    <s v="reported"/>
    <n v="309.75436719999999"/>
    <n v="351"/>
    <n v="41.245632829999998"/>
    <n v="585.45324479999999"/>
    <n v="530.10324119999996"/>
    <n v="634.81705350000004"/>
    <x v="145"/>
    <s v="Dec-2020"/>
  </r>
  <r>
    <x v="146"/>
    <s v="QAT"/>
    <x v="1"/>
    <x v="0"/>
    <x v="0"/>
    <s v="reported"/>
    <n v="309.17321349999997"/>
    <n v="337"/>
    <n v="27.826786469999998"/>
    <n v="613.28003130000002"/>
    <n v="558.39164919999996"/>
    <n v="666.96713039999997"/>
    <x v="145"/>
    <s v="Jan-2021"/>
  </r>
  <r>
    <x v="146"/>
    <s v="QAT"/>
    <x v="1"/>
    <x v="1"/>
    <x v="1"/>
    <s v="reported"/>
    <n v="302.2587307"/>
    <n v="283"/>
    <n v="-19.258730669999998"/>
    <n v="594.02130060000002"/>
    <n v="535.25718129999996"/>
    <n v="650.10903689999998"/>
    <x v="145"/>
    <s v="Feb-2021"/>
  </r>
  <r>
    <x v="146"/>
    <s v="QAT"/>
    <x v="1"/>
    <x v="2"/>
    <x v="2"/>
    <s v="reported"/>
    <n v="297.97365450000001"/>
    <n v="397"/>
    <n v="99.026345539999994"/>
    <n v="693.04764620000003"/>
    <n v="630.48902150000004"/>
    <n v="754.0902499"/>
    <x v="145"/>
    <s v="Mar-2021"/>
  </r>
  <r>
    <x v="146"/>
    <s v="QAT"/>
    <x v="1"/>
    <x v="3"/>
    <x v="3"/>
    <s v="reported"/>
    <n v="297.34595730000001"/>
    <n v="628"/>
    <n v="330.65404269999999"/>
    <n v="1023.701689"/>
    <n v="961.98401539999998"/>
    <n v="1088.2860679999999"/>
    <x v="145"/>
    <s v="Apr-2021"/>
  </r>
  <r>
    <x v="146"/>
    <s v="QAT"/>
    <x v="1"/>
    <x v="4"/>
    <x v="4"/>
    <s v="reported"/>
    <n v="296.949298"/>
    <n v="434"/>
    <n v="137.050702"/>
    <n v="1160.752391"/>
    <n v="1094.873024"/>
    <n v="1223.3088540000001"/>
    <x v="145"/>
    <s v="May-2021"/>
  </r>
  <r>
    <x v="146"/>
    <s v="QAT"/>
    <x v="1"/>
    <x v="5"/>
    <x v="5"/>
    <s v="reported"/>
    <n v="289.95394270000003"/>
    <n v="364"/>
    <n v="74.046057320000003"/>
    <n v="1234.798448"/>
    <n v="1166.3526879999999"/>
    <n v="1300.994183"/>
    <x v="145"/>
    <s v="Jun-2021"/>
  </r>
  <r>
    <x v="146"/>
    <s v="QAT"/>
    <x v="1"/>
    <x v="6"/>
    <x v="6"/>
    <s v="reported"/>
    <n v="282.07452590000003"/>
    <n v="332"/>
    <n v="49.92547407"/>
    <n v="1284.7239219999999"/>
    <n v="1218.098825"/>
    <n v="1353.517503"/>
    <x v="145"/>
    <s v="Jul-2021"/>
  </r>
  <r>
    <x v="146"/>
    <s v="QAT"/>
    <x v="1"/>
    <x v="7"/>
    <x v="7"/>
    <s v="reported"/>
    <n v="281.7170994"/>
    <n v="351"/>
    <n v="69.282900609999999"/>
    <n v="1354.0068229999999"/>
    <n v="1284.229247"/>
    <n v="1425.1329969999999"/>
    <x v="145"/>
    <s v="Aug-2021"/>
  </r>
  <r>
    <x v="146"/>
    <s v="QAT"/>
    <x v="1"/>
    <x v="8"/>
    <x v="8"/>
    <s v="reported"/>
    <n v="288.47899640000003"/>
    <n v="267"/>
    <n v="-21.478996420000001"/>
    <n v="1332.527826"/>
    <n v="1257.549053"/>
    <n v="1405.055051"/>
    <x v="145"/>
    <s v="Sep-2021"/>
  </r>
  <r>
    <x v="146"/>
    <s v="QAT"/>
    <x v="1"/>
    <x v="9"/>
    <x v="9"/>
    <s v="reported"/>
    <n v="298.35385760000003"/>
    <n v="342"/>
    <n v="43.646142349999998"/>
    <n v="1376.1739689999999"/>
    <n v="1302.626782"/>
    <n v="1452.2079570000001"/>
    <x v="145"/>
    <s v="Oct-2021"/>
  </r>
  <r>
    <x v="146"/>
    <s v="QAT"/>
    <x v="1"/>
    <x v="10"/>
    <x v="10"/>
    <s v="reported"/>
    <n v="306.85472720000001"/>
    <n v="323"/>
    <n v="16.145272810000002"/>
    <n v="1392.319242"/>
    <n v="1316.5530409999999"/>
    <n v="1468.17337"/>
    <x v="145"/>
    <s v="Nov-2021"/>
  </r>
  <r>
    <x v="146"/>
    <s v="QAT"/>
    <x v="1"/>
    <x v="11"/>
    <x v="11"/>
    <s v="reported"/>
    <n v="307.62784210000001"/>
    <n v="351"/>
    <n v="43.372157950000002"/>
    <n v="1435.6913999999999"/>
    <n v="1357.588021"/>
    <n v="1513.8485969999999"/>
    <x v="145"/>
    <s v="Dec-2021"/>
  </r>
  <r>
    <x v="147"/>
    <s v="ROU"/>
    <x v="0"/>
    <x v="0"/>
    <x v="0"/>
    <s v="reported"/>
    <n v="24054.935270000002"/>
    <n v="23844"/>
    <n v="-212.26860740000001"/>
    <n v="-212.26860740000001"/>
    <n v="-1093.185111"/>
    <n v="589.88888359999999"/>
    <x v="146"/>
    <s v="Jan-2020"/>
  </r>
  <r>
    <x v="147"/>
    <s v="ROU"/>
    <x v="0"/>
    <x v="1"/>
    <x v="1"/>
    <s v="reported"/>
    <n v="23606.84823"/>
    <n v="22159"/>
    <n v="-1449.1815650000001"/>
    <n v="-1661.4501729999999"/>
    <n v="-3009.3306189999998"/>
    <n v="-281.08469600000001"/>
    <x v="146"/>
    <s v="Feb-2020"/>
  </r>
  <r>
    <x v="147"/>
    <s v="ROU"/>
    <x v="0"/>
    <x v="2"/>
    <x v="2"/>
    <s v="reported"/>
    <n v="23243.438689999999"/>
    <n v="22737"/>
    <n v="-507.77202440000002"/>
    <n v="-2169.2221970000001"/>
    <n v="-3761.6088530000002"/>
    <n v="-475.98788100000002"/>
    <x v="146"/>
    <s v="Mar-2020"/>
  </r>
  <r>
    <x v="147"/>
    <s v="ROU"/>
    <x v="0"/>
    <x v="3"/>
    <x v="3"/>
    <s v="reported"/>
    <n v="21848.479360000001"/>
    <n v="21940"/>
    <n v="90.187303310000004"/>
    <n v="-2079.0348939999999"/>
    <n v="-3994.9903089999998"/>
    <n v="-144.7957993"/>
    <x v="146"/>
    <s v="Apr-2020"/>
  </r>
  <r>
    <x v="147"/>
    <s v="ROU"/>
    <x v="0"/>
    <x v="4"/>
    <x v="4"/>
    <s v="reported"/>
    <n v="20709.06797"/>
    <n v="20889"/>
    <n v="178.5986924"/>
    <n v="-1900.436201"/>
    <n v="-4105.8529829999998"/>
    <n v="389.45278459999997"/>
    <x v="146"/>
    <s v="May-2020"/>
  </r>
  <r>
    <x v="147"/>
    <s v="ROU"/>
    <x v="0"/>
    <x v="5"/>
    <x v="5"/>
    <s v="reported"/>
    <n v="20104.244750000002"/>
    <n v="21004"/>
    <n v="898.421921"/>
    <n v="-1002.01428"/>
    <n v="-3318.2377719999999"/>
    <n v="1379.604591"/>
    <x v="146"/>
    <s v="Jun-2020"/>
  </r>
  <r>
    <x v="147"/>
    <s v="ROU"/>
    <x v="0"/>
    <x v="6"/>
    <x v="6"/>
    <s v="reported"/>
    <n v="19872.356779999998"/>
    <n v="22327"/>
    <n v="2453.3098850000001"/>
    <n v="1451.2956039999999"/>
    <n v="-1112.417811"/>
    <n v="4080.634219"/>
    <x v="146"/>
    <s v="Jul-2020"/>
  </r>
  <r>
    <x v="147"/>
    <s v="ROU"/>
    <x v="0"/>
    <x v="7"/>
    <x v="7"/>
    <s v="reported"/>
    <n v="19547.538540000001"/>
    <n v="23291"/>
    <n v="3742.1281269999999"/>
    <n v="5193.4237320000002"/>
    <n v="2532.096869"/>
    <n v="7772.640789"/>
    <x v="146"/>
    <s v="Aug-2020"/>
  </r>
  <r>
    <x v="147"/>
    <s v="ROU"/>
    <x v="0"/>
    <x v="8"/>
    <x v="8"/>
    <s v="reported"/>
    <n v="19477.195220000001"/>
    <n v="21797"/>
    <n v="2318.4714479999998"/>
    <n v="7511.8951800000004"/>
    <n v="4642.8470729999999"/>
    <n v="10302.66963"/>
    <x v="146"/>
    <s v="Sep-2020"/>
  </r>
  <r>
    <x v="147"/>
    <s v="ROU"/>
    <x v="0"/>
    <x v="9"/>
    <x v="9"/>
    <s v="reported"/>
    <n v="20964.907709999999"/>
    <n v="27607"/>
    <n v="6640.7589589999998"/>
    <n v="14152.654140000001"/>
    <n v="11097.05356"/>
    <n v="17005.282879999999"/>
    <x v="146"/>
    <s v="Oct-2020"/>
  </r>
  <r>
    <x v="147"/>
    <s v="ROU"/>
    <x v="0"/>
    <x v="10"/>
    <x v="10"/>
    <s v="reported"/>
    <n v="22264.739290000001"/>
    <n v="34863"/>
    <n v="12596.927379999999"/>
    <n v="26749.58151"/>
    <n v="23475.414700000001"/>
    <n v="29966.629430000001"/>
    <x v="146"/>
    <s v="Nov-2020"/>
  </r>
  <r>
    <x v="147"/>
    <s v="ROU"/>
    <x v="0"/>
    <x v="11"/>
    <x v="11"/>
    <s v="reported"/>
    <n v="24006.106360000002"/>
    <n v="34422"/>
    <n v="10414.560310000001"/>
    <n v="37164.141819999997"/>
    <n v="33908.361019999997"/>
    <n v="40544.71931"/>
    <x v="146"/>
    <s v="Dec-2020"/>
  </r>
  <r>
    <x v="147"/>
    <s v="ROU"/>
    <x v="1"/>
    <x v="0"/>
    <x v="0"/>
    <s v="reported"/>
    <n v="24036.762019999998"/>
    <n v="29664"/>
    <n v="5627.1546440000002"/>
    <n v="42791.296470000001"/>
    <n v="39533.374459999999"/>
    <n v="46220.751409999997"/>
    <x v="146"/>
    <s v="Jan-2021"/>
  </r>
  <r>
    <x v="147"/>
    <s v="ROU"/>
    <x v="1"/>
    <x v="1"/>
    <x v="1"/>
    <s v="reported"/>
    <n v="23579.19065"/>
    <n v="24177"/>
    <n v="597.72601659999998"/>
    <n v="43389.02248"/>
    <n v="39833.544900000001"/>
    <n v="47022.216220000002"/>
    <x v="146"/>
    <s v="Feb-2021"/>
  </r>
  <r>
    <x v="147"/>
    <s v="ROU"/>
    <x v="1"/>
    <x v="2"/>
    <x v="2"/>
    <s v="reported"/>
    <n v="23197.47234"/>
    <n v="29759"/>
    <n v="6561.4443240000001"/>
    <n v="49950.466809999998"/>
    <n v="46234.441910000001"/>
    <n v="53754.351020000002"/>
    <x v="146"/>
    <s v="Mar-2021"/>
  </r>
  <r>
    <x v="147"/>
    <s v="ROU"/>
    <x v="1"/>
    <x v="3"/>
    <x v="3"/>
    <s v="reported"/>
    <n v="21807.023560000001"/>
    <n v="29896"/>
    <n v="8088.893102"/>
    <n v="58039.359909999999"/>
    <n v="54112.118540000003"/>
    <n v="62101.492100000003"/>
    <x v="146"/>
    <s v="Apr-2021"/>
  </r>
  <r>
    <x v="147"/>
    <s v="ROU"/>
    <x v="1"/>
    <x v="4"/>
    <x v="4"/>
    <s v="reported"/>
    <n v="20670.653539999999"/>
    <n v="24321"/>
    <n v="3650.2631230000002"/>
    <n v="61689.623030000002"/>
    <n v="57687.161939999998"/>
    <n v="65768.771840000001"/>
    <x v="146"/>
    <s v="May-2021"/>
  </r>
  <r>
    <x v="147"/>
    <s v="ROU"/>
    <x v="1"/>
    <x v="5"/>
    <x v="5"/>
    <s v="reported"/>
    <n v="20065.26799"/>
    <n v="21284"/>
    <n v="1218.648672"/>
    <n v="62908.271710000001"/>
    <n v="58858.902450000001"/>
    <n v="67037.429250000001"/>
    <x v="146"/>
    <s v="Jun-2021"/>
  </r>
  <r>
    <x v="147"/>
    <s v="ROU"/>
    <x v="1"/>
    <x v="6"/>
    <x v="6"/>
    <s v="reported"/>
    <n v="19841.002110000001"/>
    <n v="21318"/>
    <n v="1476.9145579999999"/>
    <n v="64385.186260000002"/>
    <n v="60017.550219999997"/>
    <n v="68853.784790000005"/>
    <x v="146"/>
    <s v="Jul-2021"/>
  </r>
  <r>
    <x v="147"/>
    <s v="ROU"/>
    <x v="1"/>
    <x v="7"/>
    <x v="7"/>
    <s v="reported"/>
    <n v="19507.58898"/>
    <n v="20709"/>
    <n v="1201.327687"/>
    <n v="65586.513949999993"/>
    <n v="61036.882339999996"/>
    <n v="70317.064069999993"/>
    <x v="146"/>
    <s v="Aug-2021"/>
  </r>
  <r>
    <x v="147"/>
    <s v="ROU"/>
    <x v="1"/>
    <x v="8"/>
    <x v="8"/>
    <s v="reported"/>
    <n v="19441.898290000001"/>
    <n v="25294"/>
    <n v="5852.0183779999998"/>
    <n v="71438.532330000002"/>
    <n v="66663.026719999994"/>
    <n v="76312.036900000006"/>
    <x v="146"/>
    <s v="Sep-2021"/>
  </r>
  <r>
    <x v="147"/>
    <s v="ROU"/>
    <x v="1"/>
    <x v="9"/>
    <x v="9"/>
    <s v="reported"/>
    <n v="20974.762500000001"/>
    <n v="46472"/>
    <n v="25497.154170000002"/>
    <n v="96935.686499999996"/>
    <n v="92081.860610000003"/>
    <n v="101880.51330000001"/>
    <x v="146"/>
    <s v="Oct-2021"/>
  </r>
  <r>
    <x v="147"/>
    <s v="ROU"/>
    <x v="1"/>
    <x v="10"/>
    <x v="10"/>
    <s v="reported"/>
    <n v="22210.697260000001"/>
    <n v="36455"/>
    <n v="14244.2194"/>
    <n v="111179.9059"/>
    <n v="105983.9893"/>
    <n v="116008.06879999999"/>
    <x v="146"/>
    <s v="Nov-2021"/>
  </r>
  <r>
    <x v="147"/>
    <s v="ROU"/>
    <x v="1"/>
    <x v="11"/>
    <x v="11"/>
    <s v="reported"/>
    <n v="23961.155190000001"/>
    <n v="26181"/>
    <n v="2219.7614720000001"/>
    <n v="113399.66740000001"/>
    <n v="108287.9302"/>
    <n v="118701.5432"/>
    <x v="146"/>
    <s v="Dec-2021"/>
  </r>
  <r>
    <x v="148"/>
    <s v="RUS"/>
    <x v="0"/>
    <x v="0"/>
    <x v="0"/>
    <s v="reported"/>
    <n v="151588.93859999999"/>
    <n v="161007"/>
    <n v="9410.6447759999992"/>
    <n v="9410.6447759999992"/>
    <n v="4783.8066339999996"/>
    <n v="13733.57026"/>
    <x v="147"/>
    <s v="Jan-2020"/>
  </r>
  <r>
    <x v="148"/>
    <s v="RUS"/>
    <x v="0"/>
    <x v="1"/>
    <x v="1"/>
    <s v="reported"/>
    <n v="151441.12150000001"/>
    <n v="147290"/>
    <n v="-4158.5381360000001"/>
    <n v="5252.1066410000003"/>
    <n v="-1191.2284119999999"/>
    <n v="11722.927229999999"/>
    <x v="147"/>
    <s v="Feb-2020"/>
  </r>
  <r>
    <x v="148"/>
    <s v="RUS"/>
    <x v="0"/>
    <x v="2"/>
    <x v="2"/>
    <s v="reported"/>
    <n v="150755.81849999999"/>
    <n v="154923"/>
    <n v="4159.7648230000004"/>
    <n v="9411.8714629999995"/>
    <n v="1465.9267870000001"/>
    <n v="17717.523069999999"/>
    <x v="147"/>
    <s v="Mar-2020"/>
  </r>
  <r>
    <x v="148"/>
    <s v="RUS"/>
    <x v="0"/>
    <x v="3"/>
    <x v="3"/>
    <s v="reported"/>
    <n v="149229.44409999999"/>
    <n v="152500"/>
    <n v="3263.1391939999999"/>
    <n v="12675.01066"/>
    <n v="2888.2440160000001"/>
    <n v="22111.264480000002"/>
    <x v="147"/>
    <s v="Apr-2020"/>
  </r>
  <r>
    <x v="148"/>
    <s v="RUS"/>
    <x v="0"/>
    <x v="4"/>
    <x v="4"/>
    <s v="reported"/>
    <n v="147201.61040000001"/>
    <n v="173282"/>
    <n v="26072.972959999999"/>
    <n v="38747.983610000003"/>
    <n v="28010.43189"/>
    <n v="49156.267189999999"/>
    <x v="147"/>
    <s v="May-2020"/>
  </r>
  <r>
    <x v="148"/>
    <s v="RUS"/>
    <x v="0"/>
    <x v="5"/>
    <x v="5"/>
    <s v="reported"/>
    <n v="144561.18229999999"/>
    <n v="168436"/>
    <n v="23867.40105"/>
    <n v="62615.384669999999"/>
    <n v="50458.703459999997"/>
    <n v="74181.549570000003"/>
    <x v="147"/>
    <s v="Jun-2020"/>
  </r>
  <r>
    <x v="148"/>
    <s v="RUS"/>
    <x v="0"/>
    <x v="6"/>
    <x v="6"/>
    <s v="reported"/>
    <n v="142567.71849999999"/>
    <n v="176450"/>
    <n v="33874.864869999998"/>
    <n v="96490.249530000001"/>
    <n v="83500.680129999993"/>
    <n v="108533.29120000001"/>
    <x v="147"/>
    <s v="Jul-2020"/>
  </r>
  <r>
    <x v="148"/>
    <s v="RUS"/>
    <x v="0"/>
    <x v="7"/>
    <x v="7"/>
    <s v="reported"/>
    <n v="141028.47940000001"/>
    <n v="161630"/>
    <n v="20594.10398"/>
    <n v="117084.3535"/>
    <n v="102978.50870000001"/>
    <n v="130003.84789999999"/>
    <x v="147"/>
    <s v="Aug-2020"/>
  </r>
  <r>
    <x v="148"/>
    <s v="RUS"/>
    <x v="0"/>
    <x v="8"/>
    <x v="8"/>
    <s v="reported"/>
    <n v="141217.508"/>
    <n v="165758"/>
    <n v="24533.075379999998"/>
    <n v="141617.4289"/>
    <n v="126260.0704"/>
    <n v="154702.15090000001"/>
    <x v="147"/>
    <s v="Sep-2020"/>
  </r>
  <r>
    <x v="148"/>
    <s v="RUS"/>
    <x v="0"/>
    <x v="9"/>
    <x v="9"/>
    <s v="reported"/>
    <n v="143293.06880000001"/>
    <n v="215818"/>
    <n v="72517.514509999994"/>
    <n v="214134.94339999999"/>
    <n v="197713.9601"/>
    <n v="227845.68059999999"/>
    <x v="147"/>
    <s v="Oct-2020"/>
  </r>
  <r>
    <x v="148"/>
    <s v="RUS"/>
    <x v="0"/>
    <x v="10"/>
    <x v="10"/>
    <s v="reported"/>
    <n v="146380.47390000001"/>
    <n v="228544"/>
    <n v="82156.109429999997"/>
    <n v="296291.0528"/>
    <n v="279949.353"/>
    <n v="310816.2218"/>
    <x v="147"/>
    <s v="Nov-2020"/>
  </r>
  <r>
    <x v="148"/>
    <s v="RUS"/>
    <x v="0"/>
    <x v="11"/>
    <x v="11"/>
    <s v="reported"/>
    <n v="149094.8861"/>
    <n v="232948"/>
    <n v="83845.697279999993"/>
    <n v="380136.7501"/>
    <n v="363470.4584"/>
    <n v="395097.46889999998"/>
    <x v="147"/>
    <s v="Dec-2020"/>
  </r>
  <r>
    <x v="148"/>
    <s v="RUS"/>
    <x v="1"/>
    <x v="0"/>
    <x v="0"/>
    <s v="reported"/>
    <n v="149122.739"/>
    <n v="222794"/>
    <n v="73659.760980000006"/>
    <n v="453796.5111"/>
    <n v="436579.098"/>
    <n v="470349.9693"/>
    <x v="147"/>
    <s v="Jan-2021"/>
  </r>
  <r>
    <x v="148"/>
    <s v="RUS"/>
    <x v="1"/>
    <x v="1"/>
    <x v="1"/>
    <s v="reported"/>
    <n v="148897.97560000001"/>
    <n v="170500"/>
    <n v="21590.524369999999"/>
    <n v="475387.0355"/>
    <n v="457278.60389999999"/>
    <n v="492904.35080000001"/>
    <x v="147"/>
    <s v="Feb-2021"/>
  </r>
  <r>
    <x v="148"/>
    <s v="RUS"/>
    <x v="1"/>
    <x v="2"/>
    <x v="2"/>
    <s v="reported"/>
    <n v="148222.73800000001"/>
    <n v="177021"/>
    <n v="28786.762009999999"/>
    <n v="504173.79749999999"/>
    <n v="484091.8639"/>
    <n v="522445.20169999998"/>
    <x v="147"/>
    <s v="Mar-2021"/>
  </r>
  <r>
    <x v="148"/>
    <s v="RUS"/>
    <x v="1"/>
    <x v="3"/>
    <x v="3"/>
    <s v="reported"/>
    <n v="146729.29010000001"/>
    <n v="163091"/>
    <n v="16350.2099"/>
    <n v="520524.0074"/>
    <n v="500466.21189999999"/>
    <n v="540114.88179999997"/>
    <x v="147"/>
    <s v="Apr-2021"/>
  </r>
  <r>
    <x v="148"/>
    <s v="RUS"/>
    <x v="1"/>
    <x v="4"/>
    <x v="4"/>
    <s v="reported"/>
    <n v="144665.99119999999"/>
    <n v="171292"/>
    <n v="26614.508809999999"/>
    <n v="547138.51619999995"/>
    <n v="526562.87800000003"/>
    <n v="567224.03520000004"/>
    <x v="147"/>
    <s v="May-2021"/>
  </r>
  <r>
    <x v="148"/>
    <s v="RUS"/>
    <x v="1"/>
    <x v="5"/>
    <x v="5"/>
    <s v="reported"/>
    <n v="142163.4871"/>
    <n v="188462"/>
    <n v="46287.012920000001"/>
    <n v="593425.52910000004"/>
    <n v="572591.97010000004"/>
    <n v="613613.59569999995"/>
    <x v="147"/>
    <s v="Jun-2021"/>
  </r>
  <r>
    <x v="148"/>
    <s v="RUS"/>
    <x v="1"/>
    <x v="6"/>
    <x v="6"/>
    <s v="reported"/>
    <n v="139886.19699999999"/>
    <n v="218473"/>
    <n v="78575.303029999995"/>
    <n v="672000.8321"/>
    <n v="651077.04200000002"/>
    <n v="692964.40249999997"/>
    <x v="147"/>
    <s v="Jul-2021"/>
  </r>
  <r>
    <x v="148"/>
    <s v="RUS"/>
    <x v="1"/>
    <x v="7"/>
    <x v="7"/>
    <s v="reported"/>
    <n v="138539.0399"/>
    <n v="208832"/>
    <n v="70281.460139999996"/>
    <n v="742282.29229999997"/>
    <n v="720184.20409999997"/>
    <n v="763614.20900000003"/>
    <x v="147"/>
    <s v="Aug-2021"/>
  </r>
  <r>
    <x v="148"/>
    <s v="RUS"/>
    <x v="1"/>
    <x v="8"/>
    <x v="8"/>
    <s v="reported"/>
    <n v="138817.7807"/>
    <n v="204030"/>
    <n v="65200.71931"/>
    <n v="807483.01159999997"/>
    <n v="784795.09499999997"/>
    <n v="830213.44609999994"/>
    <x v="147"/>
    <s v="Sep-2021"/>
  </r>
  <r>
    <x v="148"/>
    <s v="RUS"/>
    <x v="1"/>
    <x v="9"/>
    <x v="9"/>
    <s v="reported"/>
    <n v="140909.80059999999"/>
    <n v="266343"/>
    <n v="125421.6994"/>
    <n v="932904.71100000001"/>
    <n v="908314.35250000004"/>
    <n v="956212.07819999999"/>
    <x v="147"/>
    <s v="Oct-2021"/>
  </r>
  <r>
    <x v="148"/>
    <s v="RUS"/>
    <x v="1"/>
    <x v="10"/>
    <x v="10"/>
    <s v="reported"/>
    <n v="143799.94699999999"/>
    <n v="242330"/>
    <n v="98518.553020000007"/>
    <n v="1031423.264"/>
    <n v="1006365.4790000001"/>
    <n v="1055912.9550000001"/>
    <x v="147"/>
    <s v="Nov-2021"/>
  </r>
  <r>
    <x v="148"/>
    <s v="RUS"/>
    <x v="1"/>
    <x v="11"/>
    <x v="11"/>
    <s v="reported"/>
    <n v="146673.23509999999"/>
    <n v="208426"/>
    <n v="61741.264920000001"/>
    <n v="1093164.5290000001"/>
    <n v="1066970.361"/>
    <n v="1119371.5360000001"/>
    <x v="147"/>
    <s v="Dec-2021"/>
  </r>
  <r>
    <x v="149"/>
    <s v="RWA"/>
    <x v="0"/>
    <x v="0"/>
    <x v="0"/>
    <s v="predicted"/>
    <n v="5405.0129550000001"/>
    <n v="5500.3829999999998"/>
    <n v="95.370045210000001"/>
    <n v="95.370045210000001"/>
    <n v="-1197.7147440000001"/>
    <n v="1559.3254420000001"/>
    <x v="148"/>
    <s v="Jan-2020"/>
  </r>
  <r>
    <x v="149"/>
    <s v="RWA"/>
    <x v="0"/>
    <x v="1"/>
    <x v="1"/>
    <s v="predicted"/>
    <n v="5420.5129129999996"/>
    <n v="5299.1570000000002"/>
    <n v="-121.3559127"/>
    <n v="-25.985867450000001"/>
    <n v="-1882.452319"/>
    <n v="2028.6566600000001"/>
    <x v="148"/>
    <s v="Feb-2020"/>
  </r>
  <r>
    <x v="149"/>
    <s v="RWA"/>
    <x v="0"/>
    <x v="2"/>
    <x v="2"/>
    <s v="predicted"/>
    <n v="5415.2054109999999"/>
    <n v="5035.2259999999997"/>
    <n v="-379.97941079999998"/>
    <n v="-405.96527830000002"/>
    <n v="-2791.3520239999998"/>
    <n v="2142.2678430000001"/>
    <x v="148"/>
    <s v="Mar-2020"/>
  </r>
  <r>
    <x v="149"/>
    <s v="RWA"/>
    <x v="0"/>
    <x v="3"/>
    <x v="3"/>
    <s v="predicted"/>
    <n v="5445.1825849999996"/>
    <n v="4646.5129999999999"/>
    <n v="-798.66958490000002"/>
    <n v="-1204.634863"/>
    <n v="-3818.1146570000001"/>
    <n v="1598.033844"/>
    <x v="148"/>
    <s v="Apr-2020"/>
  </r>
  <r>
    <x v="149"/>
    <s v="RWA"/>
    <x v="0"/>
    <x v="4"/>
    <x v="4"/>
    <s v="predicted"/>
    <n v="5402.0078009999997"/>
    <n v="4890.6959999999999"/>
    <n v="-511.3118005"/>
    <n v="-1715.9466640000001"/>
    <n v="-4559.5769060000002"/>
    <n v="1255.670901"/>
    <x v="148"/>
    <s v="May-2020"/>
  </r>
  <r>
    <x v="149"/>
    <s v="RWA"/>
    <x v="0"/>
    <x v="5"/>
    <x v="5"/>
    <s v="predicted"/>
    <n v="5419.6019480000004"/>
    <n v="5058.9470000000001"/>
    <n v="-360.65494819999998"/>
    <n v="-2076.6016119999999"/>
    <n v="-5240.2615809999998"/>
    <n v="1196.9651389999999"/>
    <x v="148"/>
    <s v="Jun-2020"/>
  </r>
  <r>
    <x v="149"/>
    <s v="RWA"/>
    <x v="0"/>
    <x v="6"/>
    <x v="6"/>
    <s v="predicted"/>
    <n v="5414.3763980000003"/>
    <n v="5272.9179999999997"/>
    <n v="-141.45839770000001"/>
    <n v="-2218.0600100000001"/>
    <n v="-5596.808172"/>
    <n v="1505.1188059999999"/>
    <x v="148"/>
    <s v="Jul-2020"/>
  </r>
  <r>
    <x v="149"/>
    <s v="RWA"/>
    <x v="0"/>
    <x v="7"/>
    <x v="7"/>
    <s v="predicted"/>
    <n v="5394.5801149999998"/>
    <n v="5489.8779999999997"/>
    <n v="95.297885190000002"/>
    <n v="-2122.7621239999999"/>
    <n v="-5805.8473610000001"/>
    <n v="2046.4486460000001"/>
    <x v="148"/>
    <s v="Aug-2020"/>
  </r>
  <r>
    <x v="149"/>
    <s v="RWA"/>
    <x v="0"/>
    <x v="8"/>
    <x v="8"/>
    <s v="predicted"/>
    <n v="5384.6352619999998"/>
    <n v="5499.7269999999999"/>
    <n v="115.09173749999999"/>
    <n v="-2007.6703869999999"/>
    <n v="-5979.4887449999997"/>
    <n v="2105.0976089999999"/>
    <x v="148"/>
    <s v="Sep-2020"/>
  </r>
  <r>
    <x v="149"/>
    <s v="RWA"/>
    <x v="0"/>
    <x v="9"/>
    <x v="9"/>
    <s v="predicted"/>
    <n v="5387.1502540000001"/>
    <n v="5454.4840000000004"/>
    <n v="67.333746480000002"/>
    <n v="-1940.33664"/>
    <n v="-6502.2954630000004"/>
    <n v="2765.5555949999998"/>
    <x v="148"/>
    <s v="Oct-2020"/>
  </r>
  <r>
    <x v="149"/>
    <s v="RWA"/>
    <x v="0"/>
    <x v="10"/>
    <x v="10"/>
    <s v="predicted"/>
    <n v="5413.8269300000002"/>
    <n v="5521.3829999999998"/>
    <n v="107.5560699"/>
    <n v="-1832.7805699999999"/>
    <n v="-6567.6983399999999"/>
    <n v="3228.7258750000001"/>
    <x v="148"/>
    <s v="Nov-2020"/>
  </r>
  <r>
    <x v="149"/>
    <s v="RWA"/>
    <x v="0"/>
    <x v="11"/>
    <x v="11"/>
    <s v="predicted"/>
    <n v="5402.4672259999998"/>
    <n v="5565.2780000000002"/>
    <n v="162.81077440000001"/>
    <n v="-1669.9697960000001"/>
    <n v="-6798.7726419999999"/>
    <n v="3643.2185709999999"/>
    <x v="148"/>
    <s v="Dec-2020"/>
  </r>
  <r>
    <x v="149"/>
    <s v="RWA"/>
    <x v="1"/>
    <x v="0"/>
    <x v="0"/>
    <s v="predicted"/>
    <n v="5458.6125019999999"/>
    <n v="5813.0720000000001"/>
    <n v="354.45949780000001"/>
    <n v="-1315.5102979999999"/>
    <n v="-6744.0598360000004"/>
    <n v="4233.503224"/>
    <x v="148"/>
    <s v="Jan-2021"/>
  </r>
  <r>
    <x v="149"/>
    <s v="RWA"/>
    <x v="1"/>
    <x v="1"/>
    <x v="1"/>
    <s v="predicted"/>
    <n v="5478.5750200000002"/>
    <n v="5607.5749999999998"/>
    <n v="128.9999804"/>
    <n v="-1186.5103180000001"/>
    <n v="-6552.53982"/>
    <n v="4188.2074659999998"/>
    <x v="148"/>
    <s v="Feb-2021"/>
  </r>
  <r>
    <x v="149"/>
    <s v="RWA"/>
    <x v="1"/>
    <x v="2"/>
    <x v="2"/>
    <s v="predicted"/>
    <n v="5468.1621130000003"/>
    <n v="5466.3379999999997"/>
    <n v="-1.824113439"/>
    <n v="-1188.334431"/>
    <n v="-6671.7457370000002"/>
    <n v="4603.680402"/>
    <x v="148"/>
    <s v="Mar-2021"/>
  </r>
  <r>
    <x v="149"/>
    <s v="RWA"/>
    <x v="1"/>
    <x v="3"/>
    <x v="3"/>
    <s v="predicted"/>
    <n v="5489.9083110000001"/>
    <n v="5352.3609999999999"/>
    <n v="-137.5473112"/>
    <n v="-1325.8817429999999"/>
    <n v="-7102.4332299999996"/>
    <n v="4577.2495449999997"/>
    <x v="148"/>
    <s v="Apr-2021"/>
  </r>
  <r>
    <x v="149"/>
    <s v="RWA"/>
    <x v="1"/>
    <x v="4"/>
    <x v="4"/>
    <s v="predicted"/>
    <n v="5459.5592550000001"/>
    <n v="5283.201"/>
    <n v="-176.3582548"/>
    <n v="-1502.2399969999999"/>
    <n v="-7386.8591999999999"/>
    <n v="4598.5935870000003"/>
    <x v="148"/>
    <s v="May-2021"/>
  </r>
  <r>
    <x v="149"/>
    <s v="RWA"/>
    <x v="1"/>
    <x v="5"/>
    <x v="5"/>
    <s v="predicted"/>
    <n v="5472.7085180000004"/>
    <n v="5615.3249999999998"/>
    <n v="142.61648149999999"/>
    <n v="-1359.6235160000001"/>
    <n v="-7172.4513539999998"/>
    <n v="5165.534541"/>
    <x v="148"/>
    <s v="Jun-2021"/>
  </r>
  <r>
    <x v="149"/>
    <s v="RWA"/>
    <x v="1"/>
    <x v="6"/>
    <x v="6"/>
    <s v="predicted"/>
    <n v="5461.7211399999997"/>
    <n v="6164.97"/>
    <n v="703.24886049999998"/>
    <n v="-656.37465540000005"/>
    <n v="-6745.9074540000001"/>
    <n v="5886.1663440000002"/>
    <x v="148"/>
    <s v="Jul-2021"/>
  </r>
  <r>
    <x v="149"/>
    <s v="RWA"/>
    <x v="1"/>
    <x v="7"/>
    <x v="7"/>
    <s v="predicted"/>
    <n v="5443.5940909999999"/>
    <n v="5936.5469999999996"/>
    <n v="492.95290929999999"/>
    <n v="-163.42174610000001"/>
    <n v="-6465.889443"/>
    <n v="6628.5721700000004"/>
    <x v="148"/>
    <s v="Aug-2021"/>
  </r>
  <r>
    <x v="149"/>
    <s v="RWA"/>
    <x v="1"/>
    <x v="8"/>
    <x v="8"/>
    <s v="predicted"/>
    <n v="5439.332144"/>
    <n v="5770.8419999999996"/>
    <n v="331.5098557"/>
    <n v="168.0881096"/>
    <n v="-6236.7925619999996"/>
    <n v="6969.9799110000004"/>
    <x v="148"/>
    <s v="Sep-2021"/>
  </r>
  <r>
    <x v="149"/>
    <s v="RWA"/>
    <x v="1"/>
    <x v="9"/>
    <x v="9"/>
    <s v="predicted"/>
    <n v="5440.3034870000001"/>
    <n v="5572.1729999999998"/>
    <n v="131.8695127"/>
    <n v="299.95762230000003"/>
    <n v="-6248.3143520000003"/>
    <n v="7089.4423109999998"/>
    <x v="148"/>
    <s v="Oct-2021"/>
  </r>
  <r>
    <x v="149"/>
    <s v="RWA"/>
    <x v="1"/>
    <x v="10"/>
    <x v="10"/>
    <s v="predicted"/>
    <n v="5472.0903259999995"/>
    <n v="5517.982"/>
    <n v="45.891673650000001"/>
    <n v="345.84929590000002"/>
    <n v="-6372.087262"/>
    <n v="7395.2481930000004"/>
    <x v="148"/>
    <s v="Nov-2021"/>
  </r>
  <r>
    <x v="149"/>
    <s v="RWA"/>
    <x v="1"/>
    <x v="11"/>
    <x v="11"/>
    <s v="predicted"/>
    <n v="5453.983972"/>
    <n v="5636.5389999999998"/>
    <n v="182.5550278"/>
    <n v="528.40432380000004"/>
    <n v="-6412.9009379999998"/>
    <n v="7731.8067019999999"/>
    <x v="148"/>
    <s v="Dec-2021"/>
  </r>
  <r>
    <x v="150"/>
    <s v="SAU"/>
    <x v="0"/>
    <x v="0"/>
    <x v="0"/>
    <s v="predicted"/>
    <n v="12927.718639999999"/>
    <n v="13028.928"/>
    <n v="101.2093551"/>
    <n v="101.2093551"/>
    <n v="-3189.5722890000002"/>
    <n v="3864.3197989999999"/>
    <x v="149"/>
    <s v="Jan-2020"/>
  </r>
  <r>
    <x v="150"/>
    <s v="SAU"/>
    <x v="0"/>
    <x v="1"/>
    <x v="1"/>
    <s v="predicted"/>
    <n v="12741.005709999999"/>
    <n v="12347.307000000001"/>
    <n v="-393.69870909999997"/>
    <n v="-292.48935399999999"/>
    <n v="-4831.1766449999996"/>
    <n v="4831.873619"/>
    <x v="149"/>
    <s v="Feb-2020"/>
  </r>
  <r>
    <x v="150"/>
    <s v="SAU"/>
    <x v="0"/>
    <x v="2"/>
    <x v="2"/>
    <s v="predicted"/>
    <n v="12475.869780000001"/>
    <n v="12295.621999999999"/>
    <n v="-180.24777829999999"/>
    <n v="-472.73713229999998"/>
    <n v="-5723.3765530000001"/>
    <n v="5619.4393520000003"/>
    <x v="149"/>
    <s v="Mar-2020"/>
  </r>
  <r>
    <x v="150"/>
    <s v="SAU"/>
    <x v="0"/>
    <x v="3"/>
    <x v="3"/>
    <s v="predicted"/>
    <n v="12163.40804"/>
    <n v="12665.632"/>
    <n v="502.22396300000003"/>
    <n v="29.486830619999999"/>
    <n v="-6385.1375479999997"/>
    <n v="6397.474158"/>
    <x v="149"/>
    <s v="Apr-2020"/>
  </r>
  <r>
    <x v="150"/>
    <s v="SAU"/>
    <x v="0"/>
    <x v="4"/>
    <x v="4"/>
    <s v="predicted"/>
    <n v="11831.05514"/>
    <n v="14025.992"/>
    <n v="2194.9368599999998"/>
    <n v="2224.423691"/>
    <n v="-5083.1771950000002"/>
    <n v="10249.35845"/>
    <x v="149"/>
    <s v="May-2020"/>
  </r>
  <r>
    <x v="150"/>
    <s v="SAU"/>
    <x v="0"/>
    <x v="5"/>
    <x v="5"/>
    <s v="predicted"/>
    <n v="11631.85152"/>
    <n v="16106.790999999999"/>
    <n v="4474.93948"/>
    <n v="6699.363171"/>
    <n v="-1998.613537"/>
    <n v="16187.104240000001"/>
    <x v="149"/>
    <s v="Jun-2020"/>
  </r>
  <r>
    <x v="150"/>
    <s v="SAU"/>
    <x v="0"/>
    <x v="6"/>
    <x v="6"/>
    <s v="predicted"/>
    <n v="11532.38573"/>
    <n v="15573.313"/>
    <n v="4040.9272740000001"/>
    <n v="10740.29045"/>
    <n v="657.06406939999999"/>
    <n v="20958.18621"/>
    <x v="149"/>
    <s v="Jul-2020"/>
  </r>
  <r>
    <x v="150"/>
    <s v="SAU"/>
    <x v="0"/>
    <x v="7"/>
    <x v="7"/>
    <s v="predicted"/>
    <n v="11578.49863"/>
    <n v="14317.681"/>
    <n v="2739.1823730000001"/>
    <n v="13479.472820000001"/>
    <n v="2777.2149380000001"/>
    <n v="24407.0458"/>
    <x v="149"/>
    <s v="Aug-2020"/>
  </r>
  <r>
    <x v="150"/>
    <s v="SAU"/>
    <x v="0"/>
    <x v="8"/>
    <x v="8"/>
    <s v="predicted"/>
    <n v="11693.36354"/>
    <n v="13492.960999999999"/>
    <n v="1799.5974590000001"/>
    <n v="15279.07028"/>
    <n v="3862.5057539999998"/>
    <n v="27189.853090000001"/>
    <x v="149"/>
    <s v="Sep-2020"/>
  </r>
  <r>
    <x v="150"/>
    <s v="SAU"/>
    <x v="0"/>
    <x v="9"/>
    <x v="9"/>
    <s v="predicted"/>
    <n v="12035.628409999999"/>
    <n v="13092.56"/>
    <n v="1056.9315899999999"/>
    <n v="16336.00187"/>
    <n v="4558.3654660000002"/>
    <n v="28481.327840000002"/>
    <x v="149"/>
    <s v="Oct-2020"/>
  </r>
  <r>
    <x v="150"/>
    <s v="SAU"/>
    <x v="0"/>
    <x v="10"/>
    <x v="10"/>
    <s v="predicted"/>
    <n v="12429.62761"/>
    <n v="13191.539000000001"/>
    <n v="761.91138720000004"/>
    <n v="17097.913250000001"/>
    <n v="4156.35304"/>
    <n v="29865.850490000001"/>
    <x v="149"/>
    <s v="Nov-2020"/>
  </r>
  <r>
    <x v="150"/>
    <s v="SAU"/>
    <x v="0"/>
    <x v="11"/>
    <x v="11"/>
    <s v="predicted"/>
    <n v="12742.00188"/>
    <n v="13162.603999999999"/>
    <n v="420.60212189999999"/>
    <n v="17518.515380000001"/>
    <n v="4136.1305929999999"/>
    <n v="31046.635920000001"/>
    <x v="149"/>
    <s v="Dec-2020"/>
  </r>
  <r>
    <x v="150"/>
    <s v="SAU"/>
    <x v="1"/>
    <x v="0"/>
    <x v="0"/>
    <s v="predicted"/>
    <n v="13151.159739999999"/>
    <n v="13029.755999999999"/>
    <n v="-121.4037431"/>
    <n v="17397.111629999999"/>
    <n v="4208.3381790000003"/>
    <n v="31479.688829999999"/>
    <x v="149"/>
    <s v="Jan-2021"/>
  </r>
  <r>
    <x v="150"/>
    <s v="SAU"/>
    <x v="1"/>
    <x v="1"/>
    <x v="1"/>
    <s v="predicted"/>
    <n v="12953.21643"/>
    <n v="12587.001"/>
    <n v="-366.21543229999997"/>
    <n v="17030.896199999999"/>
    <n v="3685.5242589999998"/>
    <n v="32090.793969999999"/>
    <x v="149"/>
    <s v="Feb-2021"/>
  </r>
  <r>
    <x v="150"/>
    <s v="SAU"/>
    <x v="1"/>
    <x v="2"/>
    <x v="2"/>
    <s v="predicted"/>
    <n v="12691.889859999999"/>
    <n v="12890.02"/>
    <n v="198.13013599999999"/>
    <n v="17229.02634"/>
    <n v="3445.289002"/>
    <n v="32160.071950000001"/>
    <x v="149"/>
    <s v="Mar-2021"/>
  </r>
  <r>
    <x v="150"/>
    <s v="SAU"/>
    <x v="1"/>
    <x v="3"/>
    <x v="3"/>
    <s v="predicted"/>
    <n v="12365.466060000001"/>
    <n v="13070.311"/>
    <n v="704.84493999999995"/>
    <n v="17933.871279999999"/>
    <n v="3626.8456120000001"/>
    <n v="33638.787660000002"/>
    <x v="149"/>
    <s v="Apr-2021"/>
  </r>
  <r>
    <x v="150"/>
    <s v="SAU"/>
    <x v="1"/>
    <x v="4"/>
    <x v="4"/>
    <s v="predicted"/>
    <n v="12033.64552"/>
    <n v="13480.811"/>
    <n v="1447.1654759999999"/>
    <n v="19381.036749999999"/>
    <n v="4638.1721500000003"/>
    <n v="35166.498180000002"/>
    <x v="149"/>
    <s v="May-2021"/>
  </r>
  <r>
    <x v="150"/>
    <s v="SAU"/>
    <x v="1"/>
    <x v="5"/>
    <x v="5"/>
    <s v="predicted"/>
    <n v="11824.519340000001"/>
    <n v="13736.550999999999"/>
    <n v="1912.031657"/>
    <n v="21293.06841"/>
    <n v="5719.1923619999998"/>
    <n v="37956.753239999998"/>
    <x v="149"/>
    <s v="Jun-2021"/>
  </r>
  <r>
    <x v="150"/>
    <s v="SAU"/>
    <x v="1"/>
    <x v="6"/>
    <x v="6"/>
    <s v="predicted"/>
    <n v="11725.839760000001"/>
    <n v="14143.508"/>
    <n v="2417.6682350000001"/>
    <n v="23710.736639999999"/>
    <n v="8005.4654920000003"/>
    <n v="40135.685460000001"/>
    <x v="149"/>
    <s v="Jul-2021"/>
  </r>
  <r>
    <x v="150"/>
    <s v="SAU"/>
    <x v="1"/>
    <x v="7"/>
    <x v="7"/>
    <s v="predicted"/>
    <n v="11763.857529999999"/>
    <n v="14205.245999999999"/>
    <n v="2441.388473"/>
    <n v="26152.125120000001"/>
    <n v="10325.930179999999"/>
    <n v="43290.169950000003"/>
    <x v="149"/>
    <s v="Aug-2021"/>
  </r>
  <r>
    <x v="150"/>
    <s v="SAU"/>
    <x v="1"/>
    <x v="8"/>
    <x v="8"/>
    <s v="predicted"/>
    <n v="11885.49625"/>
    <n v="13092.03"/>
    <n v="1206.5337549999999"/>
    <n v="27358.658869999999"/>
    <n v="11707.26622"/>
    <n v="44940.872179999998"/>
    <x v="149"/>
    <s v="Sep-2021"/>
  </r>
  <r>
    <x v="150"/>
    <s v="SAU"/>
    <x v="1"/>
    <x v="9"/>
    <x v="9"/>
    <s v="predicted"/>
    <n v="12240.648719999999"/>
    <n v="12988.949000000001"/>
    <n v="748.30027700000005"/>
    <n v="28106.959149999999"/>
    <n v="12164.93736"/>
    <n v="46587.243049999997"/>
    <x v="149"/>
    <s v="Oct-2021"/>
  </r>
  <r>
    <x v="150"/>
    <s v="SAU"/>
    <x v="1"/>
    <x v="10"/>
    <x v="10"/>
    <s v="predicted"/>
    <n v="12643.375"/>
    <n v="13560.263999999999"/>
    <n v="916.88900479999995"/>
    <n v="29023.848150000002"/>
    <n v="12531.226280000001"/>
    <n v="47454.164819999998"/>
    <x v="149"/>
    <s v="Nov-2021"/>
  </r>
  <r>
    <x v="150"/>
    <s v="SAU"/>
    <x v="1"/>
    <x v="11"/>
    <x v="11"/>
    <s v="predicted"/>
    <n v="12951.52167"/>
    <n v="14198.404"/>
    <n v="1246.882331"/>
    <n v="30270.730479999998"/>
    <n v="13742.39249"/>
    <n v="48940.625039999999"/>
    <x v="149"/>
    <s v="Dec-2021"/>
  </r>
  <r>
    <x v="151"/>
    <s v="SDN"/>
    <x v="0"/>
    <x v="0"/>
    <x v="0"/>
    <s v="predicted"/>
    <n v="21267.259409999999"/>
    <n v="21408.311000000002"/>
    <n v="141.05158829999999"/>
    <n v="141.05158829999999"/>
    <n v="-5013.6523740000002"/>
    <n v="6096.9621070000003"/>
    <x v="150"/>
    <s v="Jan-2020"/>
  </r>
  <r>
    <x v="151"/>
    <s v="SDN"/>
    <x v="0"/>
    <x v="1"/>
    <x v="1"/>
    <s v="predicted"/>
    <n v="20920.37256"/>
    <n v="20681.304"/>
    <n v="-239.06855959999999"/>
    <n v="-98.016971299999994"/>
    <n v="-7872.7985669999998"/>
    <n v="9228.4374929999994"/>
    <x v="150"/>
    <s v="Feb-2020"/>
  </r>
  <r>
    <x v="151"/>
    <s v="SDN"/>
    <x v="0"/>
    <x v="2"/>
    <x v="2"/>
    <s v="predicted"/>
    <n v="20260.907190000002"/>
    <n v="18922.433000000001"/>
    <n v="-1338.474195"/>
    <n v="-1436.491166"/>
    <n v="-10423.368469999999"/>
    <n v="9477.8409009999996"/>
    <x v="150"/>
    <s v="Mar-2020"/>
  </r>
  <r>
    <x v="151"/>
    <s v="SDN"/>
    <x v="0"/>
    <x v="3"/>
    <x v="3"/>
    <s v="predicted"/>
    <n v="20042.648509999999"/>
    <n v="19293.212"/>
    <n v="-749.43651439999996"/>
    <n v="-2185.9276799999998"/>
    <n v="-12551.15871"/>
    <n v="10232.182769999999"/>
    <x v="150"/>
    <s v="Apr-2020"/>
  </r>
  <r>
    <x v="151"/>
    <s v="SDN"/>
    <x v="0"/>
    <x v="4"/>
    <x v="4"/>
    <s v="predicted"/>
    <n v="19744.63579"/>
    <n v="21866.468000000001"/>
    <n v="2121.8322050000002"/>
    <n v="-64.095474809999999"/>
    <n v="-11442.43095"/>
    <n v="12601.224910000001"/>
    <x v="150"/>
    <s v="May-2020"/>
  </r>
  <r>
    <x v="151"/>
    <s v="SDN"/>
    <x v="0"/>
    <x v="5"/>
    <x v="5"/>
    <s v="predicted"/>
    <n v="19789.47696"/>
    <n v="23535.371999999999"/>
    <n v="3745.8950359999999"/>
    <n v="3681.7995609999998"/>
    <n v="-9285.1186689999995"/>
    <n v="18574.665359999999"/>
    <x v="150"/>
    <s v="Jun-2020"/>
  </r>
  <r>
    <x v="151"/>
    <s v="SDN"/>
    <x v="0"/>
    <x v="6"/>
    <x v="6"/>
    <s v="predicted"/>
    <n v="19797.875260000001"/>
    <n v="23174.793000000001"/>
    <n v="3376.917735"/>
    <n v="7058.7172959999998"/>
    <n v="-7426.4257900000002"/>
    <n v="23257.502710000001"/>
    <x v="150"/>
    <s v="Jul-2020"/>
  </r>
  <r>
    <x v="151"/>
    <s v="SDN"/>
    <x v="0"/>
    <x v="7"/>
    <x v="7"/>
    <s v="predicted"/>
    <n v="19950.259409999999"/>
    <n v="22614.37"/>
    <n v="2664.1105859999998"/>
    <n v="9722.8278819999996"/>
    <n v="-6184.5358889999998"/>
    <n v="27156.299279999999"/>
    <x v="150"/>
    <s v="Aug-2020"/>
  </r>
  <r>
    <x v="151"/>
    <s v="SDN"/>
    <x v="0"/>
    <x v="8"/>
    <x v="8"/>
    <s v="predicted"/>
    <n v="19851.200840000001"/>
    <n v="21333.73"/>
    <n v="1482.5291560000001"/>
    <n v="11205.357040000001"/>
    <n v="-5557.9330749999999"/>
    <n v="29357.679230000002"/>
    <x v="150"/>
    <s v="Sep-2020"/>
  </r>
  <r>
    <x v="151"/>
    <s v="SDN"/>
    <x v="0"/>
    <x v="9"/>
    <x v="9"/>
    <s v="predicted"/>
    <n v="19922.26874"/>
    <n v="20575.060000000001"/>
    <n v="652.79126040000006"/>
    <n v="11858.148300000001"/>
    <n v="-5831.0906770000001"/>
    <n v="31683.76268"/>
    <x v="150"/>
    <s v="Oct-2020"/>
  </r>
  <r>
    <x v="151"/>
    <s v="SDN"/>
    <x v="0"/>
    <x v="10"/>
    <x v="10"/>
    <s v="predicted"/>
    <n v="20545.48631"/>
    <n v="22901.685000000001"/>
    <n v="2356.1986849999998"/>
    <n v="14214.34698"/>
    <n v="-5496.1614490000002"/>
    <n v="35038.642310000003"/>
    <x v="150"/>
    <s v="Nov-2020"/>
  </r>
  <r>
    <x v="151"/>
    <s v="SDN"/>
    <x v="0"/>
    <x v="11"/>
    <x v="11"/>
    <s v="predicted"/>
    <n v="20691.902539999999"/>
    <n v="22795.420999999998"/>
    <n v="2103.518458"/>
    <n v="16317.86544"/>
    <n v="-4430.1356569999998"/>
    <n v="38764.646030000004"/>
    <x v="150"/>
    <s v="Dec-2020"/>
  </r>
  <r>
    <x v="151"/>
    <s v="SDN"/>
    <x v="1"/>
    <x v="0"/>
    <x v="0"/>
    <s v="predicted"/>
    <n v="21416.504229999999"/>
    <n v="23819.627"/>
    <n v="2403.1227749999998"/>
    <n v="18720.988219999999"/>
    <n v="-2618.818722"/>
    <n v="40878.928469999999"/>
    <x v="150"/>
    <s v="Jan-2021"/>
  </r>
  <r>
    <x v="151"/>
    <s v="SDN"/>
    <x v="1"/>
    <x v="1"/>
    <x v="1"/>
    <s v="predicted"/>
    <n v="21055.532149999999"/>
    <n v="23175.663"/>
    <n v="2120.1308469999999"/>
    <n v="20841.119060000001"/>
    <n v="-516.62465929999996"/>
    <n v="44800.808720000001"/>
    <x v="150"/>
    <s v="Feb-2021"/>
  </r>
  <r>
    <x v="151"/>
    <s v="SDN"/>
    <x v="1"/>
    <x v="2"/>
    <x v="2"/>
    <s v="predicted"/>
    <n v="20375.48228"/>
    <n v="23564.062000000002"/>
    <n v="3188.579718"/>
    <n v="24029.698779999999"/>
    <n v="1700.3991840000001"/>
    <n v="48892.933879999997"/>
    <x v="150"/>
    <s v="Mar-2021"/>
  </r>
  <r>
    <x v="151"/>
    <s v="SDN"/>
    <x v="1"/>
    <x v="3"/>
    <x v="3"/>
    <s v="predicted"/>
    <n v="20177.651620000001"/>
    <n v="23078.448"/>
    <n v="2900.7963829999999"/>
    <n v="26930.495159999999"/>
    <n v="2918.684675"/>
    <n v="52319.085930000001"/>
    <x v="150"/>
    <s v="Apr-2021"/>
  </r>
  <r>
    <x v="151"/>
    <s v="SDN"/>
    <x v="1"/>
    <x v="4"/>
    <x v="4"/>
    <s v="predicted"/>
    <n v="19873.748800000001"/>
    <n v="22587.582999999999"/>
    <n v="2713.8341959999998"/>
    <n v="29644.32936"/>
    <n v="5011.4198649999998"/>
    <n v="56520.481610000003"/>
    <x v="150"/>
    <s v="May-2021"/>
  </r>
  <r>
    <x v="151"/>
    <s v="SDN"/>
    <x v="1"/>
    <x v="5"/>
    <x v="5"/>
    <s v="predicted"/>
    <n v="19925.42325"/>
    <n v="23904.26"/>
    <n v="3978.8367549999998"/>
    <n v="33623.166120000002"/>
    <n v="8334.3554490000006"/>
    <n v="62507.795429999998"/>
    <x v="150"/>
    <s v="Jun-2021"/>
  </r>
  <r>
    <x v="151"/>
    <s v="SDN"/>
    <x v="1"/>
    <x v="6"/>
    <x v="6"/>
    <s v="predicted"/>
    <n v="19929.317330000002"/>
    <n v="23088.12"/>
    <n v="3158.8026719999998"/>
    <n v="36781.968789999999"/>
    <n v="10838.459440000001"/>
    <n v="66353.264360000001"/>
    <x v="150"/>
    <s v="Jul-2021"/>
  </r>
  <r>
    <x v="151"/>
    <s v="SDN"/>
    <x v="1"/>
    <x v="7"/>
    <x v="7"/>
    <s v="predicted"/>
    <n v="20082.760859999999"/>
    <n v="22616.752"/>
    <n v="2533.9911419999999"/>
    <n v="39315.959929999997"/>
    <n v="11304.910680000001"/>
    <n v="71004.783710000003"/>
    <x v="150"/>
    <s v="Aug-2021"/>
  </r>
  <r>
    <x v="151"/>
    <s v="SDN"/>
    <x v="1"/>
    <x v="8"/>
    <x v="8"/>
    <s v="predicted"/>
    <n v="20006.22279"/>
    <n v="22552.98"/>
    <n v="2546.7572110000001"/>
    <n v="41862.717140000001"/>
    <n v="13341.52369"/>
    <n v="75280.209690000003"/>
    <x v="150"/>
    <s v="Sep-2021"/>
  </r>
  <r>
    <x v="151"/>
    <s v="SDN"/>
    <x v="1"/>
    <x v="9"/>
    <x v="9"/>
    <s v="predicted"/>
    <n v="20043.383330000001"/>
    <n v="22730.534"/>
    <n v="2687.1506690000001"/>
    <n v="44549.867810000003"/>
    <n v="15393.94807"/>
    <n v="78487.164959999995"/>
    <x v="150"/>
    <s v="Oct-2021"/>
  </r>
  <r>
    <x v="151"/>
    <s v="SDN"/>
    <x v="1"/>
    <x v="10"/>
    <x v="10"/>
    <s v="predicted"/>
    <n v="20693.795450000001"/>
    <n v="23030.769"/>
    <n v="2336.973555"/>
    <n v="46886.841359999999"/>
    <n v="16432.081409999999"/>
    <n v="78145.202789999996"/>
    <x v="150"/>
    <s v="Nov-2021"/>
  </r>
  <r>
    <x v="151"/>
    <s v="SDN"/>
    <x v="1"/>
    <x v="11"/>
    <x v="11"/>
    <s v="predicted"/>
    <n v="20836.16157"/>
    <n v="23252.608"/>
    <n v="2416.4464330000001"/>
    <n v="49303.287799999998"/>
    <n v="17778.20909"/>
    <n v="82137.219500000007"/>
    <x v="150"/>
    <s v="Dec-2021"/>
  </r>
  <r>
    <x v="152"/>
    <s v="SEN"/>
    <x v="0"/>
    <x v="0"/>
    <x v="0"/>
    <s v="predicted"/>
    <n v="7362.9981850000004"/>
    <n v="7623.65"/>
    <n v="260.65181460000002"/>
    <n v="260.65181460000002"/>
    <n v="-1707.522277"/>
    <n v="2653.1374949999999"/>
    <x v="151"/>
    <s v="Jan-2020"/>
  </r>
  <r>
    <x v="152"/>
    <s v="SEN"/>
    <x v="0"/>
    <x v="1"/>
    <x v="1"/>
    <s v="predicted"/>
    <n v="7202.2442369999999"/>
    <n v="7318.4589999999998"/>
    <n v="116.2147626"/>
    <n v="376.86657719999999"/>
    <n v="-2260.0814569999998"/>
    <n v="3421.9507789999998"/>
    <x v="151"/>
    <s v="Feb-2020"/>
  </r>
  <r>
    <x v="152"/>
    <s v="SEN"/>
    <x v="0"/>
    <x v="2"/>
    <x v="2"/>
    <s v="predicted"/>
    <n v="7172.9679020000003"/>
    <n v="6822.9430000000002"/>
    <n v="-350.02490180000001"/>
    <n v="26.84167545"/>
    <n v="-3262.5553650000002"/>
    <n v="3720.3845710000001"/>
    <x v="151"/>
    <s v="Mar-2020"/>
  </r>
  <r>
    <x v="152"/>
    <s v="SEN"/>
    <x v="0"/>
    <x v="3"/>
    <x v="3"/>
    <s v="predicted"/>
    <n v="7073.3202309999997"/>
    <n v="6473.7950000000001"/>
    <n v="-599.52523080000003"/>
    <n v="-572.68355529999997"/>
    <n v="-4261.4455520000001"/>
    <n v="3511.5619940000001"/>
    <x v="151"/>
    <s v="Apr-2020"/>
  </r>
  <r>
    <x v="152"/>
    <s v="SEN"/>
    <x v="0"/>
    <x v="4"/>
    <x v="4"/>
    <s v="predicted"/>
    <n v="7072.5705539999999"/>
    <n v="6921.1859999999997"/>
    <n v="-151.38455379999999"/>
    <n v="-724.06810919999998"/>
    <n v="-4905.2800800000005"/>
    <n v="3743.1055259999998"/>
    <x v="151"/>
    <s v="May-2020"/>
  </r>
  <r>
    <x v="152"/>
    <s v="SEN"/>
    <x v="0"/>
    <x v="5"/>
    <x v="5"/>
    <s v="predicted"/>
    <n v="7107.8863359999996"/>
    <n v="7494.8239999999996"/>
    <n v="386.93766390000002"/>
    <n v="-337.13044530000002"/>
    <n v="-5116.0387579999997"/>
    <n v="4650.7221929999996"/>
    <x v="151"/>
    <s v="Jun-2020"/>
  </r>
  <r>
    <x v="152"/>
    <s v="SEN"/>
    <x v="0"/>
    <x v="6"/>
    <x v="6"/>
    <s v="predicted"/>
    <n v="7227.783257"/>
    <n v="8681.7970000000005"/>
    <n v="1454.013743"/>
    <n v="1116.883298"/>
    <n v="-4400.9859759999999"/>
    <n v="6791.9671010000002"/>
    <x v="151"/>
    <s v="Jul-2020"/>
  </r>
  <r>
    <x v="152"/>
    <s v="SEN"/>
    <x v="0"/>
    <x v="7"/>
    <x v="7"/>
    <s v="predicted"/>
    <n v="7238.3066479999998"/>
    <n v="8101.47"/>
    <n v="863.16335149999998"/>
    <n v="1980.04665"/>
    <n v="-3484.3981279999998"/>
    <n v="8073.4983300000004"/>
    <x v="151"/>
    <s v="Aug-2020"/>
  </r>
  <r>
    <x v="152"/>
    <s v="SEN"/>
    <x v="0"/>
    <x v="8"/>
    <x v="8"/>
    <s v="predicted"/>
    <n v="7258.2644460000001"/>
    <n v="7524.8890000000001"/>
    <n v="266.62455369999998"/>
    <n v="2246.6712029999999"/>
    <n v="-3620.3696490000002"/>
    <n v="8535.6153190000005"/>
    <x v="151"/>
    <s v="Sep-2020"/>
  </r>
  <r>
    <x v="152"/>
    <s v="SEN"/>
    <x v="0"/>
    <x v="9"/>
    <x v="9"/>
    <s v="predicted"/>
    <n v="7202.3606710000004"/>
    <n v="7158.174"/>
    <n v="-44.18667104"/>
    <n v="2202.4845319999999"/>
    <n v="-4092.3144120000002"/>
    <n v="8966.4068239999997"/>
    <x v="151"/>
    <s v="Oct-2020"/>
  </r>
  <r>
    <x v="152"/>
    <s v="SEN"/>
    <x v="0"/>
    <x v="10"/>
    <x v="10"/>
    <s v="predicted"/>
    <n v="7269.3251970000001"/>
    <n v="7211.9009999999998"/>
    <n v="-57.424197079999999"/>
    <n v="2145.0603350000001"/>
    <n v="-4546.2432129999997"/>
    <n v="9238.5377850000004"/>
    <x v="151"/>
    <s v="Nov-2020"/>
  </r>
  <r>
    <x v="152"/>
    <s v="SEN"/>
    <x v="0"/>
    <x v="11"/>
    <x v="11"/>
    <s v="predicted"/>
    <n v="7339.860627"/>
    <n v="7765.5510000000004"/>
    <n v="425.6903729"/>
    <n v="2570.750708"/>
    <n v="-4074.694649"/>
    <n v="10086.811530000001"/>
    <x v="151"/>
    <s v="Dec-2020"/>
  </r>
  <r>
    <x v="152"/>
    <s v="SEN"/>
    <x v="1"/>
    <x v="0"/>
    <x v="0"/>
    <s v="predicted"/>
    <n v="7360.434346"/>
    <n v="8354.1569999999992"/>
    <n v="993.72265370000002"/>
    <n v="3564.4733620000002"/>
    <n v="-3242.0262889999999"/>
    <n v="11455.22732"/>
    <x v="151"/>
    <s v="Jan-2021"/>
  </r>
  <r>
    <x v="152"/>
    <s v="SEN"/>
    <x v="1"/>
    <x v="1"/>
    <x v="1"/>
    <s v="predicted"/>
    <n v="7194.7161420000002"/>
    <n v="8429.0679999999993"/>
    <n v="1234.351858"/>
    <n v="4798.8252199999997"/>
    <n v="-2292.1687499999998"/>
    <n v="13396.706749999999"/>
    <x v="151"/>
    <s v="Feb-2021"/>
  </r>
  <r>
    <x v="152"/>
    <s v="SEN"/>
    <x v="1"/>
    <x v="2"/>
    <x v="2"/>
    <s v="predicted"/>
    <n v="7165.8983760000001"/>
    <n v="8226.9529999999995"/>
    <n v="1061.0546240000001"/>
    <n v="5859.8798429999997"/>
    <n v="-1750.322056"/>
    <n v="14291.38716"/>
    <x v="151"/>
    <s v="Mar-2021"/>
  </r>
  <r>
    <x v="152"/>
    <s v="SEN"/>
    <x v="1"/>
    <x v="3"/>
    <x v="3"/>
    <s v="predicted"/>
    <n v="7069.0591930000001"/>
    <n v="7706.4679999999998"/>
    <n v="637.40880709999999"/>
    <n v="6497.2886500000004"/>
    <n v="-1392.9709989999999"/>
    <n v="14840.06839"/>
    <x v="151"/>
    <s v="Apr-2021"/>
  </r>
  <r>
    <x v="152"/>
    <s v="SEN"/>
    <x v="1"/>
    <x v="4"/>
    <x v="4"/>
    <s v="predicted"/>
    <n v="7067.5821040000001"/>
    <n v="7588.2960000000003"/>
    <n v="520.71389590000001"/>
    <n v="7018.0025459999997"/>
    <n v="-1467.6106609999999"/>
    <n v="15813.256799999999"/>
    <x v="151"/>
    <s v="May-2021"/>
  </r>
  <r>
    <x v="152"/>
    <s v="SEN"/>
    <x v="1"/>
    <x v="5"/>
    <x v="5"/>
    <s v="predicted"/>
    <n v="7103.522234"/>
    <n v="7638.0119999999997"/>
    <n v="534.48976570000002"/>
    <n v="7552.4923120000003"/>
    <n v="-883.17989829999999"/>
    <n v="16395.151730000001"/>
    <x v="151"/>
    <s v="Jun-2021"/>
  </r>
  <r>
    <x v="152"/>
    <s v="SEN"/>
    <x v="1"/>
    <x v="6"/>
    <x v="6"/>
    <s v="predicted"/>
    <n v="7224.1465859999998"/>
    <n v="8767.0730000000003"/>
    <n v="1542.926414"/>
    <n v="9095.4187259999999"/>
    <n v="68.476565539999996"/>
    <n v="18724.086569999999"/>
    <x v="151"/>
    <s v="Jul-2021"/>
  </r>
  <r>
    <x v="152"/>
    <s v="SEN"/>
    <x v="1"/>
    <x v="7"/>
    <x v="7"/>
    <s v="predicted"/>
    <n v="7231.9744920000003"/>
    <n v="8873.3549999999996"/>
    <n v="1641.380508"/>
    <n v="10736.799230000001"/>
    <n v="1652.1768050000001"/>
    <n v="20735.13811"/>
    <x v="151"/>
    <s v="Aug-2021"/>
  </r>
  <r>
    <x v="152"/>
    <s v="SEN"/>
    <x v="1"/>
    <x v="8"/>
    <x v="8"/>
    <s v="predicted"/>
    <n v="7252.0225899999996"/>
    <n v="7638.1170000000002"/>
    <n v="386.09440949999998"/>
    <n v="11122.89364"/>
    <n v="1336.0184489999999"/>
    <n v="20846.048220000001"/>
    <x v="151"/>
    <s v="Sep-2021"/>
  </r>
  <r>
    <x v="152"/>
    <s v="SEN"/>
    <x v="1"/>
    <x v="9"/>
    <x v="9"/>
    <s v="predicted"/>
    <n v="7195.905769"/>
    <n v="7164.4530000000004"/>
    <n v="-31.452768679999998"/>
    <n v="11091.44087"/>
    <n v="1169.309839"/>
    <n v="21255.667590000001"/>
    <x v="151"/>
    <s v="Oct-2021"/>
  </r>
  <r>
    <x v="152"/>
    <s v="SEN"/>
    <x v="1"/>
    <x v="10"/>
    <x v="10"/>
    <s v="predicted"/>
    <n v="7262.2949619999999"/>
    <n v="7269.5959999999995"/>
    <n v="7.3010378100000004"/>
    <n v="11098.741910000001"/>
    <n v="925.21780349999995"/>
    <n v="21151.712879999999"/>
    <x v="151"/>
    <s v="Nov-2021"/>
  </r>
  <r>
    <x v="152"/>
    <s v="SEN"/>
    <x v="1"/>
    <x v="11"/>
    <x v="11"/>
    <s v="predicted"/>
    <n v="7336.2636830000001"/>
    <n v="7411.4520000000002"/>
    <n v="75.188317040000001"/>
    <n v="11173.93023"/>
    <n v="721.67323439999996"/>
    <n v="21556.334569999999"/>
    <x v="151"/>
    <s v="Dec-2021"/>
  </r>
  <r>
    <x v="153"/>
    <s v="SGP"/>
    <x v="0"/>
    <x v="0"/>
    <x v="0"/>
    <s v="reported"/>
    <n v="1795.1203"/>
    <n v="2091"/>
    <n v="295.87969980000003"/>
    <n v="295.87969980000003"/>
    <n v="237.3777863"/>
    <n v="351.6160443"/>
    <x v="152"/>
    <s v="Jan-2020"/>
  </r>
  <r>
    <x v="153"/>
    <s v="SGP"/>
    <x v="0"/>
    <x v="1"/>
    <x v="1"/>
    <s v="reported"/>
    <n v="1805.344656"/>
    <n v="1762"/>
    <n v="-43.344655789999997"/>
    <n v="252.535044"/>
    <n v="162.8096017"/>
    <n v="342.69912890000001"/>
    <x v="152"/>
    <s v="Feb-2020"/>
  </r>
  <r>
    <x v="153"/>
    <s v="SGP"/>
    <x v="0"/>
    <x v="2"/>
    <x v="2"/>
    <s v="reported"/>
    <n v="1822.465242"/>
    <n v="1891"/>
    <n v="68.534757499999998"/>
    <n v="321.06980149999998"/>
    <n v="207.04760469999999"/>
    <n v="432.07934829999999"/>
    <x v="152"/>
    <s v="Mar-2020"/>
  </r>
  <r>
    <x v="153"/>
    <s v="SGP"/>
    <x v="0"/>
    <x v="3"/>
    <x v="3"/>
    <s v="reported"/>
    <n v="1845.645804"/>
    <n v="1913"/>
    <n v="67.354195540000006"/>
    <n v="388.42399710000001"/>
    <n v="249.9205681"/>
    <n v="514.1007055"/>
    <x v="152"/>
    <s v="Apr-2020"/>
  </r>
  <r>
    <x v="153"/>
    <s v="SGP"/>
    <x v="0"/>
    <x v="4"/>
    <x v="4"/>
    <s v="reported"/>
    <n v="1873.3902430000001"/>
    <n v="1874"/>
    <n v="0.60975687899999997"/>
    <n v="389.03375390000002"/>
    <n v="232.18569679999999"/>
    <n v="536.80392970000003"/>
    <x v="152"/>
    <s v="May-2020"/>
  </r>
  <r>
    <x v="153"/>
    <s v="SGP"/>
    <x v="0"/>
    <x v="5"/>
    <x v="5"/>
    <s v="reported"/>
    <n v="1884.665401"/>
    <n v="1761"/>
    <n v="-123.6654015"/>
    <n v="265.36835250000001"/>
    <n v="91.607883540000003"/>
    <n v="431.22997370000002"/>
    <x v="152"/>
    <s v="Jun-2020"/>
  </r>
  <r>
    <x v="153"/>
    <s v="SGP"/>
    <x v="0"/>
    <x v="6"/>
    <x v="6"/>
    <s v="reported"/>
    <n v="1880.3662939999999"/>
    <n v="1759"/>
    <n v="-121.3662939"/>
    <n v="144.0020586"/>
    <n v="-42.258999420000002"/>
    <n v="326.29009230000003"/>
    <x v="152"/>
    <s v="Jul-2020"/>
  </r>
  <r>
    <x v="153"/>
    <s v="SGP"/>
    <x v="0"/>
    <x v="7"/>
    <x v="7"/>
    <s v="reported"/>
    <n v="1850.539338"/>
    <n v="1860"/>
    <n v="9.4606624279999991"/>
    <n v="153.46272099999999"/>
    <n v="-38.244131430000003"/>
    <n v="334.84426450000001"/>
    <x v="152"/>
    <s v="Aug-2020"/>
  </r>
  <r>
    <x v="153"/>
    <s v="SGP"/>
    <x v="0"/>
    <x v="8"/>
    <x v="8"/>
    <s v="reported"/>
    <n v="1820.4631790000001"/>
    <n v="1751"/>
    <n v="-69.463179069999995"/>
    <n v="83.999541960000002"/>
    <n v="-126.0290459"/>
    <n v="287.91653050000002"/>
    <x v="152"/>
    <s v="Sep-2020"/>
  </r>
  <r>
    <x v="153"/>
    <s v="SGP"/>
    <x v="0"/>
    <x v="9"/>
    <x v="9"/>
    <s v="reported"/>
    <n v="1814.1075169999999"/>
    <n v="1770"/>
    <n v="-44.107516850000003"/>
    <n v="39.892025109999999"/>
    <n v="-191.59018349999999"/>
    <n v="249.0782715"/>
    <x v="152"/>
    <s v="Oct-2020"/>
  </r>
  <r>
    <x v="153"/>
    <s v="SGP"/>
    <x v="0"/>
    <x v="10"/>
    <x v="10"/>
    <s v="reported"/>
    <n v="1818.7909990000001"/>
    <n v="1771"/>
    <n v="-47.790999190000001"/>
    <n v="-7.8989740819999996"/>
    <n v="-238.55512820000001"/>
    <n v="214.21434909999999"/>
    <x v="152"/>
    <s v="Nov-2020"/>
  </r>
  <r>
    <x v="153"/>
    <s v="SGP"/>
    <x v="0"/>
    <x v="11"/>
    <x v="11"/>
    <s v="reported"/>
    <n v="1829.9734559999999"/>
    <n v="1851"/>
    <n v="21.02654364"/>
    <n v="13.12756956"/>
    <n v="-233.13227449999999"/>
    <n v="241.6983716"/>
    <x v="152"/>
    <s v="Dec-2020"/>
  </r>
  <r>
    <x v="153"/>
    <s v="SGP"/>
    <x v="1"/>
    <x v="0"/>
    <x v="0"/>
    <s v="reported"/>
    <n v="1835.2527250000001"/>
    <n v="1871"/>
    <n v="35.747274859999997"/>
    <n v="48.874844420000002"/>
    <n v="-212.21772440000001"/>
    <n v="287.73234789999998"/>
    <x v="152"/>
    <s v="Jan-2021"/>
  </r>
  <r>
    <x v="153"/>
    <s v="SGP"/>
    <x v="1"/>
    <x v="1"/>
    <x v="1"/>
    <s v="reported"/>
    <n v="1843.0289620000001"/>
    <n v="1769"/>
    <n v="-74.028961699999996"/>
    <n v="-25.154117280000001"/>
    <n v="-283.88981209999997"/>
    <n v="232.1460423"/>
    <x v="152"/>
    <s v="Feb-2021"/>
  </r>
  <r>
    <x v="153"/>
    <s v="SGP"/>
    <x v="1"/>
    <x v="2"/>
    <x v="2"/>
    <s v="reported"/>
    <n v="1864.214111"/>
    <n v="1924"/>
    <n v="59.785889189999999"/>
    <n v="34.631771909999998"/>
    <n v="-253.38072529999999"/>
    <n v="295.63843739999999"/>
    <x v="152"/>
    <s v="Mar-2021"/>
  </r>
  <r>
    <x v="153"/>
    <s v="SGP"/>
    <x v="1"/>
    <x v="3"/>
    <x v="3"/>
    <s v="reported"/>
    <n v="1885.48083"/>
    <n v="1938"/>
    <n v="52.519170299999999"/>
    <n v="87.150942200000003"/>
    <n v="-200.26324220000001"/>
    <n v="373.1975041"/>
    <x v="152"/>
    <s v="Apr-2021"/>
  </r>
  <r>
    <x v="153"/>
    <s v="SGP"/>
    <x v="1"/>
    <x v="4"/>
    <x v="4"/>
    <s v="reported"/>
    <n v="1910.5436179999999"/>
    <n v="1975"/>
    <n v="64.456382489999996"/>
    <n v="151.60732469999999"/>
    <n v="-164.92084639999999"/>
    <n v="436.01521930000001"/>
    <x v="152"/>
    <s v="May-2021"/>
  </r>
  <r>
    <x v="153"/>
    <s v="SGP"/>
    <x v="1"/>
    <x v="5"/>
    <x v="5"/>
    <s v="reported"/>
    <n v="1924.085145"/>
    <n v="1937"/>
    <n v="12.914855040000001"/>
    <n v="164.52217970000001"/>
    <n v="-160.2395578"/>
    <n v="468.93589759999998"/>
    <x v="152"/>
    <s v="Jun-2021"/>
  </r>
  <r>
    <x v="153"/>
    <s v="SGP"/>
    <x v="1"/>
    <x v="6"/>
    <x v="6"/>
    <s v="reported"/>
    <n v="1918.369074"/>
    <n v="1998"/>
    <n v="79.630926099999996"/>
    <n v="244.15310579999999"/>
    <n v="-87.864718389999993"/>
    <n v="555.89932529999999"/>
    <x v="152"/>
    <s v="Jul-2021"/>
  </r>
  <r>
    <x v="153"/>
    <s v="SGP"/>
    <x v="1"/>
    <x v="7"/>
    <x v="7"/>
    <s v="reported"/>
    <n v="1891.8218449999999"/>
    <n v="1967"/>
    <n v="75.178154930000005"/>
    <n v="319.3312608"/>
    <n v="-18.358933589999999"/>
    <n v="640.01532150000003"/>
    <x v="152"/>
    <s v="Aug-2021"/>
  </r>
  <r>
    <x v="153"/>
    <s v="SGP"/>
    <x v="1"/>
    <x v="8"/>
    <x v="8"/>
    <s v="reported"/>
    <n v="1861.5533700000001"/>
    <n v="1965"/>
    <n v="103.4466302"/>
    <n v="422.77789100000001"/>
    <n v="84.577494340000001"/>
    <n v="762.806556"/>
    <x v="152"/>
    <s v="Sep-2021"/>
  </r>
  <r>
    <x v="153"/>
    <s v="SGP"/>
    <x v="1"/>
    <x v="9"/>
    <x v="9"/>
    <s v="reported"/>
    <n v="1850.5698339999999"/>
    <n v="2492"/>
    <n v="641.43016550000004"/>
    <n v="1064.2080559999999"/>
    <n v="711.7607855"/>
    <n v="1400.8113840000001"/>
    <x v="152"/>
    <s v="Oct-2021"/>
  </r>
  <r>
    <x v="153"/>
    <s v="SGP"/>
    <x v="1"/>
    <x v="10"/>
    <x v="10"/>
    <s v="reported"/>
    <n v="1853.319902"/>
    <n v="2349"/>
    <n v="495.68009760000001"/>
    <n v="1559.888154"/>
    <n v="1198.3597319999999"/>
    <n v="1905.704853"/>
    <x v="152"/>
    <s v="Nov-2021"/>
  </r>
  <r>
    <x v="153"/>
    <s v="SGP"/>
    <x v="1"/>
    <x v="11"/>
    <x v="11"/>
    <s v="reported"/>
    <n v="1869.740538"/>
    <n v="2107"/>
    <n v="237.25946160000001"/>
    <n v="1797.147616"/>
    <n v="1421.701865"/>
    <n v="2158.6189559999998"/>
    <x v="152"/>
    <s v="Dec-2021"/>
  </r>
  <r>
    <x v="154"/>
    <s v="SLB"/>
    <x v="0"/>
    <x v="0"/>
    <x v="0"/>
    <s v="predicted"/>
    <n v="403.8162102"/>
    <n v="405.596"/>
    <n v="1.779789845"/>
    <n v="1.779789845"/>
    <n v="-110.019682"/>
    <n v="138.72381720000001"/>
    <x v="153"/>
    <s v="Jan-2020"/>
  </r>
  <r>
    <x v="154"/>
    <s v="SLB"/>
    <x v="0"/>
    <x v="1"/>
    <x v="1"/>
    <s v="predicted"/>
    <n v="404.81821459999998"/>
    <n v="395.36"/>
    <n v="-9.4582145700000009"/>
    <n v="-7.6784247260000003"/>
    <n v="-170.58525069999999"/>
    <n v="184.1937604"/>
    <x v="153"/>
    <s v="Feb-2020"/>
  </r>
  <r>
    <x v="154"/>
    <s v="SLB"/>
    <x v="0"/>
    <x v="2"/>
    <x v="2"/>
    <s v="predicted"/>
    <n v="405.42501199999998"/>
    <n v="409.971"/>
    <n v="4.5459880180000001"/>
    <n v="-3.1324367080000002"/>
    <n v="-206.45689279999999"/>
    <n v="224.9757611"/>
    <x v="153"/>
    <s v="Mar-2020"/>
  </r>
  <r>
    <x v="154"/>
    <s v="SLB"/>
    <x v="0"/>
    <x v="3"/>
    <x v="3"/>
    <s v="predicted"/>
    <n v="405.483069"/>
    <n v="398.286"/>
    <n v="-7.1970690490000004"/>
    <n v="-10.32950576"/>
    <n v="-242.85422919999999"/>
    <n v="255.43567680000001"/>
    <x v="153"/>
    <s v="Apr-2020"/>
  </r>
  <r>
    <x v="154"/>
    <s v="SLB"/>
    <x v="0"/>
    <x v="4"/>
    <x v="4"/>
    <s v="predicted"/>
    <n v="406.52739730000002"/>
    <n v="416.13400000000001"/>
    <n v="9.6066027260000002"/>
    <n v="-0.72290303199999995"/>
    <n v="-254.7629421"/>
    <n v="286.0348874"/>
    <x v="153"/>
    <s v="May-2020"/>
  </r>
  <r>
    <x v="154"/>
    <s v="SLB"/>
    <x v="0"/>
    <x v="5"/>
    <x v="5"/>
    <s v="predicted"/>
    <n v="407.61017470000002"/>
    <n v="427.37400000000002"/>
    <n v="19.76382533"/>
    <n v="19.040922299999998"/>
    <n v="-254.84867940000001"/>
    <n v="356.25575780000003"/>
    <x v="153"/>
    <s v="Jun-2020"/>
  </r>
  <r>
    <x v="154"/>
    <s v="SLB"/>
    <x v="0"/>
    <x v="6"/>
    <x v="6"/>
    <s v="predicted"/>
    <n v="408.62256300000001"/>
    <n v="424.76900000000001"/>
    <n v="16.146436949999998"/>
    <n v="35.18735925"/>
    <n v="-267.6737468"/>
    <n v="366.4911184"/>
    <x v="153"/>
    <s v="Jul-2020"/>
  </r>
  <r>
    <x v="154"/>
    <s v="SLB"/>
    <x v="0"/>
    <x v="7"/>
    <x v="7"/>
    <s v="predicted"/>
    <n v="407.95867980000003"/>
    <n v="430.52"/>
    <n v="22.56132023"/>
    <n v="57.74867948"/>
    <n v="-269.47577180000002"/>
    <n v="419.81931479999997"/>
    <x v="153"/>
    <s v="Aug-2020"/>
  </r>
  <r>
    <x v="154"/>
    <s v="SLB"/>
    <x v="0"/>
    <x v="8"/>
    <x v="8"/>
    <s v="predicted"/>
    <n v="406.51107539999998"/>
    <n v="428.20100000000002"/>
    <n v="21.689924569999999"/>
    <n v="79.438604049999995"/>
    <n v="-260.2436682"/>
    <n v="459.10530670000003"/>
    <x v="153"/>
    <s v="Sep-2020"/>
  </r>
  <r>
    <x v="154"/>
    <s v="SLB"/>
    <x v="0"/>
    <x v="9"/>
    <x v="9"/>
    <s v="predicted"/>
    <n v="404.94125750000001"/>
    <n v="424.65"/>
    <n v="19.70874246"/>
    <n v="99.147346519999999"/>
    <n v="-260.40256890000001"/>
    <n v="493.83841760000001"/>
    <x v="153"/>
    <s v="Oct-2020"/>
  </r>
  <r>
    <x v="154"/>
    <s v="SLB"/>
    <x v="0"/>
    <x v="10"/>
    <x v="10"/>
    <s v="predicted"/>
    <n v="404.8441062"/>
    <n v="418.26100000000002"/>
    <n v="13.4168938"/>
    <n v="112.56424029999999"/>
    <n v="-272.33048389999999"/>
    <n v="520.97447309999995"/>
    <x v="153"/>
    <s v="Nov-2020"/>
  </r>
  <r>
    <x v="154"/>
    <s v="SLB"/>
    <x v="0"/>
    <x v="11"/>
    <x v="11"/>
    <s v="predicted"/>
    <n v="404.2761453"/>
    <n v="417.358"/>
    <n v="13.081854659999999"/>
    <n v="125.646095"/>
    <n v="-276.51488019999999"/>
    <n v="562.81529569999998"/>
    <x v="153"/>
    <s v="Dec-2020"/>
  </r>
  <r>
    <x v="154"/>
    <s v="SLB"/>
    <x v="1"/>
    <x v="0"/>
    <x v="0"/>
    <s v="predicted"/>
    <n v="413.27548080000003"/>
    <n v="425.43"/>
    <n v="12.154519240000001"/>
    <n v="137.80061420000001"/>
    <n v="-286.69578430000001"/>
    <n v="593.55620529999999"/>
    <x v="153"/>
    <s v="Jan-2021"/>
  </r>
  <r>
    <x v="154"/>
    <s v="SLB"/>
    <x v="1"/>
    <x v="1"/>
    <x v="1"/>
    <s v="predicted"/>
    <n v="414.4295348"/>
    <n v="432.25900000000001"/>
    <n v="17.829465160000002"/>
    <n v="155.6300794"/>
    <n v="-296.01612449999999"/>
    <n v="635.92788829999995"/>
    <x v="153"/>
    <s v="Feb-2021"/>
  </r>
  <r>
    <x v="154"/>
    <s v="SLB"/>
    <x v="1"/>
    <x v="2"/>
    <x v="2"/>
    <s v="predicted"/>
    <n v="414.63879309999999"/>
    <n v="429.46499999999997"/>
    <n v="14.82620693"/>
    <n v="170.45628629999999"/>
    <n v="-306.8936506"/>
    <n v="667.53817530000003"/>
    <x v="153"/>
    <s v="Mar-2021"/>
  </r>
  <r>
    <x v="154"/>
    <s v="SLB"/>
    <x v="1"/>
    <x v="3"/>
    <x v="3"/>
    <s v="predicted"/>
    <n v="415.4280723"/>
    <n v="435.92099999999999"/>
    <n v="20.492927699999999"/>
    <n v="190.94921400000001"/>
    <n v="-292.08142270000002"/>
    <n v="714.9463733"/>
    <x v="153"/>
    <s v="Apr-2021"/>
  </r>
  <r>
    <x v="154"/>
    <s v="SLB"/>
    <x v="1"/>
    <x v="4"/>
    <x v="4"/>
    <s v="predicted"/>
    <n v="415.77986069999997"/>
    <n v="447.47"/>
    <n v="31.690139299999998"/>
    <n v="222.63935330000001"/>
    <n v="-289.18045949999998"/>
    <n v="763.54523359999996"/>
    <x v="153"/>
    <s v="May-2021"/>
  </r>
  <r>
    <x v="154"/>
    <s v="SLB"/>
    <x v="1"/>
    <x v="5"/>
    <x v="5"/>
    <s v="predicted"/>
    <n v="416.90827430000002"/>
    <n v="459.76499999999999"/>
    <n v="42.856725660000002"/>
    <n v="265.49607900000001"/>
    <n v="-256.23992820000001"/>
    <n v="802.3187964"/>
    <x v="153"/>
    <s v="Jun-2021"/>
  </r>
  <r>
    <x v="154"/>
    <s v="SLB"/>
    <x v="1"/>
    <x v="6"/>
    <x v="6"/>
    <s v="predicted"/>
    <n v="418.18458199999998"/>
    <n v="473.39400000000001"/>
    <n v="55.20941801"/>
    <n v="320.70549699999998"/>
    <n v="-234.0435214"/>
    <n v="895.72527460000003"/>
    <x v="153"/>
    <s v="Jul-2021"/>
  </r>
  <r>
    <x v="154"/>
    <s v="SLB"/>
    <x v="1"/>
    <x v="7"/>
    <x v="7"/>
    <s v="predicted"/>
    <n v="417.74738559999997"/>
    <n v="453.226"/>
    <n v="35.478614409999999"/>
    <n v="356.18411140000001"/>
    <n v="-210.27029379999999"/>
    <n v="940.45760810000002"/>
    <x v="153"/>
    <s v="Aug-2021"/>
  </r>
  <r>
    <x v="154"/>
    <s v="SLB"/>
    <x v="1"/>
    <x v="8"/>
    <x v="8"/>
    <s v="predicted"/>
    <n v="415.68363629999999"/>
    <n v="459.73"/>
    <n v="44.046363669999998"/>
    <n v="400.23047509999998"/>
    <n v="-184.68026119999999"/>
    <n v="1011.419858"/>
    <x v="153"/>
    <s v="Sep-2021"/>
  </r>
  <r>
    <x v="154"/>
    <s v="SLB"/>
    <x v="1"/>
    <x v="9"/>
    <x v="9"/>
    <s v="predicted"/>
    <n v="414.56051079999997"/>
    <n v="456.30799999999999"/>
    <n v="41.747489160000001"/>
    <n v="441.97796419999997"/>
    <n v="-156.72622999999999"/>
    <n v="1081.9456869999999"/>
    <x v="153"/>
    <s v="Oct-2021"/>
  </r>
  <r>
    <x v="154"/>
    <s v="SLB"/>
    <x v="1"/>
    <x v="10"/>
    <x v="10"/>
    <s v="predicted"/>
    <n v="414.2754668"/>
    <n v="454.79"/>
    <n v="40.514533190000002"/>
    <n v="482.49249739999999"/>
    <n v="-139.9995309"/>
    <n v="1131.1349419999999"/>
    <x v="153"/>
    <s v="Nov-2021"/>
  </r>
  <r>
    <x v="154"/>
    <s v="SLB"/>
    <x v="1"/>
    <x v="11"/>
    <x v="11"/>
    <s v="predicted"/>
    <n v="413.38058960000001"/>
    <n v="454.77499999999998"/>
    <n v="41.394410370000003"/>
    <n v="523.88690780000002"/>
    <n v="-132.87669840000001"/>
    <n v="1213.5031300000001"/>
    <x v="153"/>
    <s v="Dec-2021"/>
  </r>
  <r>
    <x v="155"/>
    <s v="SLE"/>
    <x v="0"/>
    <x v="0"/>
    <x v="0"/>
    <s v="predicted"/>
    <n v="5488.5813500000004"/>
    <n v="5567.9560000000001"/>
    <n v="79.374650410000001"/>
    <n v="79.374650410000001"/>
    <n v="-1303.0549570000001"/>
    <n v="1793.1581920000001"/>
    <x v="154"/>
    <s v="Jan-2020"/>
  </r>
  <r>
    <x v="155"/>
    <s v="SLE"/>
    <x v="0"/>
    <x v="1"/>
    <x v="1"/>
    <s v="predicted"/>
    <n v="5403.7884830000003"/>
    <n v="5449.39"/>
    <n v="45.601517000000001"/>
    <n v="124.97616739999999"/>
    <n v="-1937.168858"/>
    <n v="2315.9008330000001"/>
    <x v="154"/>
    <s v="Feb-2020"/>
  </r>
  <r>
    <x v="155"/>
    <s v="SLE"/>
    <x v="0"/>
    <x v="2"/>
    <x v="2"/>
    <s v="predicted"/>
    <n v="5389.9692649999997"/>
    <n v="5391.56"/>
    <n v="1.590734951"/>
    <n v="126.5669024"/>
    <n v="-2365.6179099999999"/>
    <n v="2940.8870419999998"/>
    <x v="154"/>
    <s v="Mar-2020"/>
  </r>
  <r>
    <x v="155"/>
    <s v="SLE"/>
    <x v="0"/>
    <x v="3"/>
    <x v="3"/>
    <s v="predicted"/>
    <n v="5378.4444560000002"/>
    <n v="5088.7160000000003"/>
    <n v="-289.72845599999999"/>
    <n v="-163.16155370000001"/>
    <n v="-3074.4736819999998"/>
    <n v="2913.8204350000001"/>
    <x v="154"/>
    <s v="Apr-2020"/>
  </r>
  <r>
    <x v="155"/>
    <s v="SLE"/>
    <x v="0"/>
    <x v="4"/>
    <x v="4"/>
    <s v="predicted"/>
    <n v="5431.0512250000002"/>
    <n v="5741.2470000000003"/>
    <n v="310.19577470000002"/>
    <n v="147.034221"/>
    <n v="-3197.5854509999999"/>
    <n v="3646.9544999999998"/>
    <x v="154"/>
    <s v="May-2020"/>
  </r>
  <r>
    <x v="155"/>
    <s v="SLE"/>
    <x v="0"/>
    <x v="5"/>
    <x v="5"/>
    <s v="predicted"/>
    <n v="5466.1688539999996"/>
    <n v="5820.8469999999998"/>
    <n v="354.67814620000001"/>
    <n v="501.71236720000002"/>
    <n v="-3268.2940950000002"/>
    <n v="4321.9194120000002"/>
    <x v="154"/>
    <s v="Jun-2020"/>
  </r>
  <r>
    <x v="155"/>
    <s v="SLE"/>
    <x v="0"/>
    <x v="6"/>
    <x v="6"/>
    <s v="predicted"/>
    <n v="5516.5899790000003"/>
    <n v="5845.9170000000004"/>
    <n v="329.32702060000003"/>
    <n v="831.03938779999999"/>
    <n v="-2933.9950610000001"/>
    <n v="5123.452319"/>
    <x v="154"/>
    <s v="Jul-2020"/>
  </r>
  <r>
    <x v="155"/>
    <s v="SLE"/>
    <x v="0"/>
    <x v="7"/>
    <x v="7"/>
    <s v="predicted"/>
    <n v="5514.958646"/>
    <n v="5787.3180000000002"/>
    <n v="272.359354"/>
    <n v="1103.3987420000001"/>
    <n v="-3243.4801499999999"/>
    <n v="5648.6251359999997"/>
    <x v="154"/>
    <s v="Aug-2020"/>
  </r>
  <r>
    <x v="155"/>
    <s v="SLE"/>
    <x v="0"/>
    <x v="8"/>
    <x v="8"/>
    <s v="predicted"/>
    <n v="5509.9350359999999"/>
    <n v="5715.5039999999999"/>
    <n v="205.56896359999999"/>
    <n v="1308.967705"/>
    <n v="-3499.5594270000001"/>
    <n v="6224.2414159999998"/>
    <x v="154"/>
    <s v="Sep-2020"/>
  </r>
  <r>
    <x v="155"/>
    <s v="SLE"/>
    <x v="0"/>
    <x v="9"/>
    <x v="9"/>
    <s v="predicted"/>
    <n v="5490.6613129999996"/>
    <n v="5574.7150000000001"/>
    <n v="84.05368713"/>
    <n v="1393.021393"/>
    <n v="-3429.1711559999999"/>
    <n v="6539.3300280000003"/>
    <x v="154"/>
    <s v="Oct-2020"/>
  </r>
  <r>
    <x v="155"/>
    <s v="SLE"/>
    <x v="0"/>
    <x v="10"/>
    <x v="10"/>
    <s v="predicted"/>
    <n v="5472.6705689999999"/>
    <n v="5438.1469999999999"/>
    <n v="-34.523568679999997"/>
    <n v="1358.497824"/>
    <n v="-3982.1098529999999"/>
    <n v="7003.8557289999999"/>
    <x v="154"/>
    <s v="Nov-2020"/>
  </r>
  <r>
    <x v="155"/>
    <s v="SLE"/>
    <x v="0"/>
    <x v="11"/>
    <x v="11"/>
    <s v="predicted"/>
    <n v="5457.0505789999997"/>
    <n v="5562.2"/>
    <n v="105.1494206"/>
    <n v="1463.647244"/>
    <n v="-3774.714379"/>
    <n v="7152.8692359999995"/>
    <x v="154"/>
    <s v="Dec-2020"/>
  </r>
  <r>
    <x v="155"/>
    <s v="SLE"/>
    <x v="1"/>
    <x v="0"/>
    <x v="0"/>
    <s v="predicted"/>
    <n v="5363.6779189999997"/>
    <n v="5550.9780000000001"/>
    <n v="187.30008140000001"/>
    <n v="1650.947326"/>
    <n v="-4061.490996"/>
    <n v="7524.2750999999998"/>
    <x v="154"/>
    <s v="Jan-2021"/>
  </r>
  <r>
    <x v="155"/>
    <s v="SLE"/>
    <x v="1"/>
    <x v="1"/>
    <x v="1"/>
    <s v="predicted"/>
    <n v="5283.5282100000004"/>
    <n v="5364.8940000000002"/>
    <n v="81.365790079999996"/>
    <n v="1732.313116"/>
    <n v="-4061.6722490000002"/>
    <n v="8050.1081409999997"/>
    <x v="154"/>
    <s v="Feb-2021"/>
  </r>
  <r>
    <x v="155"/>
    <s v="SLE"/>
    <x v="1"/>
    <x v="2"/>
    <x v="2"/>
    <s v="predicted"/>
    <n v="5271.4755530000002"/>
    <n v="5416.723"/>
    <n v="145.2474473"/>
    <n v="1877.560563"/>
    <n v="-4108.0198330000003"/>
    <n v="8248.4117920000008"/>
    <x v="154"/>
    <s v="Mar-2021"/>
  </r>
  <r>
    <x v="155"/>
    <s v="SLE"/>
    <x v="1"/>
    <x v="3"/>
    <x v="3"/>
    <s v="predicted"/>
    <n v="5260.1347779999996"/>
    <n v="5285.3059999999996"/>
    <n v="25.171222369999999"/>
    <n v="1902.7317860000001"/>
    <n v="-4437.4085379999997"/>
    <n v="8682.0503320000007"/>
    <x v="154"/>
    <s v="Apr-2021"/>
  </r>
  <r>
    <x v="155"/>
    <s v="SLE"/>
    <x v="1"/>
    <x v="4"/>
    <x v="4"/>
    <s v="predicted"/>
    <n v="5307.0692200000003"/>
    <n v="5289.9470000000001"/>
    <n v="-17.12221976"/>
    <n v="1885.6095660000001"/>
    <n v="-4706.5670700000001"/>
    <n v="8853.4118550000003"/>
    <x v="154"/>
    <s v="May-2021"/>
  </r>
  <r>
    <x v="155"/>
    <s v="SLE"/>
    <x v="1"/>
    <x v="5"/>
    <x v="5"/>
    <s v="predicted"/>
    <n v="5346.4104280000001"/>
    <n v="5628.6049999999996"/>
    <n v="282.1945723"/>
    <n v="2167.804138"/>
    <n v="-4693.550115"/>
    <n v="9080.9320119999993"/>
    <x v="154"/>
    <s v="Jun-2021"/>
  </r>
  <r>
    <x v="155"/>
    <s v="SLE"/>
    <x v="1"/>
    <x v="6"/>
    <x v="6"/>
    <s v="predicted"/>
    <n v="5395.0447249999997"/>
    <n v="5704.1289999999999"/>
    <n v="309.08427510000001"/>
    <n v="2476.8884130000001"/>
    <n v="-4548.0986970000004"/>
    <n v="9563.0205370000003"/>
    <x v="154"/>
    <s v="Jul-2021"/>
  </r>
  <r>
    <x v="155"/>
    <s v="SLE"/>
    <x v="1"/>
    <x v="7"/>
    <x v="7"/>
    <s v="predicted"/>
    <n v="5389.3564820000001"/>
    <n v="5448.4849999999997"/>
    <n v="59.128518030000002"/>
    <n v="2536.0169310000001"/>
    <n v="-4498.4259160000001"/>
    <n v="9756.9753020000007"/>
    <x v="154"/>
    <s v="Aug-2021"/>
  </r>
  <r>
    <x v="155"/>
    <s v="SLE"/>
    <x v="1"/>
    <x v="8"/>
    <x v="8"/>
    <s v="predicted"/>
    <n v="5376.7310159999997"/>
    <n v="5348.34"/>
    <n v="-28.39101595"/>
    <n v="2507.625916"/>
    <n v="-4780.9731590000001"/>
    <n v="9973.5874000000003"/>
    <x v="154"/>
    <s v="Sep-2021"/>
  </r>
  <r>
    <x v="155"/>
    <s v="SLE"/>
    <x v="1"/>
    <x v="9"/>
    <x v="9"/>
    <s v="predicted"/>
    <n v="5372.9424570000001"/>
    <n v="5298.7659999999996"/>
    <n v="-74.176457409999998"/>
    <n v="2433.449458"/>
    <n v="-5152.0202099999997"/>
    <n v="10078.609640000001"/>
    <x v="154"/>
    <s v="Oct-2021"/>
  </r>
  <r>
    <x v="155"/>
    <s v="SLE"/>
    <x v="1"/>
    <x v="10"/>
    <x v="10"/>
    <s v="predicted"/>
    <n v="5342.9946810000001"/>
    <n v="5357.9290000000001"/>
    <n v="14.934319240000001"/>
    <n v="2448.383777"/>
    <n v="-5094.6809919999996"/>
    <n v="10267.210520000001"/>
    <x v="154"/>
    <s v="Nov-2021"/>
  </r>
  <r>
    <x v="155"/>
    <s v="SLE"/>
    <x v="1"/>
    <x v="11"/>
    <x v="11"/>
    <s v="predicted"/>
    <n v="5334.2710800000004"/>
    <n v="5644.808"/>
    <n v="310.53691950000001"/>
    <n v="2758.920697"/>
    <n v="-4856.4734420000004"/>
    <n v="10603.775"/>
    <x v="154"/>
    <s v="Dec-2021"/>
  </r>
  <r>
    <x v="156"/>
    <s v="SLV"/>
    <x v="0"/>
    <x v="0"/>
    <x v="0"/>
    <s v="reported"/>
    <n v="3413.14536"/>
    <n v="4545"/>
    <n v="1131.85464"/>
    <n v="1131.85464"/>
    <n v="845.48645910000005"/>
    <n v="1396.8485479999999"/>
    <x v="155"/>
    <s v="Jan-2020"/>
  </r>
  <r>
    <x v="156"/>
    <s v="SLV"/>
    <x v="0"/>
    <x v="1"/>
    <x v="1"/>
    <s v="reported"/>
    <n v="3391.7771120000002"/>
    <n v="3102"/>
    <n v="-289.77711169999998"/>
    <n v="842.07752779999998"/>
    <n v="471.64545279999999"/>
    <n v="1215.54611"/>
    <x v="155"/>
    <s v="Feb-2020"/>
  </r>
  <r>
    <x v="156"/>
    <s v="SLV"/>
    <x v="0"/>
    <x v="2"/>
    <x v="2"/>
    <s v="reported"/>
    <n v="3400.1500270000001"/>
    <n v="2610"/>
    <n v="-790.15002700000002"/>
    <n v="51.927500889999997"/>
    <n v="-421.48637480000002"/>
    <n v="524.01831189999996"/>
    <x v="155"/>
    <s v="Mar-2020"/>
  </r>
  <r>
    <x v="156"/>
    <s v="SLV"/>
    <x v="0"/>
    <x v="3"/>
    <x v="3"/>
    <s v="reported"/>
    <n v="3437.0277289999999"/>
    <n v="1906"/>
    <n v="-1531.0277289999999"/>
    <n v="-1479.100228"/>
    <n v="-2065.668467"/>
    <n v="-923.66412270000001"/>
    <x v="155"/>
    <s v="Apr-2020"/>
  </r>
  <r>
    <x v="156"/>
    <s v="SLV"/>
    <x v="0"/>
    <x v="4"/>
    <x v="4"/>
    <s v="reported"/>
    <n v="3485.432843"/>
    <n v="2082"/>
    <n v="-1403.432843"/>
    <n v="-2882.5330709999998"/>
    <n v="-3529.9786819999999"/>
    <n v="-2238.3199650000001"/>
    <x v="155"/>
    <s v="May-2020"/>
  </r>
  <r>
    <x v="156"/>
    <s v="SLV"/>
    <x v="0"/>
    <x v="5"/>
    <x v="5"/>
    <s v="reported"/>
    <n v="3522.4906729999998"/>
    <n v="5930"/>
    <n v="2407.5093270000002"/>
    <n v="-475.02374429999998"/>
    <n v="-1162.2663319999999"/>
    <n v="247.03043260000001"/>
    <x v="155"/>
    <s v="Jun-2020"/>
  </r>
  <r>
    <x v="156"/>
    <s v="SLV"/>
    <x v="0"/>
    <x v="6"/>
    <x v="6"/>
    <s v="reported"/>
    <n v="3528.5794660000001"/>
    <n v="8467"/>
    <n v="4938.4205339999999"/>
    <n v="4463.3967890000004"/>
    <n v="3685.4618620000001"/>
    <n v="5267.4706910000004"/>
    <x v="155"/>
    <s v="Jul-2020"/>
  </r>
  <r>
    <x v="156"/>
    <s v="SLV"/>
    <x v="0"/>
    <x v="7"/>
    <x v="7"/>
    <s v="reported"/>
    <n v="3512.0218850000001"/>
    <n v="5210"/>
    <n v="1697.9781149999999"/>
    <n v="6161.3749040000002"/>
    <n v="5334.4792939999998"/>
    <n v="7006.4771090000004"/>
    <x v="155"/>
    <s v="Aug-2020"/>
  </r>
  <r>
    <x v="156"/>
    <s v="SLV"/>
    <x v="0"/>
    <x v="8"/>
    <x v="8"/>
    <s v="predicted"/>
    <n v="3492.2950580000002"/>
    <n v="3993.65"/>
    <n v="501.35494249999999"/>
    <n v="6662.7298469999996"/>
    <n v="5298.6195390000003"/>
    <n v="8226.0688859999991"/>
    <x v="155"/>
    <s v="Sep-2020"/>
  </r>
  <r>
    <x v="156"/>
    <s v="SLV"/>
    <x v="0"/>
    <x v="9"/>
    <x v="9"/>
    <s v="predicted"/>
    <n v="3455.9527800000001"/>
    <n v="3887.1350000000002"/>
    <n v="431.18221999999997"/>
    <n v="7093.9120670000002"/>
    <n v="5321.7501599999996"/>
    <n v="9123.3814380000003"/>
    <x v="155"/>
    <s v="Oct-2020"/>
  </r>
  <r>
    <x v="156"/>
    <s v="SLV"/>
    <x v="0"/>
    <x v="10"/>
    <x v="10"/>
    <s v="predicted"/>
    <n v="3425.27297"/>
    <n v="3851.1880000000001"/>
    <n v="425.91502969999999"/>
    <n v="7519.8270970000003"/>
    <n v="5319.1664600000004"/>
    <n v="9889.7344900000007"/>
    <x v="155"/>
    <s v="Nov-2020"/>
  </r>
  <r>
    <x v="156"/>
    <s v="SLV"/>
    <x v="0"/>
    <x v="11"/>
    <x v="11"/>
    <s v="predicted"/>
    <n v="3381.7458270000002"/>
    <n v="4053.8270000000002"/>
    <n v="672.08117259999995"/>
    <n v="8191.9082689999996"/>
    <n v="5479.9091170000002"/>
    <n v="11052.95528"/>
    <x v="155"/>
    <s v="Dec-2020"/>
  </r>
  <r>
    <x v="156"/>
    <s v="SLV"/>
    <x v="1"/>
    <x v="0"/>
    <x v="0"/>
    <s v="predicted"/>
    <n v="3388.4161450000001"/>
    <n v="4300.2830000000004"/>
    <n v="911.86685460000001"/>
    <n v="9103.7751239999998"/>
    <n v="5859.0328689999997"/>
    <n v="12607.24575"/>
    <x v="155"/>
    <s v="Jan-2021"/>
  </r>
  <r>
    <x v="156"/>
    <s v="SLV"/>
    <x v="1"/>
    <x v="1"/>
    <x v="1"/>
    <s v="predicted"/>
    <n v="3379.266329"/>
    <n v="4180.9229999999998"/>
    <n v="801.65667089999999"/>
    <n v="9905.4317950000004"/>
    <n v="6219.5663109999996"/>
    <n v="13602.788119999999"/>
    <x v="155"/>
    <s v="Feb-2021"/>
  </r>
  <r>
    <x v="156"/>
    <s v="SLV"/>
    <x v="1"/>
    <x v="2"/>
    <x v="2"/>
    <s v="predicted"/>
    <n v="3384.6593929999999"/>
    <n v="4102.982"/>
    <n v="718.3226075"/>
    <n v="10623.7544"/>
    <n v="6483.279998"/>
    <n v="14800.38566"/>
    <x v="155"/>
    <s v="Mar-2021"/>
  </r>
  <r>
    <x v="156"/>
    <s v="SLV"/>
    <x v="1"/>
    <x v="3"/>
    <x v="3"/>
    <s v="predicted"/>
    <n v="3423.9639099999999"/>
    <n v="4118.3180000000002"/>
    <n v="694.35408949999999"/>
    <n v="11318.108490000001"/>
    <n v="6993.0222999999996"/>
    <n v="15897.548210000001"/>
    <x v="155"/>
    <s v="Apr-2021"/>
  </r>
  <r>
    <x v="156"/>
    <s v="SLV"/>
    <x v="1"/>
    <x v="4"/>
    <x v="4"/>
    <s v="predicted"/>
    <n v="3461.4056340000002"/>
    <n v="4193.68"/>
    <n v="732.27436620000003"/>
    <n v="12050.38286"/>
    <n v="7322.1555340000004"/>
    <n v="16851.581610000001"/>
    <x v="155"/>
    <s v="May-2021"/>
  </r>
  <r>
    <x v="156"/>
    <s v="SLV"/>
    <x v="1"/>
    <x v="5"/>
    <x v="5"/>
    <s v="predicted"/>
    <n v="3494.7299680000001"/>
    <n v="4226.0569999999998"/>
    <n v="731.32703170000002"/>
    <n v="12781.70989"/>
    <n v="7621.897309"/>
    <n v="18119.913079999998"/>
    <x v="155"/>
    <s v="Jun-2021"/>
  </r>
  <r>
    <x v="156"/>
    <s v="SLV"/>
    <x v="1"/>
    <x v="6"/>
    <x v="6"/>
    <s v="predicted"/>
    <n v="3506.5225180000002"/>
    <n v="4406.3040000000001"/>
    <n v="899.78148250000004"/>
    <n v="13681.49137"/>
    <n v="8173.9742459999998"/>
    <n v="19550.03455"/>
    <x v="155"/>
    <s v="Jul-2021"/>
  </r>
  <r>
    <x v="156"/>
    <s v="SLV"/>
    <x v="1"/>
    <x v="7"/>
    <x v="7"/>
    <s v="predicted"/>
    <n v="3507.0314899999998"/>
    <n v="4523.9880000000003"/>
    <n v="1016.95651"/>
    <n v="14698.44788"/>
    <n v="8838.4469000000008"/>
    <n v="20940.141090000001"/>
    <x v="155"/>
    <s v="Aug-2021"/>
  </r>
  <r>
    <x v="156"/>
    <s v="SLV"/>
    <x v="1"/>
    <x v="8"/>
    <x v="8"/>
    <s v="predicted"/>
    <n v="3475.2683919999999"/>
    <n v="4514.5559999999996"/>
    <n v="1039.2876080000001"/>
    <n v="15737.735489999999"/>
    <n v="9426.9134259999992"/>
    <n v="22459.3783"/>
    <x v="155"/>
    <s v="Sep-2021"/>
  </r>
  <r>
    <x v="156"/>
    <s v="SLV"/>
    <x v="1"/>
    <x v="9"/>
    <x v="9"/>
    <s v="predicted"/>
    <n v="3450.201485"/>
    <n v="4433.9030000000002"/>
    <n v="983.7015146"/>
    <n v="16721.437010000001"/>
    <n v="10186.65581"/>
    <n v="24095.62372"/>
    <x v="155"/>
    <s v="Oct-2021"/>
  </r>
  <r>
    <x v="156"/>
    <s v="SLV"/>
    <x v="1"/>
    <x v="10"/>
    <x v="10"/>
    <s v="predicted"/>
    <n v="3412.6393990000001"/>
    <n v="3915.0990000000002"/>
    <n v="502.45960059999999"/>
    <n v="17223.89661"/>
    <n v="10247.52058"/>
    <n v="25499.969710000001"/>
    <x v="155"/>
    <s v="Nov-2021"/>
  </r>
  <r>
    <x v="156"/>
    <s v="SLV"/>
    <x v="1"/>
    <x v="11"/>
    <x v="11"/>
    <s v="predicted"/>
    <n v="3378.1955939999998"/>
    <n v="3655.0659999999998"/>
    <n v="276.8704065"/>
    <n v="17500.76701"/>
    <n v="10196.2989"/>
    <n v="25754.458689999999"/>
    <x v="155"/>
    <s v="Dec-2021"/>
  </r>
  <r>
    <x v="157"/>
    <s v="SMR"/>
    <x v="0"/>
    <x v="0"/>
    <x v="0"/>
    <s v="reported"/>
    <n v="21.372382389999999"/>
    <n v="23"/>
    <n v="1.6276176060000001"/>
    <n v="1.6276176060000001"/>
    <n v="-1.0270874489999999"/>
    <n v="4.0797241030000002"/>
    <x v="156"/>
    <s v="Jan-2020"/>
  </r>
  <r>
    <x v="157"/>
    <s v="SMR"/>
    <x v="0"/>
    <x v="1"/>
    <x v="1"/>
    <s v="reported"/>
    <n v="21.378754199999999"/>
    <n v="26"/>
    <n v="4.6212458009999997"/>
    <n v="6.2488634080000001"/>
    <n v="2.3994813210000001"/>
    <n v="9.7941789549999996"/>
    <x v="156"/>
    <s v="Feb-2020"/>
  </r>
  <r>
    <x v="157"/>
    <s v="SMR"/>
    <x v="0"/>
    <x v="2"/>
    <x v="2"/>
    <s v="reported"/>
    <n v="21.35283222"/>
    <n v="50"/>
    <n v="28.64716778"/>
    <n v="34.896031190000002"/>
    <n v="30.168714810000001"/>
    <n v="39.240224619999999"/>
    <x v="156"/>
    <s v="Mar-2020"/>
  </r>
  <r>
    <x v="157"/>
    <s v="SMR"/>
    <x v="0"/>
    <x v="3"/>
    <x v="3"/>
    <s v="reported"/>
    <n v="21.32557298"/>
    <n v="31"/>
    <n v="9.674427025"/>
    <n v="44.570458209999998"/>
    <n v="39.304857030000001"/>
    <n v="49.892048430000003"/>
    <x v="156"/>
    <s v="Apr-2020"/>
  </r>
  <r>
    <x v="157"/>
    <s v="SMR"/>
    <x v="0"/>
    <x v="4"/>
    <x v="4"/>
    <s v="reported"/>
    <n v="21.379928339999999"/>
    <n v="25"/>
    <n v="3.6200716559999999"/>
    <n v="48.190529869999999"/>
    <n v="41.793574020000001"/>
    <n v="54.4097589"/>
    <x v="156"/>
    <s v="May-2020"/>
  </r>
  <r>
    <x v="157"/>
    <s v="SMR"/>
    <x v="0"/>
    <x v="5"/>
    <x v="5"/>
    <s v="reported"/>
    <n v="21.158071450000001"/>
    <n v="29"/>
    <n v="7.8419285529999998"/>
    <n v="56.032458419999998"/>
    <n v="49.261013699999999"/>
    <n v="63.107183460000002"/>
    <x v="156"/>
    <s v="Jun-2020"/>
  </r>
  <r>
    <x v="157"/>
    <s v="SMR"/>
    <x v="0"/>
    <x v="6"/>
    <x v="6"/>
    <s v="reported"/>
    <n v="21.196502349999999"/>
    <n v="24"/>
    <n v="2.8034976469999999"/>
    <n v="58.835956070000002"/>
    <n v="51.52737372"/>
    <n v="66.30984952"/>
    <x v="156"/>
    <s v="Jul-2020"/>
  </r>
  <r>
    <x v="157"/>
    <s v="SMR"/>
    <x v="0"/>
    <x v="7"/>
    <x v="7"/>
    <s v="reported"/>
    <n v="21.239040599999999"/>
    <n v="21"/>
    <n v="-0.23904059799999999"/>
    <n v="58.596915469999999"/>
    <n v="50.59730613"/>
    <n v="66.744795999999994"/>
    <x v="156"/>
    <s v="Aug-2020"/>
  </r>
  <r>
    <x v="157"/>
    <s v="SMR"/>
    <x v="0"/>
    <x v="8"/>
    <x v="8"/>
    <s v="reported"/>
    <n v="21.22818294"/>
    <n v="18"/>
    <n v="-3.2281829430000002"/>
    <n v="55.368732530000003"/>
    <n v="46.898539810000003"/>
    <n v="63.702229330000002"/>
    <x v="156"/>
    <s v="Sep-2020"/>
  </r>
  <r>
    <x v="157"/>
    <s v="SMR"/>
    <x v="0"/>
    <x v="9"/>
    <x v="9"/>
    <s v="reported"/>
    <n v="21.268642939999999"/>
    <n v="25"/>
    <n v="3.731357064"/>
    <n v="59.100089590000003"/>
    <n v="49.945136589999997"/>
    <n v="68.110313970000007"/>
    <x v="156"/>
    <s v="Oct-2020"/>
  </r>
  <r>
    <x v="157"/>
    <s v="SMR"/>
    <x v="0"/>
    <x v="10"/>
    <x v="10"/>
    <s v="reported"/>
    <n v="21.373430419999998"/>
    <n v="26"/>
    <n v="4.626569581"/>
    <n v="63.726659169999998"/>
    <n v="53.856676049999997"/>
    <n v="73.665739009999996"/>
    <x v="156"/>
    <s v="Nov-2020"/>
  </r>
  <r>
    <x v="157"/>
    <s v="SMR"/>
    <x v="0"/>
    <x v="11"/>
    <x v="11"/>
    <s v="reported"/>
    <n v="21.477190780000001"/>
    <n v="45"/>
    <n v="23.522809219999999"/>
    <n v="87.249468390000004"/>
    <n v="77.141633940000006"/>
    <n v="97.206177280000006"/>
    <x v="156"/>
    <s v="Dec-2020"/>
  </r>
  <r>
    <x v="157"/>
    <s v="SMR"/>
    <x v="1"/>
    <x v="0"/>
    <x v="0"/>
    <s v="reported"/>
    <n v="21.46759437"/>
    <n v="22"/>
    <n v="0.53240562999999996"/>
    <n v="87.781874020000004"/>
    <n v="77.167463670000004"/>
    <n v="98.134620260000005"/>
    <x v="156"/>
    <s v="Jan-2021"/>
  </r>
  <r>
    <x v="157"/>
    <s v="SMR"/>
    <x v="1"/>
    <x v="1"/>
    <x v="1"/>
    <s v="reported"/>
    <n v="21.452736049999999"/>
    <n v="32"/>
    <n v="10.54726395"/>
    <n v="98.329137970000005"/>
    <n v="87.619967630000005"/>
    <n v="109.1993674"/>
    <x v="156"/>
    <s v="Feb-2021"/>
  </r>
  <r>
    <x v="157"/>
    <s v="SMR"/>
    <x v="1"/>
    <x v="2"/>
    <x v="2"/>
    <s v="reported"/>
    <n v="21.48506682"/>
    <n v="36"/>
    <n v="14.51493318"/>
    <n v="112.8440712"/>
    <n v="101.30283300000001"/>
    <n v="124.31447300000001"/>
    <x v="156"/>
    <s v="Mar-2021"/>
  </r>
  <r>
    <x v="157"/>
    <s v="SMR"/>
    <x v="1"/>
    <x v="3"/>
    <x v="3"/>
    <s v="reported"/>
    <n v="21.509478529999999"/>
    <n v="28"/>
    <n v="6.4905214659999997"/>
    <n v="119.33459259999999"/>
    <n v="107.31815020000001"/>
    <n v="131.57241010000001"/>
    <x v="156"/>
    <s v="Apr-2021"/>
  </r>
  <r>
    <x v="157"/>
    <s v="SMR"/>
    <x v="1"/>
    <x v="4"/>
    <x v="4"/>
    <s v="reported"/>
    <n v="21.429154919999998"/>
    <n v="21"/>
    <n v="-0.42915492100000002"/>
    <n v="118.90543769999999"/>
    <n v="105.46875199999999"/>
    <n v="131.468806"/>
    <x v="156"/>
    <s v="May-2021"/>
  </r>
  <r>
    <x v="157"/>
    <s v="SMR"/>
    <x v="1"/>
    <x v="5"/>
    <x v="5"/>
    <s v="reported"/>
    <n v="21.390835890000002"/>
    <n v="20"/>
    <n v="-1.3908358869999999"/>
    <n v="117.51460179999999"/>
    <n v="103.38880930000001"/>
    <n v="130.56694630000001"/>
    <x v="156"/>
    <s v="Jun-2021"/>
  </r>
  <r>
    <x v="157"/>
    <s v="SMR"/>
    <x v="1"/>
    <x v="6"/>
    <x v="6"/>
    <s v="reported"/>
    <n v="21.33587734"/>
    <n v="24"/>
    <n v="2.6641226570000001"/>
    <n v="120.1787245"/>
    <n v="105.86498419999999"/>
    <n v="133.39372969999999"/>
    <x v="156"/>
    <s v="Jul-2021"/>
  </r>
  <r>
    <x v="157"/>
    <s v="SMR"/>
    <x v="1"/>
    <x v="7"/>
    <x v="7"/>
    <s v="reported"/>
    <n v="21.327671299999999"/>
    <n v="22"/>
    <n v="0.672328704"/>
    <n v="120.8510532"/>
    <n v="105.676874"/>
    <n v="134.6206091"/>
    <x v="156"/>
    <s v="Aug-2021"/>
  </r>
  <r>
    <x v="157"/>
    <s v="SMR"/>
    <x v="1"/>
    <x v="8"/>
    <x v="8"/>
    <s v="reported"/>
    <n v="21.365010430000002"/>
    <n v="23"/>
    <n v="1.6349895679999999"/>
    <n v="122.4860427"/>
    <n v="107.3030546"/>
    <n v="137.11691519999999"/>
    <x v="156"/>
    <s v="Sep-2021"/>
  </r>
  <r>
    <x v="157"/>
    <s v="SMR"/>
    <x v="1"/>
    <x v="9"/>
    <x v="9"/>
    <s v="reported"/>
    <n v="21.42449118"/>
    <n v="26"/>
    <n v="4.5755088209999997"/>
    <n v="127.0615516"/>
    <n v="111.5527731"/>
    <n v="142.3736926"/>
    <x v="156"/>
    <s v="Oct-2021"/>
  </r>
  <r>
    <x v="157"/>
    <s v="SMR"/>
    <x v="1"/>
    <x v="10"/>
    <x v="10"/>
    <s v="reported"/>
    <n v="21.3937569"/>
    <n v="23"/>
    <n v="1.6062430990000001"/>
    <n v="128.6677947"/>
    <n v="113.2078516"/>
    <n v="144.211006"/>
    <x v="156"/>
    <s v="Nov-2021"/>
  </r>
  <r>
    <x v="157"/>
    <s v="SMR"/>
    <x v="1"/>
    <x v="11"/>
    <x v="11"/>
    <s v="reported"/>
    <n v="21.537907000000001"/>
    <n v="35"/>
    <n v="13.462092999999999"/>
    <n v="142.12988770000001"/>
    <n v="125.87295640000001"/>
    <n v="157.9245186"/>
    <x v="156"/>
    <s v="Dec-2021"/>
  </r>
  <r>
    <x v="158"/>
    <s v="SOM"/>
    <x v="0"/>
    <x v="0"/>
    <x v="0"/>
    <s v="predicted"/>
    <n v="14232.963589999999"/>
    <n v="14512.938"/>
    <n v="279.9744111"/>
    <n v="279.9744111"/>
    <n v="-3293.8411540000002"/>
    <n v="4552.0257979999997"/>
    <x v="157"/>
    <s v="Jan-2020"/>
  </r>
  <r>
    <x v="158"/>
    <s v="SOM"/>
    <x v="0"/>
    <x v="1"/>
    <x v="1"/>
    <s v="predicted"/>
    <n v="14203.20521"/>
    <n v="14268.021000000001"/>
    <n v="64.81578863"/>
    <n v="344.79019970000002"/>
    <n v="-4933.9623920000004"/>
    <n v="6262.9173650000002"/>
    <x v="157"/>
    <s v="Feb-2020"/>
  </r>
  <r>
    <x v="158"/>
    <s v="SOM"/>
    <x v="0"/>
    <x v="2"/>
    <x v="2"/>
    <s v="predicted"/>
    <n v="14053.57964"/>
    <n v="14213.38"/>
    <n v="159.8003598"/>
    <n v="504.59055949999998"/>
    <n v="-6093.26926"/>
    <n v="7706.3544089999996"/>
    <x v="157"/>
    <s v="Mar-2020"/>
  </r>
  <r>
    <x v="158"/>
    <s v="SOM"/>
    <x v="0"/>
    <x v="3"/>
    <x v="3"/>
    <s v="predicted"/>
    <n v="14013.88305"/>
    <n v="14114.937"/>
    <n v="101.0539469"/>
    <n v="605.64450639999995"/>
    <n v="-6742.4912430000004"/>
    <n v="8527.6188050000001"/>
    <x v="157"/>
    <s v="Apr-2020"/>
  </r>
  <r>
    <x v="158"/>
    <s v="SOM"/>
    <x v="0"/>
    <x v="4"/>
    <x v="4"/>
    <s v="predicted"/>
    <n v="13976.16647"/>
    <n v="14913.571"/>
    <n v="937.40453000000002"/>
    <n v="1543.0490359999999"/>
    <n v="-6657.3488520000001"/>
    <n v="10426.804819999999"/>
    <x v="157"/>
    <s v="May-2020"/>
  </r>
  <r>
    <x v="158"/>
    <s v="SOM"/>
    <x v="0"/>
    <x v="5"/>
    <x v="5"/>
    <s v="predicted"/>
    <n v="13995.98545"/>
    <n v="15059.16"/>
    <n v="1063.174546"/>
    <n v="2606.2235820000001"/>
    <n v="-7342.3873759999997"/>
    <n v="12408.920899999999"/>
    <x v="157"/>
    <s v="Jun-2020"/>
  </r>
  <r>
    <x v="158"/>
    <s v="SOM"/>
    <x v="0"/>
    <x v="6"/>
    <x v="6"/>
    <s v="predicted"/>
    <n v="14051.542170000001"/>
    <n v="14906.439"/>
    <n v="854.89683079999998"/>
    <n v="3461.1204130000001"/>
    <n v="-7261.333149"/>
    <n v="13939.421340000001"/>
    <x v="157"/>
    <s v="Jul-2020"/>
  </r>
  <r>
    <x v="158"/>
    <s v="SOM"/>
    <x v="0"/>
    <x v="7"/>
    <x v="7"/>
    <s v="predicted"/>
    <n v="14063.623680000001"/>
    <n v="14855.365"/>
    <n v="791.74131620000003"/>
    <n v="4252.8617290000002"/>
    <n v="-7733.4741809999996"/>
    <n v="15972.501819999999"/>
    <x v="157"/>
    <s v="Aug-2020"/>
  </r>
  <r>
    <x v="158"/>
    <s v="SOM"/>
    <x v="0"/>
    <x v="8"/>
    <x v="8"/>
    <s v="predicted"/>
    <n v="14037.308230000001"/>
    <n v="14649.331"/>
    <n v="612.02276549999999"/>
    <n v="4864.8844950000002"/>
    <n v="-7890.3506509999997"/>
    <n v="18076.124899999999"/>
    <x v="157"/>
    <s v="Sep-2020"/>
  </r>
  <r>
    <x v="158"/>
    <s v="SOM"/>
    <x v="0"/>
    <x v="9"/>
    <x v="9"/>
    <s v="predicted"/>
    <n v="14088.728649999999"/>
    <n v="14318.548000000001"/>
    <n v="229.81935039999999"/>
    <n v="5094.703845"/>
    <n v="-8039.8938090000001"/>
    <n v="18858.559280000001"/>
    <x v="157"/>
    <s v="Oct-2020"/>
  </r>
  <r>
    <x v="158"/>
    <s v="SOM"/>
    <x v="0"/>
    <x v="10"/>
    <x v="10"/>
    <s v="predicted"/>
    <n v="14174.21689"/>
    <n v="14449.847"/>
    <n v="275.63010989999998"/>
    <n v="5370.3339550000001"/>
    <n v="-8154.8631150000001"/>
    <n v="19943.009569999998"/>
    <x v="157"/>
    <s v="Nov-2020"/>
  </r>
  <r>
    <x v="158"/>
    <s v="SOM"/>
    <x v="0"/>
    <x v="11"/>
    <x v="11"/>
    <s v="predicted"/>
    <n v="14228.38365"/>
    <n v="14732.01"/>
    <n v="503.6263482"/>
    <n v="5873.9603029999998"/>
    <n v="-8850.8841269999994"/>
    <n v="22034.502670000002"/>
    <x v="157"/>
    <s v="Dec-2020"/>
  </r>
  <r>
    <x v="158"/>
    <s v="SOM"/>
    <x v="1"/>
    <x v="0"/>
    <x v="0"/>
    <s v="predicted"/>
    <n v="14173.7461"/>
    <n v="14695.281000000001"/>
    <n v="521.53489909999996"/>
    <n v="6395.4952020000001"/>
    <n v="-9405.7149850000005"/>
    <n v="23190.963370000001"/>
    <x v="157"/>
    <s v="Jan-2021"/>
  </r>
  <r>
    <x v="158"/>
    <s v="SOM"/>
    <x v="1"/>
    <x v="1"/>
    <x v="1"/>
    <s v="predicted"/>
    <n v="14138.942929999999"/>
    <n v="16178.088"/>
    <n v="2039.145066"/>
    <n v="8434.6402679999992"/>
    <n v="-6605.4043190000002"/>
    <n v="25514.217980000001"/>
    <x v="157"/>
    <s v="Feb-2021"/>
  </r>
  <r>
    <x v="158"/>
    <s v="SOM"/>
    <x v="1"/>
    <x v="2"/>
    <x v="2"/>
    <s v="predicted"/>
    <n v="13994.79531"/>
    <n v="16816.516"/>
    <n v="2821.7206900000001"/>
    <n v="11256.36096"/>
    <n v="-4095.3688400000001"/>
    <n v="28766.56309"/>
    <x v="157"/>
    <s v="Mar-2021"/>
  </r>
  <r>
    <x v="158"/>
    <s v="SOM"/>
    <x v="1"/>
    <x v="3"/>
    <x v="3"/>
    <s v="predicted"/>
    <n v="13951.579180000001"/>
    <n v="16595.178"/>
    <n v="2643.5988179999999"/>
    <n v="13899.959779999999"/>
    <n v="-1903.208658"/>
    <n v="32758.244729999999"/>
    <x v="157"/>
    <s v="Apr-2021"/>
  </r>
  <r>
    <x v="158"/>
    <s v="SOM"/>
    <x v="1"/>
    <x v="4"/>
    <x v="4"/>
    <s v="predicted"/>
    <n v="13917.036239999999"/>
    <n v="15798.796"/>
    <n v="1881.7597619999999"/>
    <n v="15781.71954"/>
    <n v="-912.40091819999998"/>
    <n v="35251.498440000003"/>
    <x v="157"/>
    <s v="May-2021"/>
  </r>
  <r>
    <x v="158"/>
    <s v="SOM"/>
    <x v="1"/>
    <x v="5"/>
    <x v="5"/>
    <s v="predicted"/>
    <n v="13929.10936"/>
    <n v="15076.402"/>
    <n v="1147.2926440000001"/>
    <n v="16929.012180000002"/>
    <n v="-644.25439819999997"/>
    <n v="36127.211450000003"/>
    <x v="157"/>
    <s v="Jun-2021"/>
  </r>
  <r>
    <x v="158"/>
    <s v="SOM"/>
    <x v="1"/>
    <x v="6"/>
    <x v="6"/>
    <s v="predicted"/>
    <n v="13990.63668"/>
    <n v="15166.883"/>
    <n v="1176.246316"/>
    <n v="18105.2585"/>
    <n v="1022.348284"/>
    <n v="38030.544580000002"/>
    <x v="157"/>
    <s v="Jul-2021"/>
  </r>
  <r>
    <x v="158"/>
    <s v="SOM"/>
    <x v="1"/>
    <x v="7"/>
    <x v="7"/>
    <s v="predicted"/>
    <n v="14003.34007"/>
    <n v="16260.338"/>
    <n v="2256.997926"/>
    <n v="20362.256420000002"/>
    <n v="3211.2546400000001"/>
    <n v="40394.483440000004"/>
    <x v="157"/>
    <s v="Aug-2021"/>
  </r>
  <r>
    <x v="158"/>
    <s v="SOM"/>
    <x v="1"/>
    <x v="8"/>
    <x v="8"/>
    <s v="predicted"/>
    <n v="13973.529270000001"/>
    <n v="15784.695"/>
    <n v="1811.1657250000001"/>
    <n v="22173.422149999999"/>
    <n v="3866.0387150000001"/>
    <n v="42988.533409999996"/>
    <x v="157"/>
    <s v="Sep-2021"/>
  </r>
  <r>
    <x v="158"/>
    <s v="SOM"/>
    <x v="1"/>
    <x v="9"/>
    <x v="9"/>
    <s v="predicted"/>
    <n v="14028.924279999999"/>
    <n v="15098.553"/>
    <n v="1069.6287150000001"/>
    <n v="23243.050859999999"/>
    <n v="4461.2184079999997"/>
    <n v="45406.822330000003"/>
    <x v="157"/>
    <s v="Oct-2021"/>
  </r>
  <r>
    <x v="158"/>
    <s v="SOM"/>
    <x v="1"/>
    <x v="10"/>
    <x v="10"/>
    <s v="predicted"/>
    <n v="14109.427879999999"/>
    <n v="15370.418"/>
    <n v="1260.9901179999999"/>
    <n v="24504.040980000002"/>
    <n v="4989.3304870000002"/>
    <n v="46066.188159999998"/>
    <x v="157"/>
    <s v="Nov-2021"/>
  </r>
  <r>
    <x v="158"/>
    <s v="SOM"/>
    <x v="1"/>
    <x v="11"/>
    <x v="11"/>
    <s v="predicted"/>
    <n v="14167.51136"/>
    <n v="15134.09"/>
    <n v="966.57863699999996"/>
    <n v="25470.619620000001"/>
    <n v="5205.0736100000004"/>
    <n v="46987.907919999998"/>
    <x v="157"/>
    <s v="Dec-2021"/>
  </r>
  <r>
    <x v="159"/>
    <s v="SRB"/>
    <x v="0"/>
    <x v="0"/>
    <x v="0"/>
    <s v="reported"/>
    <n v="9216.8983250000001"/>
    <n v="9886"/>
    <n v="669.101675"/>
    <n v="669.101675"/>
    <n v="204.90150700000001"/>
    <n v="1097.777169"/>
    <x v="158"/>
    <s v="Jan-2020"/>
  </r>
  <r>
    <x v="159"/>
    <s v="SRB"/>
    <x v="0"/>
    <x v="1"/>
    <x v="1"/>
    <s v="reported"/>
    <n v="9263.1287310000007"/>
    <n v="9205"/>
    <n v="-58.12873055"/>
    <n v="610.97294450000004"/>
    <n v="-55.991502240000003"/>
    <n v="1265.9492170000001"/>
    <x v="158"/>
    <s v="Feb-2020"/>
  </r>
  <r>
    <x v="159"/>
    <s v="SRB"/>
    <x v="0"/>
    <x v="2"/>
    <x v="2"/>
    <s v="reported"/>
    <n v="8912.1964449999996"/>
    <n v="9050"/>
    <n v="137.80355520000001"/>
    <n v="748.77649970000004"/>
    <n v="-55.640030889999998"/>
    <n v="1589.962293"/>
    <x v="158"/>
    <s v="Mar-2020"/>
  </r>
  <r>
    <x v="159"/>
    <s v="SRB"/>
    <x v="0"/>
    <x v="3"/>
    <x v="3"/>
    <s v="reported"/>
    <n v="8412.0156599999991"/>
    <n v="8710"/>
    <n v="297.98434040000001"/>
    <n v="1046.7608399999999"/>
    <n v="165.70424869999999"/>
    <n v="1966.037092"/>
    <x v="158"/>
    <s v="Apr-2020"/>
  </r>
  <r>
    <x v="159"/>
    <s v="SRB"/>
    <x v="0"/>
    <x v="4"/>
    <x v="4"/>
    <s v="reported"/>
    <n v="8001.7696900000001"/>
    <n v="7943"/>
    <n v="-58.769690150000002"/>
    <n v="987.99114989999998"/>
    <n v="-60.65501167"/>
    <n v="2017.1366330000001"/>
    <x v="158"/>
    <s v="May-2020"/>
  </r>
  <r>
    <x v="159"/>
    <s v="SRB"/>
    <x v="0"/>
    <x v="5"/>
    <x v="5"/>
    <s v="reported"/>
    <n v="7743.4834890000002"/>
    <n v="8222"/>
    <n v="478.51651049999998"/>
    <n v="1466.50766"/>
    <n v="347.3660519"/>
    <n v="2608.6372689999998"/>
    <x v="158"/>
    <s v="Jun-2020"/>
  </r>
  <r>
    <x v="159"/>
    <s v="SRB"/>
    <x v="0"/>
    <x v="6"/>
    <x v="6"/>
    <s v="reported"/>
    <n v="7657.5888359999999"/>
    <n v="9959"/>
    <n v="2301.4111640000001"/>
    <n v="3767.9188239999999"/>
    <n v="2582.3630320000002"/>
    <n v="4942.6409080000003"/>
    <x v="158"/>
    <s v="Jul-2020"/>
  </r>
  <r>
    <x v="159"/>
    <s v="SRB"/>
    <x v="0"/>
    <x v="7"/>
    <x v="7"/>
    <s v="reported"/>
    <n v="7575.2065990000001"/>
    <n v="8626"/>
    <n v="1050.7934009999999"/>
    <n v="4818.7122250000002"/>
    <n v="3508.6110530000001"/>
    <n v="6206.2377290000004"/>
    <x v="158"/>
    <s v="Aug-2020"/>
  </r>
  <r>
    <x v="159"/>
    <s v="SRB"/>
    <x v="0"/>
    <x v="8"/>
    <x v="8"/>
    <s v="reported"/>
    <n v="7626.2815849999997"/>
    <n v="7646"/>
    <n v="19.718414930000002"/>
    <n v="4838.4306390000002"/>
    <n v="3443.4375829999999"/>
    <n v="6288.6959280000001"/>
    <x v="158"/>
    <s v="Sep-2020"/>
  </r>
  <r>
    <x v="159"/>
    <s v="SRB"/>
    <x v="0"/>
    <x v="9"/>
    <x v="9"/>
    <s v="reported"/>
    <n v="8017.4376769999999"/>
    <n v="8580"/>
    <n v="562.56232339999997"/>
    <n v="5400.9929629999997"/>
    <n v="3980.0089680000001"/>
    <n v="6825.2115100000001"/>
    <x v="158"/>
    <s v="Oct-2020"/>
  </r>
  <r>
    <x v="159"/>
    <s v="SRB"/>
    <x v="0"/>
    <x v="10"/>
    <x v="10"/>
    <s v="reported"/>
    <n v="8549.5966150000004"/>
    <n v="11914"/>
    <n v="3364.4033850000001"/>
    <n v="8765.3963469999999"/>
    <n v="7315.3455560000002"/>
    <n v="10280.996359999999"/>
    <x v="158"/>
    <s v="Nov-2020"/>
  </r>
  <r>
    <x v="159"/>
    <s v="SRB"/>
    <x v="0"/>
    <x v="11"/>
    <x v="11"/>
    <s v="reported"/>
    <n v="9150.3145659999991"/>
    <n v="17109"/>
    <n v="7958.685434"/>
    <n v="16724.08178"/>
    <n v="15061.504650000001"/>
    <n v="18306.126110000001"/>
    <x v="158"/>
    <s v="Dec-2020"/>
  </r>
  <r>
    <x v="159"/>
    <s v="SRB"/>
    <x v="1"/>
    <x v="0"/>
    <x v="0"/>
    <s v="reported"/>
    <n v="9148.4792670000006"/>
    <n v="10417"/>
    <n v="1268.4374"/>
    <n v="17992.519179999999"/>
    <n v="16249.20874"/>
    <n v="19706.603050000002"/>
    <x v="158"/>
    <s v="Jan-2021"/>
  </r>
  <r>
    <x v="159"/>
    <s v="SRB"/>
    <x v="1"/>
    <x v="1"/>
    <x v="1"/>
    <s v="reported"/>
    <n v="9198.3661190000003"/>
    <n v="10166"/>
    <n v="967.55054800000005"/>
    <n v="18960.069729999999"/>
    <n v="17084.297910000001"/>
    <n v="20763.848190000001"/>
    <x v="158"/>
    <s v="Feb-2021"/>
  </r>
  <r>
    <x v="159"/>
    <s v="SRB"/>
    <x v="1"/>
    <x v="2"/>
    <x v="2"/>
    <s v="reported"/>
    <n v="8845.4128430000001"/>
    <n v="12952"/>
    <n v="4106.5038240000003"/>
    <n v="23066.573550000001"/>
    <n v="21093.98272"/>
    <n v="25054.929810000001"/>
    <x v="158"/>
    <s v="Mar-2021"/>
  </r>
  <r>
    <x v="159"/>
    <s v="SRB"/>
    <x v="1"/>
    <x v="3"/>
    <x v="3"/>
    <s v="reported"/>
    <n v="8352.5796979999996"/>
    <n v="12659"/>
    <n v="4306.336969"/>
    <n v="27372.910520000001"/>
    <n v="25425.217799999999"/>
    <n v="29344.167379999999"/>
    <x v="158"/>
    <s v="Apr-2021"/>
  </r>
  <r>
    <x v="159"/>
    <s v="SRB"/>
    <x v="1"/>
    <x v="4"/>
    <x v="4"/>
    <s v="reported"/>
    <n v="7943.8597900000004"/>
    <n v="10525"/>
    <n v="2581.056877"/>
    <n v="29953.967400000001"/>
    <n v="27775.676240000001"/>
    <n v="31955.748670000001"/>
    <x v="158"/>
    <s v="May-2021"/>
  </r>
  <r>
    <x v="159"/>
    <s v="SRB"/>
    <x v="1"/>
    <x v="5"/>
    <x v="5"/>
    <s v="reported"/>
    <n v="7711.8458039999996"/>
    <n v="9098"/>
    <n v="1386.070862"/>
    <n v="31340.038260000001"/>
    <n v="29039.118640000001"/>
    <n v="33401.688690000003"/>
    <x v="158"/>
    <s v="Jun-2021"/>
  </r>
  <r>
    <x v="159"/>
    <s v="SRB"/>
    <x v="1"/>
    <x v="6"/>
    <x v="6"/>
    <s v="reported"/>
    <n v="7607.9586149999996"/>
    <n v="8417"/>
    <n v="808.9580512"/>
    <n v="32148.996309999999"/>
    <n v="29834.131410000002"/>
    <n v="34357.479509999997"/>
    <x v="158"/>
    <s v="Jul-2021"/>
  </r>
  <r>
    <x v="159"/>
    <s v="SRB"/>
    <x v="1"/>
    <x v="7"/>
    <x v="7"/>
    <s v="reported"/>
    <n v="7515.0469389999998"/>
    <n v="8447"/>
    <n v="931.86972720000006"/>
    <n v="33080.866040000001"/>
    <n v="30732.106520000001"/>
    <n v="35302.22855"/>
    <x v="158"/>
    <s v="Aug-2021"/>
  </r>
  <r>
    <x v="159"/>
    <s v="SRB"/>
    <x v="1"/>
    <x v="8"/>
    <x v="8"/>
    <s v="reported"/>
    <n v="7578.6435240000001"/>
    <n v="11032"/>
    <n v="3453.2731429999999"/>
    <n v="36534.139179999998"/>
    <n v="34180.280070000001"/>
    <n v="38850.284140000003"/>
    <x v="158"/>
    <s v="Sep-2021"/>
  </r>
  <r>
    <x v="159"/>
    <s v="SRB"/>
    <x v="1"/>
    <x v="9"/>
    <x v="9"/>
    <s v="reported"/>
    <n v="7967.7081939999998"/>
    <n v="14666"/>
    <n v="6698.2084729999997"/>
    <n v="43232.347659999999"/>
    <n v="40865.428039999999"/>
    <n v="45634.973409999999"/>
    <x v="158"/>
    <s v="Oct-2021"/>
  </r>
  <r>
    <x v="159"/>
    <s v="SRB"/>
    <x v="1"/>
    <x v="10"/>
    <x v="10"/>
    <s v="reported"/>
    <n v="8484.5677830000004"/>
    <n v="15113"/>
    <n v="6628.3488829999997"/>
    <n v="49860.696539999997"/>
    <n v="47402.689579999998"/>
    <n v="52200.777390000003"/>
    <x v="158"/>
    <s v="Nov-2021"/>
  </r>
  <r>
    <x v="159"/>
    <s v="SRB"/>
    <x v="1"/>
    <x v="11"/>
    <x v="11"/>
    <s v="reported"/>
    <n v="9103.2101899999998"/>
    <n v="12409"/>
    <n v="3305.7064770000002"/>
    <n v="53166.403019999998"/>
    <n v="50673.473879999998"/>
    <n v="55684.573550000001"/>
    <x v="158"/>
    <s v="Dec-2021"/>
  </r>
  <r>
    <x v="160"/>
    <s v="SSD"/>
    <x v="0"/>
    <x v="0"/>
    <x v="0"/>
    <s v="predicted"/>
    <n v="7600.2524409999996"/>
    <n v="7809.68"/>
    <n v="209.4275586"/>
    <n v="209.4275586"/>
    <n v="-1617.778039"/>
    <n v="2635.9280589999998"/>
    <x v="159"/>
    <s v="Jan-2020"/>
  </r>
  <r>
    <x v="160"/>
    <s v="SSD"/>
    <x v="0"/>
    <x v="1"/>
    <x v="1"/>
    <s v="predicted"/>
    <n v="7507.4005989999996"/>
    <n v="7488.8339999999998"/>
    <n v="-18.56659891"/>
    <n v="190.8609597"/>
    <n v="-2436.3000489999999"/>
    <n v="3264.3236419999998"/>
    <x v="159"/>
    <s v="Feb-2020"/>
  </r>
  <r>
    <x v="160"/>
    <s v="SSD"/>
    <x v="0"/>
    <x v="2"/>
    <x v="2"/>
    <s v="predicted"/>
    <n v="7391.7812290000002"/>
    <n v="7111.875"/>
    <n v="-279.90622880000001"/>
    <n v="-89.045269180000005"/>
    <n v="-3206.0564300000001"/>
    <n v="3766.6596530000002"/>
    <x v="159"/>
    <s v="Mar-2020"/>
  </r>
  <r>
    <x v="160"/>
    <s v="SSD"/>
    <x v="0"/>
    <x v="3"/>
    <x v="3"/>
    <s v="predicted"/>
    <n v="7442.379664"/>
    <n v="6817.6019999999999"/>
    <n v="-624.77766440000005"/>
    <n v="-713.82293360000006"/>
    <n v="-4375.3701769999998"/>
    <n v="3779.2206040000001"/>
    <x v="159"/>
    <s v="Apr-2020"/>
  </r>
  <r>
    <x v="160"/>
    <s v="SSD"/>
    <x v="0"/>
    <x v="4"/>
    <x v="4"/>
    <s v="predicted"/>
    <n v="7468.2303039999997"/>
    <n v="7543.0110000000004"/>
    <n v="74.780695719999997"/>
    <n v="-639.04223790000003"/>
    <n v="-4842.4125160000003"/>
    <n v="4072.4728700000001"/>
    <x v="159"/>
    <s v="May-2020"/>
  </r>
  <r>
    <x v="160"/>
    <s v="SSD"/>
    <x v="0"/>
    <x v="5"/>
    <x v="5"/>
    <s v="predicted"/>
    <n v="7562.6116080000002"/>
    <n v="8003.1279999999997"/>
    <n v="440.5163915"/>
    <n v="-198.52584640000001"/>
    <n v="-4672.2703629999996"/>
    <n v="4759.4387340000003"/>
    <x v="159"/>
    <s v="Jun-2020"/>
  </r>
  <r>
    <x v="160"/>
    <s v="SSD"/>
    <x v="0"/>
    <x v="6"/>
    <x v="6"/>
    <s v="predicted"/>
    <n v="7582.8337039999997"/>
    <n v="8012.4629999999997"/>
    <n v="429.62929609999998"/>
    <n v="231.10344979999999"/>
    <n v="-4733.1385840000003"/>
    <n v="5889.8211670000001"/>
    <x v="159"/>
    <s v="Jul-2020"/>
  </r>
  <r>
    <x v="160"/>
    <s v="SSD"/>
    <x v="0"/>
    <x v="7"/>
    <x v="7"/>
    <s v="predicted"/>
    <n v="7604.0295249999999"/>
    <n v="7963.7520000000004"/>
    <n v="359.72247540000001"/>
    <n v="590.82592509999995"/>
    <n v="-5093.1056440000002"/>
    <n v="6762.798358"/>
    <x v="159"/>
    <s v="Aug-2020"/>
  </r>
  <r>
    <x v="160"/>
    <s v="SSD"/>
    <x v="0"/>
    <x v="8"/>
    <x v="8"/>
    <s v="predicted"/>
    <n v="7576.662934"/>
    <n v="7823.2190000000001"/>
    <n v="246.55606649999999"/>
    <n v="837.38199159999999"/>
    <n v="-5122.0363189999998"/>
    <n v="7462.3071909999999"/>
    <x v="159"/>
    <s v="Sep-2020"/>
  </r>
  <r>
    <x v="160"/>
    <s v="SSD"/>
    <x v="0"/>
    <x v="9"/>
    <x v="9"/>
    <s v="predicted"/>
    <n v="7530.4278910000003"/>
    <n v="7669.27"/>
    <n v="138.84210949999999"/>
    <n v="976.22410109999998"/>
    <n v="-5585.0253190000003"/>
    <n v="7673.1118340000003"/>
    <x v="159"/>
    <s v="Oct-2020"/>
  </r>
  <r>
    <x v="160"/>
    <s v="SSD"/>
    <x v="0"/>
    <x v="10"/>
    <x v="10"/>
    <s v="predicted"/>
    <n v="7546.8436430000002"/>
    <n v="7526.6329999999998"/>
    <n v="-20.21064294"/>
    <n v="956.01345809999998"/>
    <n v="-5633.1405560000003"/>
    <n v="7679.0710209999997"/>
    <x v="159"/>
    <s v="Nov-2020"/>
  </r>
  <r>
    <x v="160"/>
    <s v="SSD"/>
    <x v="0"/>
    <x v="11"/>
    <x v="11"/>
    <s v="predicted"/>
    <n v="7510.0825349999996"/>
    <n v="7638.3670000000002"/>
    <n v="128.2844652"/>
    <n v="1084.2979230000001"/>
    <n v="-6007.4353680000004"/>
    <n v="7754.4399160000003"/>
    <x v="159"/>
    <s v="Dec-2020"/>
  </r>
  <r>
    <x v="160"/>
    <s v="SSD"/>
    <x v="1"/>
    <x v="0"/>
    <x v="0"/>
    <s v="predicted"/>
    <n v="7542.5876520000002"/>
    <n v="7630.2659999999996"/>
    <n v="87.678347740000007"/>
    <n v="1171.976271"/>
    <n v="-5865.9810649999999"/>
    <n v="8470.2278640000004"/>
    <x v="159"/>
    <s v="Jan-2021"/>
  </r>
  <r>
    <x v="160"/>
    <s v="SSD"/>
    <x v="1"/>
    <x v="1"/>
    <x v="1"/>
    <s v="predicted"/>
    <n v="7454.31952"/>
    <n v="8329.7330000000002"/>
    <n v="875.41348029999995"/>
    <n v="2047.3897509999999"/>
    <n v="-4912.2436939999998"/>
    <n v="9765.1133860000009"/>
    <x v="159"/>
    <s v="Feb-2021"/>
  </r>
  <r>
    <x v="160"/>
    <s v="SSD"/>
    <x v="1"/>
    <x v="2"/>
    <x v="2"/>
    <s v="predicted"/>
    <n v="7333.2580520000001"/>
    <n v="7957.0680000000002"/>
    <n v="623.80994780000003"/>
    <n v="2671.1996989999998"/>
    <n v="-4624.8372950000003"/>
    <n v="10828.261839999999"/>
    <x v="159"/>
    <s v="Mar-2021"/>
  </r>
  <r>
    <x v="160"/>
    <s v="SSD"/>
    <x v="1"/>
    <x v="3"/>
    <x v="3"/>
    <s v="predicted"/>
    <n v="7387.9921409999997"/>
    <n v="7481.5569999999998"/>
    <n v="93.564858779999994"/>
    <n v="2764.7645579999999"/>
    <n v="-5055.9985500000003"/>
    <n v="11198.53786"/>
    <x v="159"/>
    <s v="Apr-2021"/>
  </r>
  <r>
    <x v="160"/>
    <s v="SSD"/>
    <x v="1"/>
    <x v="4"/>
    <x v="4"/>
    <s v="predicted"/>
    <n v="7416.9362019999999"/>
    <n v="7358.0690000000004"/>
    <n v="-58.86720184"/>
    <n v="2705.8973559999999"/>
    <n v="-5007.2243410000001"/>
    <n v="11778.476849999999"/>
    <x v="159"/>
    <s v="May-2021"/>
  </r>
  <r>
    <x v="160"/>
    <s v="SSD"/>
    <x v="1"/>
    <x v="5"/>
    <x v="5"/>
    <s v="predicted"/>
    <n v="7511.7073099999998"/>
    <n v="7805.1970000000001"/>
    <n v="293.4896895"/>
    <n v="2999.3870459999998"/>
    <n v="-5032.4284729999999"/>
    <n v="11865.29062"/>
    <x v="159"/>
    <s v="Jun-2021"/>
  </r>
  <r>
    <x v="160"/>
    <s v="SSD"/>
    <x v="1"/>
    <x v="6"/>
    <x v="6"/>
    <s v="predicted"/>
    <n v="7532.2456560000001"/>
    <n v="7891.6629999999996"/>
    <n v="359.41734409999998"/>
    <n v="3358.8043899999998"/>
    <n v="-5292.4294209999998"/>
    <n v="12153.37708"/>
    <x v="159"/>
    <s v="Jul-2021"/>
  </r>
  <r>
    <x v="160"/>
    <s v="SSD"/>
    <x v="1"/>
    <x v="7"/>
    <x v="7"/>
    <s v="predicted"/>
    <n v="7556.0873949999996"/>
    <n v="7729.9750000000004"/>
    <n v="173.88760500000001"/>
    <n v="3532.6919950000001"/>
    <n v="-5379.7713430000003"/>
    <n v="13065.62536"/>
    <x v="159"/>
    <s v="Aug-2021"/>
  </r>
  <r>
    <x v="160"/>
    <s v="SSD"/>
    <x v="1"/>
    <x v="8"/>
    <x v="8"/>
    <s v="predicted"/>
    <n v="7531.3710119999996"/>
    <n v="7936.7240000000002"/>
    <n v="405.35298849999998"/>
    <n v="3938.0449829999998"/>
    <n v="-5264.0743679999996"/>
    <n v="13598.08149"/>
    <x v="159"/>
    <s v="Sep-2021"/>
  </r>
  <r>
    <x v="160"/>
    <s v="SSD"/>
    <x v="1"/>
    <x v="9"/>
    <x v="9"/>
    <s v="predicted"/>
    <n v="7479.5346259999997"/>
    <n v="7724.23"/>
    <n v="244.69537439999999"/>
    <n v="4182.740358"/>
    <n v="-5460.9522429999997"/>
    <n v="14346.345590000001"/>
    <x v="159"/>
    <s v="Oct-2021"/>
  </r>
  <r>
    <x v="160"/>
    <s v="SSD"/>
    <x v="1"/>
    <x v="10"/>
    <x v="10"/>
    <s v="predicted"/>
    <n v="7501.0179150000004"/>
    <n v="7624.4679999999998"/>
    <n v="123.45008540000001"/>
    <n v="4306.1904430000004"/>
    <n v="-5632.5657179999998"/>
    <n v="14744.599990000001"/>
    <x v="159"/>
    <s v="Nov-2021"/>
  </r>
  <r>
    <x v="160"/>
    <s v="SSD"/>
    <x v="1"/>
    <x v="11"/>
    <x v="11"/>
    <s v="predicted"/>
    <n v="7454.9469440000003"/>
    <n v="7987.9390000000003"/>
    <n v="532.99205570000004"/>
    <n v="4839.1824989999996"/>
    <n v="-5033.9894219999996"/>
    <n v="15218.44485"/>
    <x v="159"/>
    <s v="Dec-2021"/>
  </r>
  <r>
    <x v="161"/>
    <s v="STP"/>
    <x v="0"/>
    <x v="0"/>
    <x v="0"/>
    <s v="predicted"/>
    <n v="82.222824930000002"/>
    <n v="84.248999999999995"/>
    <n v="2.026175066"/>
    <n v="2.026175066"/>
    <n v="-24.963966849999998"/>
    <n v="33.33225229"/>
    <x v="160"/>
    <s v="Jan-2020"/>
  </r>
  <r>
    <x v="161"/>
    <s v="STP"/>
    <x v="0"/>
    <x v="1"/>
    <x v="1"/>
    <s v="predicted"/>
    <n v="82.05385939"/>
    <n v="83.263000000000005"/>
    <n v="1.2091406119999999"/>
    <n v="3.2353156780000001"/>
    <n v="-34.542454909999996"/>
    <n v="46.230060340000001"/>
    <x v="160"/>
    <s v="Feb-2020"/>
  </r>
  <r>
    <x v="161"/>
    <s v="STP"/>
    <x v="0"/>
    <x v="2"/>
    <x v="2"/>
    <s v="predicted"/>
    <n v="82.47071923"/>
    <n v="84.082999999999998"/>
    <n v="1.612280771"/>
    <n v="4.8475964490000001"/>
    <n v="-43.670247330000002"/>
    <n v="59.907882059999999"/>
    <x v="160"/>
    <s v="Mar-2020"/>
  </r>
  <r>
    <x v="161"/>
    <s v="STP"/>
    <x v="0"/>
    <x v="3"/>
    <x v="3"/>
    <s v="predicted"/>
    <n v="82.390522649999994"/>
    <n v="85.356999999999999"/>
    <n v="2.9664773520000001"/>
    <n v="7.8140738010000002"/>
    <n v="-49.09085932"/>
    <n v="68.231799679999995"/>
    <x v="160"/>
    <s v="Apr-2020"/>
  </r>
  <r>
    <x v="161"/>
    <s v="STP"/>
    <x v="0"/>
    <x v="4"/>
    <x v="4"/>
    <s v="predicted"/>
    <n v="82.643333269999999"/>
    <n v="116.836"/>
    <n v="34.192666729999999"/>
    <n v="42.006740530000002"/>
    <n v="-28.435460290000002"/>
    <n v="113.03369259999999"/>
    <x v="160"/>
    <s v="May-2020"/>
  </r>
  <r>
    <x v="161"/>
    <s v="STP"/>
    <x v="0"/>
    <x v="5"/>
    <x v="5"/>
    <s v="predicted"/>
    <n v="83.468322040000004"/>
    <n v="82.775999999999996"/>
    <n v="-0.69232204399999997"/>
    <n v="41.314418490000001"/>
    <n v="-32.864708229999998"/>
    <n v="123.8012408"/>
    <x v="160"/>
    <s v="Jun-2020"/>
  </r>
  <r>
    <x v="161"/>
    <s v="STP"/>
    <x v="0"/>
    <x v="6"/>
    <x v="6"/>
    <s v="predicted"/>
    <n v="83.827368129999996"/>
    <n v="89.953000000000003"/>
    <n v="6.1256318729999997"/>
    <n v="47.440050360000001"/>
    <n v="-32.298690460000003"/>
    <n v="135.7811087"/>
    <x v="160"/>
    <s v="Jul-2020"/>
  </r>
  <r>
    <x v="161"/>
    <s v="STP"/>
    <x v="0"/>
    <x v="7"/>
    <x v="7"/>
    <s v="predicted"/>
    <n v="83.692912019999994"/>
    <n v="82.417000000000002"/>
    <n v="-1.275912017"/>
    <n v="46.164138340000001"/>
    <n v="-37.146886860000002"/>
    <n v="139.6014787"/>
    <x v="160"/>
    <s v="Aug-2020"/>
  </r>
  <r>
    <x v="161"/>
    <s v="STP"/>
    <x v="0"/>
    <x v="8"/>
    <x v="8"/>
    <s v="predicted"/>
    <n v="83.335876450000001"/>
    <n v="83.653999999999996"/>
    <n v="0.318123555"/>
    <n v="46.482261899999997"/>
    <n v="-38.423597170000001"/>
    <n v="141.6274497"/>
    <x v="160"/>
    <s v="Sep-2020"/>
  </r>
  <r>
    <x v="161"/>
    <s v="STP"/>
    <x v="0"/>
    <x v="9"/>
    <x v="9"/>
    <s v="predicted"/>
    <n v="82.914160730000006"/>
    <n v="85.793000000000006"/>
    <n v="2.8788392730000001"/>
    <n v="49.361101169999998"/>
    <n v="-43.055422299999996"/>
    <n v="146.55521730000001"/>
    <x v="160"/>
    <s v="Oct-2020"/>
  </r>
  <r>
    <x v="161"/>
    <s v="STP"/>
    <x v="0"/>
    <x v="10"/>
    <x v="10"/>
    <s v="predicted"/>
    <n v="82.633152100000004"/>
    <n v="86.052000000000007"/>
    <n v="3.4188478999999998"/>
    <n v="52.779949070000001"/>
    <n v="-45.483119850000001"/>
    <n v="155.74142649999999"/>
    <x v="160"/>
    <s v="Nov-2020"/>
  </r>
  <r>
    <x v="161"/>
    <s v="STP"/>
    <x v="0"/>
    <x v="11"/>
    <x v="11"/>
    <s v="predicted"/>
    <n v="82.631228469999996"/>
    <n v="83.936999999999998"/>
    <n v="1.305771529"/>
    <n v="54.085720600000002"/>
    <n v="-50.400386150000003"/>
    <n v="163.1092663"/>
    <x v="160"/>
    <s v="Dec-2020"/>
  </r>
  <r>
    <x v="161"/>
    <s v="STP"/>
    <x v="1"/>
    <x v="0"/>
    <x v="0"/>
    <s v="predicted"/>
    <n v="82.279864430000003"/>
    <n v="83.47"/>
    <n v="1.1901355739999999"/>
    <n v="55.275856169999997"/>
    <n v="-52.870643309999998"/>
    <n v="171.34707829999999"/>
    <x v="160"/>
    <s v="Jan-2021"/>
  </r>
  <r>
    <x v="161"/>
    <s v="STP"/>
    <x v="1"/>
    <x v="1"/>
    <x v="1"/>
    <s v="predicted"/>
    <n v="82.305904709999993"/>
    <n v="101.914"/>
    <n v="19.608095290000001"/>
    <n v="74.88395147"/>
    <n v="-40.885798110000003"/>
    <n v="193.48600759999999"/>
    <x v="160"/>
    <s v="Feb-2021"/>
  </r>
  <r>
    <x v="161"/>
    <s v="STP"/>
    <x v="1"/>
    <x v="2"/>
    <x v="2"/>
    <s v="predicted"/>
    <n v="82.537580599999998"/>
    <n v="98.38"/>
    <n v="15.842419400000001"/>
    <n v="90.726370869999997"/>
    <n v="-27.76608908"/>
    <n v="217.12128480000001"/>
    <x v="160"/>
    <s v="Mar-2021"/>
  </r>
  <r>
    <x v="161"/>
    <s v="STP"/>
    <x v="1"/>
    <x v="3"/>
    <x v="3"/>
    <s v="predicted"/>
    <n v="82.519452799999996"/>
    <n v="85.954999999999998"/>
    <n v="3.4355471949999998"/>
    <n v="94.161918060000005"/>
    <n v="-31.37058613"/>
    <n v="220.8302013"/>
    <x v="160"/>
    <s v="Apr-2021"/>
  </r>
  <r>
    <x v="161"/>
    <s v="STP"/>
    <x v="1"/>
    <x v="4"/>
    <x v="4"/>
    <s v="predicted"/>
    <n v="82.772842690000004"/>
    <n v="88.299000000000007"/>
    <n v="5.5261573100000003"/>
    <n v="99.688075370000007"/>
    <n v="-24.78155121"/>
    <n v="234.63327129999999"/>
    <x v="160"/>
    <s v="May-2021"/>
  </r>
  <r>
    <x v="161"/>
    <s v="STP"/>
    <x v="1"/>
    <x v="5"/>
    <x v="5"/>
    <s v="predicted"/>
    <n v="83.542487019999996"/>
    <n v="81.635000000000005"/>
    <n v="-1.9074870180000001"/>
    <n v="97.780588350000002"/>
    <n v="-33.029255470000003"/>
    <n v="238.52345489999999"/>
    <x v="160"/>
    <s v="Jun-2021"/>
  </r>
  <r>
    <x v="161"/>
    <s v="STP"/>
    <x v="1"/>
    <x v="6"/>
    <x v="6"/>
    <s v="predicted"/>
    <n v="84.007367459999998"/>
    <n v="83.551000000000002"/>
    <n v="-0.45636745899999998"/>
    <n v="97.324220890000007"/>
    <n v="-40.44646419"/>
    <n v="243.2834943"/>
    <x v="160"/>
    <s v="Jul-2021"/>
  </r>
  <r>
    <x v="161"/>
    <s v="STP"/>
    <x v="1"/>
    <x v="7"/>
    <x v="7"/>
    <s v="predicted"/>
    <n v="83.834715579999994"/>
    <n v="81.597999999999999"/>
    <n v="-2.2367155759999999"/>
    <n v="95.087505320000005"/>
    <n v="-44.790523579999999"/>
    <n v="236.0205579"/>
    <x v="160"/>
    <s v="Aug-2021"/>
  </r>
  <r>
    <x v="161"/>
    <s v="STP"/>
    <x v="1"/>
    <x v="8"/>
    <x v="8"/>
    <s v="predicted"/>
    <n v="83.374149650000007"/>
    <n v="101.429"/>
    <n v="18.054850349999999"/>
    <n v="113.1423557"/>
    <n v="-26.093908710000001"/>
    <n v="265.71918820000002"/>
    <x v="160"/>
    <s v="Sep-2021"/>
  </r>
  <r>
    <x v="161"/>
    <s v="STP"/>
    <x v="1"/>
    <x v="9"/>
    <x v="9"/>
    <s v="predicted"/>
    <n v="83.203159020000001"/>
    <n v="92.650999999999996"/>
    <n v="9.4478409810000006"/>
    <n v="122.5901966"/>
    <n v="-17.023297790000001"/>
    <n v="276.54218650000001"/>
    <x v="160"/>
    <s v="Oct-2021"/>
  </r>
  <r>
    <x v="161"/>
    <s v="STP"/>
    <x v="1"/>
    <x v="10"/>
    <x v="10"/>
    <s v="predicted"/>
    <n v="82.839327400000002"/>
    <n v="82.503"/>
    <n v="-0.33632739900000003"/>
    <n v="122.2538692"/>
    <n v="-19.87258976"/>
    <n v="275.36833810000002"/>
    <x v="160"/>
    <s v="Nov-2021"/>
  </r>
  <r>
    <x v="161"/>
    <s v="STP"/>
    <x v="1"/>
    <x v="11"/>
    <x v="11"/>
    <s v="predicted"/>
    <n v="82.728551999999993"/>
    <n v="87.924999999999997"/>
    <n v="5.1964480049999997"/>
    <n v="127.45031729999999"/>
    <n v="-20.000251219999999"/>
    <n v="284.86246790000001"/>
    <x v="160"/>
    <s v="Dec-2021"/>
  </r>
  <r>
    <x v="162"/>
    <s v="SUR"/>
    <x v="0"/>
    <x v="0"/>
    <x v="0"/>
    <s v="reported"/>
    <n v="356.81646389999997"/>
    <n v="365"/>
    <n v="8.1835360819999998"/>
    <n v="8.1835360819999998"/>
    <n v="-10.422570520000001"/>
    <n v="27.21859589"/>
    <x v="161"/>
    <s v="Jan-2020"/>
  </r>
  <r>
    <x v="162"/>
    <s v="SUR"/>
    <x v="0"/>
    <x v="1"/>
    <x v="1"/>
    <s v="reported"/>
    <n v="357.01821310000003"/>
    <n v="387"/>
    <n v="29.981786899999999"/>
    <n v="38.165322979999999"/>
    <n v="13.94119115"/>
    <n v="63.149456409999999"/>
    <x v="161"/>
    <s v="Feb-2020"/>
  </r>
  <r>
    <x v="162"/>
    <s v="SUR"/>
    <x v="0"/>
    <x v="2"/>
    <x v="2"/>
    <s v="reported"/>
    <n v="357.85952300000002"/>
    <n v="340"/>
    <n v="-17.85952296"/>
    <n v="20.30580003"/>
    <n v="-10.332758520000001"/>
    <n v="50.195353089999998"/>
    <x v="161"/>
    <s v="Mar-2020"/>
  </r>
  <r>
    <x v="162"/>
    <s v="SUR"/>
    <x v="0"/>
    <x v="3"/>
    <x v="3"/>
    <s v="reported"/>
    <n v="357.7414402"/>
    <n v="314"/>
    <n v="-43.741440169999997"/>
    <n v="-23.435640150000001"/>
    <n v="-60.729967850000001"/>
    <n v="11.89357895"/>
    <x v="161"/>
    <s v="Apr-2020"/>
  </r>
  <r>
    <x v="162"/>
    <s v="SUR"/>
    <x v="0"/>
    <x v="4"/>
    <x v="4"/>
    <s v="reported"/>
    <n v="358.334183"/>
    <n v="307"/>
    <n v="-51.334183000000003"/>
    <n v="-74.769823149999993"/>
    <n v="-115.80066979999999"/>
    <n v="-36.621477400000003"/>
    <x v="161"/>
    <s v="May-2020"/>
  </r>
  <r>
    <x v="162"/>
    <s v="SUR"/>
    <x v="0"/>
    <x v="5"/>
    <x v="5"/>
    <s v="reported"/>
    <n v="359.62876729999999"/>
    <n v="363"/>
    <n v="3.3712326770000001"/>
    <n v="-71.398590470000002"/>
    <n v="-119.48587569999999"/>
    <n v="-27.48597642"/>
    <x v="161"/>
    <s v="Jun-2020"/>
  </r>
  <r>
    <x v="162"/>
    <s v="SUR"/>
    <x v="0"/>
    <x v="6"/>
    <x v="6"/>
    <s v="reported"/>
    <n v="359.66106739999998"/>
    <n v="374"/>
    <n v="14.33893263"/>
    <n v="-57.05965784"/>
    <n v="-109.46591340000001"/>
    <n v="-8.9694416439999998"/>
    <x v="161"/>
    <s v="Jul-2020"/>
  </r>
  <r>
    <x v="162"/>
    <s v="SUR"/>
    <x v="0"/>
    <x v="7"/>
    <x v="7"/>
    <s v="reported"/>
    <n v="360.17424460000001"/>
    <n v="440"/>
    <n v="79.825755419999993"/>
    <n v="22.76609758"/>
    <n v="-34.696652749999998"/>
    <n v="74.44075832"/>
    <x v="161"/>
    <s v="Aug-2020"/>
  </r>
  <r>
    <x v="162"/>
    <s v="SUR"/>
    <x v="0"/>
    <x v="8"/>
    <x v="8"/>
    <s v="reported"/>
    <n v="360.87746800000002"/>
    <n v="402"/>
    <n v="41.122531979999998"/>
    <n v="63.888629559999998"/>
    <n v="5.3157431449999999"/>
    <n v="121.995105"/>
    <x v="161"/>
    <s v="Sep-2020"/>
  </r>
  <r>
    <x v="162"/>
    <s v="SUR"/>
    <x v="0"/>
    <x v="9"/>
    <x v="9"/>
    <s v="reported"/>
    <n v="361.7308261"/>
    <n v="388"/>
    <n v="26.26917388"/>
    <n v="90.157803450000003"/>
    <n v="26.155056770000002"/>
    <n v="152.28578659999999"/>
    <x v="161"/>
    <s v="Oct-2020"/>
  </r>
  <r>
    <x v="162"/>
    <s v="SUR"/>
    <x v="0"/>
    <x v="10"/>
    <x v="10"/>
    <s v="reported"/>
    <n v="361.81630619999999"/>
    <n v="342"/>
    <n v="-19.816306229999999"/>
    <n v="70.341497219999994"/>
    <n v="2.0397266890000001"/>
    <n v="140.93542149999999"/>
    <x v="161"/>
    <s v="Nov-2020"/>
  </r>
  <r>
    <x v="162"/>
    <s v="SUR"/>
    <x v="0"/>
    <x v="11"/>
    <x v="11"/>
    <s v="reported"/>
    <n v="362.09529470000001"/>
    <n v="389"/>
    <n v="26.9047053"/>
    <n v="97.246202519999997"/>
    <n v="27.145409000000001"/>
    <n v="170.9651844"/>
    <x v="161"/>
    <s v="Dec-2020"/>
  </r>
  <r>
    <x v="162"/>
    <s v="SUR"/>
    <x v="1"/>
    <x v="0"/>
    <x v="0"/>
    <s v="reported"/>
    <n v="362.66099320000001"/>
    <n v="426"/>
    <n v="63.339006820000002"/>
    <n v="160.5852093"/>
    <n v="86.165736190000004"/>
    <n v="237.5033147"/>
    <x v="161"/>
    <s v="Jan-2021"/>
  </r>
  <r>
    <x v="162"/>
    <s v="SUR"/>
    <x v="1"/>
    <x v="1"/>
    <x v="1"/>
    <s v="reported"/>
    <n v="363.50398630000001"/>
    <n v="334"/>
    <n v="-29.503986340000001"/>
    <n v="131.08122299999999"/>
    <n v="55.951062589999999"/>
    <n v="209.61331029999999"/>
    <x v="161"/>
    <s v="Feb-2021"/>
  </r>
  <r>
    <x v="162"/>
    <s v="SUR"/>
    <x v="1"/>
    <x v="2"/>
    <x v="2"/>
    <s v="reported"/>
    <n v="364.20529210000001"/>
    <n v="339"/>
    <n v="-25.20529209"/>
    <n v="105.8759309"/>
    <n v="24.353938060000001"/>
    <n v="186.588877"/>
    <x v="161"/>
    <s v="Mar-2021"/>
  </r>
  <r>
    <x v="162"/>
    <s v="SUR"/>
    <x v="1"/>
    <x v="3"/>
    <x v="3"/>
    <s v="reported"/>
    <n v="363.9934288"/>
    <n v="353"/>
    <n v="-10.993428809999999"/>
    <n v="94.882502099999996"/>
    <n v="11.50712278"/>
    <n v="178.5758093"/>
    <x v="161"/>
    <s v="Apr-2021"/>
  </r>
  <r>
    <x v="162"/>
    <s v="SUR"/>
    <x v="1"/>
    <x v="4"/>
    <x v="4"/>
    <s v="reported"/>
    <n v="365.1691002"/>
    <n v="552"/>
    <n v="186.8308998"/>
    <n v="281.71340190000001"/>
    <n v="195.19150060000001"/>
    <n v="370.9065622"/>
    <x v="161"/>
    <s v="May-2021"/>
  </r>
  <r>
    <x v="162"/>
    <s v="SUR"/>
    <x v="1"/>
    <x v="5"/>
    <x v="5"/>
    <s v="reported"/>
    <n v="365.33510810000001"/>
    <n v="720"/>
    <n v="354.66489189999999"/>
    <n v="636.37829380000005"/>
    <n v="538.72232329999997"/>
    <n v="729.56097299999999"/>
    <x v="161"/>
    <s v="Jun-2021"/>
  </r>
  <r>
    <x v="162"/>
    <s v="SUR"/>
    <x v="1"/>
    <x v="6"/>
    <x v="6"/>
    <s v="reported"/>
    <n v="366.45750329999998"/>
    <n v="601"/>
    <n v="234.54249669999999"/>
    <n v="870.92079060000003"/>
    <n v="773.82527600000003"/>
    <n v="971.36978190000002"/>
    <x v="161"/>
    <s v="Jul-2021"/>
  </r>
  <r>
    <x v="162"/>
    <s v="SUR"/>
    <x v="1"/>
    <x v="7"/>
    <x v="7"/>
    <s v="reported"/>
    <n v="367.07760309999998"/>
    <n v="497"/>
    <n v="129.9223969"/>
    <n v="1000.8431869999999"/>
    <n v="904.41627319999998"/>
    <n v="1098.1163630000001"/>
    <x v="161"/>
    <s v="Aug-2021"/>
  </r>
  <r>
    <x v="162"/>
    <s v="SUR"/>
    <x v="1"/>
    <x v="8"/>
    <x v="8"/>
    <s v="reported"/>
    <n v="366.4183572"/>
    <n v="677"/>
    <n v="310.5816428"/>
    <n v="1311.4248299999999"/>
    <n v="1210.7996439999999"/>
    <n v="1412.6089380000001"/>
    <x v="161"/>
    <s v="Sep-2021"/>
  </r>
  <r>
    <x v="162"/>
    <s v="SUR"/>
    <x v="1"/>
    <x v="9"/>
    <x v="9"/>
    <s v="reported"/>
    <n v="367.46301190000003"/>
    <n v="733"/>
    <n v="365.53698809999997"/>
    <n v="1676.961818"/>
    <n v="1571.2575179999999"/>
    <n v="1784.084848"/>
    <x v="161"/>
    <s v="Oct-2021"/>
  </r>
  <r>
    <x v="162"/>
    <s v="SUR"/>
    <x v="1"/>
    <x v="10"/>
    <x v="10"/>
    <s v="reported"/>
    <n v="367.84139649999997"/>
    <n v="496"/>
    <n v="128.1586035"/>
    <n v="1805.120422"/>
    <n v="1694.9617559999999"/>
    <n v="1917.8916200000001"/>
    <x v="161"/>
    <s v="Nov-2021"/>
  </r>
  <r>
    <x v="162"/>
    <s v="SUR"/>
    <x v="1"/>
    <x v="11"/>
    <x v="11"/>
    <s v="predicted"/>
    <n v="368.8014397"/>
    <n v="445.56599999999997"/>
    <n v="76.764560349999996"/>
    <n v="1881.884982"/>
    <n v="1719.201628"/>
    <n v="2057.677197"/>
    <x v="161"/>
    <s v="Dec-2021"/>
  </r>
  <r>
    <x v="163"/>
    <s v="SVK"/>
    <x v="0"/>
    <x v="0"/>
    <x v="0"/>
    <s v="reported"/>
    <n v="4795.6702919999998"/>
    <n v="4991"/>
    <n v="195.24637419999999"/>
    <n v="195.24637419999999"/>
    <n v="-5.8624386939999997"/>
    <n v="386.98579489999997"/>
    <x v="162"/>
    <s v="Jan-2020"/>
  </r>
  <r>
    <x v="163"/>
    <s v="SVK"/>
    <x v="0"/>
    <x v="1"/>
    <x v="1"/>
    <s v="reported"/>
    <n v="4867.8094780000001"/>
    <n v="4690"/>
    <n v="-177.89281120000001"/>
    <n v="17.353562969999999"/>
    <n v="-289.92118640000001"/>
    <n v="311.2661579"/>
    <x v="162"/>
    <s v="Feb-2020"/>
  </r>
  <r>
    <x v="163"/>
    <s v="SVK"/>
    <x v="0"/>
    <x v="2"/>
    <x v="2"/>
    <s v="reported"/>
    <n v="4742.7625889999999"/>
    <n v="4995"/>
    <n v="252.15407740000001"/>
    <n v="269.50764040000001"/>
    <n v="-104.19798950000001"/>
    <n v="633.77125809999995"/>
    <x v="162"/>
    <s v="Mar-2020"/>
  </r>
  <r>
    <x v="163"/>
    <s v="SVK"/>
    <x v="0"/>
    <x v="3"/>
    <x v="3"/>
    <s v="reported"/>
    <n v="4424.8281509999997"/>
    <n v="4282"/>
    <n v="-142.91148469999999"/>
    <n v="126.5961557"/>
    <n v="-290.32166080000002"/>
    <n v="547.05128190000005"/>
    <x v="162"/>
    <s v="Apr-2020"/>
  </r>
  <r>
    <x v="163"/>
    <s v="SVK"/>
    <x v="0"/>
    <x v="4"/>
    <x v="4"/>
    <s v="reported"/>
    <n v="4203.7008150000001"/>
    <n v="4229"/>
    <n v="25.215851270000002"/>
    <n v="151.8120069"/>
    <n v="-327.77725659999999"/>
    <n v="600.99290310000004"/>
    <x v="162"/>
    <s v="May-2020"/>
  </r>
  <r>
    <x v="163"/>
    <s v="SVK"/>
    <x v="0"/>
    <x v="5"/>
    <x v="5"/>
    <s v="reported"/>
    <n v="4115.7165009999999"/>
    <n v="4057"/>
    <n v="-58.799834599999997"/>
    <n v="93.012172340000006"/>
    <n v="-431.45301940000002"/>
    <n v="581.39201600000001"/>
    <x v="162"/>
    <s v="Jun-2020"/>
  </r>
  <r>
    <x v="163"/>
    <s v="SVK"/>
    <x v="0"/>
    <x v="6"/>
    <x v="6"/>
    <s v="reported"/>
    <n v="4162.0853719999996"/>
    <n v="4276"/>
    <n v="113.83129479999999"/>
    <n v="206.8434671"/>
    <n v="-347.66608769999999"/>
    <n v="754.42440450000004"/>
    <x v="162"/>
    <s v="Jul-2020"/>
  </r>
  <r>
    <x v="163"/>
    <s v="SVK"/>
    <x v="0"/>
    <x v="7"/>
    <x v="7"/>
    <s v="reported"/>
    <n v="4182.3900030000004"/>
    <n v="4436"/>
    <n v="253.5266633"/>
    <n v="460.37013039999999"/>
    <n v="-134.0702297"/>
    <n v="1034.609402"/>
    <x v="162"/>
    <s v="Aug-2020"/>
  </r>
  <r>
    <x v="163"/>
    <s v="SVK"/>
    <x v="0"/>
    <x v="8"/>
    <x v="8"/>
    <s v="reported"/>
    <n v="4186.5935650000001"/>
    <n v="4327"/>
    <n v="140.32310129999999"/>
    <n v="600.69323169999996"/>
    <n v="-30.15823236"/>
    <n v="1252.969079"/>
    <x v="162"/>
    <s v="Sep-2020"/>
  </r>
  <r>
    <x v="163"/>
    <s v="SVK"/>
    <x v="0"/>
    <x v="9"/>
    <x v="9"/>
    <s v="reported"/>
    <n v="4288.5119949999998"/>
    <n v="5389"/>
    <n v="1100.404671"/>
    <n v="1701.0979030000001"/>
    <n v="1012.394928"/>
    <n v="2358.363319"/>
    <x v="162"/>
    <s v="Oct-2020"/>
  </r>
  <r>
    <x v="163"/>
    <s v="SVK"/>
    <x v="0"/>
    <x v="10"/>
    <x v="10"/>
    <s v="reported"/>
    <n v="4484.0214400000004"/>
    <n v="6051"/>
    <n v="1566.895227"/>
    <n v="3267.9931299999998"/>
    <n v="2561.8041870000002"/>
    <n v="3987.6832380000001"/>
    <x v="162"/>
    <s v="Nov-2020"/>
  </r>
  <r>
    <x v="163"/>
    <s v="SVK"/>
    <x v="0"/>
    <x v="11"/>
    <x v="11"/>
    <s v="reported"/>
    <n v="4784.3730560000004"/>
    <n v="7366"/>
    <n v="2581.5436110000001"/>
    <n v="5849.5367409999999"/>
    <n v="5104.6205300000001"/>
    <n v="6587.908015"/>
    <x v="162"/>
    <s v="Dec-2020"/>
  </r>
  <r>
    <x v="163"/>
    <s v="SVK"/>
    <x v="1"/>
    <x v="0"/>
    <x v="0"/>
    <s v="reported"/>
    <n v="4776.7904769999996"/>
    <n v="9081"/>
    <n v="4304.12619"/>
    <n v="10153.66293"/>
    <n v="9338.4322520000005"/>
    <n v="10931.531999999999"/>
    <x v="162"/>
    <s v="Jan-2021"/>
  </r>
  <r>
    <x v="163"/>
    <s v="SVK"/>
    <x v="1"/>
    <x v="1"/>
    <x v="1"/>
    <s v="reported"/>
    <n v="4864.4557850000001"/>
    <n v="8040"/>
    <n v="3175.460881"/>
    <n v="13329.123809999999"/>
    <n v="12512.361870000001"/>
    <n v="14127.8896"/>
    <x v="162"/>
    <s v="Feb-2021"/>
  </r>
  <r>
    <x v="163"/>
    <s v="SVK"/>
    <x v="1"/>
    <x v="2"/>
    <x v="2"/>
    <s v="reported"/>
    <n v="4736.3337499999998"/>
    <n v="7594"/>
    <n v="2857.5829170000002"/>
    <n v="16186.70673"/>
    <n v="15325.56489"/>
    <n v="17054.793529999999"/>
    <x v="162"/>
    <s v="Mar-2021"/>
  </r>
  <r>
    <x v="163"/>
    <s v="SVK"/>
    <x v="1"/>
    <x v="3"/>
    <x v="3"/>
    <s v="reported"/>
    <n v="4428.370938"/>
    <n v="5512"/>
    <n v="1083.5457289999999"/>
    <n v="17270.25246"/>
    <n v="16384.281579999999"/>
    <n v="18194.742829999999"/>
    <x v="162"/>
    <s v="Apr-2021"/>
  </r>
  <r>
    <x v="163"/>
    <s v="SVK"/>
    <x v="1"/>
    <x v="4"/>
    <x v="4"/>
    <s v="reported"/>
    <n v="4197.2325520000004"/>
    <n v="4682"/>
    <n v="484.68411450000002"/>
    <n v="17754.936570000002"/>
    <n v="16829.977940000001"/>
    <n v="18702.227620000001"/>
    <x v="162"/>
    <s v="May-2021"/>
  </r>
  <r>
    <x v="163"/>
    <s v="SVK"/>
    <x v="1"/>
    <x v="5"/>
    <x v="5"/>
    <s v="reported"/>
    <n v="4114.4926249999999"/>
    <n v="4450"/>
    <n v="335.42404140000002"/>
    <n v="18090.36061"/>
    <n v="17105.802810000001"/>
    <n v="19057.173299999999"/>
    <x v="162"/>
    <s v="Jun-2021"/>
  </r>
  <r>
    <x v="163"/>
    <s v="SVK"/>
    <x v="1"/>
    <x v="6"/>
    <x v="6"/>
    <s v="reported"/>
    <n v="4154.8059050000002"/>
    <n v="4298"/>
    <n v="143.11076120000001"/>
    <n v="18233.471369999999"/>
    <n v="17170.52016"/>
    <n v="19216.183059999999"/>
    <x v="162"/>
    <s v="Jul-2021"/>
  </r>
  <r>
    <x v="163"/>
    <s v="SVK"/>
    <x v="1"/>
    <x v="7"/>
    <x v="7"/>
    <s v="reported"/>
    <n v="4181.386254"/>
    <n v="4280"/>
    <n v="98.530413100000004"/>
    <n v="18332.001789999998"/>
    <n v="17226.12386"/>
    <n v="19364.77421"/>
    <x v="162"/>
    <s v="Aug-2021"/>
  </r>
  <r>
    <x v="163"/>
    <s v="SVK"/>
    <x v="1"/>
    <x v="8"/>
    <x v="8"/>
    <s v="reported"/>
    <n v="4187.0068330000004"/>
    <n v="4632"/>
    <n v="444.90983369999998"/>
    <n v="18776.911619999999"/>
    <n v="17660.731960000001"/>
    <n v="19820.298139999999"/>
    <x v="162"/>
    <s v="Sep-2021"/>
  </r>
  <r>
    <x v="163"/>
    <s v="SVK"/>
    <x v="1"/>
    <x v="9"/>
    <x v="9"/>
    <s v="reported"/>
    <n v="4283.6907650000003"/>
    <n v="5673"/>
    <n v="1389.2259019999999"/>
    <n v="20166.13752"/>
    <n v="19021.159350000002"/>
    <n v="21266.009870000002"/>
    <x v="162"/>
    <s v="Oct-2021"/>
  </r>
  <r>
    <x v="163"/>
    <s v="SVK"/>
    <x v="1"/>
    <x v="10"/>
    <x v="10"/>
    <s v="reported"/>
    <n v="4471.072717"/>
    <n v="7518"/>
    <n v="3046.8439499999999"/>
    <n v="23212.981469999999"/>
    <n v="22010.728729999999"/>
    <n v="24295.15223"/>
    <x v="162"/>
    <s v="Nov-2021"/>
  </r>
  <r>
    <x v="163"/>
    <s v="SVK"/>
    <x v="1"/>
    <x v="11"/>
    <x v="11"/>
    <s v="reported"/>
    <n v="4773.3555500000002"/>
    <n v="7701"/>
    <n v="2927.5611170000002"/>
    <n v="26140.542590000001"/>
    <n v="24957.310440000001"/>
    <n v="27252.439259999999"/>
    <x v="162"/>
    <s v="Dec-2021"/>
  </r>
  <r>
    <x v="164"/>
    <s v="SVN"/>
    <x v="0"/>
    <x v="0"/>
    <x v="0"/>
    <s v="reported"/>
    <n v="1933.8941219999999"/>
    <n v="2138"/>
    <n v="204.02254450000001"/>
    <n v="204.02254450000001"/>
    <n v="58.562658970000001"/>
    <n v="368.39647680000002"/>
    <x v="163"/>
    <s v="Jan-2020"/>
  </r>
  <r>
    <x v="164"/>
    <s v="SVN"/>
    <x v="0"/>
    <x v="1"/>
    <x v="1"/>
    <s v="reported"/>
    <n v="1989.8208340000001"/>
    <n v="1969"/>
    <n v="-20.904167739999998"/>
    <n v="183.11837679999999"/>
    <n v="-50.537832330000001"/>
    <n v="425.87784540000001"/>
    <x v="163"/>
    <s v="Feb-2020"/>
  </r>
  <r>
    <x v="164"/>
    <s v="SVN"/>
    <x v="0"/>
    <x v="2"/>
    <x v="2"/>
    <s v="reported"/>
    <n v="1990.6281280000001"/>
    <n v="1860"/>
    <n v="-130.71146100000001"/>
    <n v="52.406915779999999"/>
    <n v="-244.4397223"/>
    <n v="335.55724500000002"/>
    <x v="163"/>
    <s v="Mar-2020"/>
  </r>
  <r>
    <x v="164"/>
    <s v="SVN"/>
    <x v="0"/>
    <x v="3"/>
    <x v="3"/>
    <s v="reported"/>
    <n v="1960.4386750000001"/>
    <n v="1692"/>
    <n v="-268.52200850000003"/>
    <n v="-216.11509280000001"/>
    <n v="-587.01872179999998"/>
    <n v="113.69509600000001"/>
    <x v="163"/>
    <s v="Apr-2020"/>
  </r>
  <r>
    <x v="164"/>
    <s v="SVN"/>
    <x v="0"/>
    <x v="4"/>
    <x v="4"/>
    <s v="reported"/>
    <n v="1916.5893040000001"/>
    <n v="1780"/>
    <n v="-136.6726372"/>
    <n v="-352.78773000000001"/>
    <n v="-755.30685000000005"/>
    <n v="20.91316934"/>
    <x v="163"/>
    <s v="May-2020"/>
  </r>
  <r>
    <x v="164"/>
    <s v="SVN"/>
    <x v="0"/>
    <x v="5"/>
    <x v="5"/>
    <s v="reported"/>
    <n v="1861.5257349999999"/>
    <n v="1493"/>
    <n v="-368.60906829999999"/>
    <n v="-721.3967983"/>
    <n v="-1173.96913"/>
    <n v="-301.29187619999999"/>
    <x v="163"/>
    <s v="Jun-2020"/>
  </r>
  <r>
    <x v="164"/>
    <s v="SVN"/>
    <x v="0"/>
    <x v="6"/>
    <x v="6"/>
    <s v="reported"/>
    <n v="1788.9455620000001"/>
    <n v="1749"/>
    <n v="-40.028895060000004"/>
    <n v="-761.4256934"/>
    <n v="-1243.6719929999999"/>
    <n v="-292.31806089999998"/>
    <x v="163"/>
    <s v="Jul-2020"/>
  </r>
  <r>
    <x v="164"/>
    <s v="SVN"/>
    <x v="0"/>
    <x v="7"/>
    <x v="7"/>
    <s v="reported"/>
    <n v="1739.260415"/>
    <n v="1667"/>
    <n v="-72.343748149999996"/>
    <n v="-833.76944160000005"/>
    <n v="-1346.771802"/>
    <n v="-339.47496560000002"/>
    <x v="163"/>
    <s v="Aug-2020"/>
  </r>
  <r>
    <x v="164"/>
    <s v="SVN"/>
    <x v="0"/>
    <x v="8"/>
    <x v="8"/>
    <s v="reported"/>
    <n v="1749.3819619999999"/>
    <n v="1663"/>
    <n v="-86.465295620000006"/>
    <n v="-920.23473720000004"/>
    <n v="-1451.6787039999999"/>
    <n v="-405.45051999999998"/>
    <x v="163"/>
    <s v="Sep-2020"/>
  </r>
  <r>
    <x v="164"/>
    <s v="SVN"/>
    <x v="0"/>
    <x v="9"/>
    <x v="9"/>
    <s v="reported"/>
    <n v="1806.384763"/>
    <n v="1929"/>
    <n v="122.5319037"/>
    <n v="-797.7028335"/>
    <n v="-1342.9150239999999"/>
    <n v="-241.93330320000001"/>
    <x v="163"/>
    <s v="Oct-2020"/>
  </r>
  <r>
    <x v="164"/>
    <s v="SVN"/>
    <x v="0"/>
    <x v="10"/>
    <x v="10"/>
    <s v="reported"/>
    <n v="1903.408052"/>
    <n v="2927"/>
    <n v="1023.508614"/>
    <n v="225.80578070000001"/>
    <n v="-372.1092529"/>
    <n v="790.3118925"/>
    <x v="163"/>
    <s v="Nov-2020"/>
  </r>
  <r>
    <x v="164"/>
    <s v="SVN"/>
    <x v="0"/>
    <x v="11"/>
    <x v="11"/>
    <s v="reported"/>
    <n v="2000.824241"/>
    <n v="3093"/>
    <n v="1092.0924259999999"/>
    <n v="1317.8982060000001"/>
    <n v="685.12054339999997"/>
    <n v="1911.7002170000001"/>
    <x v="163"/>
    <s v="Dec-2020"/>
  </r>
  <r>
    <x v="164"/>
    <s v="SVN"/>
    <x v="1"/>
    <x v="0"/>
    <x v="0"/>
    <s v="reported"/>
    <n v="2008.9812340000001"/>
    <n v="3006"/>
    <n v="997.01876619999996"/>
    <n v="2314.9169729999999"/>
    <n v="1681.1132749999999"/>
    <n v="2924.8179879999998"/>
    <x v="163"/>
    <s v="Jan-2021"/>
  </r>
  <r>
    <x v="164"/>
    <s v="SVN"/>
    <x v="1"/>
    <x v="1"/>
    <x v="1"/>
    <s v="reported"/>
    <n v="2072.391059"/>
    <n v="1963"/>
    <n v="-109.3910585"/>
    <n v="2205.5259139999998"/>
    <n v="1546.399823"/>
    <n v="2821.735103"/>
    <x v="163"/>
    <s v="Feb-2021"/>
  </r>
  <r>
    <x v="164"/>
    <s v="SVN"/>
    <x v="1"/>
    <x v="2"/>
    <x v="2"/>
    <s v="reported"/>
    <n v="2070.087141"/>
    <n v="1996"/>
    <n v="-74.087141119999998"/>
    <n v="2131.4387729999999"/>
    <n v="1417.820829"/>
    <n v="2785.5105819999999"/>
    <x v="163"/>
    <s v="Mar-2021"/>
  </r>
  <r>
    <x v="164"/>
    <s v="SVN"/>
    <x v="1"/>
    <x v="3"/>
    <x v="3"/>
    <s v="reported"/>
    <n v="2033.321547"/>
    <n v="1831"/>
    <n v="-202.32154729999999"/>
    <n v="1929.1172260000001"/>
    <n v="1178.802643"/>
    <n v="2641.9301660000001"/>
    <x v="163"/>
    <s v="Apr-2021"/>
  </r>
  <r>
    <x v="164"/>
    <s v="SVN"/>
    <x v="1"/>
    <x v="4"/>
    <x v="4"/>
    <s v="reported"/>
    <n v="1989.6139290000001"/>
    <n v="1764"/>
    <n v="-225.6139293"/>
    <n v="1703.5032960000001"/>
    <n v="949.83977370000002"/>
    <n v="2438.028515"/>
    <x v="163"/>
    <s v="May-2021"/>
  </r>
  <r>
    <x v="164"/>
    <s v="SVN"/>
    <x v="1"/>
    <x v="5"/>
    <x v="5"/>
    <s v="reported"/>
    <n v="1934.530188"/>
    <n v="1701"/>
    <n v="-233.53018829999999"/>
    <n v="1469.9731079999999"/>
    <n v="680.11470199999997"/>
    <n v="2235.817896"/>
    <x v="163"/>
    <s v="Jun-2021"/>
  </r>
  <r>
    <x v="164"/>
    <s v="SVN"/>
    <x v="1"/>
    <x v="6"/>
    <x v="6"/>
    <s v="reported"/>
    <n v="1858.3965029999999"/>
    <n v="1586"/>
    <n v="-272.39650260000002"/>
    <n v="1197.576605"/>
    <n v="357.13785739999997"/>
    <n v="1999.8721720000001"/>
    <x v="163"/>
    <s v="Jul-2021"/>
  </r>
  <r>
    <x v="164"/>
    <s v="SVN"/>
    <x v="1"/>
    <x v="7"/>
    <x v="7"/>
    <s v="reported"/>
    <n v="1808.4274789999999"/>
    <n v="1547"/>
    <n v="-261.42747859999997"/>
    <n v="936.14912679999998"/>
    <n v="85.976924019999998"/>
    <n v="1758.239879"/>
    <x v="163"/>
    <s v="Aug-2021"/>
  </r>
  <r>
    <x v="164"/>
    <s v="SVN"/>
    <x v="1"/>
    <x v="8"/>
    <x v="8"/>
    <s v="reported"/>
    <n v="1814.104331"/>
    <n v="1704"/>
    <n v="-110.10433070000001"/>
    <n v="826.04479609999999"/>
    <n v="-38.748968009999999"/>
    <n v="1703.948656"/>
    <x v="163"/>
    <s v="Sep-2021"/>
  </r>
  <r>
    <x v="164"/>
    <s v="SVN"/>
    <x v="1"/>
    <x v="9"/>
    <x v="9"/>
    <s v="reported"/>
    <n v="1870.9844909999999"/>
    <n v="1917"/>
    <n v="46.015508740000001"/>
    <n v="872.06030480000004"/>
    <n v="15.97192727"/>
    <n v="1756.849373"/>
    <x v="163"/>
    <s v="Oct-2021"/>
  </r>
  <r>
    <x v="164"/>
    <s v="SVN"/>
    <x v="1"/>
    <x v="10"/>
    <x v="10"/>
    <s v="reported"/>
    <n v="1980.661339"/>
    <n v="2384"/>
    <n v="403.33866110000002"/>
    <n v="1275.398966"/>
    <n v="422.13050659999999"/>
    <n v="2182.4175730000002"/>
    <x v="163"/>
    <s v="Nov-2021"/>
  </r>
  <r>
    <x v="164"/>
    <s v="SVN"/>
    <x v="1"/>
    <x v="11"/>
    <x v="11"/>
    <s v="reported"/>
    <n v="2081.38607"/>
    <n v="2365"/>
    <n v="283.61393040000002"/>
    <n v="1559.012896"/>
    <n v="693.1700846"/>
    <n v="2496.9598059999998"/>
    <x v="163"/>
    <s v="Dec-2021"/>
  </r>
  <r>
    <x v="165"/>
    <s v="SWE"/>
    <x v="0"/>
    <x v="0"/>
    <x v="0"/>
    <s v="reported"/>
    <n v="8009.0080390000003"/>
    <n v="8073"/>
    <n v="63.825294110000002"/>
    <n v="63.825294110000002"/>
    <n v="-172.70455620000001"/>
    <n v="291.72329680000001"/>
    <x v="164"/>
    <s v="Jan-2020"/>
  </r>
  <r>
    <x v="165"/>
    <s v="SWE"/>
    <x v="0"/>
    <x v="1"/>
    <x v="1"/>
    <s v="reported"/>
    <n v="7711.2744080000002"/>
    <n v="7381"/>
    <n v="-330.44107489999999"/>
    <n v="-266.61578079999998"/>
    <n v="-667.96828389999996"/>
    <n v="74.651853189999997"/>
    <x v="164"/>
    <s v="Feb-2020"/>
  </r>
  <r>
    <x v="165"/>
    <s v="SWE"/>
    <x v="0"/>
    <x v="2"/>
    <x v="2"/>
    <s v="reported"/>
    <n v="7958.9947080000002"/>
    <n v="8396"/>
    <n v="436.83862499999998"/>
    <n v="170.2228442"/>
    <n v="-331.57550359999999"/>
    <n v="600.2326018"/>
    <x v="164"/>
    <s v="Mar-2020"/>
  </r>
  <r>
    <x v="165"/>
    <s v="SWE"/>
    <x v="0"/>
    <x v="3"/>
    <x v="3"/>
    <s v="reported"/>
    <n v="7337.6048890000002"/>
    <n v="10345"/>
    <n v="3007.2284450000002"/>
    <n v="3177.4512890000001"/>
    <n v="2591.8907629999999"/>
    <n v="3707.1941000000002"/>
    <x v="164"/>
    <s v="Apr-2020"/>
  </r>
  <r>
    <x v="165"/>
    <s v="SWE"/>
    <x v="0"/>
    <x v="4"/>
    <x v="4"/>
    <s v="reported"/>
    <n v="6851.293619"/>
    <n v="8705"/>
    <n v="1853.5397149999999"/>
    <n v="5030.9910030000001"/>
    <n v="4414.1620970000004"/>
    <n v="5615.6564580000004"/>
    <x v="164"/>
    <s v="May-2020"/>
  </r>
  <r>
    <x v="165"/>
    <s v="SWE"/>
    <x v="0"/>
    <x v="5"/>
    <x v="5"/>
    <s v="reported"/>
    <n v="6478.2845610000004"/>
    <n v="7263"/>
    <n v="784.54877220000003"/>
    <n v="5815.5397759999996"/>
    <n v="5180.0623580000001"/>
    <n v="6447.3090830000001"/>
    <x v="164"/>
    <s v="Jun-2020"/>
  </r>
  <r>
    <x v="165"/>
    <s v="SWE"/>
    <x v="0"/>
    <x v="6"/>
    <x v="6"/>
    <s v="reported"/>
    <n v="6723.3107419999997"/>
    <n v="6847"/>
    <n v="123.5225915"/>
    <n v="5939.0623670000004"/>
    <n v="5245.9582739999996"/>
    <n v="6619.3740760000001"/>
    <x v="164"/>
    <s v="Jul-2020"/>
  </r>
  <r>
    <x v="165"/>
    <s v="SWE"/>
    <x v="0"/>
    <x v="7"/>
    <x v="7"/>
    <s v="reported"/>
    <n v="6664.591547"/>
    <n v="6811"/>
    <n v="146.24178649999999"/>
    <n v="6085.304153"/>
    <n v="5328.3139860000001"/>
    <n v="6796.581846"/>
    <x v="164"/>
    <s v="Aug-2020"/>
  </r>
  <r>
    <x v="165"/>
    <s v="SWE"/>
    <x v="0"/>
    <x v="8"/>
    <x v="8"/>
    <s v="reported"/>
    <n v="6624.5195869999998"/>
    <n v="6566"/>
    <n v="-58.686253690000001"/>
    <n v="6026.6179000000002"/>
    <n v="5227.8795209999998"/>
    <n v="6793.6748779999998"/>
    <x v="164"/>
    <s v="Sep-2020"/>
  </r>
  <r>
    <x v="165"/>
    <s v="SWE"/>
    <x v="0"/>
    <x v="9"/>
    <x v="9"/>
    <s v="reported"/>
    <n v="7027.9669709999998"/>
    <n v="7058"/>
    <n v="29.86636257"/>
    <n v="6056.4842619999999"/>
    <n v="5228.8934939999999"/>
    <n v="6861.0760060000002"/>
    <x v="164"/>
    <s v="Oct-2020"/>
  </r>
  <r>
    <x v="165"/>
    <s v="SWE"/>
    <x v="0"/>
    <x v="10"/>
    <x v="10"/>
    <s v="reported"/>
    <n v="7144.9415419999996"/>
    <n v="8037"/>
    <n v="891.89179090000005"/>
    <n v="6948.376053"/>
    <n v="6055.8583019999996"/>
    <n v="7819.3044110000001"/>
    <x v="164"/>
    <s v="Nov-2020"/>
  </r>
  <r>
    <x v="165"/>
    <s v="SWE"/>
    <x v="0"/>
    <x v="11"/>
    <x v="11"/>
    <s v="reported"/>
    <n v="7945.4337029999997"/>
    <n v="9930"/>
    <n v="1984.3996299999999"/>
    <n v="8932.7756840000002"/>
    <n v="7984.4040569999997"/>
    <n v="9794.4777290000002"/>
    <x v="164"/>
    <s v="Dec-2020"/>
  </r>
  <r>
    <x v="165"/>
    <s v="SWE"/>
    <x v="1"/>
    <x v="0"/>
    <x v="0"/>
    <s v="reported"/>
    <n v="7939.1327060000003"/>
    <n v="9921"/>
    <n v="1981.8672939999999"/>
    <n v="10914.642980000001"/>
    <n v="9929.8529589999998"/>
    <n v="11823.993769999999"/>
    <x v="164"/>
    <s v="Jan-2021"/>
  </r>
  <r>
    <x v="165"/>
    <s v="SWE"/>
    <x v="1"/>
    <x v="1"/>
    <x v="1"/>
    <s v="reported"/>
    <n v="7652.4507640000002"/>
    <n v="7348"/>
    <n v="-304.45076410000001"/>
    <n v="10610.192209999999"/>
    <n v="9587.4507599999997"/>
    <n v="11570.353789999999"/>
    <x v="164"/>
    <s v="Feb-2021"/>
  </r>
  <r>
    <x v="165"/>
    <s v="SWE"/>
    <x v="1"/>
    <x v="2"/>
    <x v="2"/>
    <s v="reported"/>
    <n v="7896.4551890000002"/>
    <n v="7569"/>
    <n v="-327.45518870000001"/>
    <n v="10282.73702"/>
    <n v="9205.9008510000003"/>
    <n v="11332.270210000001"/>
    <x v="164"/>
    <s v="Mar-2021"/>
  </r>
  <r>
    <x v="165"/>
    <s v="SWE"/>
    <x v="1"/>
    <x v="3"/>
    <x v="3"/>
    <s v="reported"/>
    <n v="7277.8664390000004"/>
    <n v="7155"/>
    <n v="-122.8664385"/>
    <n v="10159.87059"/>
    <n v="9096.2229879999995"/>
    <n v="11190.15785"/>
    <x v="164"/>
    <s v="Apr-2021"/>
  </r>
  <r>
    <x v="165"/>
    <s v="SWE"/>
    <x v="1"/>
    <x v="4"/>
    <x v="4"/>
    <s v="reported"/>
    <n v="6793.420392"/>
    <n v="7065"/>
    <n v="271.57960839999998"/>
    <n v="10431.45019"/>
    <n v="9311.7560639999992"/>
    <n v="11523.72733"/>
    <x v="164"/>
    <s v="May-2021"/>
  </r>
  <r>
    <x v="165"/>
    <s v="SWE"/>
    <x v="1"/>
    <x v="5"/>
    <x v="5"/>
    <s v="reported"/>
    <n v="6422.5691639999995"/>
    <n v="6395"/>
    <n v="-27.56916438"/>
    <n v="10403.88103"/>
    <n v="9247.1174809999993"/>
    <n v="11548.13732"/>
    <x v="164"/>
    <s v="Jun-2021"/>
  </r>
  <r>
    <x v="165"/>
    <s v="SWE"/>
    <x v="1"/>
    <x v="6"/>
    <x v="6"/>
    <s v="reported"/>
    <n v="6664.4032559999996"/>
    <n v="6814"/>
    <n v="149.59674390000001"/>
    <n v="10553.47777"/>
    <n v="9345.5334800000001"/>
    <n v="11739.39824"/>
    <x v="164"/>
    <s v="Jul-2021"/>
  </r>
  <r>
    <x v="165"/>
    <s v="SWE"/>
    <x v="1"/>
    <x v="7"/>
    <x v="7"/>
    <s v="reported"/>
    <n v="6596.1439309999996"/>
    <n v="6833"/>
    <n v="236.85606949999999"/>
    <n v="10790.333839999999"/>
    <n v="9618.216676"/>
    <n v="11966.844069999999"/>
    <x v="164"/>
    <s v="Aug-2021"/>
  </r>
  <r>
    <x v="165"/>
    <s v="SWE"/>
    <x v="1"/>
    <x v="8"/>
    <x v="8"/>
    <s v="reported"/>
    <n v="6557.994283"/>
    <n v="6946"/>
    <n v="388.005717"/>
    <n v="11178.33956"/>
    <n v="9960.0771449999993"/>
    <n v="12361.173419999999"/>
    <x v="164"/>
    <s v="Sep-2021"/>
  </r>
  <r>
    <x v="165"/>
    <s v="SWE"/>
    <x v="1"/>
    <x v="9"/>
    <x v="9"/>
    <s v="reported"/>
    <n v="6969.8009810000003"/>
    <n v="7303"/>
    <n v="333.19901900000002"/>
    <n v="11511.53858"/>
    <n v="10290.115309999999"/>
    <n v="12797.463229999999"/>
    <x v="164"/>
    <s v="Oct-2021"/>
  </r>
  <r>
    <x v="165"/>
    <s v="SWE"/>
    <x v="1"/>
    <x v="10"/>
    <x v="10"/>
    <s v="reported"/>
    <n v="7098.8696220000002"/>
    <n v="7397"/>
    <n v="298.13037759999997"/>
    <n v="11809.668960000001"/>
    <n v="10553.757869999999"/>
    <n v="13140.762779999999"/>
    <x v="164"/>
    <s v="Nov-2021"/>
  </r>
  <r>
    <x v="165"/>
    <s v="SWE"/>
    <x v="1"/>
    <x v="11"/>
    <x v="11"/>
    <s v="reported"/>
    <n v="7875.9723819999999"/>
    <n v="8273"/>
    <n v="397.02761829999997"/>
    <n v="12206.69658"/>
    <n v="10891.212729999999"/>
    <n v="13531.77248"/>
    <x v="164"/>
    <s v="Dec-2021"/>
  </r>
  <r>
    <x v="166"/>
    <s v="SWZ"/>
    <x v="0"/>
    <x v="0"/>
    <x v="0"/>
    <s v="predicted"/>
    <n v="941.51900499999999"/>
    <n v="960.97500000000002"/>
    <n v="19.45599498"/>
    <n v="19.45599498"/>
    <n v="-223.42266459999999"/>
    <n v="301.85184529999998"/>
    <x v="165"/>
    <s v="Jan-2020"/>
  </r>
  <r>
    <x v="166"/>
    <s v="SWZ"/>
    <x v="0"/>
    <x v="1"/>
    <x v="1"/>
    <s v="predicted"/>
    <n v="943.58611429999996"/>
    <n v="933.38099999999997"/>
    <n v="-10.20511432"/>
    <n v="9.2508806569999997"/>
    <n v="-346.84779589999999"/>
    <n v="411.32413229999997"/>
    <x v="165"/>
    <s v="Feb-2020"/>
  </r>
  <r>
    <x v="166"/>
    <s v="SWZ"/>
    <x v="0"/>
    <x v="2"/>
    <x v="2"/>
    <s v="predicted"/>
    <n v="949.26424650000001"/>
    <n v="920.83399999999995"/>
    <n v="-28.430246459999999"/>
    <n v="-19.179365799999999"/>
    <n v="-472.05384650000002"/>
    <n v="443.78576079999999"/>
    <x v="165"/>
    <s v="Mar-2020"/>
  </r>
  <r>
    <x v="166"/>
    <s v="SWZ"/>
    <x v="0"/>
    <x v="3"/>
    <x v="3"/>
    <s v="predicted"/>
    <n v="963.02365589999999"/>
    <n v="901.82500000000005"/>
    <n v="-61.198655860000002"/>
    <n v="-80.378021660000002"/>
    <n v="-591.71498489999999"/>
    <n v="445.34094670000002"/>
    <x v="165"/>
    <s v="Apr-2020"/>
  </r>
  <r>
    <x v="166"/>
    <s v="SWZ"/>
    <x v="0"/>
    <x v="4"/>
    <x v="4"/>
    <s v="predicted"/>
    <n v="976.90474879999999"/>
    <n v="934.88"/>
    <n v="-42.02474883"/>
    <n v="-122.4027705"/>
    <n v="-725.21656399999995"/>
    <n v="452.90070559999998"/>
    <x v="165"/>
    <s v="May-2020"/>
  </r>
  <r>
    <x v="166"/>
    <s v="SWZ"/>
    <x v="0"/>
    <x v="5"/>
    <x v="5"/>
    <s v="predicted"/>
    <n v="991.78671359999998"/>
    <n v="1034.1969999999999"/>
    <n v="42.410286390000003"/>
    <n v="-79.992484099999999"/>
    <n v="-727.11846800000001"/>
    <n v="596.70625759999996"/>
    <x v="165"/>
    <s v="Jun-2020"/>
  </r>
  <r>
    <x v="166"/>
    <s v="SWZ"/>
    <x v="0"/>
    <x v="6"/>
    <x v="6"/>
    <s v="predicted"/>
    <n v="993.72830060000001"/>
    <n v="1124.1210000000001"/>
    <n v="130.3926994"/>
    <n v="50.40021531"/>
    <n v="-627.56515090000005"/>
    <n v="792.74677450000001"/>
    <x v="165"/>
    <s v="Jul-2020"/>
  </r>
  <r>
    <x v="166"/>
    <s v="SWZ"/>
    <x v="0"/>
    <x v="7"/>
    <x v="7"/>
    <s v="predicted"/>
    <n v="986.31866079999998"/>
    <n v="1181.9880000000001"/>
    <n v="195.6693392"/>
    <n v="246.06955450000001"/>
    <n v="-534.97207490000005"/>
    <n v="1067.866968"/>
    <x v="165"/>
    <s v="Aug-2020"/>
  </r>
  <r>
    <x v="166"/>
    <s v="SWZ"/>
    <x v="0"/>
    <x v="8"/>
    <x v="8"/>
    <s v="predicted"/>
    <n v="970.06604589999995"/>
    <n v="1091.171"/>
    <n v="121.1049541"/>
    <n v="367.1745085"/>
    <n v="-455.80685369999998"/>
    <n v="1187.9097859999999"/>
    <x v="165"/>
    <s v="Sep-2020"/>
  </r>
  <r>
    <x v="166"/>
    <s v="SWZ"/>
    <x v="0"/>
    <x v="9"/>
    <x v="9"/>
    <s v="predicted"/>
    <n v="959.53569130000005"/>
    <n v="1048.5309999999999"/>
    <n v="88.995308679999994"/>
    <n v="456.16981720000001"/>
    <n v="-421.77998769999999"/>
    <n v="1359.21083"/>
    <x v="165"/>
    <s v="Oct-2020"/>
  </r>
  <r>
    <x v="166"/>
    <s v="SWZ"/>
    <x v="0"/>
    <x v="10"/>
    <x v="10"/>
    <s v="predicted"/>
    <n v="953.37391360000004"/>
    <n v="1003.802"/>
    <n v="50.428086450000002"/>
    <n v="506.59790370000002"/>
    <n v="-390.98038300000002"/>
    <n v="1467.1270099999999"/>
    <x v="165"/>
    <s v="Nov-2020"/>
  </r>
  <r>
    <x v="166"/>
    <s v="SWZ"/>
    <x v="0"/>
    <x v="11"/>
    <x v="11"/>
    <s v="predicted"/>
    <n v="948.07653430000005"/>
    <n v="1146.019"/>
    <n v="197.94246570000001"/>
    <n v="704.54036929999995"/>
    <n v="-299.21726940000002"/>
    <n v="1679.4663350000001"/>
    <x v="165"/>
    <s v="Dec-2020"/>
  </r>
  <r>
    <x v="166"/>
    <s v="SWZ"/>
    <x v="1"/>
    <x v="0"/>
    <x v="0"/>
    <s v="predicted"/>
    <n v="922.00231959999996"/>
    <n v="1523.9680000000001"/>
    <n v="601.9656804"/>
    <n v="1306.50605"/>
    <n v="260.142831"/>
    <n v="2396.206858"/>
    <x v="165"/>
    <s v="Jan-2021"/>
  </r>
  <r>
    <x v="166"/>
    <s v="SWZ"/>
    <x v="1"/>
    <x v="1"/>
    <x v="1"/>
    <s v="predicted"/>
    <n v="924.6004954"/>
    <n v="1172.645"/>
    <n v="248.04450460000001"/>
    <n v="1554.5505539999999"/>
    <n v="424.81972510000003"/>
    <n v="2736.1883899999998"/>
    <x v="165"/>
    <s v="Feb-2021"/>
  </r>
  <r>
    <x v="166"/>
    <s v="SWZ"/>
    <x v="1"/>
    <x v="2"/>
    <x v="2"/>
    <s v="predicted"/>
    <n v="929.8943696"/>
    <n v="1035.9659999999999"/>
    <n v="106.0716304"/>
    <n v="1660.6221849999999"/>
    <n v="506.49925250000001"/>
    <n v="2901.7683830000001"/>
    <x v="165"/>
    <s v="Mar-2021"/>
  </r>
  <r>
    <x v="166"/>
    <s v="SWZ"/>
    <x v="1"/>
    <x v="3"/>
    <x v="3"/>
    <s v="predicted"/>
    <n v="942.02540550000003"/>
    <n v="962.07500000000005"/>
    <n v="20.049594509999999"/>
    <n v="1680.671779"/>
    <n v="462.2594641"/>
    <n v="2934.9831939999999"/>
    <x v="165"/>
    <s v="Apr-2021"/>
  </r>
  <r>
    <x v="166"/>
    <s v="SWZ"/>
    <x v="1"/>
    <x v="4"/>
    <x v="4"/>
    <s v="predicted"/>
    <n v="957.56259490000002"/>
    <n v="946.02200000000005"/>
    <n v="-11.540594889999999"/>
    <n v="1669.1311840000001"/>
    <n v="419.12352470000002"/>
    <n v="2863.790031"/>
    <x v="165"/>
    <s v="May-2021"/>
  </r>
  <r>
    <x v="166"/>
    <s v="SWZ"/>
    <x v="1"/>
    <x v="5"/>
    <x v="5"/>
    <s v="predicted"/>
    <n v="970.16947630000004"/>
    <n v="970.83600000000001"/>
    <n v="0.666523702"/>
    <n v="1669.7977080000001"/>
    <n v="385.41458180000001"/>
    <n v="2883.091113"/>
    <x v="165"/>
    <s v="Jun-2021"/>
  </r>
  <r>
    <x v="166"/>
    <s v="SWZ"/>
    <x v="1"/>
    <x v="6"/>
    <x v="6"/>
    <s v="predicted"/>
    <n v="972.08798679999995"/>
    <n v="1224.0440000000001"/>
    <n v="251.9560132"/>
    <n v="1921.753721"/>
    <n v="683.70874470000001"/>
    <n v="3179.3695339999999"/>
    <x v="165"/>
    <s v="Jul-2021"/>
  </r>
  <r>
    <x v="166"/>
    <s v="SWZ"/>
    <x v="1"/>
    <x v="7"/>
    <x v="7"/>
    <s v="predicted"/>
    <n v="964.55770940000002"/>
    <n v="1598.056"/>
    <n v="633.49829060000002"/>
    <n v="2555.2520119999999"/>
    <n v="1254.4351839999999"/>
    <n v="3931.3540050000001"/>
    <x v="165"/>
    <s v="Aug-2021"/>
  </r>
  <r>
    <x v="166"/>
    <s v="SWZ"/>
    <x v="1"/>
    <x v="8"/>
    <x v="8"/>
    <s v="predicted"/>
    <n v="949.35286110000004"/>
    <n v="1258.9760000000001"/>
    <n v="309.62313890000001"/>
    <n v="2864.8751510000002"/>
    <n v="1510.899451"/>
    <n v="4309.8609180000003"/>
    <x v="165"/>
    <s v="Sep-2021"/>
  </r>
  <r>
    <x v="166"/>
    <s v="SWZ"/>
    <x v="1"/>
    <x v="9"/>
    <x v="9"/>
    <s v="predicted"/>
    <n v="940.511436"/>
    <n v="1048.4929999999999"/>
    <n v="107.98156400000001"/>
    <n v="2972.8567149999999"/>
    <n v="1554.413092"/>
    <n v="4398.7223940000003"/>
    <x v="165"/>
    <s v="Oct-2021"/>
  </r>
  <r>
    <x v="166"/>
    <s v="SWZ"/>
    <x v="1"/>
    <x v="10"/>
    <x v="10"/>
    <s v="predicted"/>
    <n v="933.74695059999999"/>
    <n v="995.12900000000002"/>
    <n v="61.382049350000003"/>
    <n v="3034.2387640000002"/>
    <n v="1603.969272"/>
    <n v="4501.3578539999999"/>
    <x v="165"/>
    <s v="Nov-2021"/>
  </r>
  <r>
    <x v="166"/>
    <s v="SWZ"/>
    <x v="1"/>
    <x v="11"/>
    <x v="11"/>
    <s v="predicted"/>
    <n v="927.77656009999998"/>
    <n v="1081.279"/>
    <n v="153.50243990000001"/>
    <n v="3187.7412039999999"/>
    <n v="1649.2021030000001"/>
    <n v="4648.3544380000003"/>
    <x v="165"/>
    <s v="Dec-2021"/>
  </r>
  <r>
    <x v="167"/>
    <s v="SYC"/>
    <x v="0"/>
    <x v="0"/>
    <x v="0"/>
    <s v="reported"/>
    <n v="69.335536630000007"/>
    <n v="65"/>
    <n v="-4.3355366340000003"/>
    <n v="-4.3355366340000003"/>
    <n v="-9.1037521600000009"/>
    <n v="0.251850038"/>
    <x v="166"/>
    <s v="Jan-2020"/>
  </r>
  <r>
    <x v="167"/>
    <s v="SYC"/>
    <x v="0"/>
    <x v="1"/>
    <x v="1"/>
    <s v="reported"/>
    <n v="69.382284029999994"/>
    <n v="61"/>
    <n v="-8.3822840260000007"/>
    <n v="-12.717820659999999"/>
    <n v="-19.753591409999999"/>
    <n v="-6.2914765819999996"/>
    <x v="166"/>
    <s v="Feb-2020"/>
  </r>
  <r>
    <x v="167"/>
    <s v="SYC"/>
    <x v="0"/>
    <x v="2"/>
    <x v="2"/>
    <s v="reported"/>
    <n v="69.788785840000003"/>
    <n v="57"/>
    <n v="-12.788785839999999"/>
    <n v="-25.5066065"/>
    <n v="-34.349245189999998"/>
    <n v="-16.909028060000001"/>
    <x v="166"/>
    <s v="Mar-2020"/>
  </r>
  <r>
    <x v="167"/>
    <s v="SYC"/>
    <x v="0"/>
    <x v="3"/>
    <x v="3"/>
    <s v="reported"/>
    <n v="69.863760409999998"/>
    <n v="59"/>
    <n v="-10.863760409999999"/>
    <n v="-36.370366910000001"/>
    <n v="-46.24663864"/>
    <n v="-26.14005341"/>
    <x v="166"/>
    <s v="Apr-2020"/>
  </r>
  <r>
    <x v="167"/>
    <s v="SYC"/>
    <x v="0"/>
    <x v="4"/>
    <x v="4"/>
    <s v="reported"/>
    <n v="70.300901629999998"/>
    <n v="41"/>
    <n v="-29.300901629999998"/>
    <n v="-65.67126854"/>
    <n v="-76.654209059999999"/>
    <n v="-54.243191029999998"/>
    <x v="166"/>
    <s v="May-2020"/>
  </r>
  <r>
    <x v="167"/>
    <s v="SYC"/>
    <x v="0"/>
    <x v="5"/>
    <x v="5"/>
    <s v="reported"/>
    <n v="70.413274729999998"/>
    <n v="52"/>
    <n v="-18.413274730000001"/>
    <n v="-84.084543260000004"/>
    <n v="-95.842250079999999"/>
    <n v="-72.243073319999993"/>
    <x v="166"/>
    <s v="Jun-2020"/>
  </r>
  <r>
    <x v="167"/>
    <s v="SYC"/>
    <x v="0"/>
    <x v="6"/>
    <x v="6"/>
    <s v="reported"/>
    <n v="70.717633230000004"/>
    <n v="56"/>
    <n v="-14.717633230000001"/>
    <n v="-98.802176500000002"/>
    <n v="-112.21353689999999"/>
    <n v="-85.788483940000006"/>
    <x v="166"/>
    <s v="Jul-2020"/>
  </r>
  <r>
    <x v="167"/>
    <s v="SYC"/>
    <x v="0"/>
    <x v="7"/>
    <x v="7"/>
    <s v="reported"/>
    <n v="70.805411520000007"/>
    <n v="50"/>
    <n v="-20.80541152"/>
    <n v="-119.60758800000001"/>
    <n v="-134.40361820000001"/>
    <n v="-104.1673344"/>
    <x v="166"/>
    <s v="Aug-2020"/>
  </r>
  <r>
    <x v="167"/>
    <s v="SYC"/>
    <x v="0"/>
    <x v="8"/>
    <x v="8"/>
    <s v="reported"/>
    <n v="71.184307759999996"/>
    <n v="54"/>
    <n v="-17.184307759999999"/>
    <n v="-136.79189579999999"/>
    <n v="-153.4326461"/>
    <n v="-120.3536951"/>
    <x v="166"/>
    <s v="Sep-2020"/>
  </r>
  <r>
    <x v="167"/>
    <s v="SYC"/>
    <x v="0"/>
    <x v="9"/>
    <x v="9"/>
    <s v="reported"/>
    <n v="71.040240069999996"/>
    <n v="43"/>
    <n v="-28.040240069999999"/>
    <n v="-164.8321358"/>
    <n v="-181.6164679"/>
    <n v="-146.46082899999999"/>
    <x v="166"/>
    <s v="Oct-2020"/>
  </r>
  <r>
    <x v="167"/>
    <s v="SYC"/>
    <x v="0"/>
    <x v="10"/>
    <x v="10"/>
    <s v="reported"/>
    <n v="71.477736770000007"/>
    <n v="66"/>
    <n v="-5.4777367750000003"/>
    <n v="-170.30987260000001"/>
    <n v="-188.32026210000001"/>
    <n v="-151.416743"/>
    <x v="166"/>
    <s v="Nov-2020"/>
  </r>
  <r>
    <x v="167"/>
    <s v="SYC"/>
    <x v="0"/>
    <x v="11"/>
    <x v="11"/>
    <s v="reported"/>
    <n v="71.551004410000004"/>
    <n v="64"/>
    <n v="-7.5510044059999997"/>
    <n v="-177.86087699999999"/>
    <n v="-196.6607612"/>
    <n v="-157.92737009999999"/>
    <x v="166"/>
    <s v="Dec-2020"/>
  </r>
  <r>
    <x v="167"/>
    <s v="SYC"/>
    <x v="1"/>
    <x v="0"/>
    <x v="0"/>
    <s v="reported"/>
    <n v="71.91411841"/>
    <n v="69"/>
    <n v="-2.914118406"/>
    <n v="-180.77499539999999"/>
    <n v="-201.07569620000001"/>
    <n v="-160.55511229999999"/>
    <x v="166"/>
    <s v="Jan-2021"/>
  </r>
  <r>
    <x v="167"/>
    <s v="SYC"/>
    <x v="1"/>
    <x v="1"/>
    <x v="1"/>
    <s v="reported"/>
    <n v="72.007677229999999"/>
    <n v="78"/>
    <n v="5.9923227670000001"/>
    <n v="-174.78267270000001"/>
    <n v="-196.01987919999999"/>
    <n v="-153.6630399"/>
    <x v="166"/>
    <s v="Feb-2021"/>
  </r>
  <r>
    <x v="167"/>
    <s v="SYC"/>
    <x v="1"/>
    <x v="2"/>
    <x v="2"/>
    <s v="reported"/>
    <n v="72.155822810000004"/>
    <n v="74"/>
    <n v="1.8441771920000001"/>
    <n v="-172.93849549999999"/>
    <n v="-195.41110900000001"/>
    <n v="-151.2805908"/>
    <x v="166"/>
    <s v="Mar-2021"/>
  </r>
  <r>
    <x v="167"/>
    <s v="SYC"/>
    <x v="1"/>
    <x v="3"/>
    <x v="3"/>
    <s v="reported"/>
    <n v="72.465387190000001"/>
    <n v="63"/>
    <n v="-9.4653871879999993"/>
    <n v="-182.4038827"/>
    <n v="-206.13335720000001"/>
    <n v="-160.89481240000001"/>
    <x v="166"/>
    <s v="Apr-2021"/>
  </r>
  <r>
    <x v="167"/>
    <s v="SYC"/>
    <x v="1"/>
    <x v="4"/>
    <x v="4"/>
    <s v="reported"/>
    <n v="72.754151280000002"/>
    <n v="91"/>
    <n v="18.245848720000001"/>
    <n v="-164.15803389999999"/>
    <n v="-189.2217058"/>
    <n v="-140.88565629999999"/>
    <x v="166"/>
    <s v="May-2021"/>
  </r>
  <r>
    <x v="167"/>
    <s v="SYC"/>
    <x v="1"/>
    <x v="5"/>
    <x v="5"/>
    <s v="reported"/>
    <n v="72.877260939999999"/>
    <n v="108"/>
    <n v="35.122739060000001"/>
    <n v="-129.0352949"/>
    <n v="-155.80748030000001"/>
    <n v="-103.64300540000001"/>
    <x v="166"/>
    <s v="Jun-2021"/>
  </r>
  <r>
    <x v="167"/>
    <s v="SYC"/>
    <x v="1"/>
    <x v="6"/>
    <x v="6"/>
    <s v="reported"/>
    <n v="73.118839870000002"/>
    <n v="98"/>
    <n v="24.881160130000001"/>
    <n v="-104.1541347"/>
    <n v="-131.5866169"/>
    <n v="-76.827855589999999"/>
    <x v="166"/>
    <s v="Jul-2021"/>
  </r>
  <r>
    <x v="167"/>
    <s v="SYC"/>
    <x v="1"/>
    <x v="7"/>
    <x v="7"/>
    <s v="reported"/>
    <n v="73.163966909999999"/>
    <n v="66"/>
    <n v="-7.1639669130000003"/>
    <n v="-111.3181017"/>
    <n v="-138.40085300000001"/>
    <n v="-83.409108950000004"/>
    <x v="166"/>
    <s v="Aug-2021"/>
  </r>
  <r>
    <x v="167"/>
    <s v="SYC"/>
    <x v="1"/>
    <x v="8"/>
    <x v="8"/>
    <s v="reported"/>
    <n v="73.367060499999994"/>
    <n v="72"/>
    <n v="-1.367060497"/>
    <n v="-112.68516219999999"/>
    <n v="-141.0975631"/>
    <n v="-83.054583629999996"/>
    <x v="166"/>
    <s v="Sep-2021"/>
  </r>
  <r>
    <x v="167"/>
    <s v="SYC"/>
    <x v="1"/>
    <x v="9"/>
    <x v="9"/>
    <s v="reported"/>
    <n v="73.755474550000002"/>
    <n v="72"/>
    <n v="-1.7554745490000001"/>
    <n v="-114.4406367"/>
    <n v="-143.4000149"/>
    <n v="-83.361812529999995"/>
    <x v="166"/>
    <s v="Oct-2021"/>
  </r>
  <r>
    <x v="167"/>
    <s v="SYC"/>
    <x v="1"/>
    <x v="10"/>
    <x v="10"/>
    <s v="reported"/>
    <n v="74.101170640000007"/>
    <n v="59"/>
    <n v="-15.101170639999999"/>
    <n v="-129.54180729999999"/>
    <n v="-159.61881969999999"/>
    <n v="-98.487528979999993"/>
    <x v="166"/>
    <s v="Nov-2021"/>
  </r>
  <r>
    <x v="167"/>
    <s v="SYC"/>
    <x v="1"/>
    <x v="11"/>
    <x v="11"/>
    <s v="reported"/>
    <n v="74.398977029999998"/>
    <n v="75"/>
    <n v="0.60102296700000002"/>
    <n v="-128.94078440000001"/>
    <n v="-160.33335460000001"/>
    <n v="-96.384710179999999"/>
    <x v="166"/>
    <s v="Dec-2021"/>
  </r>
  <r>
    <x v="168"/>
    <s v="SYR"/>
    <x v="0"/>
    <x v="0"/>
    <x v="0"/>
    <s v="predicted"/>
    <n v="6516.200476"/>
    <n v="6663.424"/>
    <n v="147.223524"/>
    <n v="147.223524"/>
    <n v="-2407.6412879999998"/>
    <n v="3050.3608490000001"/>
    <x v="167"/>
    <s v="Jan-2020"/>
  </r>
  <r>
    <x v="168"/>
    <s v="SYR"/>
    <x v="0"/>
    <x v="1"/>
    <x v="1"/>
    <s v="predicted"/>
    <n v="6384.8505370000003"/>
    <n v="6404.3130000000001"/>
    <n v="19.46246283"/>
    <n v="166.68598689999999"/>
    <n v="-3391.18579"/>
    <n v="3909.342635"/>
    <x v="167"/>
    <s v="Feb-2020"/>
  </r>
  <r>
    <x v="168"/>
    <s v="SYR"/>
    <x v="0"/>
    <x v="2"/>
    <x v="2"/>
    <s v="predicted"/>
    <n v="6248.8159169999999"/>
    <n v="5708.723"/>
    <n v="-540.09291740000003"/>
    <n v="-373.40693049999999"/>
    <n v="-4580.134951"/>
    <n v="4070.2832720000001"/>
    <x v="167"/>
    <s v="Mar-2020"/>
  </r>
  <r>
    <x v="168"/>
    <s v="SYR"/>
    <x v="0"/>
    <x v="3"/>
    <x v="3"/>
    <s v="predicted"/>
    <n v="6092.6900580000001"/>
    <n v="5441.6540000000005"/>
    <n v="-651.0360584"/>
    <n v="-1024.4429889999999"/>
    <n v="-5732.0771119999999"/>
    <n v="3957.3246359999998"/>
    <x v="167"/>
    <s v="Apr-2020"/>
  </r>
  <r>
    <x v="168"/>
    <s v="SYR"/>
    <x v="0"/>
    <x v="4"/>
    <x v="4"/>
    <s v="predicted"/>
    <n v="5879.0021619999998"/>
    <n v="5578.5839999999998"/>
    <n v="-300.41816169999998"/>
    <n v="-1324.8611510000001"/>
    <n v="-6619.6185169999999"/>
    <n v="4388.9213120000004"/>
    <x v="167"/>
    <s v="May-2020"/>
  </r>
  <r>
    <x v="168"/>
    <s v="SYR"/>
    <x v="0"/>
    <x v="5"/>
    <x v="5"/>
    <s v="predicted"/>
    <n v="5746.6349339999997"/>
    <n v="6006.4219999999996"/>
    <n v="259.78706560000001"/>
    <n v="-1065.074085"/>
    <n v="-6703.1023670000004"/>
    <n v="4867.4961460000004"/>
    <x v="167"/>
    <s v="Jun-2020"/>
  </r>
  <r>
    <x v="168"/>
    <s v="SYR"/>
    <x v="0"/>
    <x v="6"/>
    <x v="6"/>
    <s v="predicted"/>
    <n v="5631.5790610000004"/>
    <n v="6328.817"/>
    <n v="697.23793869999997"/>
    <n v="-367.83614619999997"/>
    <n v="-6665.9614149999998"/>
    <n v="6052.3845209999999"/>
    <x v="167"/>
    <s v="Jul-2020"/>
  </r>
  <r>
    <x v="168"/>
    <s v="SYR"/>
    <x v="0"/>
    <x v="7"/>
    <x v="7"/>
    <s v="predicted"/>
    <n v="5653.4918180000004"/>
    <n v="6297.12"/>
    <n v="643.62818240000001"/>
    <n v="275.79203619999998"/>
    <n v="-5904.1134119999997"/>
    <n v="7403.9983659999998"/>
    <x v="167"/>
    <s v="Aug-2020"/>
  </r>
  <r>
    <x v="168"/>
    <s v="SYR"/>
    <x v="0"/>
    <x v="8"/>
    <x v="8"/>
    <s v="predicted"/>
    <n v="5668.9054550000001"/>
    <n v="6196.1480000000001"/>
    <n v="527.24254529999996"/>
    <n v="803.03458149999994"/>
    <n v="-6214.3217619999996"/>
    <n v="8023.9184269999996"/>
    <x v="167"/>
    <s v="Sep-2020"/>
  </r>
  <r>
    <x v="168"/>
    <s v="SYR"/>
    <x v="0"/>
    <x v="9"/>
    <x v="9"/>
    <s v="predicted"/>
    <n v="5906.2644979999995"/>
    <n v="6356.2960000000003"/>
    <n v="450.0315023"/>
    <n v="1253.066084"/>
    <n v="-6051.8403120000003"/>
    <n v="9534.1484079999991"/>
    <x v="167"/>
    <s v="Oct-2020"/>
  </r>
  <r>
    <x v="168"/>
    <s v="SYR"/>
    <x v="0"/>
    <x v="10"/>
    <x v="10"/>
    <s v="predicted"/>
    <n v="6242.4756399999997"/>
    <n v="7110.4470000000001"/>
    <n v="867.97136049999995"/>
    <n v="2121.0374440000001"/>
    <n v="-5660.437602"/>
    <n v="10988.30395"/>
    <x v="167"/>
    <s v="Nov-2020"/>
  </r>
  <r>
    <x v="168"/>
    <s v="SYR"/>
    <x v="0"/>
    <x v="11"/>
    <x v="11"/>
    <s v="predicted"/>
    <n v="6391.4463839999999"/>
    <n v="7361.8739999999998"/>
    <n v="970.42761619999999"/>
    <n v="3091.4650609999999"/>
    <n v="-5177.9772270000003"/>
    <n v="12232.58603"/>
    <x v="167"/>
    <s v="Dec-2020"/>
  </r>
  <r>
    <x v="168"/>
    <s v="SYR"/>
    <x v="1"/>
    <x v="0"/>
    <x v="0"/>
    <s v="predicted"/>
    <n v="5484.6213379999999"/>
    <n v="6074.1540000000005"/>
    <n v="589.53266169999995"/>
    <n v="3680.9977220000001"/>
    <n v="-5424.5454019999997"/>
    <n v="13445.191080000001"/>
    <x v="167"/>
    <s v="Jan-2021"/>
  </r>
  <r>
    <x v="168"/>
    <s v="SYR"/>
    <x v="1"/>
    <x v="1"/>
    <x v="1"/>
    <s v="predicted"/>
    <n v="5428.2814760000001"/>
    <n v="5737.5339999999997"/>
    <n v="309.2525235"/>
    <n v="3990.2502460000001"/>
    <n v="-6025.6423999999997"/>
    <n v="14045.2389"/>
    <x v="167"/>
    <s v="Feb-2021"/>
  </r>
  <r>
    <x v="168"/>
    <s v="SYR"/>
    <x v="1"/>
    <x v="2"/>
    <x v="2"/>
    <s v="predicted"/>
    <n v="5248.9081489999999"/>
    <n v="5886.1270000000004"/>
    <n v="637.21885099999997"/>
    <n v="4627.4690970000001"/>
    <n v="-5654.2449150000002"/>
    <n v="15524.894130000001"/>
    <x v="167"/>
    <s v="Mar-2021"/>
  </r>
  <r>
    <x v="168"/>
    <s v="SYR"/>
    <x v="1"/>
    <x v="3"/>
    <x v="3"/>
    <s v="predicted"/>
    <n v="5105.6792690000002"/>
    <n v="5813.5249999999996"/>
    <n v="707.84573069999999"/>
    <n v="5335.3148270000002"/>
    <n v="-5666.2736100000002"/>
    <n v="16246.182699999999"/>
    <x v="167"/>
    <s v="Apr-2021"/>
  </r>
  <r>
    <x v="168"/>
    <s v="SYR"/>
    <x v="1"/>
    <x v="4"/>
    <x v="4"/>
    <s v="predicted"/>
    <n v="4980.4969199999996"/>
    <n v="5627.415"/>
    <n v="646.91807970000002"/>
    <n v="5982.2329069999996"/>
    <n v="-5807.777497"/>
    <n v="17430.635279999999"/>
    <x v="167"/>
    <s v="May-2021"/>
  </r>
  <r>
    <x v="168"/>
    <s v="SYR"/>
    <x v="1"/>
    <x v="5"/>
    <x v="5"/>
    <s v="predicted"/>
    <n v="4846.2992690000001"/>
    <n v="5528.84"/>
    <n v="682.54073080000001"/>
    <n v="6664.7736379999997"/>
    <n v="-4792.877391"/>
    <n v="18861.69701"/>
    <x v="167"/>
    <s v="Jun-2021"/>
  </r>
  <r>
    <x v="168"/>
    <s v="SYR"/>
    <x v="1"/>
    <x v="6"/>
    <x v="6"/>
    <s v="predicted"/>
    <n v="4749.5483180000001"/>
    <n v="5466.4120000000003"/>
    <n v="716.86368159999995"/>
    <n v="7381.6373190000004"/>
    <n v="-4382.7560750000002"/>
    <n v="19446.33295"/>
    <x v="167"/>
    <s v="Jul-2021"/>
  </r>
  <r>
    <x v="168"/>
    <s v="SYR"/>
    <x v="1"/>
    <x v="7"/>
    <x v="7"/>
    <s v="predicted"/>
    <n v="4749.8077110000004"/>
    <n v="5590.09"/>
    <n v="840.28228939999997"/>
    <n v="8221.9196090000005"/>
    <n v="-4084.2804059999999"/>
    <n v="20347.764920000001"/>
    <x v="167"/>
    <s v="Aug-2021"/>
  </r>
  <r>
    <x v="168"/>
    <s v="SYR"/>
    <x v="1"/>
    <x v="8"/>
    <x v="8"/>
    <s v="predicted"/>
    <n v="4773.509873"/>
    <n v="5502.4989999999998"/>
    <n v="728.98912659999996"/>
    <n v="8950.9087350000009"/>
    <n v="-3283.8936920000001"/>
    <n v="21623.23402"/>
    <x v="167"/>
    <s v="Sep-2021"/>
  </r>
  <r>
    <x v="168"/>
    <s v="SYR"/>
    <x v="1"/>
    <x v="9"/>
    <x v="9"/>
    <s v="predicted"/>
    <n v="4929.1054940000004"/>
    <n v="5628.2950000000001"/>
    <n v="699.18950600000005"/>
    <n v="9650.0982409999997"/>
    <n v="-3024.4918160000002"/>
    <n v="22585.404989999999"/>
    <x v="167"/>
    <s v="Oct-2021"/>
  </r>
  <r>
    <x v="168"/>
    <s v="SYR"/>
    <x v="1"/>
    <x v="10"/>
    <x v="10"/>
    <s v="predicted"/>
    <n v="5187.8056189999998"/>
    <n v="5772.4669999999996"/>
    <n v="584.66138060000003"/>
    <n v="10234.759620000001"/>
    <n v="-2789.2692229999998"/>
    <n v="23060.854920000002"/>
    <x v="167"/>
    <s v="Nov-2021"/>
  </r>
  <r>
    <x v="168"/>
    <s v="SYR"/>
    <x v="1"/>
    <x v="11"/>
    <x v="11"/>
    <s v="predicted"/>
    <n v="5400.3913220000004"/>
    <n v="5949.0860000000002"/>
    <n v="548.69467799999995"/>
    <n v="10783.454299999999"/>
    <n v="-2804.4513780000002"/>
    <n v="23778.060730000001"/>
    <x v="167"/>
    <s v="Dec-2021"/>
  </r>
  <r>
    <x v="169"/>
    <s v="TCD"/>
    <x v="0"/>
    <x v="0"/>
    <x v="0"/>
    <s v="predicted"/>
    <n v="12932.481659999999"/>
    <n v="13380.304"/>
    <n v="447.82234440000002"/>
    <n v="447.82234440000002"/>
    <n v="-2927.4519500000001"/>
    <n v="4650.439695"/>
    <x v="168"/>
    <s v="Jan-2020"/>
  </r>
  <r>
    <x v="169"/>
    <s v="TCD"/>
    <x v="0"/>
    <x v="1"/>
    <x v="1"/>
    <s v="predicted"/>
    <n v="12735.1283"/>
    <n v="12898.84"/>
    <n v="163.71169620000001"/>
    <n v="611.53404060000003"/>
    <n v="-3972.0401830000001"/>
    <n v="6479.222831"/>
    <x v="168"/>
    <s v="Feb-2020"/>
  </r>
  <r>
    <x v="169"/>
    <s v="TCD"/>
    <x v="0"/>
    <x v="2"/>
    <x v="2"/>
    <s v="predicted"/>
    <n v="12365.697399999999"/>
    <n v="12286.619000000001"/>
    <n v="-79.078399140000002"/>
    <n v="532.45564149999996"/>
    <n v="-5227.4134199999999"/>
    <n v="7080.6106810000001"/>
    <x v="168"/>
    <s v="Mar-2020"/>
  </r>
  <r>
    <x v="169"/>
    <s v="TCD"/>
    <x v="0"/>
    <x v="3"/>
    <x v="3"/>
    <s v="predicted"/>
    <n v="12191.20686"/>
    <n v="11739.463"/>
    <n v="-451.74385560000002"/>
    <n v="80.711785879999994"/>
    <n v="-6424.4243699999997"/>
    <n v="7135.4338170000001"/>
    <x v="168"/>
    <s v="Apr-2020"/>
  </r>
  <r>
    <x v="169"/>
    <s v="TCD"/>
    <x v="0"/>
    <x v="4"/>
    <x v="4"/>
    <s v="predicted"/>
    <n v="12063.87457"/>
    <n v="12644.566000000001"/>
    <n v="580.69143389999999"/>
    <n v="661.40321979999999"/>
    <n v="-6181.9166450000002"/>
    <n v="8907.1677949999994"/>
    <x v="168"/>
    <s v="May-2020"/>
  </r>
  <r>
    <x v="169"/>
    <s v="TCD"/>
    <x v="0"/>
    <x v="5"/>
    <x v="5"/>
    <s v="predicted"/>
    <n v="12047.189920000001"/>
    <n v="12774.316999999999"/>
    <n v="727.1270829"/>
    <n v="1388.530303"/>
    <n v="-6205.0335290000003"/>
    <n v="10684.088040000001"/>
    <x v="168"/>
    <s v="Jun-2020"/>
  </r>
  <r>
    <x v="169"/>
    <s v="TCD"/>
    <x v="0"/>
    <x v="6"/>
    <x v="6"/>
    <s v="predicted"/>
    <n v="12211.178"/>
    <n v="12900.459000000001"/>
    <n v="689.28100310000002"/>
    <n v="2077.8113060000001"/>
    <n v="-6056.1224540000003"/>
    <n v="11459.531070000001"/>
    <x v="168"/>
    <s v="Jul-2020"/>
  </r>
  <r>
    <x v="169"/>
    <s v="TCD"/>
    <x v="0"/>
    <x v="7"/>
    <x v="7"/>
    <s v="predicted"/>
    <n v="12334.78097"/>
    <n v="12945.536"/>
    <n v="610.75503349999997"/>
    <n v="2688.566339"/>
    <n v="-6151.9978039999996"/>
    <n v="13226.707479999999"/>
    <x v="168"/>
    <s v="Aug-2020"/>
  </r>
  <r>
    <x v="169"/>
    <s v="TCD"/>
    <x v="0"/>
    <x v="8"/>
    <x v="8"/>
    <s v="predicted"/>
    <n v="12283.430770000001"/>
    <n v="12751.48"/>
    <n v="468.04923120000001"/>
    <n v="3156.6155699999999"/>
    <n v="-6282.3270000000002"/>
    <n v="13879.064469999999"/>
    <x v="168"/>
    <s v="Sep-2020"/>
  </r>
  <r>
    <x v="169"/>
    <s v="TCD"/>
    <x v="0"/>
    <x v="9"/>
    <x v="9"/>
    <s v="predicted"/>
    <n v="12317.179770000001"/>
    <n v="12376.541999999999"/>
    <n v="59.36223468"/>
    <n v="3215.977805"/>
    <n v="-7016.7313240000003"/>
    <n v="14488.763720000001"/>
    <x v="168"/>
    <s v="Oct-2020"/>
  </r>
  <r>
    <x v="169"/>
    <s v="TCD"/>
    <x v="0"/>
    <x v="10"/>
    <x v="10"/>
    <s v="predicted"/>
    <n v="12626.267980000001"/>
    <n v="12682.795"/>
    <n v="56.527018730000002"/>
    <n v="3272.5048240000001"/>
    <n v="-7968.4345990000002"/>
    <n v="14944.6584"/>
    <x v="168"/>
    <s v="Nov-2020"/>
  </r>
  <r>
    <x v="169"/>
    <s v="TCD"/>
    <x v="0"/>
    <x v="11"/>
    <x v="11"/>
    <s v="predicted"/>
    <n v="12768.35627"/>
    <n v="12752.133"/>
    <n v="-16.223274310000001"/>
    <n v="3256.2815500000002"/>
    <n v="-8275.4643190000006"/>
    <n v="15831.819519999999"/>
    <x v="168"/>
    <s v="Dec-2020"/>
  </r>
  <r>
    <x v="169"/>
    <s v="TCD"/>
    <x v="1"/>
    <x v="0"/>
    <x v="0"/>
    <s v="predicted"/>
    <n v="12943.042600000001"/>
    <n v="13194.195"/>
    <n v="251.152401"/>
    <n v="3507.433951"/>
    <n v="-8709.732317"/>
    <n v="16499.12775"/>
    <x v="168"/>
    <s v="Jan-2021"/>
  </r>
  <r>
    <x v="169"/>
    <s v="TCD"/>
    <x v="1"/>
    <x v="1"/>
    <x v="1"/>
    <s v="predicted"/>
    <n v="12742.611929999999"/>
    <n v="13512.817999999999"/>
    <n v="770.20607459999997"/>
    <n v="4277.6400249999997"/>
    <n v="-7820.9183970000004"/>
    <n v="17397.45667"/>
    <x v="168"/>
    <s v="Feb-2021"/>
  </r>
  <r>
    <x v="169"/>
    <s v="TCD"/>
    <x v="1"/>
    <x v="2"/>
    <x v="2"/>
    <s v="predicted"/>
    <n v="12368.06423"/>
    <n v="13427.710999999999"/>
    <n v="1059.6467700000001"/>
    <n v="5337.2867960000003"/>
    <n v="-7375.2131890000001"/>
    <n v="18971.859960000002"/>
    <x v="168"/>
    <s v="Mar-2021"/>
  </r>
  <r>
    <x v="169"/>
    <s v="TCD"/>
    <x v="1"/>
    <x v="3"/>
    <x v="3"/>
    <s v="predicted"/>
    <n v="12201.26475"/>
    <n v="12884.156999999999"/>
    <n v="682.89225480000005"/>
    <n v="6020.1790499999997"/>
    <n v="-7463.6697109999996"/>
    <n v="19972.048490000001"/>
    <x v="168"/>
    <s v="Apr-2021"/>
  </r>
  <r>
    <x v="169"/>
    <s v="TCD"/>
    <x v="1"/>
    <x v="4"/>
    <x v="4"/>
    <s v="predicted"/>
    <n v="12068.14615"/>
    <n v="12788.561"/>
    <n v="720.41485360000001"/>
    <n v="6740.5939040000003"/>
    <n v="-7640.5479660000001"/>
    <n v="20965.514889999999"/>
    <x v="168"/>
    <s v="May-2021"/>
  </r>
  <r>
    <x v="169"/>
    <s v="TCD"/>
    <x v="1"/>
    <x v="5"/>
    <x v="5"/>
    <s v="predicted"/>
    <n v="12054.918830000001"/>
    <n v="12893.433999999999"/>
    <n v="838.51517360000003"/>
    <n v="7579.1090770000001"/>
    <n v="-7247.7797899999996"/>
    <n v="22156.7925"/>
    <x v="168"/>
    <s v="Jun-2021"/>
  </r>
  <r>
    <x v="169"/>
    <s v="TCD"/>
    <x v="1"/>
    <x v="6"/>
    <x v="6"/>
    <s v="predicted"/>
    <n v="12220.995440000001"/>
    <n v="13093.147000000001"/>
    <n v="872.1515617"/>
    <n v="8451.2606390000001"/>
    <n v="-6665.8575819999996"/>
    <n v="23861.208159999998"/>
    <x v="168"/>
    <s v="Jul-2021"/>
  </r>
  <r>
    <x v="169"/>
    <s v="TCD"/>
    <x v="1"/>
    <x v="7"/>
    <x v="7"/>
    <s v="predicted"/>
    <n v="12339.56596"/>
    <n v="12899.65"/>
    <n v="560.08404289999999"/>
    <n v="9011.3446820000008"/>
    <n v="-6421.3197069999997"/>
    <n v="25400.363410000002"/>
    <x v="168"/>
    <s v="Aug-2021"/>
  </r>
  <r>
    <x v="169"/>
    <s v="TCD"/>
    <x v="1"/>
    <x v="8"/>
    <x v="8"/>
    <s v="predicted"/>
    <n v="12291.491540000001"/>
    <n v="12417.153"/>
    <n v="125.66145899999999"/>
    <n v="9137.0061409999998"/>
    <n v="-6898.8002829999996"/>
    <n v="25758.51827"/>
    <x v="168"/>
    <s v="Sep-2021"/>
  </r>
  <r>
    <x v="169"/>
    <s v="TCD"/>
    <x v="1"/>
    <x v="9"/>
    <x v="9"/>
    <s v="predicted"/>
    <n v="12326.38033"/>
    <n v="12206.191000000001"/>
    <n v="-120.18933269999999"/>
    <n v="9016.8168079999996"/>
    <n v="-7908.9059749999997"/>
    <n v="25733.47869"/>
    <x v="168"/>
    <s v="Oct-2021"/>
  </r>
  <r>
    <x v="169"/>
    <s v="TCD"/>
    <x v="1"/>
    <x v="10"/>
    <x v="10"/>
    <s v="predicted"/>
    <n v="12628.61551"/>
    <n v="12738.73"/>
    <n v="110.1144927"/>
    <n v="9126.9313010000005"/>
    <n v="-8191.3357889999997"/>
    <n v="27357.882229999999"/>
    <x v="168"/>
    <s v="Nov-2021"/>
  </r>
  <r>
    <x v="169"/>
    <s v="TCD"/>
    <x v="1"/>
    <x v="11"/>
    <x v="11"/>
    <s v="predicted"/>
    <n v="12774.73763"/>
    <n v="13414.937"/>
    <n v="640.19936910000001"/>
    <n v="9767.1306700000005"/>
    <n v="-7656.6048360000004"/>
    <n v="27169.195299999999"/>
    <x v="168"/>
    <s v="Dec-2021"/>
  </r>
  <r>
    <x v="170"/>
    <s v="TGO"/>
    <x v="0"/>
    <x v="0"/>
    <x v="0"/>
    <s v="predicted"/>
    <n v="4566.5837670000001"/>
    <n v="4643.7259999999997"/>
    <n v="77.142233309999995"/>
    <n v="77.142233309999995"/>
    <n v="-1114.605176"/>
    <n v="1330.1025709999999"/>
    <x v="169"/>
    <s v="Jan-2020"/>
  </r>
  <r>
    <x v="170"/>
    <s v="TGO"/>
    <x v="0"/>
    <x v="1"/>
    <x v="1"/>
    <s v="predicted"/>
    <n v="4508.660997"/>
    <n v="4554.1409999999996"/>
    <n v="45.480003289999999"/>
    <n v="122.62223659999999"/>
    <n v="-1553.606368"/>
    <n v="2076.8274449999999"/>
    <x v="169"/>
    <s v="Feb-2020"/>
  </r>
  <r>
    <x v="170"/>
    <s v="TGO"/>
    <x v="0"/>
    <x v="2"/>
    <x v="2"/>
    <s v="predicted"/>
    <n v="4476.1602160000002"/>
    <n v="4475.9210000000003"/>
    <n v="-0.23921583799999999"/>
    <n v="122.3830208"/>
    <n v="-1888.0885390000001"/>
    <n v="2354.7489839999998"/>
    <x v="169"/>
    <s v="Mar-2020"/>
  </r>
  <r>
    <x v="170"/>
    <s v="TGO"/>
    <x v="0"/>
    <x v="3"/>
    <x v="3"/>
    <s v="predicted"/>
    <n v="4497.8758900000003"/>
    <n v="4437.6099999999997"/>
    <n v="-60.265890020000001"/>
    <n v="62.11713074"/>
    <n v="-2338.9198740000002"/>
    <n v="2618.6249320000002"/>
    <x v="169"/>
    <s v="Apr-2020"/>
  </r>
  <r>
    <x v="170"/>
    <s v="TGO"/>
    <x v="0"/>
    <x v="4"/>
    <x v="4"/>
    <s v="predicted"/>
    <n v="4528.0067959999997"/>
    <n v="4567.8879999999999"/>
    <n v="39.881204189999998"/>
    <n v="101.9983349"/>
    <n v="-2591.8437739999999"/>
    <n v="3062.5964170000002"/>
    <x v="169"/>
    <s v="May-2020"/>
  </r>
  <r>
    <x v="170"/>
    <s v="TGO"/>
    <x v="0"/>
    <x v="5"/>
    <x v="5"/>
    <s v="predicted"/>
    <n v="4573.9184800000003"/>
    <n v="4647.5860000000002"/>
    <n v="73.667519679999998"/>
    <n v="175.66585459999999"/>
    <n v="-2772.4674570000002"/>
    <n v="3291.7465350000002"/>
    <x v="169"/>
    <s v="Jun-2020"/>
  </r>
  <r>
    <x v="170"/>
    <s v="TGO"/>
    <x v="0"/>
    <x v="6"/>
    <x v="6"/>
    <s v="predicted"/>
    <n v="4615.3058570000003"/>
    <n v="4843.0320000000002"/>
    <n v="227.72614279999999"/>
    <n v="403.39199739999998"/>
    <n v="-2861.3952290000002"/>
    <n v="3737.2228190000001"/>
    <x v="169"/>
    <s v="Jul-2020"/>
  </r>
  <r>
    <x v="170"/>
    <s v="TGO"/>
    <x v="0"/>
    <x v="7"/>
    <x v="7"/>
    <s v="predicted"/>
    <n v="4631.176348"/>
    <n v="4887.6049999999996"/>
    <n v="256.42865239999998"/>
    <n v="659.82064990000003"/>
    <n v="-2785.5574489999999"/>
    <n v="4550.1472279999998"/>
    <x v="169"/>
    <s v="Aug-2020"/>
  </r>
  <r>
    <x v="170"/>
    <s v="TGO"/>
    <x v="0"/>
    <x v="8"/>
    <x v="8"/>
    <s v="predicted"/>
    <n v="4612.4003190000003"/>
    <n v="4842.8500000000004"/>
    <n v="230.44968119999999"/>
    <n v="890.27033110000002"/>
    <n v="-2678.5594160000001"/>
    <n v="4942.6278490000004"/>
    <x v="169"/>
    <s v="Sep-2020"/>
  </r>
  <r>
    <x v="170"/>
    <s v="TGO"/>
    <x v="0"/>
    <x v="9"/>
    <x v="9"/>
    <s v="predicted"/>
    <n v="4590.3959640000003"/>
    <n v="4652.5"/>
    <n v="62.104035940000003"/>
    <n v="952.37436700000001"/>
    <n v="-2825.6957769999999"/>
    <n v="5224.5793059999996"/>
    <x v="169"/>
    <s v="Oct-2020"/>
  </r>
  <r>
    <x v="170"/>
    <s v="TGO"/>
    <x v="0"/>
    <x v="10"/>
    <x v="10"/>
    <s v="predicted"/>
    <n v="4553.8071749999999"/>
    <n v="4565.223"/>
    <n v="11.415825030000001"/>
    <n v="963.79019200000005"/>
    <n v="-3104.2963559999998"/>
    <n v="5354.3430319999998"/>
    <x v="169"/>
    <s v="Nov-2020"/>
  </r>
  <r>
    <x v="170"/>
    <s v="TGO"/>
    <x v="0"/>
    <x v="11"/>
    <x v="11"/>
    <s v="predicted"/>
    <n v="4550.0314019999996"/>
    <n v="4584.3440000000001"/>
    <n v="34.31259773"/>
    <n v="998.10278979999998"/>
    <n v="-3311.0343499999999"/>
    <n v="5514.3074749999996"/>
    <x v="169"/>
    <s v="Dec-2020"/>
  </r>
  <r>
    <x v="170"/>
    <s v="TGO"/>
    <x v="1"/>
    <x v="0"/>
    <x v="0"/>
    <s v="predicted"/>
    <n v="4530.1497689999997"/>
    <n v="4734.835"/>
    <n v="204.6852312"/>
    <n v="1202.7880210000001"/>
    <n v="-3298.8553910000001"/>
    <n v="5921.703528"/>
    <x v="169"/>
    <s v="Jan-2021"/>
  </r>
  <r>
    <x v="170"/>
    <s v="TGO"/>
    <x v="1"/>
    <x v="1"/>
    <x v="1"/>
    <s v="predicted"/>
    <n v="4472.3762559999996"/>
    <n v="4761.402"/>
    <n v="289.02574370000002"/>
    <n v="1491.8137650000001"/>
    <n v="-3231.0527080000002"/>
    <n v="6301.6192600000004"/>
    <x v="169"/>
    <s v="Feb-2021"/>
  </r>
  <r>
    <x v="170"/>
    <s v="TGO"/>
    <x v="1"/>
    <x v="2"/>
    <x v="2"/>
    <s v="predicted"/>
    <n v="4439.6894730000004"/>
    <n v="4751.558"/>
    <n v="311.86852720000002"/>
    <n v="1803.682292"/>
    <n v="-2804.2606940000001"/>
    <n v="6776.0228280000001"/>
    <x v="169"/>
    <s v="Mar-2021"/>
  </r>
  <r>
    <x v="170"/>
    <s v="TGO"/>
    <x v="1"/>
    <x v="3"/>
    <x v="3"/>
    <s v="predicted"/>
    <n v="4463.1506609999997"/>
    <n v="4709.8549999999996"/>
    <n v="246.70433890000001"/>
    <n v="2050.3866309999999"/>
    <n v="-3007.471031"/>
    <n v="7184.0042649999996"/>
    <x v="169"/>
    <s v="Apr-2021"/>
  </r>
  <r>
    <x v="170"/>
    <s v="TGO"/>
    <x v="1"/>
    <x v="4"/>
    <x v="4"/>
    <s v="predicted"/>
    <n v="4494.3323700000001"/>
    <n v="4607.7629999999999"/>
    <n v="113.4306301"/>
    <n v="2163.8172610000001"/>
    <n v="-2810.5876720000001"/>
    <n v="7532.1495489999998"/>
    <x v="169"/>
    <s v="May-2021"/>
  </r>
  <r>
    <x v="170"/>
    <s v="TGO"/>
    <x v="1"/>
    <x v="5"/>
    <x v="5"/>
    <s v="predicted"/>
    <n v="4539.1042150000003"/>
    <n v="4558.5119999999997"/>
    <n v="19.407784769999999"/>
    <n v="2183.225046"/>
    <n v="-3072.8691979999999"/>
    <n v="7660.4190010000002"/>
    <x v="169"/>
    <s v="Jun-2021"/>
  </r>
  <r>
    <x v="170"/>
    <s v="TGO"/>
    <x v="1"/>
    <x v="6"/>
    <x v="6"/>
    <s v="predicted"/>
    <n v="4581.7279049999997"/>
    <n v="4766.2139999999999"/>
    <n v="184.48609479999999"/>
    <n v="2367.7111410000002"/>
    <n v="-3209.7242019999999"/>
    <n v="8072.0798940000004"/>
    <x v="169"/>
    <s v="Jul-2021"/>
  </r>
  <r>
    <x v="170"/>
    <s v="TGO"/>
    <x v="1"/>
    <x v="7"/>
    <x v="7"/>
    <s v="predicted"/>
    <n v="4593.0742959999998"/>
    <n v="4896.97"/>
    <n v="303.89570350000002"/>
    <n v="2671.6068439999999"/>
    <n v="-3040.4448010000001"/>
    <n v="8655.1362229999995"/>
    <x v="169"/>
    <s v="Aug-2021"/>
  </r>
  <r>
    <x v="170"/>
    <s v="TGO"/>
    <x v="1"/>
    <x v="8"/>
    <x v="8"/>
    <s v="predicted"/>
    <n v="4574.6800190000004"/>
    <n v="4933.5519999999997"/>
    <n v="358.87198119999999"/>
    <n v="3030.4788250000001"/>
    <n v="-3094.4219440000002"/>
    <n v="9434.1184520000006"/>
    <x v="169"/>
    <s v="Sep-2021"/>
  </r>
  <r>
    <x v="170"/>
    <s v="TGO"/>
    <x v="1"/>
    <x v="9"/>
    <x v="9"/>
    <s v="predicted"/>
    <n v="4553.9192309999999"/>
    <n v="4687.63"/>
    <n v="133.710769"/>
    <n v="3164.1895939999999"/>
    <n v="-2847.9339490000002"/>
    <n v="9477.7171199999993"/>
    <x v="169"/>
    <s v="Oct-2021"/>
  </r>
  <r>
    <x v="170"/>
    <s v="TGO"/>
    <x v="1"/>
    <x v="10"/>
    <x v="10"/>
    <s v="predicted"/>
    <n v="4518.008855"/>
    <n v="4566.9449999999997"/>
    <n v="48.9361453"/>
    <n v="3213.12574"/>
    <n v="-2927.203638"/>
    <n v="9739.2677029999995"/>
    <x v="169"/>
    <s v="Nov-2021"/>
  </r>
  <r>
    <x v="170"/>
    <s v="TGO"/>
    <x v="1"/>
    <x v="11"/>
    <x v="11"/>
    <s v="predicted"/>
    <n v="4516.0343039999998"/>
    <n v="4706.0240000000003"/>
    <n v="189.98969579999999"/>
    <n v="3403.1154350000002"/>
    <n v="-3022.231342"/>
    <n v="10198.533460000001"/>
    <x v="169"/>
    <s v="Dec-2021"/>
  </r>
  <r>
    <x v="171"/>
    <s v="THA"/>
    <x v="0"/>
    <x v="0"/>
    <x v="0"/>
    <s v="reported"/>
    <n v="41479.930110000001"/>
    <n v="47125"/>
    <n v="5631.6532260000004"/>
    <n v="5631.6532260000004"/>
    <n v="4172.9623410000004"/>
    <n v="7000.0790790000001"/>
    <x v="170"/>
    <s v="Jan-2020"/>
  </r>
  <r>
    <x v="171"/>
    <s v="THA"/>
    <x v="0"/>
    <x v="1"/>
    <x v="1"/>
    <s v="reported"/>
    <n v="41425.252489999999"/>
    <n v="39758"/>
    <n v="-1680.6691559999999"/>
    <n v="3950.9840709999999"/>
    <n v="1981.4083519999999"/>
    <n v="6100.4740430000002"/>
    <x v="170"/>
    <s v="Feb-2020"/>
  </r>
  <r>
    <x v="171"/>
    <s v="THA"/>
    <x v="0"/>
    <x v="2"/>
    <x v="2"/>
    <s v="reported"/>
    <n v="41294.765670000001"/>
    <n v="44304"/>
    <n v="2995.8176669999998"/>
    <n v="6946.8017380000001"/>
    <n v="4329.2087949999996"/>
    <n v="9404.0191720000003"/>
    <x v="170"/>
    <s v="Mar-2020"/>
  </r>
  <r>
    <x v="171"/>
    <s v="THA"/>
    <x v="0"/>
    <x v="3"/>
    <x v="3"/>
    <s v="reported"/>
    <n v="41092.734190000003"/>
    <n v="40057"/>
    <n v="-1049.150862"/>
    <n v="5897.6508759999997"/>
    <n v="3039.7666850000001"/>
    <n v="8972.0807810000006"/>
    <x v="170"/>
    <s v="Apr-2020"/>
  </r>
  <r>
    <x v="171"/>
    <s v="THA"/>
    <x v="0"/>
    <x v="4"/>
    <x v="4"/>
    <s v="reported"/>
    <n v="40826.601260000003"/>
    <n v="39674"/>
    <n v="-1166.0179290000001"/>
    <n v="4731.6329480000004"/>
    <n v="1491.6556499999999"/>
    <n v="8048.009548"/>
    <x v="170"/>
    <s v="May-2020"/>
  </r>
  <r>
    <x v="171"/>
    <s v="THA"/>
    <x v="0"/>
    <x v="5"/>
    <x v="5"/>
    <s v="reported"/>
    <n v="40568.227769999998"/>
    <n v="39479"/>
    <n v="-1102.64444"/>
    <n v="3628.9885079999999"/>
    <n v="-72.443099050000001"/>
    <n v="7578.9047280000004"/>
    <x v="170"/>
    <s v="Jun-2020"/>
  </r>
  <r>
    <x v="171"/>
    <s v="THA"/>
    <x v="0"/>
    <x v="6"/>
    <x v="6"/>
    <s v="reported"/>
    <n v="40453.484259999997"/>
    <n v="39817"/>
    <n v="-649.90092870000001"/>
    <n v="2979.087579"/>
    <n v="-1065.575885"/>
    <n v="7163.9175519999999"/>
    <x v="170"/>
    <s v="Jul-2020"/>
  </r>
  <r>
    <x v="171"/>
    <s v="THA"/>
    <x v="0"/>
    <x v="7"/>
    <x v="7"/>
    <s v="reported"/>
    <n v="40728.934950000003"/>
    <n v="40999"/>
    <n v="256.64838589999999"/>
    <n v="3235.7359649999999"/>
    <n v="-845.44061910000005"/>
    <n v="7610.9733219999998"/>
    <x v="170"/>
    <s v="Aug-2020"/>
  </r>
  <r>
    <x v="171"/>
    <s v="THA"/>
    <x v="0"/>
    <x v="8"/>
    <x v="8"/>
    <s v="reported"/>
    <n v="41064.575340000003"/>
    <n v="39361"/>
    <n v="-1716.9920079999999"/>
    <n v="1518.7439569999999"/>
    <n v="-3075.09204"/>
    <n v="5868.4456490000002"/>
    <x v="170"/>
    <s v="Sep-2020"/>
  </r>
  <r>
    <x v="171"/>
    <s v="THA"/>
    <x v="0"/>
    <x v="9"/>
    <x v="9"/>
    <s v="reported"/>
    <n v="41392.761850000003"/>
    <n v="41640"/>
    <n v="233.82148119999999"/>
    <n v="1752.5654380000001"/>
    <n v="-3119.810653"/>
    <n v="6386.2740480000002"/>
    <x v="170"/>
    <s v="Oct-2020"/>
  </r>
  <r>
    <x v="171"/>
    <s v="THA"/>
    <x v="0"/>
    <x v="10"/>
    <x v="10"/>
    <s v="reported"/>
    <n v="41650.235560000001"/>
    <n v="43545"/>
    <n v="1881.3477740000001"/>
    <n v="3633.9132119999999"/>
    <n v="-1409.475173"/>
    <n v="8612.4382139999998"/>
    <x v="170"/>
    <s v="Nov-2020"/>
  </r>
  <r>
    <x v="171"/>
    <s v="THA"/>
    <x v="0"/>
    <x v="11"/>
    <x v="11"/>
    <s v="reported"/>
    <n v="41768.938110000003"/>
    <n v="45679"/>
    <n v="3896.6452260000001"/>
    <n v="7530.558438"/>
    <n v="2076.6833270000002"/>
    <n v="12826.676649999999"/>
    <x v="170"/>
    <s v="Dec-2020"/>
  </r>
  <r>
    <x v="171"/>
    <s v="THA"/>
    <x v="1"/>
    <x v="0"/>
    <x v="0"/>
    <s v="reported"/>
    <n v="41835.216370000002"/>
    <n v="46685"/>
    <n v="4842.8669600000003"/>
    <n v="12373.4254"/>
    <n v="6624.4754919999996"/>
    <n v="17980.090619999999"/>
    <x v="170"/>
    <s v="Jan-2021"/>
  </r>
  <r>
    <x v="171"/>
    <s v="THA"/>
    <x v="1"/>
    <x v="1"/>
    <x v="1"/>
    <s v="reported"/>
    <n v="41763.183499999999"/>
    <n v="38228"/>
    <n v="-3542.1001700000002"/>
    <n v="8831.3252269999994"/>
    <n v="2858.5723210000001"/>
    <n v="14416.27456"/>
    <x v="170"/>
    <s v="Feb-2021"/>
  </r>
  <r>
    <x v="171"/>
    <s v="THA"/>
    <x v="1"/>
    <x v="2"/>
    <x v="2"/>
    <s v="reported"/>
    <n v="41620.163630000003"/>
    <n v="46748"/>
    <n v="5120.9197080000004"/>
    <n v="13952.24494"/>
    <n v="7679.8975769999997"/>
    <n v="19966.66201"/>
    <x v="170"/>
    <s v="Mar-2021"/>
  </r>
  <r>
    <x v="171"/>
    <s v="THA"/>
    <x v="1"/>
    <x v="3"/>
    <x v="3"/>
    <s v="reported"/>
    <n v="41442.752979999997"/>
    <n v="42435"/>
    <n v="985.33035719999998"/>
    <n v="14937.575290000001"/>
    <n v="8294.8978850000003"/>
    <n v="21411.698250000001"/>
    <x v="170"/>
    <s v="Apr-2021"/>
  </r>
  <r>
    <x v="171"/>
    <s v="THA"/>
    <x v="1"/>
    <x v="4"/>
    <x v="4"/>
    <s v="reported"/>
    <n v="41110.905879999998"/>
    <n v="45387"/>
    <n v="4269.1774500000001"/>
    <n v="19206.75274"/>
    <n v="12489.06661"/>
    <n v="26383.107390000001"/>
    <x v="170"/>
    <s v="May-2021"/>
  </r>
  <r>
    <x v="171"/>
    <s v="THA"/>
    <x v="1"/>
    <x v="5"/>
    <x v="5"/>
    <s v="reported"/>
    <n v="40839.1132"/>
    <n v="43522"/>
    <n v="2675.9701359999999"/>
    <n v="21882.722880000001"/>
    <n v="14910.751700000001"/>
    <n v="28882.976630000001"/>
    <x v="170"/>
    <s v="Jun-2021"/>
  </r>
  <r>
    <x v="171"/>
    <s v="THA"/>
    <x v="1"/>
    <x v="6"/>
    <x v="6"/>
    <s v="reported"/>
    <n v="40813.592980000001"/>
    <n v="48944"/>
    <n v="8123.4903539999996"/>
    <n v="30006.213230000001"/>
    <n v="22756.925080000001"/>
    <n v="37435.519569999997"/>
    <x v="170"/>
    <s v="Jul-2021"/>
  </r>
  <r>
    <x v="171"/>
    <s v="THA"/>
    <x v="1"/>
    <x v="7"/>
    <x v="7"/>
    <s v="reported"/>
    <n v="40989.044370000003"/>
    <n v="57125"/>
    <n v="16129.03896"/>
    <n v="46135.252189999999"/>
    <n v="38653.303079999998"/>
    <n v="53989.82933"/>
    <x v="170"/>
    <s v="Aug-2021"/>
  </r>
  <r>
    <x v="171"/>
    <s v="THA"/>
    <x v="1"/>
    <x v="8"/>
    <x v="8"/>
    <s v="reported"/>
    <n v="41286.251349999999"/>
    <n v="48129"/>
    <n v="6835.8319869999996"/>
    <n v="52971.084179999998"/>
    <n v="45255.789429999997"/>
    <n v="60737.38465"/>
    <x v="170"/>
    <s v="Sep-2021"/>
  </r>
  <r>
    <x v="171"/>
    <s v="THA"/>
    <x v="1"/>
    <x v="9"/>
    <x v="9"/>
    <s v="reported"/>
    <n v="41658.116479999997"/>
    <n v="46448"/>
    <n v="4782.9668540000002"/>
    <n v="57754.051039999998"/>
    <n v="50005.61937"/>
    <n v="65803.891149999996"/>
    <x v="170"/>
    <s v="Oct-2021"/>
  </r>
  <r>
    <x v="171"/>
    <s v="THA"/>
    <x v="1"/>
    <x v="10"/>
    <x v="10"/>
    <s v="reported"/>
    <n v="41942.539980000001"/>
    <n v="48892"/>
    <n v="6942.5433510000003"/>
    <n v="64696.594389999998"/>
    <n v="56756.250590000003"/>
    <n v="72947.485019999993"/>
    <x v="170"/>
    <s v="Nov-2021"/>
  </r>
  <r>
    <x v="171"/>
    <s v="THA"/>
    <x v="1"/>
    <x v="11"/>
    <x v="11"/>
    <s v="reported"/>
    <n v="42062.054450000003"/>
    <n v="51107"/>
    <n v="9038.0288849999997"/>
    <n v="73734.623269999996"/>
    <n v="65055.07963"/>
    <n v="82251.897509999995"/>
    <x v="170"/>
    <s v="Dec-2021"/>
  </r>
  <r>
    <x v="172"/>
    <s v="TJK"/>
    <x v="0"/>
    <x v="0"/>
    <x v="0"/>
    <s v="reported"/>
    <n v="3425.5832879999998"/>
    <n v="3645"/>
    <n v="219.05485519999999"/>
    <n v="219.05485519999999"/>
    <n v="57.50987318"/>
    <n v="377.37661919999999"/>
    <x v="171"/>
    <s v="Jan-2020"/>
  </r>
  <r>
    <x v="172"/>
    <s v="TJK"/>
    <x v="0"/>
    <x v="1"/>
    <x v="1"/>
    <s v="reported"/>
    <n v="3005.3310499999998"/>
    <n v="3152"/>
    <n v="146.30709300000001"/>
    <n v="365.36194819999997"/>
    <n v="116.5139089"/>
    <n v="601.56259260000002"/>
    <x v="171"/>
    <s v="Feb-2020"/>
  </r>
  <r>
    <x v="172"/>
    <s v="TJK"/>
    <x v="0"/>
    <x v="2"/>
    <x v="2"/>
    <s v="reported"/>
    <n v="3025.331788"/>
    <n v="3142"/>
    <n v="116.3063547"/>
    <n v="481.66830290000001"/>
    <n v="173.23018540000001"/>
    <n v="794.13125930000001"/>
    <x v="171"/>
    <s v="Mar-2020"/>
  </r>
  <r>
    <x v="172"/>
    <s v="TJK"/>
    <x v="0"/>
    <x v="3"/>
    <x v="3"/>
    <s v="reported"/>
    <n v="2890.1604069999999"/>
    <n v="3115"/>
    <n v="224.47773570000001"/>
    <n v="706.1460386"/>
    <n v="370.074454"/>
    <n v="1062.2317479999999"/>
    <x v="171"/>
    <s v="Apr-2020"/>
  </r>
  <r>
    <x v="172"/>
    <s v="TJK"/>
    <x v="0"/>
    <x v="4"/>
    <x v="4"/>
    <s v="reported"/>
    <n v="2833.0429020000001"/>
    <n v="5500"/>
    <n v="2666.595241"/>
    <n v="3372.7412789999998"/>
    <n v="2985.725555"/>
    <n v="3775.704628"/>
    <x v="171"/>
    <s v="May-2020"/>
  </r>
  <r>
    <x v="172"/>
    <s v="TJK"/>
    <x v="0"/>
    <x v="5"/>
    <x v="5"/>
    <s v="reported"/>
    <n v="2837.522665"/>
    <n v="3510"/>
    <n v="672.11547780000001"/>
    <n v="4044.856757"/>
    <n v="3592.0744920000002"/>
    <n v="4453.8104990000002"/>
    <x v="171"/>
    <s v="Jun-2020"/>
  </r>
  <r>
    <x v="172"/>
    <s v="TJK"/>
    <x v="0"/>
    <x v="6"/>
    <x v="6"/>
    <s v="reported"/>
    <n v="2954.1033510000002"/>
    <n v="3395"/>
    <n v="440.5347921"/>
    <n v="4485.3915489999999"/>
    <n v="3990.005431"/>
    <n v="4925.7101050000001"/>
    <x v="171"/>
    <s v="Jul-2020"/>
  </r>
  <r>
    <x v="172"/>
    <s v="TJK"/>
    <x v="0"/>
    <x v="7"/>
    <x v="7"/>
    <s v="reported"/>
    <n v="2743.5262929999999"/>
    <n v="3656"/>
    <n v="912.11185"/>
    <n v="5397.5033990000002"/>
    <n v="4875.3280670000004"/>
    <n v="5873.2734819999996"/>
    <x v="171"/>
    <s v="Aug-2020"/>
  </r>
  <r>
    <x v="172"/>
    <s v="TJK"/>
    <x v="0"/>
    <x v="8"/>
    <x v="8"/>
    <s v="reported"/>
    <n v="2596.8001479999998"/>
    <n v="3864"/>
    <n v="1266.8379950000001"/>
    <n v="6664.341394"/>
    <n v="6136.9591010000004"/>
    <n v="7170.7397540000002"/>
    <x v="171"/>
    <s v="Sep-2020"/>
  </r>
  <r>
    <x v="172"/>
    <s v="TJK"/>
    <x v="0"/>
    <x v="9"/>
    <x v="9"/>
    <s v="reported"/>
    <n v="2787.8318300000001"/>
    <n v="5230"/>
    <n v="2441.806313"/>
    <n v="9106.1477080000004"/>
    <n v="8558.0592259999994"/>
    <n v="9661.7128310000007"/>
    <x v="171"/>
    <s v="Oct-2020"/>
  </r>
  <r>
    <x v="172"/>
    <s v="TJK"/>
    <x v="0"/>
    <x v="10"/>
    <x v="10"/>
    <s v="reported"/>
    <n v="3055.609121"/>
    <n v="4473"/>
    <n v="1417.0290219999999"/>
    <n v="10523.176729999999"/>
    <n v="9944.4454779999996"/>
    <n v="11138.716609999999"/>
    <x v="171"/>
    <s v="Nov-2020"/>
  </r>
  <r>
    <x v="172"/>
    <s v="TJK"/>
    <x v="0"/>
    <x v="11"/>
    <x v="11"/>
    <s v="reported"/>
    <n v="3401.562692"/>
    <n v="3585"/>
    <n v="183.0754513"/>
    <n v="10706.252179999999"/>
    <n v="10088.17772"/>
    <n v="11335.03232"/>
    <x v="171"/>
    <s v="Dec-2020"/>
  </r>
  <r>
    <x v="172"/>
    <s v="TJK"/>
    <x v="1"/>
    <x v="0"/>
    <x v="0"/>
    <s v="reported"/>
    <n v="3394.2590599999999"/>
    <n v="3553"/>
    <n v="154.76051369999999"/>
    <n v="10861.012699999999"/>
    <n v="10214.271140000001"/>
    <n v="11523.30754"/>
    <x v="171"/>
    <s v="Jan-2021"/>
  </r>
  <r>
    <x v="172"/>
    <s v="TJK"/>
    <x v="1"/>
    <x v="1"/>
    <x v="1"/>
    <s v="reported"/>
    <n v="2977.5720209999999"/>
    <n v="2658"/>
    <n v="-323.55244740000001"/>
    <n v="10537.46025"/>
    <n v="9865.8836119999996"/>
    <n v="11265.80464"/>
    <x v="171"/>
    <s v="Feb-2021"/>
  </r>
  <r>
    <x v="172"/>
    <s v="TJK"/>
    <x v="1"/>
    <x v="2"/>
    <x v="2"/>
    <s v="reported"/>
    <n v="3001.0772470000002"/>
    <n v="3130"/>
    <n v="124.9423271"/>
    <n v="10662.40258"/>
    <n v="9950.0732009999992"/>
    <n v="11383.677250000001"/>
    <x v="171"/>
    <s v="Mar-2021"/>
  </r>
  <r>
    <x v="172"/>
    <s v="TJK"/>
    <x v="1"/>
    <x v="3"/>
    <x v="3"/>
    <s v="reported"/>
    <n v="2867.0045829999999"/>
    <n v="2858"/>
    <n v="-12.98500892"/>
    <n v="10649.41757"/>
    <n v="9912.7495139999992"/>
    <n v="11416.49692"/>
    <x v="171"/>
    <s v="Apr-2021"/>
  </r>
  <r>
    <x v="172"/>
    <s v="TJK"/>
    <x v="1"/>
    <x v="4"/>
    <x v="4"/>
    <s v="reported"/>
    <n v="2809.018994"/>
    <n v="2906"/>
    <n v="93.000580060000004"/>
    <n v="10742.41815"/>
    <n v="10001.76375"/>
    <n v="11536.41826"/>
    <x v="171"/>
    <s v="May-2021"/>
  </r>
  <r>
    <x v="172"/>
    <s v="TJK"/>
    <x v="1"/>
    <x v="5"/>
    <x v="5"/>
    <s v="reported"/>
    <n v="2812.373666"/>
    <n v="3296"/>
    <n v="479.6459079"/>
    <n v="11222.064050000001"/>
    <n v="10457.2922"/>
    <n v="12050.132900000001"/>
    <x v="171"/>
    <s v="Jun-2021"/>
  </r>
  <r>
    <x v="172"/>
    <s v="TJK"/>
    <x v="1"/>
    <x v="6"/>
    <x v="6"/>
    <s v="reported"/>
    <n v="2935.124503"/>
    <n v="6804"/>
    <n v="3864.8950709999999"/>
    <n v="15086.95912"/>
    <n v="14261.417310000001"/>
    <n v="15917.53818"/>
    <x v="171"/>
    <s v="Jul-2021"/>
  </r>
  <r>
    <x v="172"/>
    <s v="TJK"/>
    <x v="1"/>
    <x v="7"/>
    <x v="7"/>
    <s v="reported"/>
    <n v="2719.9225649999998"/>
    <n v="4956"/>
    <n v="2232.0970090000001"/>
    <n v="17319.056130000001"/>
    <n v="16479.7533"/>
    <n v="18204.116569999998"/>
    <x v="171"/>
    <s v="Aug-2021"/>
  </r>
  <r>
    <x v="172"/>
    <s v="TJK"/>
    <x v="1"/>
    <x v="8"/>
    <x v="8"/>
    <s v="reported"/>
    <n v="2578.9023590000002"/>
    <n v="2886"/>
    <n v="303.11721460000001"/>
    <n v="17622.173350000001"/>
    <n v="16777.699329999999"/>
    <n v="18506.347280000002"/>
    <x v="171"/>
    <s v="Sep-2021"/>
  </r>
  <r>
    <x v="172"/>
    <s v="TJK"/>
    <x v="1"/>
    <x v="9"/>
    <x v="9"/>
    <s v="reported"/>
    <n v="2762.6462999999999"/>
    <n v="3071"/>
    <n v="304.37327349999998"/>
    <n v="17926.546620000001"/>
    <n v="17064.057270000001"/>
    <n v="18869.672900000001"/>
    <x v="171"/>
    <s v="Oct-2021"/>
  </r>
  <r>
    <x v="172"/>
    <s v="TJK"/>
    <x v="1"/>
    <x v="10"/>
    <x v="10"/>
    <s v="reported"/>
    <n v="3030.8031970000002"/>
    <n v="3296"/>
    <n v="261.21637700000002"/>
    <n v="18187.762999999999"/>
    <n v="17295.770240000002"/>
    <n v="19120.096119999998"/>
    <x v="171"/>
    <s v="Nov-2021"/>
  </r>
  <r>
    <x v="172"/>
    <s v="TJK"/>
    <x v="1"/>
    <x v="11"/>
    <x v="11"/>
    <s v="reported"/>
    <n v="3375.578501"/>
    <n v="3039"/>
    <n v="-340.55892729999999"/>
    <n v="17847.20407"/>
    <n v="16910.12573"/>
    <n v="18792.832880000002"/>
    <x v="171"/>
    <s v="Dec-2021"/>
  </r>
  <r>
    <x v="173"/>
    <s v="TKM"/>
    <x v="0"/>
    <x v="0"/>
    <x v="0"/>
    <s v="predicted"/>
    <n v="3348.1346239999998"/>
    <n v="3401.4180000000001"/>
    <n v="53.283376330000003"/>
    <n v="53.283376330000003"/>
    <n v="-802.67668530000003"/>
    <n v="1126.0235749999999"/>
    <x v="172"/>
    <s v="Jan-2020"/>
  </r>
  <r>
    <x v="173"/>
    <s v="TKM"/>
    <x v="0"/>
    <x v="1"/>
    <x v="1"/>
    <s v="predicted"/>
    <n v="3260.7790879999998"/>
    <n v="3253.636"/>
    <n v="-7.1430878299999998"/>
    <n v="46.140288499999997"/>
    <n v="-1178.4124509999999"/>
    <n v="1530.0152760000001"/>
    <x v="172"/>
    <s v="Feb-2020"/>
  </r>
  <r>
    <x v="173"/>
    <s v="TKM"/>
    <x v="0"/>
    <x v="2"/>
    <x v="2"/>
    <s v="predicted"/>
    <n v="3185.2872320000001"/>
    <n v="3231.6619999999998"/>
    <n v="46.374767550000001"/>
    <n v="92.515056060000006"/>
    <n v="-1337.089215"/>
    <n v="1764.5684900000001"/>
    <x v="172"/>
    <s v="Mar-2020"/>
  </r>
  <r>
    <x v="173"/>
    <s v="TKM"/>
    <x v="0"/>
    <x v="3"/>
    <x v="3"/>
    <s v="predicted"/>
    <n v="3099.6226660000002"/>
    <n v="3172.3850000000002"/>
    <n v="72.762334050000007"/>
    <n v="165.27739009999999"/>
    <n v="-1500.7809520000001"/>
    <n v="2003.3516139999999"/>
    <x v="172"/>
    <s v="Apr-2020"/>
  </r>
  <r>
    <x v="173"/>
    <s v="TKM"/>
    <x v="0"/>
    <x v="4"/>
    <x v="4"/>
    <s v="predicted"/>
    <n v="2951.010209"/>
    <n v="3145.2860000000001"/>
    <n v="194.2757914"/>
    <n v="359.55318149999999"/>
    <n v="-1485.9418680000001"/>
    <n v="2361.8750070000001"/>
    <x v="172"/>
    <s v="May-2020"/>
  </r>
  <r>
    <x v="173"/>
    <s v="TKM"/>
    <x v="0"/>
    <x v="5"/>
    <x v="5"/>
    <s v="predicted"/>
    <n v="2858.3037800000002"/>
    <n v="3141.2530000000002"/>
    <n v="282.94921979999998"/>
    <n v="642.50240129999997"/>
    <n v="-1449.0023369999999"/>
    <n v="2965.2659440000002"/>
    <x v="172"/>
    <s v="Jun-2020"/>
  </r>
  <r>
    <x v="173"/>
    <s v="TKM"/>
    <x v="0"/>
    <x v="6"/>
    <x v="6"/>
    <s v="predicted"/>
    <n v="2823.3920400000002"/>
    <n v="3147.39"/>
    <n v="323.99795979999999"/>
    <n v="966.50036109999996"/>
    <n v="-1353.719083"/>
    <n v="3474.8810760000001"/>
    <x v="172"/>
    <s v="Jul-2020"/>
  </r>
  <r>
    <x v="173"/>
    <s v="TKM"/>
    <x v="0"/>
    <x v="7"/>
    <x v="7"/>
    <s v="predicted"/>
    <n v="2884.057648"/>
    <n v="3124.2330000000002"/>
    <n v="240.17535229999999"/>
    <n v="1206.6757130000001"/>
    <n v="-1252.173162"/>
    <n v="3970.4576419999999"/>
    <x v="172"/>
    <s v="Aug-2020"/>
  </r>
  <r>
    <x v="173"/>
    <s v="TKM"/>
    <x v="0"/>
    <x v="8"/>
    <x v="8"/>
    <s v="predicted"/>
    <n v="2988.9753850000002"/>
    <n v="3208.6480000000001"/>
    <n v="219.67261490000001"/>
    <n v="1426.348328"/>
    <n v="-1167.1348720000001"/>
    <n v="4232.4107000000004"/>
    <x v="172"/>
    <s v="Sep-2020"/>
  </r>
  <r>
    <x v="173"/>
    <s v="TKM"/>
    <x v="0"/>
    <x v="9"/>
    <x v="9"/>
    <s v="predicted"/>
    <n v="3129.697189"/>
    <n v="3407.9360000000001"/>
    <n v="278.2388105"/>
    <n v="1704.587139"/>
    <n v="-1128.7197679999999"/>
    <n v="4838.4357220000002"/>
    <x v="172"/>
    <s v="Oct-2020"/>
  </r>
  <r>
    <x v="173"/>
    <s v="TKM"/>
    <x v="0"/>
    <x v="10"/>
    <x v="10"/>
    <s v="predicted"/>
    <n v="3277.001921"/>
    <n v="3692.9670000000001"/>
    <n v="415.9650785"/>
    <n v="2120.5522169999999"/>
    <n v="-1013.5840930000001"/>
    <n v="5473.7467029999998"/>
    <x v="172"/>
    <s v="Nov-2020"/>
  </r>
  <r>
    <x v="173"/>
    <s v="TKM"/>
    <x v="0"/>
    <x v="11"/>
    <x v="11"/>
    <s v="predicted"/>
    <n v="3410.1857610000002"/>
    <n v="3796.8539999999998"/>
    <n v="386.66823929999998"/>
    <n v="2507.2204569999999"/>
    <n v="-699.59205699999995"/>
    <n v="6223.5358429999997"/>
    <x v="172"/>
    <s v="Dec-2020"/>
  </r>
  <r>
    <x v="173"/>
    <s v="TKM"/>
    <x v="1"/>
    <x v="0"/>
    <x v="0"/>
    <s v="predicted"/>
    <n v="3396.3573820000001"/>
    <n v="3444.806"/>
    <n v="48.448618320000001"/>
    <n v="2555.6690749999998"/>
    <n v="-945.76848199999995"/>
    <n v="6449.5877209999999"/>
    <x v="172"/>
    <s v="Jan-2021"/>
  </r>
  <r>
    <x v="173"/>
    <s v="TKM"/>
    <x v="1"/>
    <x v="1"/>
    <x v="1"/>
    <s v="predicted"/>
    <n v="3315.3336079999999"/>
    <n v="3073.6959999999999"/>
    <n v="-241.63760780000001"/>
    <n v="2314.0314669999998"/>
    <n v="-1184.995304"/>
    <n v="6238.1929259999997"/>
    <x v="172"/>
    <s v="Feb-2021"/>
  </r>
  <r>
    <x v="173"/>
    <s v="TKM"/>
    <x v="1"/>
    <x v="2"/>
    <x v="2"/>
    <s v="predicted"/>
    <n v="3235.5584589999999"/>
    <n v="3037.297"/>
    <n v="-198.26145919999999"/>
    <n v="2115.770008"/>
    <n v="-1314.774866"/>
    <n v="5976.8871680000002"/>
    <x v="172"/>
    <s v="Mar-2021"/>
  </r>
  <r>
    <x v="173"/>
    <s v="TKM"/>
    <x v="1"/>
    <x v="3"/>
    <x v="3"/>
    <s v="predicted"/>
    <n v="3149.7372180000002"/>
    <n v="3039.3380000000002"/>
    <n v="-110.3992181"/>
    <n v="2005.3707899999999"/>
    <n v="-1517.863247"/>
    <n v="6069.7741450000003"/>
    <x v="172"/>
    <s v="Apr-2021"/>
  </r>
  <r>
    <x v="173"/>
    <s v="TKM"/>
    <x v="1"/>
    <x v="4"/>
    <x v="4"/>
    <s v="predicted"/>
    <n v="2992.5588969999999"/>
    <n v="2984.105"/>
    <n v="-8.453897006"/>
    <n v="1996.9168930000001"/>
    <n v="-1609.490448"/>
    <n v="5982.9630100000004"/>
    <x v="172"/>
    <s v="May-2021"/>
  </r>
  <r>
    <x v="173"/>
    <s v="TKM"/>
    <x v="1"/>
    <x v="5"/>
    <x v="5"/>
    <s v="predicted"/>
    <n v="2902.5026760000001"/>
    <n v="2989.0320000000002"/>
    <n v="86.529323910000002"/>
    <n v="2083.4462170000002"/>
    <n v="-1582.953851"/>
    <n v="6230.8050540000004"/>
    <x v="172"/>
    <s v="Jun-2021"/>
  </r>
  <r>
    <x v="173"/>
    <s v="TKM"/>
    <x v="1"/>
    <x v="6"/>
    <x v="6"/>
    <s v="predicted"/>
    <n v="2862.8413529999998"/>
    <n v="3046.3209999999999"/>
    <n v="183.479647"/>
    <n v="2266.9258639999998"/>
    <n v="-1413.1681060000001"/>
    <n v="6460.9843440000004"/>
    <x v="172"/>
    <s v="Jul-2021"/>
  </r>
  <r>
    <x v="173"/>
    <s v="TKM"/>
    <x v="1"/>
    <x v="7"/>
    <x v="7"/>
    <s v="predicted"/>
    <n v="2926.6571269999999"/>
    <n v="3105.6759999999999"/>
    <n v="179.01887300000001"/>
    <n v="2445.9447369999998"/>
    <n v="-1455.144053"/>
    <n v="6791.3603640000001"/>
    <x v="172"/>
    <s v="Aug-2021"/>
  </r>
  <r>
    <x v="173"/>
    <s v="TKM"/>
    <x v="1"/>
    <x v="8"/>
    <x v="8"/>
    <s v="predicted"/>
    <n v="3032.3890540000002"/>
    <n v="3194.06"/>
    <n v="161.67094610000001"/>
    <n v="2607.615683"/>
    <n v="-1303.8709550000001"/>
    <n v="6970.4176079999997"/>
    <x v="172"/>
    <s v="Sep-2021"/>
  </r>
  <r>
    <x v="173"/>
    <s v="TKM"/>
    <x v="1"/>
    <x v="9"/>
    <x v="9"/>
    <s v="predicted"/>
    <n v="3177.4423569999999"/>
    <n v="3383.4029999999998"/>
    <n v="205.96064250000001"/>
    <n v="2813.576325"/>
    <n v="-1101.6547700000001"/>
    <n v="7282.8339489999998"/>
    <x v="172"/>
    <s v="Oct-2021"/>
  </r>
  <r>
    <x v="173"/>
    <s v="TKM"/>
    <x v="1"/>
    <x v="10"/>
    <x v="10"/>
    <s v="predicted"/>
    <n v="3324.7079130000002"/>
    <n v="3701.5010000000002"/>
    <n v="376.79308659999998"/>
    <n v="3190.369412"/>
    <n v="-977.56405480000001"/>
    <n v="7851.3602499999997"/>
    <x v="172"/>
    <s v="Nov-2021"/>
  </r>
  <r>
    <x v="173"/>
    <s v="TKM"/>
    <x v="1"/>
    <x v="11"/>
    <x v="11"/>
    <s v="predicted"/>
    <n v="3461.09058"/>
    <n v="3901.0659999999998"/>
    <n v="439.97542010000001"/>
    <n v="3630.3448320000002"/>
    <n v="-775.08958240000004"/>
    <n v="8404.3831800000007"/>
    <x v="172"/>
    <s v="Dec-2021"/>
  </r>
  <r>
    <x v="174"/>
    <s v="TLS"/>
    <x v="0"/>
    <x v="0"/>
    <x v="0"/>
    <s v="predicted"/>
    <n v="639.85907020000002"/>
    <n v="652.33699999999999"/>
    <n v="12.47792984"/>
    <n v="12.47792984"/>
    <n v="-142.35030939999999"/>
    <n v="201.11099970000001"/>
    <x v="173"/>
    <s v="Jan-2020"/>
  </r>
  <r>
    <x v="174"/>
    <s v="TLS"/>
    <x v="0"/>
    <x v="1"/>
    <x v="1"/>
    <s v="predicted"/>
    <n v="637.60525189999998"/>
    <n v="632.85900000000004"/>
    <n v="-4.7462519160000003"/>
    <n v="7.7316779259999997"/>
    <n v="-236.24112500000001"/>
    <n v="277.62355289999999"/>
    <x v="173"/>
    <s v="Feb-2020"/>
  </r>
  <r>
    <x v="174"/>
    <s v="TLS"/>
    <x v="0"/>
    <x v="2"/>
    <x v="2"/>
    <s v="predicted"/>
    <n v="641.40694429999996"/>
    <n v="627.18700000000001"/>
    <n v="-14.219944269999999"/>
    <n v="-6.48826634"/>
    <n v="-319.21235430000002"/>
    <n v="328.94364469999999"/>
    <x v="173"/>
    <s v="Mar-2020"/>
  </r>
  <r>
    <x v="174"/>
    <s v="TLS"/>
    <x v="0"/>
    <x v="3"/>
    <x v="3"/>
    <s v="predicted"/>
    <n v="640.00353080000002"/>
    <n v="575.976"/>
    <n v="-64.027530769999998"/>
    <n v="-70.515797109999994"/>
    <n v="-408.78311430000002"/>
    <n v="310.9682431"/>
    <x v="173"/>
    <s v="Apr-2020"/>
  </r>
  <r>
    <x v="174"/>
    <s v="TLS"/>
    <x v="0"/>
    <x v="4"/>
    <x v="4"/>
    <s v="predicted"/>
    <n v="645.12980249999998"/>
    <n v="622.41099999999994"/>
    <n v="-22.718802520000001"/>
    <n v="-93.234599619999997"/>
    <n v="-478.0410665"/>
    <n v="303.54502070000001"/>
    <x v="173"/>
    <s v="May-2020"/>
  </r>
  <r>
    <x v="174"/>
    <s v="TLS"/>
    <x v="0"/>
    <x v="5"/>
    <x v="5"/>
    <s v="predicted"/>
    <n v="643.6692061"/>
    <n v="642.70100000000002"/>
    <n v="-0.96820605999999998"/>
    <n v="-94.202805679999997"/>
    <n v="-527.8962282"/>
    <n v="351.67326350000002"/>
    <x v="173"/>
    <s v="Jun-2020"/>
  </r>
  <r>
    <x v="174"/>
    <s v="TLS"/>
    <x v="0"/>
    <x v="6"/>
    <x v="6"/>
    <s v="predicted"/>
    <n v="647.16552390000004"/>
    <n v="656.37400000000002"/>
    <n v="9.2084761089999994"/>
    <n v="-84.994329579999999"/>
    <n v="-549.45671319999997"/>
    <n v="420.40507889999998"/>
    <x v="173"/>
    <s v="Jul-2020"/>
  </r>
  <r>
    <x v="174"/>
    <s v="TLS"/>
    <x v="0"/>
    <x v="7"/>
    <x v="7"/>
    <s v="predicted"/>
    <n v="645.56745179999996"/>
    <n v="661.2"/>
    <n v="15.632548160000001"/>
    <n v="-69.36178142"/>
    <n v="-530.85304559999997"/>
    <n v="459.72456729999999"/>
    <x v="173"/>
    <s v="Aug-2020"/>
  </r>
  <r>
    <x v="174"/>
    <s v="TLS"/>
    <x v="0"/>
    <x v="8"/>
    <x v="8"/>
    <s v="predicted"/>
    <n v="642.14864439999997"/>
    <n v="658.92600000000004"/>
    <n v="16.777355629999999"/>
    <n v="-52.584425789999997"/>
    <n v="-560.95387349999999"/>
    <n v="518.24261049999996"/>
    <x v="173"/>
    <s v="Sep-2020"/>
  </r>
  <r>
    <x v="174"/>
    <s v="TLS"/>
    <x v="0"/>
    <x v="9"/>
    <x v="9"/>
    <s v="predicted"/>
    <n v="641.45338830000003"/>
    <n v="643.83600000000001"/>
    <n v="2.3826116750000002"/>
    <n v="-50.201814110000001"/>
    <n v="-575.29960610000001"/>
    <n v="549.35470480000004"/>
    <x v="173"/>
    <s v="Oct-2020"/>
  </r>
  <r>
    <x v="174"/>
    <s v="TLS"/>
    <x v="0"/>
    <x v="10"/>
    <x v="10"/>
    <s v="predicted"/>
    <n v="637.94768969999996"/>
    <n v="634.75800000000004"/>
    <n v="-3.1896896990000001"/>
    <n v="-53.391503810000003"/>
    <n v="-614.39141640000003"/>
    <n v="568.13365199999998"/>
    <x v="173"/>
    <s v="Nov-2020"/>
  </r>
  <r>
    <x v="174"/>
    <s v="TLS"/>
    <x v="0"/>
    <x v="11"/>
    <x v="11"/>
    <s v="predicted"/>
    <n v="643.02579790000004"/>
    <n v="651.529"/>
    <n v="8.5032020890000002"/>
    <n v="-44.888301720000001"/>
    <n v="-633.92756369999995"/>
    <n v="589.32975390000001"/>
    <x v="173"/>
    <s v="Dec-2020"/>
  </r>
  <r>
    <x v="174"/>
    <s v="TLS"/>
    <x v="1"/>
    <x v="0"/>
    <x v="0"/>
    <s v="predicted"/>
    <n v="651.28092219999996"/>
    <n v="654.01599999999996"/>
    <n v="2.7350777640000001"/>
    <n v="-42.153223959999998"/>
    <n v="-651.80254230000003"/>
    <n v="615.32165320000001"/>
    <x v="173"/>
    <s v="Jan-2021"/>
  </r>
  <r>
    <x v="174"/>
    <s v="TLS"/>
    <x v="1"/>
    <x v="1"/>
    <x v="1"/>
    <s v="predicted"/>
    <n v="648.9745484"/>
    <n v="665.97500000000002"/>
    <n v="17.000451649999999"/>
    <n v="-25.15277231"/>
    <n v="-658.24365060000002"/>
    <n v="669.75327979999997"/>
    <x v="173"/>
    <s v="Feb-2021"/>
  </r>
  <r>
    <x v="174"/>
    <s v="TLS"/>
    <x v="1"/>
    <x v="2"/>
    <x v="2"/>
    <s v="predicted"/>
    <n v="651.72745229999998"/>
    <n v="635.11599999999999"/>
    <n v="-16.611452320000001"/>
    <n v="-41.764224630000001"/>
    <n v="-675.72910130000002"/>
    <n v="648.13684660000001"/>
    <x v="173"/>
    <s v="Mar-2021"/>
  </r>
  <r>
    <x v="174"/>
    <s v="TLS"/>
    <x v="1"/>
    <x v="3"/>
    <x v="3"/>
    <s v="predicted"/>
    <n v="652.08250169999997"/>
    <n v="659.726"/>
    <n v="7.6434982839999996"/>
    <n v="-34.120726339999997"/>
    <n v="-721.30305739999994"/>
    <n v="684.77189380000004"/>
    <x v="173"/>
    <s v="Apr-2021"/>
  </r>
  <r>
    <x v="174"/>
    <s v="TLS"/>
    <x v="1"/>
    <x v="4"/>
    <x v="4"/>
    <s v="predicted"/>
    <n v="656.99424369999997"/>
    <n v="704.32100000000003"/>
    <n v="47.3267563"/>
    <n v="13.20602996"/>
    <n v="-673.60796489999996"/>
    <n v="772.19142039999997"/>
    <x v="173"/>
    <s v="May-2021"/>
  </r>
  <r>
    <x v="174"/>
    <s v="TLS"/>
    <x v="1"/>
    <x v="5"/>
    <x v="5"/>
    <s v="predicted"/>
    <n v="655.51360590000002"/>
    <n v="693.20600000000002"/>
    <n v="37.692394139999998"/>
    <n v="50.898424110000001"/>
    <n v="-689.80015600000002"/>
    <n v="814.51058660000001"/>
    <x v="173"/>
    <s v="Jun-2021"/>
  </r>
  <r>
    <x v="174"/>
    <s v="TLS"/>
    <x v="1"/>
    <x v="6"/>
    <x v="6"/>
    <s v="predicted"/>
    <n v="659.13597110000001"/>
    <n v="689.28399999999999"/>
    <n v="30.148028929999999"/>
    <n v="81.046453040000003"/>
    <n v="-673.24045639999997"/>
    <n v="868.75904619999994"/>
    <x v="173"/>
    <s v="Jul-2021"/>
  </r>
  <r>
    <x v="174"/>
    <s v="TLS"/>
    <x v="1"/>
    <x v="7"/>
    <x v="7"/>
    <s v="predicted"/>
    <n v="657.20556160000001"/>
    <n v="844.00099999999998"/>
    <n v="186.79543839999999"/>
    <n v="267.84189149999997"/>
    <n v="-521.10273959999995"/>
    <n v="1120.770945"/>
    <x v="173"/>
    <s v="Aug-2021"/>
  </r>
  <r>
    <x v="174"/>
    <s v="TLS"/>
    <x v="1"/>
    <x v="8"/>
    <x v="8"/>
    <s v="predicted"/>
    <n v="654.89186180000002"/>
    <n v="841.91499999999996"/>
    <n v="187.02313820000001"/>
    <n v="454.86502960000001"/>
    <n v="-336.8430017"/>
    <n v="1348.7249119999999"/>
    <x v="173"/>
    <s v="Sep-2021"/>
  </r>
  <r>
    <x v="174"/>
    <s v="TLS"/>
    <x v="1"/>
    <x v="9"/>
    <x v="9"/>
    <s v="predicted"/>
    <n v="655.12127559999999"/>
    <n v="692.59100000000001"/>
    <n v="37.469724380000002"/>
    <n v="492.33475399999998"/>
    <n v="-358.07987980000001"/>
    <n v="1416.1589489999999"/>
    <x v="173"/>
    <s v="Oct-2021"/>
  </r>
  <r>
    <x v="174"/>
    <s v="TLS"/>
    <x v="1"/>
    <x v="10"/>
    <x v="10"/>
    <s v="predicted"/>
    <n v="650.12506310000003"/>
    <n v="664.43700000000001"/>
    <n v="14.31193695"/>
    <n v="506.64669099999998"/>
    <n v="-362.6589654"/>
    <n v="1446.864462"/>
    <x v="173"/>
    <s v="Nov-2021"/>
  </r>
  <r>
    <x v="174"/>
    <s v="TLS"/>
    <x v="1"/>
    <x v="11"/>
    <x v="11"/>
    <s v="predicted"/>
    <n v="654.11600099999998"/>
    <n v="687.01"/>
    <n v="32.893998959999998"/>
    <n v="539.54068989999996"/>
    <n v="-380.09331789999999"/>
    <n v="1500.194659"/>
    <x v="173"/>
    <s v="Dec-2021"/>
  </r>
  <r>
    <x v="175"/>
    <s v="TON"/>
    <x v="0"/>
    <x v="0"/>
    <x v="0"/>
    <s v="predicted"/>
    <n v="51.899982690000002"/>
    <n v="53.395000000000003"/>
    <n v="1.4950173069999999"/>
    <n v="1.4950173069999999"/>
    <n v="-17.11693283"/>
    <n v="21.709547610000001"/>
    <x v="174"/>
    <s v="Jan-2020"/>
  </r>
  <r>
    <x v="175"/>
    <s v="TON"/>
    <x v="0"/>
    <x v="1"/>
    <x v="1"/>
    <s v="predicted"/>
    <n v="51.680993119999997"/>
    <n v="51"/>
    <n v="-0.68099312300000003"/>
    <n v="0.81402418399999998"/>
    <n v="-27.187257540000001"/>
    <n v="30.02990059"/>
    <x v="174"/>
    <s v="Feb-2020"/>
  </r>
  <r>
    <x v="175"/>
    <s v="TON"/>
    <x v="0"/>
    <x v="2"/>
    <x v="2"/>
    <s v="predicted"/>
    <n v="51.960181689999999"/>
    <n v="51.445"/>
    <n v="-0.51518169300000005"/>
    <n v="0.29884249099999999"/>
    <n v="-33.380155950000002"/>
    <n v="35.364299090000003"/>
    <x v="174"/>
    <s v="Mar-2020"/>
  </r>
  <r>
    <x v="175"/>
    <s v="TON"/>
    <x v="0"/>
    <x v="3"/>
    <x v="3"/>
    <s v="predicted"/>
    <n v="51.901235130000003"/>
    <n v="48.826999999999998"/>
    <n v="-3.074235131"/>
    <n v="-2.7753926400000002"/>
    <n v="-39.767207880000001"/>
    <n v="38.588946479999997"/>
    <x v="174"/>
    <s v="Apr-2020"/>
  </r>
  <r>
    <x v="175"/>
    <s v="TON"/>
    <x v="0"/>
    <x v="4"/>
    <x v="4"/>
    <s v="predicted"/>
    <n v="52.470224649999999"/>
    <n v="49.988999999999997"/>
    <n v="-2.4812246550000001"/>
    <n v="-5.2566172949999999"/>
    <n v="-46.28056188"/>
    <n v="40.13367195"/>
    <x v="174"/>
    <s v="May-2020"/>
  </r>
  <r>
    <x v="175"/>
    <s v="TON"/>
    <x v="0"/>
    <x v="5"/>
    <x v="5"/>
    <s v="predicted"/>
    <n v="52.643757999999998"/>
    <n v="51.722999999999999"/>
    <n v="-0.92075800399999996"/>
    <n v="-6.1773752990000004"/>
    <n v="-50.832912579999999"/>
    <n v="39.772387019999996"/>
    <x v="174"/>
    <s v="Jun-2020"/>
  </r>
  <r>
    <x v="175"/>
    <s v="TON"/>
    <x v="0"/>
    <x v="6"/>
    <x v="6"/>
    <s v="predicted"/>
    <n v="52.855634709999997"/>
    <n v="51.905000000000001"/>
    <n v="-0.95063471499999996"/>
    <n v="-7.128010014"/>
    <n v="-56.431645119999999"/>
    <n v="47.917554209999999"/>
    <x v="174"/>
    <s v="Jul-2020"/>
  </r>
  <r>
    <x v="175"/>
    <s v="TON"/>
    <x v="0"/>
    <x v="7"/>
    <x v="7"/>
    <s v="predicted"/>
    <n v="52.790060230000002"/>
    <n v="51.911000000000001"/>
    <n v="-0.87906023"/>
    <n v="-8.0070702429999994"/>
    <n v="-61.919204059999998"/>
    <n v="50.489173729999997"/>
    <x v="174"/>
    <s v="Aug-2020"/>
  </r>
  <r>
    <x v="175"/>
    <s v="TON"/>
    <x v="0"/>
    <x v="8"/>
    <x v="8"/>
    <s v="predicted"/>
    <n v="52.853891169999997"/>
    <n v="53.213999999999999"/>
    <n v="0.36010883199999999"/>
    <n v="-7.6469614110000004"/>
    <n v="-61.285134159999998"/>
    <n v="54.565182210000003"/>
    <x v="174"/>
    <s v="Sep-2020"/>
  </r>
  <r>
    <x v="175"/>
    <s v="TON"/>
    <x v="0"/>
    <x v="9"/>
    <x v="9"/>
    <s v="predicted"/>
    <n v="52.51993624"/>
    <n v="52.024999999999999"/>
    <n v="-0.494936237"/>
    <n v="-8.1418976480000005"/>
    <n v="-66.744120550000005"/>
    <n v="57.795152649999999"/>
    <x v="174"/>
    <s v="Oct-2020"/>
  </r>
  <r>
    <x v="175"/>
    <s v="TON"/>
    <x v="0"/>
    <x v="10"/>
    <x v="10"/>
    <s v="predicted"/>
    <n v="52.172135169999997"/>
    <n v="51.866"/>
    <n v="-0.30613516899999998"/>
    <n v="-8.4480328179999997"/>
    <n v="-69.551028930000001"/>
    <n v="61.106880940000003"/>
    <x v="174"/>
    <s v="Nov-2020"/>
  </r>
  <r>
    <x v="175"/>
    <s v="TON"/>
    <x v="0"/>
    <x v="11"/>
    <x v="11"/>
    <s v="predicted"/>
    <n v="51.993729479999999"/>
    <n v="51.279000000000003"/>
    <n v="-0.71472947799999997"/>
    <n v="-9.1627622950000003"/>
    <n v="-72.749789199999995"/>
    <n v="60.026142589999999"/>
    <x v="174"/>
    <s v="Dec-2020"/>
  </r>
  <r>
    <x v="175"/>
    <s v="TON"/>
    <x v="1"/>
    <x v="0"/>
    <x v="0"/>
    <s v="predicted"/>
    <n v="52.242608699999998"/>
    <n v="52.255000000000003"/>
    <n v="1.2391299999999999E-2"/>
    <n v="-9.1503709949999994"/>
    <n v="-77.556118549999994"/>
    <n v="63.674263099999997"/>
    <x v="174"/>
    <s v="Jan-2021"/>
  </r>
  <r>
    <x v="175"/>
    <s v="TON"/>
    <x v="1"/>
    <x v="1"/>
    <x v="1"/>
    <s v="predicted"/>
    <n v="51.975671990000002"/>
    <n v="53.283000000000001"/>
    <n v="1.3073280119999999"/>
    <n v="-7.8430429830000001"/>
    <n v="-77.522732259999998"/>
    <n v="67.143404079999996"/>
    <x v="174"/>
    <s v="Feb-2021"/>
  </r>
  <r>
    <x v="175"/>
    <s v="TON"/>
    <x v="1"/>
    <x v="2"/>
    <x v="2"/>
    <s v="predicted"/>
    <n v="52.147995600000002"/>
    <n v="53.594999999999999"/>
    <n v="1.4470044019999999"/>
    <n v="-6.396038581"/>
    <n v="-81.131615960000005"/>
    <n v="71.922356320000006"/>
    <x v="174"/>
    <s v="Mar-2021"/>
  </r>
  <r>
    <x v="175"/>
    <s v="TON"/>
    <x v="1"/>
    <x v="3"/>
    <x v="3"/>
    <s v="predicted"/>
    <n v="52.282246139999998"/>
    <n v="53.784999999999997"/>
    <n v="1.5027538600000001"/>
    <n v="-4.8932847219999998"/>
    <n v="-82.964920329999998"/>
    <n v="74.378043329999997"/>
    <x v="174"/>
    <s v="Apr-2021"/>
  </r>
  <r>
    <x v="175"/>
    <s v="TON"/>
    <x v="1"/>
    <x v="4"/>
    <x v="4"/>
    <s v="predicted"/>
    <n v="52.770631880000003"/>
    <n v="54.529000000000003"/>
    <n v="1.7583681179999999"/>
    <n v="-3.1349166039999998"/>
    <n v="-82.357240309999995"/>
    <n v="79.623141279999999"/>
    <x v="174"/>
    <s v="May-2021"/>
  </r>
  <r>
    <x v="175"/>
    <s v="TON"/>
    <x v="1"/>
    <x v="5"/>
    <x v="5"/>
    <s v="predicted"/>
    <n v="52.860944179999997"/>
    <n v="55.051000000000002"/>
    <n v="2.19005582"/>
    <n v="-0.94486078399999995"/>
    <n v="-81.254854780000002"/>
    <n v="85.603563629999996"/>
    <x v="174"/>
    <s v="Jun-2021"/>
  </r>
  <r>
    <x v="175"/>
    <s v="TON"/>
    <x v="1"/>
    <x v="6"/>
    <x v="6"/>
    <s v="predicted"/>
    <n v="53.16551905"/>
    <n v="54.887"/>
    <n v="1.721480954"/>
    <n v="0.77662017100000003"/>
    <n v="-84.580315900000002"/>
    <n v="87.213180710000003"/>
    <x v="174"/>
    <s v="Jul-2021"/>
  </r>
  <r>
    <x v="175"/>
    <s v="TON"/>
    <x v="1"/>
    <x v="7"/>
    <x v="7"/>
    <s v="predicted"/>
    <n v="53.09018219"/>
    <n v="53.177999999999997"/>
    <n v="8.7817804999999999E-2"/>
    <n v="0.86443797600000005"/>
    <n v="-87.142970500000004"/>
    <n v="89.905666359999998"/>
    <x v="174"/>
    <s v="Aug-2021"/>
  </r>
  <r>
    <x v="175"/>
    <s v="TON"/>
    <x v="1"/>
    <x v="8"/>
    <x v="8"/>
    <s v="predicted"/>
    <n v="53.159794040000001"/>
    <n v="54.951000000000001"/>
    <n v="1.7912059570000001"/>
    <n v="2.6556439329999999"/>
    <n v="-84.095536390000007"/>
    <n v="95.014435349999999"/>
    <x v="174"/>
    <s v="Sep-2021"/>
  </r>
  <r>
    <x v="175"/>
    <s v="TON"/>
    <x v="1"/>
    <x v="9"/>
    <x v="9"/>
    <s v="predicted"/>
    <n v="52.874925470000001"/>
    <n v="54.424999999999997"/>
    <n v="1.550074535"/>
    <n v="4.2057184679999997"/>
    <n v="-85.723361150000002"/>
    <n v="99.455386910000001"/>
    <x v="174"/>
    <s v="Oct-2021"/>
  </r>
  <r>
    <x v="175"/>
    <s v="TON"/>
    <x v="1"/>
    <x v="10"/>
    <x v="10"/>
    <s v="predicted"/>
    <n v="52.506298119999997"/>
    <n v="55.063000000000002"/>
    <n v="2.556701876"/>
    <n v="6.7624203439999997"/>
    <n v="-84.855365070000005"/>
    <n v="104.5460037"/>
    <x v="174"/>
    <s v="Nov-2021"/>
  </r>
  <r>
    <x v="175"/>
    <s v="TON"/>
    <x v="1"/>
    <x v="11"/>
    <x v="11"/>
    <s v="predicted"/>
    <n v="52.34315402"/>
    <n v="56.168999999999997"/>
    <n v="3.8258459770000002"/>
    <n v="10.588266320000001"/>
    <n v="-85.466785169999994"/>
    <n v="110.8350016"/>
    <x v="174"/>
    <s v="Dec-2021"/>
  </r>
  <r>
    <x v="176"/>
    <s v="TTO"/>
    <x v="0"/>
    <x v="0"/>
    <x v="0"/>
    <s v="predicted"/>
    <n v="786.53383610000003"/>
    <n v="810.11"/>
    <n v="23.57616393"/>
    <n v="23.57616393"/>
    <n v="-178.79976959999999"/>
    <n v="251.9029295"/>
    <x v="175"/>
    <s v="Jan-2020"/>
  </r>
  <r>
    <x v="176"/>
    <s v="TTO"/>
    <x v="0"/>
    <x v="1"/>
    <x v="1"/>
    <s v="predicted"/>
    <n v="784.74410490000002"/>
    <n v="776.60599999999999"/>
    <n v="-8.1381048719999995"/>
    <n v="15.43805906"/>
    <n v="-266.5270524"/>
    <n v="327.49536819999997"/>
    <x v="175"/>
    <s v="Feb-2020"/>
  </r>
  <r>
    <x v="176"/>
    <s v="TTO"/>
    <x v="0"/>
    <x v="2"/>
    <x v="2"/>
    <s v="predicted"/>
    <n v="782.9128551"/>
    <n v="794.38599999999997"/>
    <n v="11.473144939999999"/>
    <n v="26.911204000000001"/>
    <n v="-339.87879040000001"/>
    <n v="396.91508929999998"/>
    <x v="175"/>
    <s v="Mar-2020"/>
  </r>
  <r>
    <x v="176"/>
    <s v="TTO"/>
    <x v="0"/>
    <x v="3"/>
    <x v="3"/>
    <s v="predicted"/>
    <n v="778.34196250000002"/>
    <n v="796.41399999999999"/>
    <n v="18.072037460000001"/>
    <n v="44.983241460000002"/>
    <n v="-367.56720189999999"/>
    <n v="501.54707259999998"/>
    <x v="175"/>
    <s v="Apr-2020"/>
  </r>
  <r>
    <x v="176"/>
    <s v="TTO"/>
    <x v="0"/>
    <x v="4"/>
    <x v="4"/>
    <s v="predicted"/>
    <n v="776.33034580000003"/>
    <n v="797.34199999999998"/>
    <n v="21.011654180000001"/>
    <n v="65.994895639999996"/>
    <n v="-406.89643369999999"/>
    <n v="574.14439279999999"/>
    <x v="175"/>
    <s v="May-2020"/>
  </r>
  <r>
    <x v="176"/>
    <s v="TTO"/>
    <x v="0"/>
    <x v="5"/>
    <x v="5"/>
    <s v="predicted"/>
    <n v="778.90490220000004"/>
    <n v="832.46299999999997"/>
    <n v="53.558097760000003"/>
    <n v="119.55299340000001"/>
    <n v="-403.31046320000002"/>
    <n v="691.11859670000001"/>
    <x v="175"/>
    <s v="Jun-2020"/>
  </r>
  <r>
    <x v="176"/>
    <s v="TTO"/>
    <x v="0"/>
    <x v="6"/>
    <x v="6"/>
    <s v="predicted"/>
    <n v="779.06970579999995"/>
    <n v="826.32399999999996"/>
    <n v="47.254294180000002"/>
    <n v="166.8072876"/>
    <n v="-419.82705099999998"/>
    <n v="774.71361569999999"/>
    <x v="175"/>
    <s v="Jul-2020"/>
  </r>
  <r>
    <x v="176"/>
    <s v="TTO"/>
    <x v="0"/>
    <x v="7"/>
    <x v="7"/>
    <s v="predicted"/>
    <n v="776.75698250000005"/>
    <n v="870.15800000000002"/>
    <n v="93.401017539999998"/>
    <n v="260.20830510000002"/>
    <n v="-334.9102785"/>
    <n v="924.14626659999999"/>
    <x v="175"/>
    <s v="Aug-2020"/>
  </r>
  <r>
    <x v="176"/>
    <s v="TTO"/>
    <x v="0"/>
    <x v="8"/>
    <x v="8"/>
    <s v="predicted"/>
    <n v="776.71678340000005"/>
    <n v="888.09500000000003"/>
    <n v="111.3782166"/>
    <n v="371.58652180000001"/>
    <n v="-300.21696650000001"/>
    <n v="1120.3996540000001"/>
    <x v="175"/>
    <s v="Sep-2020"/>
  </r>
  <r>
    <x v="176"/>
    <s v="TTO"/>
    <x v="0"/>
    <x v="9"/>
    <x v="9"/>
    <s v="predicted"/>
    <n v="779.10500449999995"/>
    <n v="842.59900000000005"/>
    <n v="63.493995480000002"/>
    <n v="435.08051719999997"/>
    <n v="-268.18879759999999"/>
    <n v="1196.532543"/>
    <x v="175"/>
    <s v="Oct-2020"/>
  </r>
  <r>
    <x v="176"/>
    <s v="TTO"/>
    <x v="0"/>
    <x v="10"/>
    <x v="10"/>
    <s v="predicted"/>
    <n v="782.68724850000001"/>
    <n v="802.87699999999995"/>
    <n v="20.189751489999999"/>
    <n v="455.27026869999997"/>
    <n v="-296.12194319999998"/>
    <n v="1255.910617"/>
    <x v="175"/>
    <s v="Nov-2020"/>
  </r>
  <r>
    <x v="176"/>
    <s v="TTO"/>
    <x v="0"/>
    <x v="11"/>
    <x v="11"/>
    <s v="predicted"/>
    <n v="784.96088540000005"/>
    <n v="792.03899999999999"/>
    <n v="7.0781145920000004"/>
    <n v="462.34838330000002"/>
    <n v="-345.18866589999999"/>
    <n v="1315.4570900000001"/>
    <x v="175"/>
    <s v="Dec-2020"/>
  </r>
  <r>
    <x v="176"/>
    <s v="TTO"/>
    <x v="1"/>
    <x v="0"/>
    <x v="0"/>
    <s v="predicted"/>
    <n v="780.96249120000004"/>
    <n v="799.279"/>
    <n v="18.316508760000001"/>
    <n v="480.66489209999997"/>
    <n v="-353.72357770000002"/>
    <n v="1312.5324660000001"/>
    <x v="175"/>
    <s v="Jan-2021"/>
  </r>
  <r>
    <x v="176"/>
    <s v="TTO"/>
    <x v="1"/>
    <x v="1"/>
    <x v="1"/>
    <s v="predicted"/>
    <n v="779.11522890000003"/>
    <n v="795.21"/>
    <n v="16.094771080000001"/>
    <n v="496.75966319999998"/>
    <n v="-336.22002689999999"/>
    <n v="1399.6801109999999"/>
    <x v="175"/>
    <s v="Feb-2021"/>
  </r>
  <r>
    <x v="176"/>
    <s v="TTO"/>
    <x v="1"/>
    <x v="2"/>
    <x v="2"/>
    <s v="predicted"/>
    <n v="779.52179369999999"/>
    <n v="791.00199999999995"/>
    <n v="11.480206320000001"/>
    <n v="508.2398695"/>
    <n v="-343.99810880000001"/>
    <n v="1435.0590010000001"/>
    <x v="175"/>
    <s v="Mar-2021"/>
  </r>
  <r>
    <x v="176"/>
    <s v="TTO"/>
    <x v="1"/>
    <x v="3"/>
    <x v="3"/>
    <s v="predicted"/>
    <n v="774.50146959999995"/>
    <n v="873.04700000000003"/>
    <n v="98.545530369999994"/>
    <n v="606.78539980000005"/>
    <n v="-295.87475219999999"/>
    <n v="1555.4765420000001"/>
    <x v="175"/>
    <s v="Apr-2021"/>
  </r>
  <r>
    <x v="176"/>
    <s v="TTO"/>
    <x v="1"/>
    <x v="4"/>
    <x v="4"/>
    <s v="predicted"/>
    <n v="771.80147999999997"/>
    <n v="1163.92"/>
    <n v="392.11851999999999"/>
    <n v="998.90391980000004"/>
    <n v="95.014773149999996"/>
    <n v="1963.637796"/>
    <x v="175"/>
    <s v="May-2021"/>
  </r>
  <r>
    <x v="176"/>
    <s v="TTO"/>
    <x v="1"/>
    <x v="5"/>
    <x v="5"/>
    <s v="predicted"/>
    <n v="774.72981049999999"/>
    <n v="1177.4739999999999"/>
    <n v="402.7441895"/>
    <n v="1401.648109"/>
    <n v="385.67976399999998"/>
    <n v="2395.0710560000002"/>
    <x v="175"/>
    <s v="Jun-2021"/>
  </r>
  <r>
    <x v="176"/>
    <s v="TTO"/>
    <x v="1"/>
    <x v="6"/>
    <x v="6"/>
    <s v="predicted"/>
    <n v="774.64586699999995"/>
    <n v="1117.376"/>
    <n v="342.73013300000002"/>
    <n v="1744.378242"/>
    <n v="656.07929909999996"/>
    <n v="2795.663258"/>
    <x v="175"/>
    <s v="Jul-2021"/>
  </r>
  <r>
    <x v="176"/>
    <s v="TTO"/>
    <x v="1"/>
    <x v="7"/>
    <x v="7"/>
    <s v="predicted"/>
    <n v="773.59076110000001"/>
    <n v="1149.8889999999999"/>
    <n v="376.2982389"/>
    <n v="2120.676481"/>
    <n v="943.61368640000001"/>
    <n v="3285.2243739999999"/>
    <x v="175"/>
    <s v="Aug-2021"/>
  </r>
  <r>
    <x v="176"/>
    <s v="TTO"/>
    <x v="1"/>
    <x v="8"/>
    <x v="8"/>
    <s v="predicted"/>
    <n v="773.31353979999994"/>
    <n v="1053.9010000000001"/>
    <n v="280.58746020000001"/>
    <n v="2401.2639410000002"/>
    <n v="1231.648351"/>
    <n v="3537.3047419999998"/>
    <x v="175"/>
    <s v="Sep-2021"/>
  </r>
  <r>
    <x v="176"/>
    <s v="TTO"/>
    <x v="1"/>
    <x v="9"/>
    <x v="9"/>
    <s v="predicted"/>
    <n v="774.81835249999995"/>
    <n v="1033.4000000000001"/>
    <n v="258.58164749999997"/>
    <n v="2659.845589"/>
    <n v="1395.9161039999999"/>
    <n v="3870.235596"/>
    <x v="175"/>
    <s v="Oct-2021"/>
  </r>
  <r>
    <x v="176"/>
    <s v="TTO"/>
    <x v="1"/>
    <x v="10"/>
    <x v="10"/>
    <s v="predicted"/>
    <n v="778.65010919999997"/>
    <n v="1104.01"/>
    <n v="325.35989080000002"/>
    <n v="2985.2054800000001"/>
    <n v="1716.46686"/>
    <n v="4234.3472359999996"/>
    <x v="175"/>
    <s v="Nov-2021"/>
  </r>
  <r>
    <x v="176"/>
    <s v="TTO"/>
    <x v="1"/>
    <x v="11"/>
    <x v="11"/>
    <s v="predicted"/>
    <n v="780.98212079999996"/>
    <n v="1132.712"/>
    <n v="351.72987920000003"/>
    <n v="3336.9353590000001"/>
    <n v="1993.8129960000001"/>
    <n v="4636.2416739999999"/>
    <x v="175"/>
    <s v="Dec-2021"/>
  </r>
  <r>
    <x v="177"/>
    <s v="TUN"/>
    <x v="0"/>
    <x v="0"/>
    <x v="0"/>
    <s v="reported"/>
    <n v="7829.7739680000004"/>
    <n v="8437"/>
    <n v="595.73530889999995"/>
    <n v="595.73530889999995"/>
    <n v="189.6814028"/>
    <n v="980.32342610000001"/>
    <x v="176"/>
    <s v="Jan-2020"/>
  </r>
  <r>
    <x v="177"/>
    <s v="TUN"/>
    <x v="0"/>
    <x v="1"/>
    <x v="1"/>
    <s v="reported"/>
    <n v="7971.0638950000002"/>
    <n v="7855"/>
    <n v="-127.554619"/>
    <n v="468.18068979999998"/>
    <n v="-135.05028010000001"/>
    <n v="1123.4469959999999"/>
    <x v="176"/>
    <s v="Feb-2020"/>
  </r>
  <r>
    <x v="177"/>
    <s v="TUN"/>
    <x v="0"/>
    <x v="2"/>
    <x v="2"/>
    <s v="reported"/>
    <n v="7433.0644810000003"/>
    <n v="7117"/>
    <n v="-327.55520480000001"/>
    <n v="140.625485"/>
    <n v="-605.1180779"/>
    <n v="945.54729999999995"/>
    <x v="176"/>
    <s v="Mar-2020"/>
  </r>
  <r>
    <x v="177"/>
    <s v="TUN"/>
    <x v="0"/>
    <x v="3"/>
    <x v="3"/>
    <s v="reported"/>
    <n v="6326.7984539999998"/>
    <n v="5694"/>
    <n v="-644.28917739999997"/>
    <n v="-503.6636924"/>
    <n v="-1371.374875"/>
    <n v="409.37430940000002"/>
    <x v="176"/>
    <s v="Apr-2020"/>
  </r>
  <r>
    <x v="177"/>
    <s v="TUN"/>
    <x v="0"/>
    <x v="4"/>
    <x v="4"/>
    <s v="reported"/>
    <n v="5785.4642389999999"/>
    <n v="5378"/>
    <n v="-418.95496220000001"/>
    <n v="-922.61865460000001"/>
    <n v="-1795.117657"/>
    <n v="-2.6409568810000001"/>
    <x v="176"/>
    <s v="May-2020"/>
  </r>
  <r>
    <x v="177"/>
    <s v="TUN"/>
    <x v="0"/>
    <x v="5"/>
    <x v="5"/>
    <s v="reported"/>
    <n v="5714.2282709999999"/>
    <n v="5331"/>
    <n v="-394.71899509999997"/>
    <n v="-1317.3376499999999"/>
    <n v="-2320.9348669999999"/>
    <n v="-328.10223209999998"/>
    <x v="176"/>
    <s v="Jun-2020"/>
  </r>
  <r>
    <x v="177"/>
    <s v="TUN"/>
    <x v="0"/>
    <x v="6"/>
    <x v="6"/>
    <s v="reported"/>
    <n v="6262.1749369999998"/>
    <n v="5897"/>
    <n v="-376.66566010000003"/>
    <n v="-1694.0033100000001"/>
    <n v="-2754.5659470000001"/>
    <n v="-631.53222500000004"/>
    <x v="176"/>
    <s v="Jul-2020"/>
  </r>
  <r>
    <x v="177"/>
    <s v="TUN"/>
    <x v="0"/>
    <x v="7"/>
    <x v="7"/>
    <s v="reported"/>
    <n v="6300.0311369999999"/>
    <n v="6617"/>
    <n v="305.47813919999999"/>
    <n v="-1388.525171"/>
    <n v="-2525.9802220000001"/>
    <n v="-220.82692399999999"/>
    <x v="176"/>
    <s v="Aug-2020"/>
  </r>
  <r>
    <x v="177"/>
    <s v="TUN"/>
    <x v="0"/>
    <x v="8"/>
    <x v="8"/>
    <s v="reported"/>
    <n v="5933.0934870000001"/>
    <n v="6096"/>
    <n v="151.41578960000001"/>
    <n v="-1237.109381"/>
    <n v="-2420.3867059999998"/>
    <n v="12.246916499999999"/>
    <x v="176"/>
    <s v="Sep-2020"/>
  </r>
  <r>
    <x v="177"/>
    <s v="TUN"/>
    <x v="0"/>
    <x v="9"/>
    <x v="9"/>
    <s v="reported"/>
    <n v="6108.6545310000001"/>
    <n v="8629"/>
    <n v="2508.854746"/>
    <n v="1271.745365"/>
    <n v="-16.765113339999999"/>
    <n v="2505.3343340000001"/>
    <x v="176"/>
    <s v="Oct-2020"/>
  </r>
  <r>
    <x v="177"/>
    <s v="TUN"/>
    <x v="0"/>
    <x v="10"/>
    <x v="10"/>
    <s v="reported"/>
    <n v="6720.4958930000003"/>
    <n v="8518"/>
    <n v="1786.0133840000001"/>
    <n v="3057.7587480000002"/>
    <n v="1687.930938"/>
    <n v="4437.1909919999998"/>
    <x v="176"/>
    <s v="Nov-2020"/>
  </r>
  <r>
    <x v="177"/>
    <s v="TUN"/>
    <x v="0"/>
    <x v="11"/>
    <x v="11"/>
    <s v="reported"/>
    <n v="7983.8109869999998"/>
    <n v="9260"/>
    <n v="1264.6982889999999"/>
    <n v="4322.4570370000001"/>
    <n v="2894.6498459999998"/>
    <n v="5770.6240330000001"/>
    <x v="176"/>
    <s v="Dec-2020"/>
  </r>
  <r>
    <x v="177"/>
    <s v="TUN"/>
    <x v="1"/>
    <x v="0"/>
    <x v="0"/>
    <s v="reported"/>
    <n v="8015.8341350000001"/>
    <n v="11188"/>
    <n v="3154.741407"/>
    <n v="7477.1984439999997"/>
    <n v="6002.377504"/>
    <n v="9011.9878470000003"/>
    <x v="176"/>
    <s v="Jan-2021"/>
  </r>
  <r>
    <x v="177"/>
    <s v="TUN"/>
    <x v="1"/>
    <x v="1"/>
    <x v="1"/>
    <s v="reported"/>
    <n v="8154.8307940000004"/>
    <n v="7733"/>
    <n v="-439.25525160000001"/>
    <n v="7037.9431930000001"/>
    <n v="5412.8162970000003"/>
    <n v="8673.7505330000004"/>
    <x v="176"/>
    <s v="Feb-2021"/>
  </r>
  <r>
    <x v="177"/>
    <s v="TUN"/>
    <x v="1"/>
    <x v="2"/>
    <x v="2"/>
    <s v="reported"/>
    <n v="7609.4568650000001"/>
    <n v="7874"/>
    <n v="247.1186774"/>
    <n v="7285.0618700000005"/>
    <n v="5507.8920280000002"/>
    <n v="9025.9787890000007"/>
    <x v="176"/>
    <s v="Mar-2021"/>
  </r>
  <r>
    <x v="177"/>
    <s v="TUN"/>
    <x v="1"/>
    <x v="3"/>
    <x v="3"/>
    <s v="reported"/>
    <n v="6463.1437759999999"/>
    <n v="9560"/>
    <n v="3079.4317660000002"/>
    <n v="10364.493640000001"/>
    <n v="8536.3381270000009"/>
    <n v="12180.370220000001"/>
    <x v="176"/>
    <s v="Apr-2021"/>
  </r>
  <r>
    <x v="177"/>
    <s v="TUN"/>
    <x v="1"/>
    <x v="4"/>
    <x v="4"/>
    <s v="reported"/>
    <n v="5908.2184180000004"/>
    <n v="8809"/>
    <n v="2883.3571240000001"/>
    <n v="13247.850759999999"/>
    <n v="11398.51302"/>
    <n v="15114.945599999999"/>
    <x v="176"/>
    <s v="May-2021"/>
  </r>
  <r>
    <x v="177"/>
    <s v="TUN"/>
    <x v="1"/>
    <x v="5"/>
    <x v="5"/>
    <s v="reported"/>
    <n v="5858.1817380000002"/>
    <n v="10069"/>
    <n v="4193.3938040000003"/>
    <n v="17441.244559999999"/>
    <n v="15544.661410000001"/>
    <n v="19364.382440000001"/>
    <x v="176"/>
    <s v="Jun-2021"/>
  </r>
  <r>
    <x v="177"/>
    <s v="TUN"/>
    <x v="1"/>
    <x v="6"/>
    <x v="6"/>
    <s v="reported"/>
    <n v="6420.4120510000002"/>
    <n v="16073"/>
    <n v="9635.1634909999993"/>
    <n v="27076.408049999998"/>
    <n v="25111.91144"/>
    <n v="29102.86306"/>
    <x v="176"/>
    <s v="Jul-2021"/>
  </r>
  <r>
    <x v="177"/>
    <s v="TUN"/>
    <x v="1"/>
    <x v="7"/>
    <x v="7"/>
    <s v="reported"/>
    <n v="6453.6226029999998"/>
    <n v="13202"/>
    <n v="6730.9529389999998"/>
    <n v="33807.360990000001"/>
    <n v="31839.503959999998"/>
    <n v="35830.80227"/>
    <x v="176"/>
    <s v="Aug-2021"/>
  </r>
  <r>
    <x v="177"/>
    <s v="TUN"/>
    <x v="1"/>
    <x v="8"/>
    <x v="8"/>
    <s v="reported"/>
    <n v="6076.0200439999999"/>
    <n v="7761"/>
    <n v="1667.5554979999999"/>
    <n v="35474.916490000003"/>
    <n v="33503.404390000003"/>
    <n v="37568.8819"/>
    <x v="176"/>
    <s v="Sep-2021"/>
  </r>
  <r>
    <x v="177"/>
    <s v="TUN"/>
    <x v="1"/>
    <x v="9"/>
    <x v="9"/>
    <s v="reported"/>
    <n v="6244.0107330000001"/>
    <n v="6406"/>
    <n v="144.5648095"/>
    <n v="35619.481299999999"/>
    <n v="33541.15681"/>
    <n v="37764.810160000001"/>
    <x v="176"/>
    <s v="Oct-2021"/>
  </r>
  <r>
    <x v="177"/>
    <s v="TUN"/>
    <x v="1"/>
    <x v="10"/>
    <x v="10"/>
    <s v="reported"/>
    <n v="6878.0492709999999"/>
    <n v="6549"/>
    <n v="-346.47372869999998"/>
    <n v="35273.007570000002"/>
    <n v="33099.564270000003"/>
    <n v="37420.071949999998"/>
    <x v="176"/>
    <s v="Nov-2021"/>
  </r>
  <r>
    <x v="177"/>
    <s v="TUN"/>
    <x v="1"/>
    <x v="11"/>
    <x v="11"/>
    <s v="reported"/>
    <n v="8156.1673469999996"/>
    <n v="8101"/>
    <n v="-72.591804769999996"/>
    <n v="35200.41577"/>
    <n v="33030.095849999998"/>
    <n v="37429.766620000002"/>
    <x v="176"/>
    <s v="Dec-2021"/>
  </r>
  <r>
    <x v="178"/>
    <s v="TUR"/>
    <x v="0"/>
    <x v="0"/>
    <x v="0"/>
    <s v="reported"/>
    <n v="45935.391660000001"/>
    <n v="48308"/>
    <n v="2286.8197620000001"/>
    <n v="2286.8197620000001"/>
    <n v="402.9401264"/>
    <n v="3891.6957050000001"/>
    <x v="177"/>
    <s v="Jan-2020"/>
  </r>
  <r>
    <x v="178"/>
    <s v="TUR"/>
    <x v="0"/>
    <x v="1"/>
    <x v="1"/>
    <s v="reported"/>
    <n v="43938.39056"/>
    <n v="40254"/>
    <n v="-3770.1791360000002"/>
    <n v="-1483.3593739999999"/>
    <n v="-4265.5491780000002"/>
    <n v="1411.8020240000001"/>
    <x v="177"/>
    <s v="Feb-2020"/>
  </r>
  <r>
    <x v="178"/>
    <s v="TUR"/>
    <x v="0"/>
    <x v="2"/>
    <x v="2"/>
    <s v="reported"/>
    <n v="42991.919820000003"/>
    <n v="43280"/>
    <n v="202.2916079"/>
    <n v="-1281.0677659999999"/>
    <n v="-5005.6594420000001"/>
    <n v="2368.2620870000001"/>
    <x v="177"/>
    <s v="Mar-2020"/>
  </r>
  <r>
    <x v="178"/>
    <s v="TUR"/>
    <x v="0"/>
    <x v="3"/>
    <x v="3"/>
    <s v="reported"/>
    <n v="41363.773410000002"/>
    <n v="44072"/>
    <n v="2622.4380169999999"/>
    <n v="1341.3702510000001"/>
    <n v="-2858.4526810000002"/>
    <n v="5473.4171480000005"/>
    <x v="177"/>
    <s v="Apr-2020"/>
  </r>
  <r>
    <x v="178"/>
    <s v="TUR"/>
    <x v="0"/>
    <x v="4"/>
    <x v="4"/>
    <s v="reported"/>
    <n v="40410.872089999997"/>
    <n v="40327"/>
    <n v="-169.66066309999999"/>
    <n v="1171.7095879999999"/>
    <n v="-3102.4028640000001"/>
    <n v="5802.5657890000002"/>
    <x v="177"/>
    <s v="May-2020"/>
  </r>
  <r>
    <x v="178"/>
    <s v="TUR"/>
    <x v="0"/>
    <x v="5"/>
    <x v="5"/>
    <s v="reported"/>
    <n v="40081.098639999997"/>
    <n v="38662"/>
    <n v="-1504.8872120000001"/>
    <n v="-333.1776246"/>
    <n v="-4965.7578910000002"/>
    <n v="4414.079761"/>
    <x v="177"/>
    <s v="Jun-2020"/>
  </r>
  <r>
    <x v="178"/>
    <s v="TUR"/>
    <x v="0"/>
    <x v="6"/>
    <x v="6"/>
    <s v="reported"/>
    <n v="41574.369299999998"/>
    <n v="44713"/>
    <n v="3052.8421290000001"/>
    <n v="2719.6645050000002"/>
    <n v="-2354.6482719999999"/>
    <n v="7874.9870229999997"/>
    <x v="177"/>
    <s v="Jul-2020"/>
  </r>
  <r>
    <x v="178"/>
    <s v="TUR"/>
    <x v="0"/>
    <x v="7"/>
    <x v="7"/>
    <s v="reported"/>
    <n v="41154.696830000001"/>
    <n v="49118"/>
    <n v="7877.5146000000004"/>
    <n v="10597.179099999999"/>
    <n v="5085.8859320000001"/>
    <n v="15940.76686"/>
    <x v="177"/>
    <s v="Aug-2020"/>
  </r>
  <r>
    <x v="178"/>
    <s v="TUR"/>
    <x v="0"/>
    <x v="8"/>
    <x v="8"/>
    <s v="reported"/>
    <n v="39334.103730000003"/>
    <n v="50497"/>
    <n v="11077.107690000001"/>
    <n v="21674.286800000002"/>
    <n v="16104.874820000001"/>
    <n v="27256.735550000001"/>
    <x v="177"/>
    <s v="Sep-2020"/>
  </r>
  <r>
    <x v="178"/>
    <s v="TUR"/>
    <x v="0"/>
    <x v="9"/>
    <x v="9"/>
    <s v="reported"/>
    <n v="40256.179660000002"/>
    <n v="49089"/>
    <n v="8747.0317649999997"/>
    <n v="30421.31856"/>
    <n v="24523.517169999999"/>
    <n v="36591.011400000003"/>
    <x v="177"/>
    <s v="Oct-2020"/>
  </r>
  <r>
    <x v="178"/>
    <s v="TUR"/>
    <x v="0"/>
    <x v="10"/>
    <x v="10"/>
    <s v="reported"/>
    <n v="42645.576300000001"/>
    <n v="65923"/>
    <n v="23191.635129999999"/>
    <n v="53612.953690000002"/>
    <n v="47400.981950000001"/>
    <n v="60111.64473"/>
    <x v="177"/>
    <s v="Nov-2020"/>
  </r>
  <r>
    <x v="178"/>
    <s v="TUR"/>
    <x v="0"/>
    <x v="11"/>
    <x v="11"/>
    <s v="reported"/>
    <n v="46801.418590000001"/>
    <n v="70000"/>
    <n v="23112.792829999999"/>
    <n v="76725.746520000001"/>
    <n v="69875.777369999996"/>
    <n v="83689.982050000006"/>
    <x v="177"/>
    <s v="Dec-2020"/>
  </r>
  <r>
    <x v="178"/>
    <s v="TUR"/>
    <x v="1"/>
    <x v="0"/>
    <x v="0"/>
    <s v="reported"/>
    <n v="46763.762419999999"/>
    <n v="53961"/>
    <n v="7158.9921670000003"/>
    <n v="83884.738689999998"/>
    <n v="76633.55515"/>
    <n v="91181.807390000002"/>
    <x v="177"/>
    <s v="Jan-2021"/>
  </r>
  <r>
    <x v="178"/>
    <s v="TUR"/>
    <x v="1"/>
    <x v="1"/>
    <x v="1"/>
    <s v="reported"/>
    <n v="44822.26511"/>
    <n v="42428"/>
    <n v="-2432.5105229999999"/>
    <n v="81452.228170000002"/>
    <n v="73827.11808"/>
    <n v="88819.410770000002"/>
    <x v="177"/>
    <s v="Feb-2021"/>
  </r>
  <r>
    <x v="178"/>
    <s v="TUR"/>
    <x v="1"/>
    <x v="2"/>
    <x v="2"/>
    <s v="reported"/>
    <n v="43790.544379999999"/>
    <n v="49503"/>
    <n v="5674.2102089999998"/>
    <n v="87126.438370000003"/>
    <n v="78983.148449999993"/>
    <n v="94919.983240000001"/>
    <x v="177"/>
    <s v="Mar-2021"/>
  </r>
  <r>
    <x v="178"/>
    <s v="TUR"/>
    <x v="1"/>
    <x v="3"/>
    <x v="3"/>
    <s v="reported"/>
    <n v="42165.565609999998"/>
    <n v="58751"/>
    <n v="16547.188979999999"/>
    <n v="103673.6274"/>
    <n v="95249.370790000001"/>
    <n v="111974.07580000001"/>
    <x v="177"/>
    <s v="Apr-2021"/>
  </r>
  <r>
    <x v="178"/>
    <s v="TUR"/>
    <x v="1"/>
    <x v="4"/>
    <x v="4"/>
    <s v="reported"/>
    <n v="41263.244180000002"/>
    <n v="53076"/>
    <n v="11774.510410000001"/>
    <n v="115448.1378"/>
    <n v="106826.2115"/>
    <n v="124249.55190000001"/>
    <x v="177"/>
    <s v="May-2021"/>
  </r>
  <r>
    <x v="178"/>
    <s v="TUR"/>
    <x v="1"/>
    <x v="5"/>
    <x v="5"/>
    <s v="reported"/>
    <n v="40956.563739999998"/>
    <n v="43694"/>
    <n v="2699.19085"/>
    <n v="118147.32859999999"/>
    <n v="109475.0861"/>
    <n v="127308.4708"/>
    <x v="177"/>
    <s v="Jun-2021"/>
  </r>
  <r>
    <x v="178"/>
    <s v="TUR"/>
    <x v="1"/>
    <x v="6"/>
    <x v="6"/>
    <s v="reported"/>
    <n v="42436.642500000002"/>
    <n v="50238"/>
    <n v="7763.1120860000001"/>
    <n v="125910.44070000001"/>
    <n v="116967.3365"/>
    <n v="135267.5687"/>
    <x v="177"/>
    <s v="Jul-2021"/>
  </r>
  <r>
    <x v="178"/>
    <s v="TUR"/>
    <x v="1"/>
    <x v="7"/>
    <x v="7"/>
    <s v="reported"/>
    <n v="41928.542909999996"/>
    <n v="61277"/>
    <n v="19310.21168"/>
    <n v="145220.65239999999"/>
    <n v="135978.91930000001"/>
    <n v="154892.37950000001"/>
    <x v="177"/>
    <s v="Aug-2021"/>
  </r>
  <r>
    <x v="178"/>
    <s v="TUR"/>
    <x v="1"/>
    <x v="8"/>
    <x v="8"/>
    <s v="reported"/>
    <n v="40110.73919"/>
    <n v="57790"/>
    <n v="17641.0154"/>
    <n v="162861.6678"/>
    <n v="153728.69750000001"/>
    <n v="172819.2488"/>
    <x v="177"/>
    <s v="Sep-2021"/>
  </r>
  <r>
    <x v="178"/>
    <s v="TUR"/>
    <x v="1"/>
    <x v="9"/>
    <x v="9"/>
    <s v="reported"/>
    <n v="41126.844149999997"/>
    <n v="59673"/>
    <n v="18507.91044"/>
    <n v="181369.57819999999"/>
    <n v="171725.14739999999"/>
    <n v="191499.74350000001"/>
    <x v="177"/>
    <s v="Oct-2021"/>
  </r>
  <r>
    <x v="178"/>
    <s v="TUR"/>
    <x v="1"/>
    <x v="10"/>
    <x v="10"/>
    <s v="reported"/>
    <n v="43649.345999999998"/>
    <n v="60204"/>
    <n v="16516.408589999999"/>
    <n v="197885.98680000001"/>
    <n v="187720.00159999999"/>
    <n v="208387.133"/>
    <x v="177"/>
    <s v="Nov-2021"/>
  </r>
  <r>
    <x v="178"/>
    <s v="TUR"/>
    <x v="1"/>
    <x v="11"/>
    <x v="11"/>
    <s v="reported"/>
    <n v="47660.100939999997"/>
    <n v="59966"/>
    <n v="12267.65365"/>
    <n v="210153.64050000001"/>
    <n v="199645.4583"/>
    <n v="220867.6214"/>
    <x v="177"/>
    <s v="Dec-2021"/>
  </r>
  <r>
    <x v="179"/>
    <s v="TUV"/>
    <x v="0"/>
    <x v="0"/>
    <x v="0"/>
    <s v="predicted"/>
    <n v="7.7170317500000003"/>
    <n v="7.843"/>
    <n v="0.12596825"/>
    <n v="0.12596825"/>
    <n v="-5.1003432489999998"/>
    <n v="6.6901603620000003"/>
    <x v="178"/>
    <s v="Jan-2020"/>
  </r>
  <r>
    <x v="179"/>
    <s v="TUV"/>
    <x v="0"/>
    <x v="1"/>
    <x v="1"/>
    <s v="predicted"/>
    <n v="7.695752658"/>
    <n v="7.7190000000000003"/>
    <n v="2.3247342000000001E-2"/>
    <n v="0.14921559200000001"/>
    <n v="-7.4278436250000004"/>
    <n v="8.6618437779999997"/>
    <x v="178"/>
    <s v="Feb-2020"/>
  </r>
  <r>
    <x v="179"/>
    <s v="TUV"/>
    <x v="0"/>
    <x v="2"/>
    <x v="2"/>
    <s v="predicted"/>
    <n v="7.6892636259999998"/>
    <n v="7.7489999999999997"/>
    <n v="5.9736374000000002E-2"/>
    <n v="0.20895196599999999"/>
    <n v="-9.5955978149999996"/>
    <n v="10.8420646"/>
    <x v="178"/>
    <s v="Mar-2020"/>
  </r>
  <r>
    <x v="179"/>
    <s v="TUV"/>
    <x v="0"/>
    <x v="3"/>
    <x v="3"/>
    <s v="predicted"/>
    <n v="7.6792002139999997"/>
    <n v="7.851"/>
    <n v="0.17179978600000001"/>
    <n v="0.38075175300000003"/>
    <n v="-10.676645300000001"/>
    <n v="13.263067019999999"/>
    <x v="178"/>
    <s v="Apr-2020"/>
  </r>
  <r>
    <x v="179"/>
    <s v="TUV"/>
    <x v="0"/>
    <x v="4"/>
    <x v="4"/>
    <s v="predicted"/>
    <n v="7.6614396119999997"/>
    <n v="8.1020000000000003"/>
    <n v="0.44056038800000002"/>
    <n v="0.82131214100000005"/>
    <n v="-11.448300509999999"/>
    <n v="15.150357720000001"/>
    <x v="178"/>
    <s v="May-2020"/>
  </r>
  <r>
    <x v="179"/>
    <s v="TUV"/>
    <x v="0"/>
    <x v="5"/>
    <x v="5"/>
    <s v="predicted"/>
    <n v="7.6800874710000002"/>
    <n v="7.9660000000000002"/>
    <n v="0.28591252900000003"/>
    <n v="1.1072246699999999"/>
    <n v="-12.42239549"/>
    <n v="16.269851979999999"/>
    <x v="178"/>
    <s v="Jun-2020"/>
  </r>
  <r>
    <x v="179"/>
    <s v="TUV"/>
    <x v="0"/>
    <x v="6"/>
    <x v="6"/>
    <s v="predicted"/>
    <n v="7.6776845189999996"/>
    <n v="7.8220000000000001"/>
    <n v="0.144315481"/>
    <n v="1.2515401509999999"/>
    <n v="-12.83631257"/>
    <n v="17.749828569999998"/>
    <x v="178"/>
    <s v="Jul-2020"/>
  </r>
  <r>
    <x v="179"/>
    <s v="TUV"/>
    <x v="0"/>
    <x v="7"/>
    <x v="7"/>
    <s v="predicted"/>
    <n v="7.6801040670000003"/>
    <n v="7.726"/>
    <n v="4.5895933E-2"/>
    <n v="1.297436083"/>
    <n v="-14.14962038"/>
    <n v="19.044070170000001"/>
    <x v="178"/>
    <s v="Aug-2020"/>
  </r>
  <r>
    <x v="179"/>
    <s v="TUV"/>
    <x v="0"/>
    <x v="8"/>
    <x v="8"/>
    <s v="predicted"/>
    <n v="7.7018486429999999"/>
    <n v="7.8150000000000004"/>
    <n v="0.11315135699999999"/>
    <n v="1.41058744"/>
    <n v="-15.066089290000001"/>
    <n v="19.37684492"/>
    <x v="178"/>
    <s v="Sep-2020"/>
  </r>
  <r>
    <x v="179"/>
    <s v="TUV"/>
    <x v="0"/>
    <x v="9"/>
    <x v="9"/>
    <s v="predicted"/>
    <n v="7.7022319079999999"/>
    <n v="7.6109999999999998"/>
    <n v="-9.1231908E-2"/>
    <n v="1.3193555320000001"/>
    <n v="-16.13008713"/>
    <n v="20.813218689999999"/>
    <x v="178"/>
    <s v="Oct-2020"/>
  </r>
  <r>
    <x v="179"/>
    <s v="TUV"/>
    <x v="0"/>
    <x v="10"/>
    <x v="10"/>
    <s v="predicted"/>
    <n v="7.6848173329999998"/>
    <n v="7.742"/>
    <n v="5.7182667E-2"/>
    <n v="1.3765381990000001"/>
    <n v="-16.968677530000001"/>
    <n v="22.61269304"/>
    <x v="178"/>
    <s v="Nov-2020"/>
  </r>
  <r>
    <x v="179"/>
    <s v="TUV"/>
    <x v="0"/>
    <x v="11"/>
    <x v="11"/>
    <s v="predicted"/>
    <n v="7.7172989789999997"/>
    <n v="7.8079999999999998"/>
    <n v="9.0701021000000007E-2"/>
    <n v="1.46723922"/>
    <n v="-18.181661170000002"/>
    <n v="23.809919140000002"/>
    <x v="178"/>
    <s v="Dec-2020"/>
  </r>
  <r>
    <x v="179"/>
    <s v="TUV"/>
    <x v="1"/>
    <x v="0"/>
    <x v="0"/>
    <s v="predicted"/>
    <n v="7.7287231859999999"/>
    <n v="7.694"/>
    <n v="-3.4723186000000003E-2"/>
    <n v="1.4325160349999999"/>
    <n v="-18.67546703"/>
    <n v="24.39079263"/>
    <x v="178"/>
    <s v="Jan-2021"/>
  </r>
  <r>
    <x v="179"/>
    <s v="TUV"/>
    <x v="1"/>
    <x v="1"/>
    <x v="1"/>
    <s v="predicted"/>
    <n v="7.7159874210000003"/>
    <n v="7.7149999999999999"/>
    <n v="-9.8742100000000005E-4"/>
    <n v="1.4315286140000001"/>
    <n v="-18.833704770000001"/>
    <n v="24.653984959999999"/>
    <x v="178"/>
    <s v="Feb-2021"/>
  </r>
  <r>
    <x v="179"/>
    <s v="TUV"/>
    <x v="1"/>
    <x v="2"/>
    <x v="2"/>
    <s v="predicted"/>
    <n v="7.7208154999999996"/>
    <n v="7.8520000000000003"/>
    <n v="0.13118450000000001"/>
    <n v="1.5627131139999999"/>
    <n v="-20.78168973"/>
    <n v="26.41749205"/>
    <x v="178"/>
    <s v="Mar-2021"/>
  </r>
  <r>
    <x v="179"/>
    <s v="TUV"/>
    <x v="1"/>
    <x v="3"/>
    <x v="3"/>
    <s v="predicted"/>
    <n v="7.7017686879999996"/>
    <n v="7.75"/>
    <n v="4.8231311999999998E-2"/>
    <n v="1.6109444260000001"/>
    <n v="-21.159423260000001"/>
    <n v="26.168925470000001"/>
    <x v="178"/>
    <s v="Apr-2021"/>
  </r>
  <r>
    <x v="179"/>
    <s v="TUV"/>
    <x v="1"/>
    <x v="4"/>
    <x v="4"/>
    <s v="predicted"/>
    <n v="7.7163972420000002"/>
    <n v="7.9279999999999999"/>
    <n v="0.211602758"/>
    <n v="1.8225471849999999"/>
    <n v="-21.922298789999999"/>
    <n v="27.506127920000001"/>
    <x v="178"/>
    <s v="May-2021"/>
  </r>
  <r>
    <x v="179"/>
    <s v="TUV"/>
    <x v="1"/>
    <x v="5"/>
    <x v="5"/>
    <s v="predicted"/>
    <n v="7.70230602"/>
    <n v="7.9710000000000001"/>
    <n v="0.26869398"/>
    <n v="2.0912411639999999"/>
    <n v="-21.67647535"/>
    <n v="29.595117049999999"/>
    <x v="178"/>
    <s v="Jun-2021"/>
  </r>
  <r>
    <x v="179"/>
    <s v="TUV"/>
    <x v="1"/>
    <x v="6"/>
    <x v="6"/>
    <s v="predicted"/>
    <n v="7.7205305209999997"/>
    <n v="8.1910000000000007"/>
    <n v="0.47046947900000002"/>
    <n v="2.5617106440000001"/>
    <n v="-21.010026159999999"/>
    <n v="30.123186319999999"/>
    <x v="178"/>
    <s v="Jul-2021"/>
  </r>
  <r>
    <x v="179"/>
    <s v="TUV"/>
    <x v="1"/>
    <x v="7"/>
    <x v="7"/>
    <s v="predicted"/>
    <n v="7.7135143130000001"/>
    <n v="8.1809999999999992"/>
    <n v="0.46748568699999998"/>
    <n v="3.02919633"/>
    <n v="-22.230809059999999"/>
    <n v="32.046470210000003"/>
    <x v="178"/>
    <s v="Aug-2021"/>
  </r>
  <r>
    <x v="179"/>
    <s v="TUV"/>
    <x v="1"/>
    <x v="8"/>
    <x v="8"/>
    <s v="predicted"/>
    <n v="7.7285294410000001"/>
    <n v="8.1809999999999992"/>
    <n v="0.45247055899999999"/>
    <n v="3.481666889"/>
    <n v="-21.97946142"/>
    <n v="32.054135160000001"/>
    <x v="178"/>
    <s v="Sep-2021"/>
  </r>
  <r>
    <x v="179"/>
    <s v="TUV"/>
    <x v="1"/>
    <x v="9"/>
    <x v="9"/>
    <s v="predicted"/>
    <n v="7.7585970179999997"/>
    <n v="8.4700000000000006"/>
    <n v="0.71140298199999996"/>
    <n v="4.1930698709999996"/>
    <n v="-23.22765399"/>
    <n v="34.479985159999998"/>
    <x v="178"/>
    <s v="Oct-2021"/>
  </r>
  <r>
    <x v="179"/>
    <s v="TUV"/>
    <x v="1"/>
    <x v="10"/>
    <x v="10"/>
    <s v="predicted"/>
    <n v="7.734955802"/>
    <n v="8.4930000000000003"/>
    <n v="0.758044198"/>
    <n v="4.951114069"/>
    <n v="-22.56576321"/>
    <n v="34.91592455"/>
    <x v="178"/>
    <s v="Nov-2021"/>
  </r>
  <r>
    <x v="179"/>
    <s v="TUV"/>
    <x v="1"/>
    <x v="11"/>
    <x v="11"/>
    <s v="predicted"/>
    <n v="7.7068121859999996"/>
    <n v="8.6379999999999999"/>
    <n v="0.93118781399999995"/>
    <n v="5.8823018820000001"/>
    <n v="-23.004015519999999"/>
    <n v="37.313601040000002"/>
    <x v="178"/>
    <s v="Dec-2021"/>
  </r>
  <r>
    <x v="180"/>
    <s v="TZA"/>
    <x v="0"/>
    <x v="0"/>
    <x v="0"/>
    <s v="predicted"/>
    <n v="26613.436559999998"/>
    <n v="27955.53"/>
    <n v="1342.093441"/>
    <n v="1342.093441"/>
    <n v="-5323.8700630000003"/>
    <n v="9496.0343809999995"/>
    <x v="179"/>
    <s v="Jan-2020"/>
  </r>
  <r>
    <x v="180"/>
    <s v="TZA"/>
    <x v="0"/>
    <x v="1"/>
    <x v="1"/>
    <s v="predicted"/>
    <n v="26662.904190000001"/>
    <n v="26916.489000000001"/>
    <n v="253.5848053"/>
    <n v="1595.6782459999999"/>
    <n v="-8104.507826"/>
    <n v="12980.14328"/>
    <x v="179"/>
    <s v="Feb-2020"/>
  </r>
  <r>
    <x v="180"/>
    <s v="TZA"/>
    <x v="0"/>
    <x v="2"/>
    <x v="2"/>
    <s v="predicted"/>
    <n v="26627.722730000001"/>
    <n v="26199.433000000001"/>
    <n v="-428.2897347"/>
    <n v="1167.3885110000001"/>
    <n v="-11009.60859"/>
    <n v="14528.314329999999"/>
    <x v="179"/>
    <s v="Mar-2020"/>
  </r>
  <r>
    <x v="180"/>
    <s v="TZA"/>
    <x v="0"/>
    <x v="3"/>
    <x v="3"/>
    <s v="predicted"/>
    <n v="26777.563279999998"/>
    <n v="25876.852999999999"/>
    <n v="-900.71027609999999"/>
    <n v="266.67823529999998"/>
    <n v="-13225.733920000001"/>
    <n v="16278.714749999999"/>
    <x v="179"/>
    <s v="Apr-2020"/>
  </r>
  <r>
    <x v="180"/>
    <s v="TZA"/>
    <x v="0"/>
    <x v="4"/>
    <x v="4"/>
    <s v="predicted"/>
    <n v="26808.943500000001"/>
    <n v="25914.448"/>
    <n v="-894.49549990000003"/>
    <n v="-627.81726460000004"/>
    <n v="-15439.152"/>
    <n v="16800.87183"/>
    <x v="179"/>
    <s v="May-2020"/>
  </r>
  <r>
    <x v="180"/>
    <s v="TZA"/>
    <x v="0"/>
    <x v="5"/>
    <x v="5"/>
    <s v="predicted"/>
    <n v="26994.476709999999"/>
    <n v="26056.792000000001"/>
    <n v="-937.68470869999999"/>
    <n v="-1565.5019729999999"/>
    <n v="-18669.834320000002"/>
    <n v="17366.27605"/>
    <x v="179"/>
    <s v="Jun-2020"/>
  </r>
  <r>
    <x v="180"/>
    <s v="TZA"/>
    <x v="0"/>
    <x v="6"/>
    <x v="6"/>
    <s v="predicted"/>
    <n v="27041.435000000001"/>
    <n v="25847.431"/>
    <n v="-1194.0040019999999"/>
    <n v="-2759.505975"/>
    <n v="-20379.87499"/>
    <n v="17068.689869999998"/>
    <x v="179"/>
    <s v="Jul-2020"/>
  </r>
  <r>
    <x v="180"/>
    <s v="TZA"/>
    <x v="0"/>
    <x v="7"/>
    <x v="7"/>
    <s v="predicted"/>
    <n v="26911.626189999999"/>
    <n v="26330.221000000001"/>
    <n v="-581.40519180000001"/>
    <n v="-3340.9111670000002"/>
    <n v="-22540.902859999998"/>
    <n v="17483.33455"/>
    <x v="179"/>
    <s v="Aug-2020"/>
  </r>
  <r>
    <x v="180"/>
    <s v="TZA"/>
    <x v="0"/>
    <x v="8"/>
    <x v="8"/>
    <s v="predicted"/>
    <n v="26713.551670000001"/>
    <n v="26397.633000000002"/>
    <n v="-315.91866640000001"/>
    <n v="-3656.8298329999998"/>
    <n v="-24979.491450000001"/>
    <n v="19171.728709999999"/>
    <x v="179"/>
    <s v="Sep-2020"/>
  </r>
  <r>
    <x v="180"/>
    <s v="TZA"/>
    <x v="0"/>
    <x v="9"/>
    <x v="9"/>
    <s v="predicted"/>
    <n v="26450.79969"/>
    <n v="25584.692999999999"/>
    <n v="-866.10668799999996"/>
    <n v="-4522.9365209999996"/>
    <n v="-27004.130860000001"/>
    <n v="20524.816490000001"/>
    <x v="179"/>
    <s v="Oct-2020"/>
  </r>
  <r>
    <x v="180"/>
    <s v="TZA"/>
    <x v="0"/>
    <x v="10"/>
    <x v="10"/>
    <s v="predicted"/>
    <n v="26528.729729999999"/>
    <n v="25873.440999999999"/>
    <n v="-655.28872690000003"/>
    <n v="-5178.2252479999997"/>
    <n v="-28028.962640000002"/>
    <n v="20045.29364"/>
    <x v="179"/>
    <s v="Nov-2020"/>
  </r>
  <r>
    <x v="180"/>
    <s v="TZA"/>
    <x v="0"/>
    <x v="11"/>
    <x v="11"/>
    <s v="predicted"/>
    <n v="26554.432509999999"/>
    <n v="26411.710999999999"/>
    <n v="-142.72150930000001"/>
    <n v="-5320.9467569999997"/>
    <n v="-28962.26843"/>
    <n v="20467.57777"/>
    <x v="179"/>
    <s v="Dec-2020"/>
  </r>
  <r>
    <x v="180"/>
    <s v="TZA"/>
    <x v="1"/>
    <x v="0"/>
    <x v="0"/>
    <s v="predicted"/>
    <n v="26559.00604"/>
    <n v="27710.350999999999"/>
    <n v="1151.344957"/>
    <n v="-4169.6018000000004"/>
    <n v="-29001.927479999998"/>
    <n v="22104.952789999999"/>
    <x v="179"/>
    <s v="Jan-2021"/>
  </r>
  <r>
    <x v="180"/>
    <s v="TZA"/>
    <x v="1"/>
    <x v="1"/>
    <x v="1"/>
    <s v="predicted"/>
    <n v="26607.910360000002"/>
    <n v="28556.583999999999"/>
    <n v="1948.673644"/>
    <n v="-2220.9281559999999"/>
    <n v="-28442.429660000002"/>
    <n v="26157.229770000002"/>
    <x v="179"/>
    <s v="Feb-2021"/>
  </r>
  <r>
    <x v="180"/>
    <s v="TZA"/>
    <x v="1"/>
    <x v="2"/>
    <x v="2"/>
    <s v="predicted"/>
    <n v="26582.356400000001"/>
    <n v="28540.073"/>
    <n v="1957.716602"/>
    <n v="-263.2115541"/>
    <n v="-28220.89372"/>
    <n v="28142.830030000001"/>
    <x v="179"/>
    <s v="Mar-2021"/>
  </r>
  <r>
    <x v="180"/>
    <s v="TZA"/>
    <x v="1"/>
    <x v="3"/>
    <x v="3"/>
    <s v="predicted"/>
    <n v="26724.264500000001"/>
    <n v="28313.684000000001"/>
    <n v="1589.419498"/>
    <n v="1326.207944"/>
    <n v="-27113.053059999998"/>
    <n v="31624.62355"/>
    <x v="179"/>
    <s v="Apr-2021"/>
  </r>
  <r>
    <x v="180"/>
    <s v="TZA"/>
    <x v="1"/>
    <x v="4"/>
    <x v="4"/>
    <s v="predicted"/>
    <n v="26764.58294"/>
    <n v="27999.940999999999"/>
    <n v="1235.358058"/>
    <n v="2561.566002"/>
    <n v="-27380.601149999999"/>
    <n v="34639.387300000002"/>
    <x v="179"/>
    <s v="May-2021"/>
  </r>
  <r>
    <x v="180"/>
    <s v="TZA"/>
    <x v="1"/>
    <x v="5"/>
    <x v="5"/>
    <s v="predicted"/>
    <n v="26943.709009999999"/>
    <n v="28094.544000000002"/>
    <n v="1150.8349880000001"/>
    <n v="3712.4009900000001"/>
    <n v="-28525.054090000001"/>
    <n v="38274.296620000001"/>
    <x v="179"/>
    <s v="Jun-2021"/>
  </r>
  <r>
    <x v="180"/>
    <s v="TZA"/>
    <x v="1"/>
    <x v="6"/>
    <x v="6"/>
    <s v="predicted"/>
    <n v="26993.984380000002"/>
    <n v="29009.413"/>
    <n v="2015.4286199999999"/>
    <n v="5727.8296090000003"/>
    <n v="-28853.886180000001"/>
    <n v="40392.927920000002"/>
    <x v="179"/>
    <s v="Jul-2021"/>
  </r>
  <r>
    <x v="180"/>
    <s v="TZA"/>
    <x v="1"/>
    <x v="7"/>
    <x v="7"/>
    <s v="predicted"/>
    <n v="26857.421249999999"/>
    <n v="30290.266"/>
    <n v="3432.8447500000002"/>
    <n v="9160.6743600000009"/>
    <n v="-25934.17871"/>
    <n v="44288.278509999996"/>
    <x v="179"/>
    <s v="Aug-2021"/>
  </r>
  <r>
    <x v="180"/>
    <s v="TZA"/>
    <x v="1"/>
    <x v="8"/>
    <x v="8"/>
    <s v="predicted"/>
    <n v="26664.23301"/>
    <n v="27090.723000000002"/>
    <n v="426.48999209999999"/>
    <n v="9587.1643519999998"/>
    <n v="-25413.96081"/>
    <n v="45582.823859999997"/>
    <x v="179"/>
    <s v="Sep-2021"/>
  </r>
  <r>
    <x v="180"/>
    <s v="TZA"/>
    <x v="1"/>
    <x v="9"/>
    <x v="9"/>
    <s v="predicted"/>
    <n v="26404.522690000002"/>
    <n v="26256.817999999999"/>
    <n v="-147.70468919999999"/>
    <n v="9439.4596619999993"/>
    <n v="-28128.40207"/>
    <n v="47487.88409"/>
    <x v="179"/>
    <s v="Oct-2021"/>
  </r>
  <r>
    <x v="180"/>
    <s v="TZA"/>
    <x v="1"/>
    <x v="10"/>
    <x v="10"/>
    <s v="predicted"/>
    <n v="26488.77246"/>
    <n v="26354.35"/>
    <n v="-134.4224639"/>
    <n v="9305.037198"/>
    <n v="-27461.378860000001"/>
    <n v="48425.992729999998"/>
    <x v="179"/>
    <s v="Nov-2021"/>
  </r>
  <r>
    <x v="180"/>
    <s v="TZA"/>
    <x v="1"/>
    <x v="11"/>
    <x v="11"/>
    <s v="predicted"/>
    <n v="26499.364799999999"/>
    <n v="26902.455999999998"/>
    <n v="403.0912027"/>
    <n v="9708.1284009999999"/>
    <n v="-28705.009610000001"/>
    <n v="48542.197789999998"/>
    <x v="179"/>
    <s v="Dec-2021"/>
  </r>
  <r>
    <x v="181"/>
    <s v="UGA"/>
    <x v="0"/>
    <x v="0"/>
    <x v="0"/>
    <s v="predicted"/>
    <n v="18835.240760000001"/>
    <n v="19500.940999999999"/>
    <n v="665.70023979999996"/>
    <n v="665.70023979999996"/>
    <n v="-3856.7376389999999"/>
    <n v="6309.6293329999999"/>
    <x v="180"/>
    <s v="Jan-2020"/>
  </r>
  <r>
    <x v="181"/>
    <s v="UGA"/>
    <x v="0"/>
    <x v="1"/>
    <x v="1"/>
    <s v="predicted"/>
    <n v="18905.038369999998"/>
    <n v="18721.27"/>
    <n v="-183.7683667"/>
    <n v="481.93187310000002"/>
    <n v="-6312.5017470000003"/>
    <n v="8250.9898379999995"/>
    <x v="180"/>
    <s v="Feb-2020"/>
  </r>
  <r>
    <x v="181"/>
    <s v="UGA"/>
    <x v="0"/>
    <x v="2"/>
    <x v="2"/>
    <s v="predicted"/>
    <n v="18855.250080000002"/>
    <n v="18459.037"/>
    <n v="-396.21307630000001"/>
    <n v="85.718796810000001"/>
    <n v="-8286.9927740000003"/>
    <n v="9086.2869630000005"/>
    <x v="180"/>
    <s v="Mar-2020"/>
  </r>
  <r>
    <x v="181"/>
    <s v="UGA"/>
    <x v="0"/>
    <x v="3"/>
    <x v="3"/>
    <s v="predicted"/>
    <n v="19015.63193"/>
    <n v="16593.118999999999"/>
    <n v="-2422.5129310000002"/>
    <n v="-2336.7941340000002"/>
    <n v="-11804.32575"/>
    <n v="7272.2845779999998"/>
    <x v="180"/>
    <s v="Apr-2020"/>
  </r>
  <r>
    <x v="181"/>
    <s v="UGA"/>
    <x v="0"/>
    <x v="4"/>
    <x v="4"/>
    <s v="predicted"/>
    <n v="18917.511910000001"/>
    <n v="17082.014999999999"/>
    <n v="-1835.4969060000001"/>
    <n v="-4172.2910400000001"/>
    <n v="-14358.06582"/>
    <n v="6370.7644389999996"/>
    <x v="180"/>
    <s v="May-2020"/>
  </r>
  <r>
    <x v="181"/>
    <s v="UGA"/>
    <x v="0"/>
    <x v="5"/>
    <x v="5"/>
    <s v="predicted"/>
    <n v="19005.1479"/>
    <n v="18122.232"/>
    <n v="-882.91589729999998"/>
    <n v="-5055.2069369999999"/>
    <n v="-16082.636109999999"/>
    <n v="7334.790661"/>
    <x v="180"/>
    <s v="Jun-2020"/>
  </r>
  <r>
    <x v="181"/>
    <s v="UGA"/>
    <x v="0"/>
    <x v="6"/>
    <x v="6"/>
    <s v="predicted"/>
    <n v="19008.207490000001"/>
    <n v="18789.081999999999"/>
    <n v="-219.12548770000001"/>
    <n v="-5274.3324249999996"/>
    <n v="-17345.993620000001"/>
    <n v="7973.2623439999998"/>
    <x v="180"/>
    <s v="Jul-2020"/>
  </r>
  <r>
    <x v="181"/>
    <s v="UGA"/>
    <x v="0"/>
    <x v="7"/>
    <x v="7"/>
    <s v="predicted"/>
    <n v="19000.562900000001"/>
    <n v="19756.342000000001"/>
    <n v="755.77910429999997"/>
    <n v="-4518.5533210000003"/>
    <n v="-17507.1738"/>
    <n v="10280.248439999999"/>
    <x v="180"/>
    <s v="Aug-2020"/>
  </r>
  <r>
    <x v="181"/>
    <s v="UGA"/>
    <x v="0"/>
    <x v="8"/>
    <x v="8"/>
    <s v="predicted"/>
    <n v="18937.651040000001"/>
    <n v="19864.069"/>
    <n v="926.41796239999996"/>
    <n v="-3592.135358"/>
    <n v="-17807.057850000001"/>
    <n v="12093.787340000001"/>
    <x v="180"/>
    <s v="Sep-2020"/>
  </r>
  <r>
    <x v="181"/>
    <s v="UGA"/>
    <x v="0"/>
    <x v="9"/>
    <x v="9"/>
    <s v="predicted"/>
    <n v="18885.648539999998"/>
    <n v="19537.883000000002"/>
    <n v="652.23445800000002"/>
    <n v="-2939.900901"/>
    <n v="-18628.15047"/>
    <n v="13919.801149999999"/>
    <x v="180"/>
    <s v="Oct-2020"/>
  </r>
  <r>
    <x v="181"/>
    <s v="UGA"/>
    <x v="0"/>
    <x v="10"/>
    <x v="10"/>
    <s v="predicted"/>
    <n v="18933.197400000001"/>
    <n v="19932.431"/>
    <n v="999.23359519999997"/>
    <n v="-1940.6673049999999"/>
    <n v="-18056.839049999999"/>
    <n v="15111.24109"/>
    <x v="180"/>
    <s v="Nov-2020"/>
  </r>
  <r>
    <x v="181"/>
    <s v="UGA"/>
    <x v="0"/>
    <x v="11"/>
    <x v="11"/>
    <s v="predicted"/>
    <n v="18865.824779999999"/>
    <n v="19860.363000000001"/>
    <n v="994.53822209999998"/>
    <n v="-946.12908319999997"/>
    <n v="-18498.910889999999"/>
    <n v="17654.02"/>
    <x v="180"/>
    <s v="Dec-2020"/>
  </r>
  <r>
    <x v="181"/>
    <s v="UGA"/>
    <x v="1"/>
    <x v="0"/>
    <x v="0"/>
    <s v="predicted"/>
    <n v="18762.379929999999"/>
    <n v="19029.994999999999"/>
    <n v="267.61506730000002"/>
    <n v="-678.5140159"/>
    <n v="-18861.740150000001"/>
    <n v="18327.67211"/>
    <x v="180"/>
    <s v="Jan-2021"/>
  </r>
  <r>
    <x v="181"/>
    <s v="UGA"/>
    <x v="1"/>
    <x v="1"/>
    <x v="1"/>
    <s v="predicted"/>
    <n v="18838.823769999999"/>
    <n v="18759.73"/>
    <n v="-79.093774490000001"/>
    <n v="-757.6077904"/>
    <n v="-19671.21154"/>
    <n v="19910.455760000001"/>
    <x v="180"/>
    <s v="Feb-2021"/>
  </r>
  <r>
    <x v="181"/>
    <s v="UGA"/>
    <x v="1"/>
    <x v="2"/>
    <x v="2"/>
    <s v="predicted"/>
    <n v="18790.544910000001"/>
    <n v="18647.774000000001"/>
    <n v="-142.7709083"/>
    <n v="-900.37869860000001"/>
    <n v="-21049.73371"/>
    <n v="20609.085709999999"/>
    <x v="180"/>
    <s v="Mar-2021"/>
  </r>
  <r>
    <x v="181"/>
    <s v="UGA"/>
    <x v="1"/>
    <x v="3"/>
    <x v="3"/>
    <s v="predicted"/>
    <n v="18953.327799999999"/>
    <n v="18598.705000000002"/>
    <n v="-354.62280140000001"/>
    <n v="-1255.0015000000001"/>
    <n v="-22708.97884"/>
    <n v="20526.735939999999"/>
    <x v="180"/>
    <s v="Apr-2021"/>
  </r>
  <r>
    <x v="181"/>
    <s v="UGA"/>
    <x v="1"/>
    <x v="4"/>
    <x v="4"/>
    <s v="predicted"/>
    <n v="18863.829129999998"/>
    <n v="19229.632000000001"/>
    <n v="365.80286599999999"/>
    <n v="-889.19863399999997"/>
    <n v="-22144.7212"/>
    <n v="21356.064299999998"/>
    <x v="180"/>
    <s v="May-2021"/>
  </r>
  <r>
    <x v="181"/>
    <s v="UGA"/>
    <x v="1"/>
    <x v="5"/>
    <x v="5"/>
    <s v="predicted"/>
    <n v="18936.531989999999"/>
    <n v="21970.973999999998"/>
    <n v="3034.4420140000002"/>
    <n v="2145.2433799999999"/>
    <n v="-19871.59649"/>
    <n v="25612.478569999999"/>
    <x v="180"/>
    <s v="Jun-2021"/>
  </r>
  <r>
    <x v="181"/>
    <s v="UGA"/>
    <x v="1"/>
    <x v="6"/>
    <x v="6"/>
    <s v="predicted"/>
    <n v="18944.514859999999"/>
    <n v="21803.066999999999"/>
    <n v="2858.5521370000001"/>
    <n v="5003.7955169999996"/>
    <n v="-17918.705979999999"/>
    <n v="29188.279559999999"/>
    <x v="180"/>
    <s v="Jul-2021"/>
  </r>
  <r>
    <x v="181"/>
    <s v="UGA"/>
    <x v="1"/>
    <x v="7"/>
    <x v="7"/>
    <s v="predicted"/>
    <n v="18938.677029999999"/>
    <n v="19456.37"/>
    <n v="517.69297059999997"/>
    <n v="5521.488488"/>
    <n v="-19052.70291"/>
    <n v="30281.298920000001"/>
    <x v="180"/>
    <s v="Aug-2021"/>
  </r>
  <r>
    <x v="181"/>
    <s v="UGA"/>
    <x v="1"/>
    <x v="8"/>
    <x v="8"/>
    <s v="predicted"/>
    <n v="18869.67814"/>
    <n v="18980.866000000002"/>
    <n v="111.1878615"/>
    <n v="5632.6763499999997"/>
    <n v="-18545.694360000001"/>
    <n v="29752.90624"/>
    <x v="180"/>
    <s v="Sep-2021"/>
  </r>
  <r>
    <x v="181"/>
    <s v="UGA"/>
    <x v="1"/>
    <x v="9"/>
    <x v="9"/>
    <s v="predicted"/>
    <n v="18835.808830000002"/>
    <n v="18633.797999999999"/>
    <n v="-202.0108333"/>
    <n v="5430.665516"/>
    <n v="-19989.244620000001"/>
    <n v="30856.068190000002"/>
    <x v="180"/>
    <s v="Oct-2021"/>
  </r>
  <r>
    <x v="181"/>
    <s v="UGA"/>
    <x v="1"/>
    <x v="10"/>
    <x v="10"/>
    <s v="predicted"/>
    <n v="18873.00088"/>
    <n v="19013.100999999999"/>
    <n v="140.10011950000001"/>
    <n v="5570.7656360000001"/>
    <n v="-19693.83899"/>
    <n v="31492.009150000002"/>
    <x v="180"/>
    <s v="Nov-2021"/>
  </r>
  <r>
    <x v="181"/>
    <s v="UGA"/>
    <x v="1"/>
    <x v="11"/>
    <x v="11"/>
    <s v="predicted"/>
    <n v="18796.64572"/>
    <n v="19865.969000000001"/>
    <n v="1069.3232820000001"/>
    <n v="6640.0889180000004"/>
    <n v="-20777.99597"/>
    <n v="32850.651489999997"/>
    <x v="180"/>
    <s v="Dec-2021"/>
  </r>
  <r>
    <x v="182"/>
    <s v="UKR"/>
    <x v="0"/>
    <x v="0"/>
    <x v="0"/>
    <s v="reported"/>
    <n v="52339.473619999997"/>
    <n v="53610"/>
    <n v="1224.10971"/>
    <n v="1224.10971"/>
    <n v="-882.75700359999996"/>
    <n v="3286.6081349999999"/>
    <x v="181"/>
    <s v="Jan-2020"/>
  </r>
  <r>
    <x v="182"/>
    <s v="UKR"/>
    <x v="0"/>
    <x v="1"/>
    <x v="1"/>
    <s v="reported"/>
    <n v="48584.371189999998"/>
    <n v="47128"/>
    <n v="-1502.787857"/>
    <n v="-278.67814670000001"/>
    <n v="-3537.965721"/>
    <n v="2903.8184310000001"/>
    <x v="181"/>
    <s v="Feb-2020"/>
  </r>
  <r>
    <x v="182"/>
    <s v="UKR"/>
    <x v="0"/>
    <x v="2"/>
    <x v="2"/>
    <s v="reported"/>
    <n v="50303.102500000001"/>
    <n v="48326"/>
    <n v="-2023.5191709999999"/>
    <n v="-2302.197318"/>
    <n v="-6502.1350510000002"/>
    <n v="1864.8023909999999"/>
    <x v="181"/>
    <s v="Mar-2020"/>
  </r>
  <r>
    <x v="182"/>
    <s v="UKR"/>
    <x v="0"/>
    <x v="3"/>
    <x v="3"/>
    <s v="reported"/>
    <n v="48914.869489999997"/>
    <n v="46223"/>
    <n v="-2738.2861520000001"/>
    <n v="-5040.4834709999996"/>
    <n v="-9816.2632969999995"/>
    <n v="-133.21169019999999"/>
    <x v="181"/>
    <s v="Apr-2020"/>
  </r>
  <r>
    <x v="182"/>
    <s v="UKR"/>
    <x v="0"/>
    <x v="4"/>
    <x v="4"/>
    <s v="reported"/>
    <n v="49257.593820000002"/>
    <n v="44680"/>
    <n v="-4624.0104840000004"/>
    <n v="-9664.4939549999999"/>
    <n v="-14926.54962"/>
    <n v="-4354.6951060000001"/>
    <x v="181"/>
    <s v="May-2020"/>
  </r>
  <r>
    <x v="182"/>
    <s v="UKR"/>
    <x v="0"/>
    <x v="5"/>
    <x v="5"/>
    <s v="reported"/>
    <n v="44944.673629999998"/>
    <n v="47043"/>
    <n v="2051.9097069999998"/>
    <n v="-7612.5842480000001"/>
    <n v="-13303.84482"/>
    <n v="-1756.9616619999999"/>
    <x v="181"/>
    <s v="Jun-2020"/>
  </r>
  <r>
    <x v="182"/>
    <s v="UKR"/>
    <x v="0"/>
    <x v="6"/>
    <x v="6"/>
    <s v="reported"/>
    <n v="44700.561269999998"/>
    <n v="47297"/>
    <n v="2550.0220639999998"/>
    <n v="-5062.5621840000003"/>
    <n v="-11269.55019"/>
    <n v="1216.7413120000001"/>
    <x v="181"/>
    <s v="Jul-2020"/>
  </r>
  <r>
    <x v="182"/>
    <s v="UKR"/>
    <x v="0"/>
    <x v="7"/>
    <x v="7"/>
    <s v="reported"/>
    <n v="43144.701240000002"/>
    <n v="44008"/>
    <n v="816.88209529999995"/>
    <n v="-4245.6800890000004"/>
    <n v="-11156.58439"/>
    <n v="2181.1168640000001"/>
    <x v="181"/>
    <s v="Aug-2020"/>
  </r>
  <r>
    <x v="182"/>
    <s v="UKR"/>
    <x v="0"/>
    <x v="8"/>
    <x v="8"/>
    <s v="reported"/>
    <n v="42381.485930000003"/>
    <n v="48372"/>
    <n v="5944.0974020000003"/>
    <n v="1698.4173129999999"/>
    <n v="-5156.787851"/>
    <n v="8519.8109499999991"/>
    <x v="181"/>
    <s v="Sep-2020"/>
  </r>
  <r>
    <x v="182"/>
    <s v="UKR"/>
    <x v="0"/>
    <x v="9"/>
    <x v="9"/>
    <s v="reported"/>
    <n v="47857.437429999998"/>
    <n v="59047"/>
    <n v="11143.1459"/>
    <n v="12841.56322"/>
    <n v="5569.8122439999997"/>
    <n v="19858.707780000001"/>
    <x v="181"/>
    <s v="Oct-2020"/>
  </r>
  <r>
    <x v="182"/>
    <s v="UKR"/>
    <x v="0"/>
    <x v="10"/>
    <x v="10"/>
    <s v="reported"/>
    <n v="48764.939230000004"/>
    <n v="63438"/>
    <n v="14626.6441"/>
    <n v="27468.207320000001"/>
    <n v="19320.436369999999"/>
    <n v="34893.29537"/>
    <x v="181"/>
    <s v="Nov-2020"/>
  </r>
  <r>
    <x v="182"/>
    <s v="UKR"/>
    <x v="0"/>
    <x v="11"/>
    <x v="11"/>
    <s v="reported"/>
    <n v="51959.151400000002"/>
    <n v="67663"/>
    <n v="15657.431930000001"/>
    <n v="43125.63925"/>
    <n v="35004.821680000001"/>
    <n v="51033.849020000001"/>
    <x v="181"/>
    <s v="Dec-2020"/>
  </r>
  <r>
    <x v="182"/>
    <s v="UKR"/>
    <x v="1"/>
    <x v="0"/>
    <x v="0"/>
    <s v="reported"/>
    <n v="51986.914640000003"/>
    <n v="57721"/>
    <n v="5720.5853610000004"/>
    <n v="48846.224609999997"/>
    <n v="40403.318950000001"/>
    <n v="56928.204429999998"/>
    <x v="181"/>
    <s v="Jan-2021"/>
  </r>
  <r>
    <x v="182"/>
    <s v="UKR"/>
    <x v="1"/>
    <x v="1"/>
    <x v="1"/>
    <s v="reported"/>
    <n v="48268.796900000001"/>
    <n v="51391"/>
    <n v="3108.703098"/>
    <n v="51954.927710000004"/>
    <n v="43334.57172"/>
    <n v="60360.621720000003"/>
    <x v="181"/>
    <s v="Feb-2021"/>
  </r>
  <r>
    <x v="182"/>
    <s v="UKR"/>
    <x v="1"/>
    <x v="2"/>
    <x v="2"/>
    <s v="reported"/>
    <n v="49950.577400000002"/>
    <n v="64938"/>
    <n v="14973.9226"/>
    <n v="66928.850309999994"/>
    <n v="58199.758020000001"/>
    <n v="75834.065329999998"/>
    <x v="181"/>
    <s v="Mar-2021"/>
  </r>
  <r>
    <x v="182"/>
    <s v="UKR"/>
    <x v="1"/>
    <x v="3"/>
    <x v="3"/>
    <s v="reported"/>
    <n v="48662.557889999996"/>
    <n v="68621"/>
    <n v="19944.94211"/>
    <n v="86873.792419999998"/>
    <n v="77708.210869999995"/>
    <n v="96121.003039999996"/>
    <x v="181"/>
    <s v="Apr-2021"/>
  </r>
  <r>
    <x v="182"/>
    <s v="UKR"/>
    <x v="1"/>
    <x v="4"/>
    <x v="4"/>
    <s v="reported"/>
    <n v="48991.202819999999"/>
    <n v="57293"/>
    <n v="8288.2971770000004"/>
    <n v="95162.089600000007"/>
    <n v="85848.29075"/>
    <n v="104723.49980000001"/>
    <x v="181"/>
    <s v="May-2021"/>
  </r>
  <r>
    <x v="182"/>
    <s v="UKR"/>
    <x v="1"/>
    <x v="5"/>
    <x v="5"/>
    <s v="reported"/>
    <n v="44564.487840000002"/>
    <n v="49077"/>
    <n v="4499.0121559999998"/>
    <n v="99661.101750000002"/>
    <n v="89869.608429999993"/>
    <n v="109512.1124"/>
    <x v="181"/>
    <s v="Jun-2021"/>
  </r>
  <r>
    <x v="182"/>
    <s v="UKR"/>
    <x v="1"/>
    <x v="6"/>
    <x v="6"/>
    <s v="reported"/>
    <n v="44348.054259999997"/>
    <n v="46851"/>
    <n v="2489.4457389999998"/>
    <n v="102150.5475"/>
    <n v="92032.256580000001"/>
    <n v="112073.31969999999"/>
    <x v="181"/>
    <s v="Jul-2021"/>
  </r>
  <r>
    <x v="182"/>
    <s v="UKR"/>
    <x v="1"/>
    <x v="7"/>
    <x v="7"/>
    <s v="reported"/>
    <n v="42921.408969999997"/>
    <n v="43538"/>
    <n v="603.09103230000005"/>
    <n v="102753.6385"/>
    <n v="91979.063339999993"/>
    <n v="112645.5904"/>
    <x v="181"/>
    <s v="Aug-2021"/>
  </r>
  <r>
    <x v="182"/>
    <s v="UKR"/>
    <x v="1"/>
    <x v="8"/>
    <x v="8"/>
    <s v="reported"/>
    <n v="42131.345110000002"/>
    <n v="48425"/>
    <n v="6280.154888"/>
    <n v="109033.7934"/>
    <n v="98393.903349999993"/>
    <n v="119462.2"/>
    <x v="181"/>
    <s v="Sep-2021"/>
  </r>
  <r>
    <x v="182"/>
    <s v="UKR"/>
    <x v="1"/>
    <x v="9"/>
    <x v="9"/>
    <s v="reported"/>
    <n v="47508.605349999998"/>
    <n v="74282"/>
    <n v="26759.894649999998"/>
    <n v="135793.6881"/>
    <n v="124850.5968"/>
    <n v="146772.12330000001"/>
    <x v="181"/>
    <s v="Oct-2021"/>
  </r>
  <r>
    <x v="182"/>
    <s v="UKR"/>
    <x v="1"/>
    <x v="10"/>
    <x v="10"/>
    <s v="reported"/>
    <n v="48496.226040000001"/>
    <n v="87862"/>
    <n v="39352.273959999999"/>
    <n v="175145.962"/>
    <n v="163717.4075"/>
    <n v="186015.448"/>
    <x v="181"/>
    <s v="Nov-2021"/>
  </r>
  <r>
    <x v="182"/>
    <s v="UKR"/>
    <x v="1"/>
    <x v="11"/>
    <x v="11"/>
    <s v="reported"/>
    <n v="51560.307410000001"/>
    <n v="64264"/>
    <n v="12690.192590000001"/>
    <n v="187836.15460000001"/>
    <n v="176712.2671"/>
    <n v="199338.28409999999"/>
    <x v="181"/>
    <s v="Dec-2021"/>
  </r>
  <r>
    <x v="183"/>
    <s v="URY"/>
    <x v="0"/>
    <x v="0"/>
    <x v="0"/>
    <s v="reported"/>
    <n v="2619.0153129999999"/>
    <n v="2546"/>
    <n v="-73.015313079999999"/>
    <n v="-73.015313079999999"/>
    <n v="-175.6514071"/>
    <n v="23.732347000000001"/>
    <x v="182"/>
    <s v="Jan-2020"/>
  </r>
  <r>
    <x v="183"/>
    <s v="URY"/>
    <x v="0"/>
    <x v="1"/>
    <x v="1"/>
    <s v="reported"/>
    <n v="2461.2891359999999"/>
    <n v="2427"/>
    <n v="-34.289136200000002"/>
    <n v="-107.3044493"/>
    <n v="-259.58155959999999"/>
    <n v="49.832954350000001"/>
    <x v="182"/>
    <s v="Feb-2020"/>
  </r>
  <r>
    <x v="183"/>
    <s v="URY"/>
    <x v="0"/>
    <x v="2"/>
    <x v="2"/>
    <s v="reported"/>
    <n v="2553.4617010000002"/>
    <n v="2601"/>
    <n v="47.53829915"/>
    <n v="-59.766150140000001"/>
    <n v="-256.12116350000002"/>
    <n v="141.52574010000001"/>
    <x v="182"/>
    <s v="Mar-2020"/>
  </r>
  <r>
    <x v="183"/>
    <s v="URY"/>
    <x v="0"/>
    <x v="3"/>
    <x v="3"/>
    <s v="reported"/>
    <n v="2642.5893569999998"/>
    <n v="2511"/>
    <n v="-131.5893567"/>
    <n v="-191.3555068"/>
    <n v="-412.56709489999997"/>
    <n v="46.794724780000003"/>
    <x v="182"/>
    <s v="Apr-2020"/>
  </r>
  <r>
    <x v="183"/>
    <s v="URY"/>
    <x v="0"/>
    <x v="4"/>
    <x v="4"/>
    <s v="reported"/>
    <n v="2961.6019379999998"/>
    <n v="2718"/>
    <n v="-243.60193839999999"/>
    <n v="-434.9574452"/>
    <n v="-712.13134769999999"/>
    <n v="-147.54978919999999"/>
    <x v="182"/>
    <s v="May-2020"/>
  </r>
  <r>
    <x v="183"/>
    <s v="URY"/>
    <x v="0"/>
    <x v="5"/>
    <x v="5"/>
    <s v="reported"/>
    <n v="3338.2139609999999"/>
    <n v="2707"/>
    <n v="-631.2139608"/>
    <n v="-1066.1714059999999"/>
    <n v="-1377.7167959999999"/>
    <n v="-751.52366099999995"/>
    <x v="182"/>
    <s v="Jun-2020"/>
  </r>
  <r>
    <x v="183"/>
    <s v="URY"/>
    <x v="0"/>
    <x v="6"/>
    <x v="6"/>
    <s v="reported"/>
    <n v="3556.7783519999998"/>
    <n v="3162"/>
    <n v="-394.77835149999999"/>
    <n v="-1460.949758"/>
    <n v="-1816.6443690000001"/>
    <n v="-1092.1491779999999"/>
    <x v="182"/>
    <s v="Jul-2020"/>
  </r>
  <r>
    <x v="183"/>
    <s v="URY"/>
    <x v="0"/>
    <x v="7"/>
    <x v="7"/>
    <s v="reported"/>
    <n v="3423.4375359999999"/>
    <n v="2952"/>
    <n v="-471.43753570000001"/>
    <n v="-1932.387293"/>
    <n v="-2317.8039800000001"/>
    <n v="-1546.3922319999999"/>
    <x v="182"/>
    <s v="Aug-2020"/>
  </r>
  <r>
    <x v="183"/>
    <s v="URY"/>
    <x v="0"/>
    <x v="8"/>
    <x v="8"/>
    <s v="reported"/>
    <n v="3141.0208050000001"/>
    <n v="2866"/>
    <n v="-275.0208045"/>
    <n v="-2207.4080979999999"/>
    <n v="-2627.3199439999999"/>
    <n v="-1796.467455"/>
    <x v="182"/>
    <s v="Sep-2020"/>
  </r>
  <r>
    <x v="183"/>
    <s v="URY"/>
    <x v="0"/>
    <x v="9"/>
    <x v="9"/>
    <s v="reported"/>
    <n v="2872.7826089999999"/>
    <n v="2721"/>
    <n v="-151.78260900000001"/>
    <n v="-2359.1907070000002"/>
    <n v="-2794.2115469999999"/>
    <n v="-1928.896195"/>
    <x v="182"/>
    <s v="Oct-2020"/>
  </r>
  <r>
    <x v="183"/>
    <s v="URY"/>
    <x v="0"/>
    <x v="10"/>
    <x v="10"/>
    <s v="reported"/>
    <n v="2701.1196970000001"/>
    <n v="2568"/>
    <n v="-133.11969690000001"/>
    <n v="-2492.3104039999998"/>
    <n v="-2927.4107359999998"/>
    <n v="-2030.2031790000001"/>
    <x v="182"/>
    <s v="Nov-2020"/>
  </r>
  <r>
    <x v="183"/>
    <s v="URY"/>
    <x v="0"/>
    <x v="11"/>
    <x v="11"/>
    <s v="reported"/>
    <n v="2638.9053130000002"/>
    <n v="2859"/>
    <n v="220.09468659999999"/>
    <n v="-2272.215717"/>
    <n v="-2726.4515270000002"/>
    <n v="-1813.5915809999999"/>
    <x v="182"/>
    <s v="Dec-2020"/>
  </r>
  <r>
    <x v="183"/>
    <s v="URY"/>
    <x v="1"/>
    <x v="0"/>
    <x v="0"/>
    <s v="reported"/>
    <n v="2643.0349540000002"/>
    <n v="3074"/>
    <n v="430.96504640000001"/>
    <n v="-1841.250671"/>
    <n v="-2317.3344029999998"/>
    <n v="-1347.30384"/>
    <x v="182"/>
    <s v="Jan-2021"/>
  </r>
  <r>
    <x v="183"/>
    <s v="URY"/>
    <x v="1"/>
    <x v="1"/>
    <x v="1"/>
    <s v="reported"/>
    <n v="2486.6547369999998"/>
    <n v="2541"/>
    <n v="54.345263269999997"/>
    <n v="-1786.905407"/>
    <n v="-2280.9822680000002"/>
    <n v="-1246.019562"/>
    <x v="182"/>
    <s v="Feb-2021"/>
  </r>
  <r>
    <x v="183"/>
    <s v="URY"/>
    <x v="1"/>
    <x v="2"/>
    <x v="2"/>
    <s v="reported"/>
    <n v="2576.2557459999998"/>
    <n v="3065"/>
    <n v="488.7442542"/>
    <n v="-1298.161153"/>
    <n v="-1803.0278470000001"/>
    <n v="-760.69467940000004"/>
    <x v="182"/>
    <s v="Mar-2021"/>
  </r>
  <r>
    <x v="183"/>
    <s v="URY"/>
    <x v="1"/>
    <x v="3"/>
    <x v="3"/>
    <s v="reported"/>
    <n v="2671.7634779999998"/>
    <n v="4442"/>
    <n v="1770.2365219999999"/>
    <n v="472.07536859999999"/>
    <n v="-42.154667109999998"/>
    <n v="1038.6369010000001"/>
    <x v="182"/>
    <s v="Apr-2021"/>
  </r>
  <r>
    <x v="183"/>
    <s v="URY"/>
    <x v="1"/>
    <x v="4"/>
    <x v="4"/>
    <s v="reported"/>
    <n v="2987.13301"/>
    <n v="4792"/>
    <n v="1804.86699"/>
    <n v="2276.9423590000001"/>
    <n v="1722.255265"/>
    <n v="2884.0841919999998"/>
    <x v="182"/>
    <s v="May-2021"/>
  </r>
  <r>
    <x v="183"/>
    <s v="URY"/>
    <x v="1"/>
    <x v="5"/>
    <x v="5"/>
    <s v="reported"/>
    <n v="3375.1428599999999"/>
    <n v="4448"/>
    <n v="1072.8571400000001"/>
    <n v="3349.7994990000002"/>
    <n v="2738.7013189999998"/>
    <n v="3984.4987289999999"/>
    <x v="182"/>
    <s v="Jun-2021"/>
  </r>
  <r>
    <x v="183"/>
    <s v="URY"/>
    <x v="1"/>
    <x v="6"/>
    <x v="6"/>
    <s v="reported"/>
    <n v="3593.6464810000002"/>
    <n v="3713"/>
    <n v="119.3535193"/>
    <n v="3469.153018"/>
    <n v="2836.060457"/>
    <n v="4093.2871500000001"/>
    <x v="182"/>
    <s v="Jul-2021"/>
  </r>
  <r>
    <x v="183"/>
    <s v="URY"/>
    <x v="1"/>
    <x v="7"/>
    <x v="7"/>
    <s v="reported"/>
    <n v="3455.4177"/>
    <n v="3379"/>
    <n v="-76.417699519999999"/>
    <n v="3392.735318"/>
    <n v="2731.8300279999999"/>
    <n v="4067.6839129999998"/>
    <x v="182"/>
    <s v="Aug-2021"/>
  </r>
  <r>
    <x v="183"/>
    <s v="URY"/>
    <x v="1"/>
    <x v="8"/>
    <x v="8"/>
    <s v="reported"/>
    <n v="3172.6837850000002"/>
    <n v="2949"/>
    <n v="-223.683785"/>
    <n v="3169.0515329999998"/>
    <n v="2518.0333869999999"/>
    <n v="3881.8983680000001"/>
    <x v="182"/>
    <s v="Sep-2021"/>
  </r>
  <r>
    <x v="183"/>
    <s v="URY"/>
    <x v="1"/>
    <x v="9"/>
    <x v="9"/>
    <s v="reported"/>
    <n v="2901.8725410000002"/>
    <n v="2959"/>
    <n v="57.127458660000002"/>
    <n v="3226.1789920000001"/>
    <n v="2498.5478790000002"/>
    <n v="3940.1330379999999"/>
    <x v="182"/>
    <s v="Oct-2021"/>
  </r>
  <r>
    <x v="183"/>
    <s v="URY"/>
    <x v="1"/>
    <x v="10"/>
    <x v="10"/>
    <s v="reported"/>
    <n v="2728.0334339999999"/>
    <n v="2785"/>
    <n v="56.966565889999998"/>
    <n v="3283.1455580000002"/>
    <n v="2551.5123760000001"/>
    <n v="4013.7227240000002"/>
    <x v="182"/>
    <s v="Nov-2021"/>
  </r>
  <r>
    <x v="183"/>
    <s v="URY"/>
    <x v="1"/>
    <x v="11"/>
    <x v="11"/>
    <s v="reported"/>
    <n v="2670.0189209999999"/>
    <n v="3021"/>
    <n v="350.9810794"/>
    <n v="3634.1266369999998"/>
    <n v="2882.5579419999999"/>
    <n v="4393.037292"/>
    <x v="182"/>
    <s v="Dec-2021"/>
  </r>
  <r>
    <x v="184"/>
    <s v="USA"/>
    <x v="0"/>
    <x v="0"/>
    <x v="0"/>
    <s v="reported"/>
    <n v="254787.11809999999"/>
    <n v="264086"/>
    <n v="9271.4652289999995"/>
    <n v="9271.4652289999995"/>
    <n v="2250.4535310000001"/>
    <n v="16937.11969"/>
    <x v="183"/>
    <s v="Jan-2020"/>
  </r>
  <r>
    <x v="184"/>
    <s v="USA"/>
    <x v="0"/>
    <x v="1"/>
    <x v="1"/>
    <s v="reported"/>
    <n v="255069.89780000001"/>
    <n v="244957"/>
    <n v="-10140.314420000001"/>
    <n v="-868.84919390000005"/>
    <n v="-11349.563700000001"/>
    <n v="9595.1282580000006"/>
    <x v="183"/>
    <s v="Feb-2020"/>
  </r>
  <r>
    <x v="184"/>
    <s v="USA"/>
    <x v="0"/>
    <x v="2"/>
    <x v="2"/>
    <s v="reported"/>
    <n v="252347.1575"/>
    <n v="271617"/>
    <n v="19242.42582"/>
    <n v="18373.57663"/>
    <n v="4526.6329230000001"/>
    <n v="32496.491139999998"/>
    <x v="183"/>
    <s v="Mar-2020"/>
  </r>
  <r>
    <x v="184"/>
    <s v="USA"/>
    <x v="0"/>
    <x v="3"/>
    <x v="3"/>
    <s v="reported"/>
    <n v="245372.2145"/>
    <n v="320645"/>
    <n v="75245.368849999999"/>
    <n v="93618.945479999995"/>
    <n v="77354.291490000003"/>
    <n v="108788.9114"/>
    <x v="183"/>
    <s v="Apr-2020"/>
  </r>
  <r>
    <x v="184"/>
    <s v="USA"/>
    <x v="0"/>
    <x v="4"/>
    <x v="4"/>
    <s v="reported"/>
    <n v="237891.5202"/>
    <n v="280833"/>
    <n v="42914.063090000003"/>
    <n v="136533.0086"/>
    <n v="118529.4955"/>
    <n v="153492.77480000001"/>
    <x v="183"/>
    <s v="May-2020"/>
  </r>
  <r>
    <x v="184"/>
    <s v="USA"/>
    <x v="0"/>
    <x v="5"/>
    <x v="5"/>
    <s v="reported"/>
    <n v="232665.5393"/>
    <n v="250688"/>
    <n v="17995.044000000002"/>
    <n v="154528.0526"/>
    <n v="135031.94690000001"/>
    <n v="173379.7893"/>
    <x v="183"/>
    <s v="Jun-2020"/>
  </r>
  <r>
    <x v="184"/>
    <s v="USA"/>
    <x v="0"/>
    <x v="6"/>
    <x v="6"/>
    <s v="reported"/>
    <n v="231288.12599999999"/>
    <n v="278630"/>
    <n v="47314.457329999997"/>
    <n v="201842.5099"/>
    <n v="181381.93580000001"/>
    <n v="223156.568"/>
    <x v="183"/>
    <s v="Jul-2020"/>
  </r>
  <r>
    <x v="184"/>
    <s v="USA"/>
    <x v="0"/>
    <x v="7"/>
    <x v="7"/>
    <s v="reported"/>
    <n v="231167.60829999999"/>
    <n v="277440"/>
    <n v="46244.974990000002"/>
    <n v="248087.48490000001"/>
    <n v="225810.14319999999"/>
    <n v="270175.77559999999"/>
    <x v="183"/>
    <s v="Aug-2020"/>
  </r>
  <r>
    <x v="184"/>
    <s v="USA"/>
    <x v="0"/>
    <x v="8"/>
    <x v="8"/>
    <s v="reported"/>
    <n v="233260.73860000001"/>
    <n v="257237"/>
    <n v="23948.84476"/>
    <n v="272036.3297"/>
    <n v="248360.42290000001"/>
    <n v="296431.94059999997"/>
    <x v="183"/>
    <s v="Sep-2020"/>
  </r>
  <r>
    <x v="184"/>
    <s v="USA"/>
    <x v="0"/>
    <x v="9"/>
    <x v="9"/>
    <s v="reported"/>
    <n v="240381.3927"/>
    <n v="273686"/>
    <n v="33277.190600000002"/>
    <n v="305313.52029999997"/>
    <n v="280172.03480000002"/>
    <n v="330150.43560000003"/>
    <x v="183"/>
    <s v="Oct-2020"/>
  </r>
  <r>
    <x v="184"/>
    <s v="USA"/>
    <x v="0"/>
    <x v="10"/>
    <x v="10"/>
    <s v="reported"/>
    <n v="249636.95209999999"/>
    <n v="303540"/>
    <n v="53875.631260000002"/>
    <n v="359189.15149999998"/>
    <n v="330837.24819999997"/>
    <n v="384989.03230000002"/>
    <x v="183"/>
    <s v="Nov-2020"/>
  </r>
  <r>
    <x v="184"/>
    <s v="USA"/>
    <x v="0"/>
    <x v="11"/>
    <x v="11"/>
    <s v="reported"/>
    <n v="258654.8952"/>
    <n v="366806"/>
    <n v="108123.6881"/>
    <n v="467312.83960000001"/>
    <n v="438277.89510000002"/>
    <n v="494574.27830000001"/>
    <x v="183"/>
    <s v="Dec-2020"/>
  </r>
  <r>
    <x v="184"/>
    <s v="USA"/>
    <x v="1"/>
    <x v="0"/>
    <x v="0"/>
    <s v="reported"/>
    <n v="258666.07829999999"/>
    <n v="373192"/>
    <n v="114449.17170000001"/>
    <n v="581762.01139999996"/>
    <n v="552102.35869999998"/>
    <n v="611395.8591"/>
    <x v="183"/>
    <s v="Jan-2021"/>
  </r>
  <r>
    <x v="184"/>
    <s v="USA"/>
    <x v="1"/>
    <x v="1"/>
    <x v="1"/>
    <s v="reported"/>
    <n v="259086.51190000001"/>
    <n v="282466"/>
    <n v="23302.73806"/>
    <n v="605064.74939999997"/>
    <n v="574395.88249999995"/>
    <n v="636339.18700000003"/>
    <x v="183"/>
    <s v="Feb-2021"/>
  </r>
  <r>
    <x v="184"/>
    <s v="USA"/>
    <x v="1"/>
    <x v="2"/>
    <x v="2"/>
    <s v="reported"/>
    <n v="256585.61600000001"/>
    <n v="271227"/>
    <n v="14564.634"/>
    <n v="619629.38340000005"/>
    <n v="586511.72470000002"/>
    <n v="652623.82109999994"/>
    <x v="183"/>
    <s v="Mar-2021"/>
  </r>
  <r>
    <x v="184"/>
    <s v="USA"/>
    <x v="1"/>
    <x v="3"/>
    <x v="3"/>
    <s v="reported"/>
    <n v="249429.568"/>
    <n v="256871"/>
    <n v="7364.6820479999997"/>
    <n v="626994.06550000003"/>
    <n v="593080.60759999999"/>
    <n v="660638.11719999998"/>
    <x v="183"/>
    <s v="Apr-2021"/>
  </r>
  <r>
    <x v="184"/>
    <s v="USA"/>
    <x v="1"/>
    <x v="4"/>
    <x v="4"/>
    <s v="reported"/>
    <n v="241972.03940000001"/>
    <n v="258569"/>
    <n v="16520.210599999999"/>
    <n v="643514.27610000002"/>
    <n v="608616.81079999998"/>
    <n v="678276.90009999997"/>
    <x v="183"/>
    <s v="May-2021"/>
  </r>
  <r>
    <x v="184"/>
    <s v="USA"/>
    <x v="1"/>
    <x v="5"/>
    <x v="5"/>
    <s v="reported"/>
    <n v="236333.486"/>
    <n v="245271"/>
    <n v="8860.7640169999995"/>
    <n v="652375.04009999998"/>
    <n v="617117.35419999994"/>
    <n v="691330.27630000003"/>
    <x v="183"/>
    <s v="Jun-2021"/>
  </r>
  <r>
    <x v="184"/>
    <s v="USA"/>
    <x v="1"/>
    <x v="6"/>
    <x v="6"/>
    <s v="reported"/>
    <n v="235198.22219999999"/>
    <n v="257884"/>
    <n v="22609.027760000001"/>
    <n v="674984.06790000002"/>
    <n v="636438.76839999994"/>
    <n v="713395.02910000004"/>
    <x v="183"/>
    <s v="Jul-2021"/>
  </r>
  <r>
    <x v="184"/>
    <s v="USA"/>
    <x v="1"/>
    <x v="7"/>
    <x v="7"/>
    <s v="reported"/>
    <n v="235064.67739999999"/>
    <n v="304530"/>
    <n v="69388.572610000003"/>
    <n v="744372.64049999998"/>
    <n v="704115.1311"/>
    <n v="784488.94979999994"/>
    <x v="183"/>
    <s v="Aug-2021"/>
  </r>
  <r>
    <x v="184"/>
    <s v="USA"/>
    <x v="1"/>
    <x v="8"/>
    <x v="8"/>
    <s v="reported"/>
    <n v="237153.76819999999"/>
    <n v="312246"/>
    <n v="75015.481830000004"/>
    <n v="819388.12230000005"/>
    <n v="778349.37320000003"/>
    <n v="862992.8541"/>
    <x v="183"/>
    <s v="Sep-2021"/>
  </r>
  <r>
    <x v="184"/>
    <s v="USA"/>
    <x v="1"/>
    <x v="9"/>
    <x v="9"/>
    <s v="reported"/>
    <n v="244301.7763"/>
    <n v="300161"/>
    <n v="55782.473660000003"/>
    <n v="875170.59600000002"/>
    <n v="833615.50249999994"/>
    <n v="918991.38289999997"/>
    <x v="183"/>
    <s v="Oct-2021"/>
  </r>
  <r>
    <x v="184"/>
    <s v="USA"/>
    <x v="1"/>
    <x v="10"/>
    <x v="10"/>
    <s v="reported"/>
    <n v="253590.82490000001"/>
    <n v="289613"/>
    <n v="35945.425049999998"/>
    <n v="911116.02099999995"/>
    <n v="868251.59979999997"/>
    <n v="955987.19759999996"/>
    <x v="183"/>
    <s v="Nov-2021"/>
  </r>
  <r>
    <x v="184"/>
    <s v="USA"/>
    <x v="1"/>
    <x v="11"/>
    <x v="11"/>
    <s v="reported"/>
    <n v="262342.93489999999"/>
    <n v="319729"/>
    <n v="57309.315089999996"/>
    <n v="968425.33609999996"/>
    <n v="925435.73690000002"/>
    <n v="1013269.3419999999"/>
    <x v="183"/>
    <s v="Dec-2021"/>
  </r>
  <r>
    <x v="185"/>
    <s v="UZB"/>
    <x v="0"/>
    <x v="0"/>
    <x v="0"/>
    <s v="reported"/>
    <n v="14670.4241"/>
    <n v="11659"/>
    <n v="-3012.1220819999999"/>
    <n v="-3012.1220819999999"/>
    <n v="-4427.6182790000003"/>
    <n v="-1599.7128720000001"/>
    <x v="184"/>
    <s v="Jan-2020"/>
  </r>
  <r>
    <x v="185"/>
    <s v="UZB"/>
    <x v="0"/>
    <x v="1"/>
    <x v="1"/>
    <s v="reported"/>
    <n v="14802.624030000001"/>
    <n v="14336"/>
    <n v="-467.3220063"/>
    <n v="-3479.4440880000002"/>
    <n v="-5650.2524919999996"/>
    <n v="-1380.308777"/>
    <x v="184"/>
    <s v="Feb-2020"/>
  </r>
  <r>
    <x v="185"/>
    <s v="UZB"/>
    <x v="0"/>
    <x v="2"/>
    <x v="2"/>
    <s v="reported"/>
    <n v="14618.449409999999"/>
    <n v="13226"/>
    <n v="-1393.1473920000001"/>
    <n v="-4872.59148"/>
    <n v="-7410.8020820000002"/>
    <n v="-2322.9020129999999"/>
    <x v="184"/>
    <s v="Mar-2020"/>
  </r>
  <r>
    <x v="185"/>
    <s v="UZB"/>
    <x v="0"/>
    <x v="3"/>
    <x v="3"/>
    <s v="reported"/>
    <n v="14354.52823"/>
    <n v="12158"/>
    <n v="-2197.2262110000001"/>
    <n v="-7069.8176910000002"/>
    <n v="-10000.93535"/>
    <n v="-4128.4598820000001"/>
    <x v="184"/>
    <s v="Apr-2020"/>
  </r>
  <r>
    <x v="185"/>
    <s v="UZB"/>
    <x v="0"/>
    <x v="4"/>
    <x v="4"/>
    <s v="reported"/>
    <n v="14045.68619"/>
    <n v="12345"/>
    <n v="-1701.384168"/>
    <n v="-8771.2018590000007"/>
    <n v="-11973.106460000001"/>
    <n v="-5532.1976240000004"/>
    <x v="184"/>
    <s v="May-2020"/>
  </r>
  <r>
    <x v="185"/>
    <s v="UZB"/>
    <x v="0"/>
    <x v="5"/>
    <x v="5"/>
    <s v="reported"/>
    <n v="13709.61052"/>
    <n v="14434"/>
    <n v="723.69149730000004"/>
    <n v="-8047.510362"/>
    <n v="-11604.453589999999"/>
    <n v="-4530.1072590000003"/>
    <x v="184"/>
    <s v="Jun-2020"/>
  </r>
  <r>
    <x v="185"/>
    <s v="UZB"/>
    <x v="0"/>
    <x v="6"/>
    <x v="6"/>
    <s v="reported"/>
    <n v="13470.29948"/>
    <n v="18159"/>
    <n v="4688.0025459999997"/>
    <n v="-3359.5078159999998"/>
    <n v="-7114.0697829999999"/>
    <n v="372.04576259999999"/>
    <x v="184"/>
    <s v="Jul-2020"/>
  </r>
  <r>
    <x v="185"/>
    <s v="UZB"/>
    <x v="0"/>
    <x v="7"/>
    <x v="7"/>
    <s v="reported"/>
    <n v="13232.49516"/>
    <n v="21678"/>
    <n v="8444.8068579999999"/>
    <n v="5085.2990419999996"/>
    <n v="1124.8438040000001"/>
    <n v="9068.5003410000008"/>
    <x v="184"/>
    <s v="Aug-2020"/>
  </r>
  <r>
    <x v="185"/>
    <s v="UZB"/>
    <x v="0"/>
    <x v="8"/>
    <x v="8"/>
    <s v="reported"/>
    <n v="13066.560460000001"/>
    <n v="13779"/>
    <n v="711.74156679999999"/>
    <n v="5797.0406089999997"/>
    <n v="1668.864808"/>
    <n v="9924.9119480000008"/>
    <x v="184"/>
    <s v="Sep-2020"/>
  </r>
  <r>
    <x v="185"/>
    <s v="UZB"/>
    <x v="0"/>
    <x v="9"/>
    <x v="9"/>
    <s v="reported"/>
    <n v="13436.10238"/>
    <n v="16363"/>
    <n v="2926.1996429999999"/>
    <n v="8723.2402519999996"/>
    <n v="4259.2291379999997"/>
    <n v="13366.740659999999"/>
    <x v="184"/>
    <s v="Oct-2020"/>
  </r>
  <r>
    <x v="185"/>
    <s v="UZB"/>
    <x v="0"/>
    <x v="10"/>
    <x v="10"/>
    <s v="reported"/>
    <n v="14068.258610000001"/>
    <n v="14871"/>
    <n v="802.04340930000001"/>
    <n v="9525.2836609999995"/>
    <n v="4788.1110879999997"/>
    <n v="14334.2852"/>
    <x v="184"/>
    <s v="Nov-2020"/>
  </r>
  <r>
    <x v="185"/>
    <s v="UZB"/>
    <x v="0"/>
    <x v="11"/>
    <x v="11"/>
    <s v="reported"/>
    <n v="14604.43556"/>
    <n v="20874"/>
    <n v="6268.8664650000001"/>
    <n v="15794.15013"/>
    <n v="10661.674639999999"/>
    <n v="20955.542119999998"/>
    <x v="184"/>
    <s v="Dec-2020"/>
  </r>
  <r>
    <x v="185"/>
    <s v="UZB"/>
    <x v="1"/>
    <x v="0"/>
    <x v="0"/>
    <s v="reported"/>
    <n v="14691.27643"/>
    <n v="12480"/>
    <n v="-2212.323394"/>
    <n v="13581.826730000001"/>
    <n v="8245.8365450000001"/>
    <n v="18933.90106"/>
    <x v="184"/>
    <s v="Jan-2021"/>
  </r>
  <r>
    <x v="185"/>
    <s v="UZB"/>
    <x v="1"/>
    <x v="1"/>
    <x v="1"/>
    <s v="reported"/>
    <n v="14754.2032"/>
    <n v="15392"/>
    <n v="636.74983399999996"/>
    <n v="14218.576569999999"/>
    <n v="8774.9190419999995"/>
    <n v="19907.798200000001"/>
    <x v="184"/>
    <s v="Feb-2021"/>
  </r>
  <r>
    <x v="185"/>
    <s v="UZB"/>
    <x v="1"/>
    <x v="2"/>
    <x v="2"/>
    <s v="reported"/>
    <n v="14563.718870000001"/>
    <n v="14241"/>
    <n v="-323.7658409"/>
    <n v="13894.810729999999"/>
    <n v="8312.3382509999992"/>
    <n v="19505.37729"/>
    <x v="184"/>
    <s v="Mar-2021"/>
  </r>
  <r>
    <x v="185"/>
    <s v="UZB"/>
    <x v="1"/>
    <x v="3"/>
    <x v="3"/>
    <s v="reported"/>
    <n v="14286.755090000001"/>
    <n v="13015"/>
    <n v="-1272.8020550000001"/>
    <n v="12622.008669999999"/>
    <n v="6741.0969649999997"/>
    <n v="18612.644649999998"/>
    <x v="184"/>
    <s v="Apr-2021"/>
  </r>
  <r>
    <x v="185"/>
    <s v="UZB"/>
    <x v="1"/>
    <x v="4"/>
    <x v="4"/>
    <s v="reported"/>
    <n v="13989.84894"/>
    <n v="13024"/>
    <n v="-966.89590229999999"/>
    <n v="11655.11277"/>
    <n v="5191.6345739999997"/>
    <n v="17552.7585"/>
    <x v="184"/>
    <s v="May-2021"/>
  </r>
  <r>
    <x v="185"/>
    <s v="UZB"/>
    <x v="1"/>
    <x v="5"/>
    <x v="5"/>
    <s v="reported"/>
    <n v="13786.9665"/>
    <n v="15316"/>
    <n v="1527.986529"/>
    <n v="13183.0993"/>
    <n v="6265.2638690000003"/>
    <n v="19575.780620000001"/>
    <x v="184"/>
    <s v="Jun-2021"/>
  </r>
  <r>
    <x v="185"/>
    <s v="UZB"/>
    <x v="1"/>
    <x v="6"/>
    <x v="6"/>
    <s v="reported"/>
    <n v="13530.74512"/>
    <n v="18499"/>
    <n v="4967.2079139999996"/>
    <n v="18150.307209999999"/>
    <n v="11328.16534"/>
    <n v="24986.472959999999"/>
    <x v="184"/>
    <s v="Jul-2021"/>
  </r>
  <r>
    <x v="185"/>
    <s v="UZB"/>
    <x v="1"/>
    <x v="7"/>
    <x v="7"/>
    <s v="reported"/>
    <n v="13148.860640000001"/>
    <n v="22204"/>
    <n v="9054.0923970000003"/>
    <n v="27204.39961"/>
    <n v="20189.31005"/>
    <n v="34181.799319999998"/>
    <x v="184"/>
    <s v="Aug-2021"/>
  </r>
  <r>
    <x v="185"/>
    <s v="UZB"/>
    <x v="1"/>
    <x v="8"/>
    <x v="8"/>
    <s v="reported"/>
    <n v="13118.48259"/>
    <n v="14087"/>
    <n v="967.47044349999999"/>
    <n v="28171.870050000001"/>
    <n v="20821.984339999999"/>
    <n v="35175.780400000003"/>
    <x v="184"/>
    <s v="Sep-2021"/>
  </r>
  <r>
    <x v="185"/>
    <s v="UZB"/>
    <x v="1"/>
    <x v="9"/>
    <x v="9"/>
    <s v="reported"/>
    <n v="13435.58706"/>
    <n v="14344"/>
    <n v="907.36597789999996"/>
    <n v="29079.23603"/>
    <n v="21649.99584"/>
    <n v="36423.57879"/>
    <x v="184"/>
    <s v="Oct-2021"/>
  </r>
  <r>
    <x v="185"/>
    <s v="UZB"/>
    <x v="1"/>
    <x v="10"/>
    <x v="10"/>
    <s v="reported"/>
    <n v="14017.294239999999"/>
    <n v="13590"/>
    <n v="-428.34120250000001"/>
    <n v="28650.894830000001"/>
    <n v="20842.809949999999"/>
    <n v="35776.870620000002"/>
    <x v="184"/>
    <s v="Nov-2021"/>
  </r>
  <r>
    <x v="185"/>
    <s v="UZB"/>
    <x v="1"/>
    <x v="11"/>
    <x v="11"/>
    <s v="reported"/>
    <n v="14567.59424"/>
    <n v="16538"/>
    <n v="1969.358788"/>
    <n v="30620.25362"/>
    <n v="22898.428739999999"/>
    <n v="38080.807130000001"/>
    <x v="184"/>
    <s v="Dec-2021"/>
  </r>
  <r>
    <x v="186"/>
    <s v="VCT"/>
    <x v="0"/>
    <x v="0"/>
    <x v="0"/>
    <s v="reported"/>
    <n v="84.770641150000003"/>
    <n v="93"/>
    <n v="8.0626921849999995"/>
    <n v="8.0626921849999995"/>
    <n v="1.5309922920000001"/>
    <n v="14.26930918"/>
    <x v="185"/>
    <s v="Jan-2020"/>
  </r>
  <r>
    <x v="186"/>
    <s v="VCT"/>
    <x v="0"/>
    <x v="1"/>
    <x v="1"/>
    <s v="reported"/>
    <n v="83.232600439999999"/>
    <n v="76"/>
    <n v="-7.3992671049999998"/>
    <n v="0.66342508"/>
    <n v="-9.2803366139999994"/>
    <n v="9.8494798649999993"/>
    <x v="185"/>
    <s v="Feb-2020"/>
  </r>
  <r>
    <x v="186"/>
    <s v="VCT"/>
    <x v="0"/>
    <x v="2"/>
    <x v="2"/>
    <s v="reported"/>
    <n v="82.620090719999993"/>
    <n v="90"/>
    <n v="7.2132426159999996"/>
    <n v="7.8766676960000002"/>
    <n v="-3.8383638520000001"/>
    <n v="20.327151400000002"/>
    <x v="185"/>
    <s v="Mar-2020"/>
  </r>
  <r>
    <x v="186"/>
    <s v="VCT"/>
    <x v="0"/>
    <x v="3"/>
    <x v="3"/>
    <s v="reported"/>
    <n v="82.657324810000006"/>
    <n v="87"/>
    <n v="4.1760085220000001"/>
    <n v="12.05267622"/>
    <n v="-1.8777060459999999"/>
    <n v="26.637736480000001"/>
    <x v="185"/>
    <s v="Apr-2020"/>
  </r>
  <r>
    <x v="186"/>
    <s v="VCT"/>
    <x v="0"/>
    <x v="4"/>
    <x v="4"/>
    <s v="reported"/>
    <n v="83.51790441"/>
    <n v="97"/>
    <n v="13.315428929999999"/>
    <n v="25.368105140000001"/>
    <n v="9.6934251820000004"/>
    <n v="41.279246890000003"/>
    <x v="185"/>
    <s v="May-2020"/>
  </r>
  <r>
    <x v="186"/>
    <s v="VCT"/>
    <x v="0"/>
    <x v="5"/>
    <x v="5"/>
    <s v="reported"/>
    <n v="86.330209620000005"/>
    <n v="82"/>
    <n v="-4.4968762880000002"/>
    <n v="20.871228859999999"/>
    <n v="4.1958873690000003"/>
    <n v="37.759398240000003"/>
    <x v="185"/>
    <s v="Jun-2020"/>
  </r>
  <r>
    <x v="186"/>
    <s v="VCT"/>
    <x v="0"/>
    <x v="6"/>
    <x v="6"/>
    <s v="reported"/>
    <n v="89.951574260000001"/>
    <n v="84"/>
    <n v="-6.1182409250000003"/>
    <n v="14.75298793"/>
    <n v="-3.8894975829999998"/>
    <n v="33.354025110000002"/>
    <x v="185"/>
    <s v="Jul-2020"/>
  </r>
  <r>
    <x v="186"/>
    <s v="VCT"/>
    <x v="0"/>
    <x v="7"/>
    <x v="7"/>
    <s v="reported"/>
    <n v="92.177247640000004"/>
    <n v="91"/>
    <n v="-1.3439143090000001"/>
    <n v="13.409073619999999"/>
    <n v="-7.2129793280000003"/>
    <n v="33.563836569999999"/>
    <x v="185"/>
    <s v="Aug-2020"/>
  </r>
  <r>
    <x v="186"/>
    <s v="VCT"/>
    <x v="0"/>
    <x v="8"/>
    <x v="8"/>
    <s v="reported"/>
    <n v="92.404041849999999"/>
    <n v="94"/>
    <n v="1.4292914880000001"/>
    <n v="14.83836511"/>
    <n v="-7.4374850869999998"/>
    <n v="37.097793979999999"/>
    <x v="185"/>
    <s v="Sep-2020"/>
  </r>
  <r>
    <x v="186"/>
    <s v="VCT"/>
    <x v="0"/>
    <x v="9"/>
    <x v="9"/>
    <s v="reported"/>
    <n v="90.755424110000007"/>
    <n v="85"/>
    <n v="-5.9220907770000002"/>
    <n v="8.9162743320000004"/>
    <n v="-15.09794496"/>
    <n v="32.531007070000001"/>
    <x v="185"/>
    <s v="Oct-2020"/>
  </r>
  <r>
    <x v="186"/>
    <s v="VCT"/>
    <x v="0"/>
    <x v="10"/>
    <x v="10"/>
    <s v="reported"/>
    <n v="88.974574279999999"/>
    <n v="90"/>
    <n v="0.85875905500000005"/>
    <n v="9.7750333870000006"/>
    <n v="-14.283082800000001"/>
    <n v="34.948948369999997"/>
    <x v="185"/>
    <s v="Nov-2020"/>
  </r>
  <r>
    <x v="186"/>
    <s v="VCT"/>
    <x v="0"/>
    <x v="11"/>
    <x v="11"/>
    <s v="reported"/>
    <n v="87.643000000000001"/>
    <n v="80"/>
    <n v="-7.809666665"/>
    <n v="1.965366722"/>
    <n v="-23.152611830000001"/>
    <n v="28.12182391"/>
    <x v="185"/>
    <s v="Dec-2020"/>
  </r>
  <r>
    <x v="186"/>
    <s v="VCT"/>
    <x v="1"/>
    <x v="0"/>
    <x v="0"/>
    <s v="reported"/>
    <n v="87.619797430000006"/>
    <n v="85"/>
    <n v="-2.6197974259999999"/>
    <n v="-0.65443070400000003"/>
    <n v="-28.158757569999999"/>
    <n v="28.76143441"/>
    <x v="185"/>
    <s v="Jan-2021"/>
  </r>
  <r>
    <x v="186"/>
    <s v="VCT"/>
    <x v="1"/>
    <x v="1"/>
    <x v="1"/>
    <s v="reported"/>
    <n v="86.356457879999994"/>
    <n v="94"/>
    <n v="7.6435421239999997"/>
    <n v="6.9891114200000004"/>
    <n v="-21.888492620000001"/>
    <n v="36.961586560000001"/>
    <x v="185"/>
    <s v="Feb-2021"/>
  </r>
  <r>
    <x v="186"/>
    <s v="VCT"/>
    <x v="1"/>
    <x v="2"/>
    <x v="2"/>
    <s v="reported"/>
    <n v="85.433750739999994"/>
    <n v="68"/>
    <n v="-17.433750740000001"/>
    <n v="-10.44463932"/>
    <n v="-40.213022580000001"/>
    <n v="19.36478717"/>
    <x v="185"/>
    <s v="Mar-2021"/>
  </r>
  <r>
    <x v="186"/>
    <s v="VCT"/>
    <x v="1"/>
    <x v="3"/>
    <x v="3"/>
    <s v="reported"/>
    <n v="85.479352890000001"/>
    <n v="85"/>
    <n v="-0.47935288599999998"/>
    <n v="-10.92399221"/>
    <n v="-41.483504000000003"/>
    <n v="20.394904740000001"/>
    <x v="185"/>
    <s v="Apr-2021"/>
  </r>
  <r>
    <x v="186"/>
    <s v="VCT"/>
    <x v="1"/>
    <x v="4"/>
    <x v="4"/>
    <s v="reported"/>
    <n v="86.637301789999995"/>
    <n v="87"/>
    <n v="0.36269821000000002"/>
    <n v="-10.561293989999999"/>
    <n v="-42.419316510000002"/>
    <n v="22.22463029"/>
    <x v="185"/>
    <s v="May-2021"/>
  </r>
  <r>
    <x v="186"/>
    <s v="VCT"/>
    <x v="1"/>
    <x v="5"/>
    <x v="5"/>
    <s v="reported"/>
    <n v="89.653577639999995"/>
    <n v="76"/>
    <n v="-13.65357764"/>
    <n v="-24.214871639999998"/>
    <n v="-59.519670679999997"/>
    <n v="10.085900909999999"/>
    <x v="185"/>
    <s v="Jun-2021"/>
  </r>
  <r>
    <x v="186"/>
    <s v="VCT"/>
    <x v="1"/>
    <x v="6"/>
    <x v="6"/>
    <s v="reported"/>
    <n v="93.395377929999995"/>
    <n v="90"/>
    <n v="-3.395377935"/>
    <n v="-27.610249570000001"/>
    <n v="-65.605308649999998"/>
    <n v="8.4212875240000002"/>
    <x v="185"/>
    <s v="Jul-2021"/>
  </r>
  <r>
    <x v="186"/>
    <s v="VCT"/>
    <x v="1"/>
    <x v="7"/>
    <x v="7"/>
    <s v="reported"/>
    <n v="95.339865270000004"/>
    <n v="96"/>
    <n v="0.66013472900000003"/>
    <n v="-26.950114840000001"/>
    <n v="-65.761862550000004"/>
    <n v="9.1610701060000004"/>
    <x v="185"/>
    <s v="Aug-2021"/>
  </r>
  <r>
    <x v="186"/>
    <s v="VCT"/>
    <x v="1"/>
    <x v="8"/>
    <x v="8"/>
    <s v="reported"/>
    <n v="95.433288669999996"/>
    <n v="109"/>
    <n v="13.56671133"/>
    <n v="-13.38340352"/>
    <n v="-51.482476869999999"/>
    <n v="24.948130710000001"/>
    <x v="185"/>
    <s v="Sep-2021"/>
  </r>
  <r>
    <x v="186"/>
    <s v="VCT"/>
    <x v="1"/>
    <x v="9"/>
    <x v="9"/>
    <s v="reported"/>
    <n v="93.817655360000003"/>
    <n v="161"/>
    <n v="67.182344639999997"/>
    <n v="53.798941130000003"/>
    <n v="13.979309089999999"/>
    <n v="95.098361190000006"/>
    <x v="185"/>
    <s v="Oct-2021"/>
  </r>
  <r>
    <x v="186"/>
    <s v="VCT"/>
    <x v="1"/>
    <x v="10"/>
    <x v="10"/>
    <s v="reported"/>
    <n v="92.26713565"/>
    <n v="102"/>
    <n v="9.7328643459999995"/>
    <n v="63.531805470000002"/>
    <n v="22.450781540000001"/>
    <n v="104.8688068"/>
    <x v="185"/>
    <s v="Nov-2021"/>
  </r>
  <r>
    <x v="186"/>
    <s v="VCT"/>
    <x v="1"/>
    <x v="11"/>
    <x v="11"/>
    <s v="reported"/>
    <n v="90.597983490000004"/>
    <n v="131"/>
    <n v="40.402016510000003"/>
    <n v="103.93382200000001"/>
    <n v="62.130866990000001"/>
    <n v="145.8408771"/>
    <x v="185"/>
    <s v="Dec-2021"/>
  </r>
  <r>
    <x v="187"/>
    <s v="VEN"/>
    <x v="0"/>
    <x v="0"/>
    <x v="0"/>
    <s v="predicted"/>
    <n v="15167.318740000001"/>
    <n v="15626.288"/>
    <n v="458.96925599999997"/>
    <n v="458.96925599999997"/>
    <n v="-3244.6552889999998"/>
    <n v="4768.1997309999997"/>
    <x v="186"/>
    <s v="Jan-2020"/>
  </r>
  <r>
    <x v="187"/>
    <s v="VEN"/>
    <x v="0"/>
    <x v="1"/>
    <x v="1"/>
    <s v="predicted"/>
    <n v="15101.86263"/>
    <n v="15276.130999999999"/>
    <n v="174.26837320000001"/>
    <n v="633.23762929999998"/>
    <n v="-5009.9313330000004"/>
    <n v="7036.4903940000004"/>
    <x v="186"/>
    <s v="Feb-2020"/>
  </r>
  <r>
    <x v="187"/>
    <s v="VEN"/>
    <x v="0"/>
    <x v="2"/>
    <x v="2"/>
    <s v="predicted"/>
    <n v="15065.34755"/>
    <n v="13934.171"/>
    <n v="-1131.1765479999999"/>
    <n v="-497.93891839999998"/>
    <n v="-7147.7236149999999"/>
    <n v="6983.0947159999996"/>
    <x v="186"/>
    <s v="Mar-2020"/>
  </r>
  <r>
    <x v="187"/>
    <s v="VEN"/>
    <x v="0"/>
    <x v="3"/>
    <x v="3"/>
    <s v="predicted"/>
    <n v="15047.36161"/>
    <n v="13920.2"/>
    <n v="-1127.1616100000001"/>
    <n v="-1625.1005279999999"/>
    <n v="-8937.3250989999997"/>
    <n v="6739.5292079999999"/>
    <x v="186"/>
    <s v="Apr-2020"/>
  </r>
  <r>
    <x v="187"/>
    <s v="VEN"/>
    <x v="0"/>
    <x v="4"/>
    <x v="4"/>
    <s v="predicted"/>
    <n v="15122.69627"/>
    <n v="14280.609"/>
    <n v="-842.08726760000002"/>
    <n v="-2467.1877960000002"/>
    <n v="-10564.60167"/>
    <n v="6669.3594160000002"/>
    <x v="186"/>
    <s v="May-2020"/>
  </r>
  <r>
    <x v="187"/>
    <s v="VEN"/>
    <x v="0"/>
    <x v="5"/>
    <x v="5"/>
    <s v="predicted"/>
    <n v="15199.474260000001"/>
    <n v="15387.182000000001"/>
    <n v="187.7077396"/>
    <n v="-2279.4800559999999"/>
    <n v="-11606.099050000001"/>
    <n v="7662.7126200000002"/>
    <x v="186"/>
    <s v="Jun-2020"/>
  </r>
  <r>
    <x v="187"/>
    <s v="VEN"/>
    <x v="0"/>
    <x v="6"/>
    <x v="6"/>
    <s v="predicted"/>
    <n v="15214.840679999999"/>
    <n v="16270.028"/>
    <n v="1055.1873230000001"/>
    <n v="-1224.292733"/>
    <n v="-10951.155280000001"/>
    <n v="9679.0394990000004"/>
    <x v="186"/>
    <s v="Jul-2020"/>
  </r>
  <r>
    <x v="187"/>
    <s v="VEN"/>
    <x v="0"/>
    <x v="7"/>
    <x v="7"/>
    <s v="predicted"/>
    <n v="15167.441639999999"/>
    <n v="16559.144"/>
    <n v="1391.7023549999999"/>
    <n v="167.40962260000001"/>
    <n v="-10169.58728"/>
    <n v="11403.81781"/>
    <x v="186"/>
    <s v="Aug-2020"/>
  </r>
  <r>
    <x v="187"/>
    <s v="VEN"/>
    <x v="0"/>
    <x v="8"/>
    <x v="8"/>
    <s v="predicted"/>
    <n v="15141.913060000001"/>
    <n v="16148.334000000001"/>
    <n v="1006.420938"/>
    <n v="1173.830561"/>
    <n v="-9858.4165379999995"/>
    <n v="13806.69369"/>
    <x v="186"/>
    <s v="Sep-2020"/>
  </r>
  <r>
    <x v="187"/>
    <s v="VEN"/>
    <x v="0"/>
    <x v="9"/>
    <x v="9"/>
    <s v="predicted"/>
    <n v="15156.03138"/>
    <n v="15664.949000000001"/>
    <n v="508.9176248"/>
    <n v="1682.7481849999999"/>
    <n v="-9988.4320800000005"/>
    <n v="15189.310509999999"/>
    <x v="186"/>
    <s v="Oct-2020"/>
  </r>
  <r>
    <x v="187"/>
    <s v="VEN"/>
    <x v="0"/>
    <x v="10"/>
    <x v="10"/>
    <s v="predicted"/>
    <n v="15172.19787"/>
    <n v="15440.130999999999"/>
    <n v="267.93312839999999"/>
    <n v="1950.6813139999999"/>
    <n v="-9994.9899769999993"/>
    <n v="15134.41099"/>
    <x v="186"/>
    <s v="Nov-2020"/>
  </r>
  <r>
    <x v="187"/>
    <s v="VEN"/>
    <x v="0"/>
    <x v="11"/>
    <x v="11"/>
    <s v="predicted"/>
    <n v="15203.25971"/>
    <n v="15580.789000000001"/>
    <n v="377.52928919999999"/>
    <n v="2328.210603"/>
    <n v="-10310.20104"/>
    <n v="16876.879919999999"/>
    <x v="186"/>
    <s v="Dec-2020"/>
  </r>
  <r>
    <x v="187"/>
    <s v="VEN"/>
    <x v="1"/>
    <x v="0"/>
    <x v="0"/>
    <s v="predicted"/>
    <n v="15579.61346"/>
    <n v="16774.758999999998"/>
    <n v="1195.145538"/>
    <n v="3523.3561410000002"/>
    <n v="-9473.1911209999998"/>
    <n v="18816.882130000002"/>
    <x v="186"/>
    <s v="Jan-2021"/>
  </r>
  <r>
    <x v="187"/>
    <s v="VEN"/>
    <x v="1"/>
    <x v="1"/>
    <x v="1"/>
    <s v="predicted"/>
    <n v="15510.258470000001"/>
    <n v="16769.098000000002"/>
    <n v="1258.839528"/>
    <n v="4782.1956689999997"/>
    <n v="-9426.5588970000008"/>
    <n v="20543.627250000001"/>
    <x v="186"/>
    <s v="Feb-2021"/>
  </r>
  <r>
    <x v="187"/>
    <s v="VEN"/>
    <x v="1"/>
    <x v="2"/>
    <x v="2"/>
    <s v="predicted"/>
    <n v="15464.06049"/>
    <n v="16942.667000000001"/>
    <n v="1478.6065129999999"/>
    <n v="6260.8021820000004"/>
    <n v="-8526.4541829999998"/>
    <n v="23011.66619"/>
    <x v="186"/>
    <s v="Mar-2021"/>
  </r>
  <r>
    <x v="187"/>
    <s v="VEN"/>
    <x v="1"/>
    <x v="3"/>
    <x v="3"/>
    <s v="predicted"/>
    <n v="15457.66634"/>
    <n v="17541.939999999999"/>
    <n v="2084.2736559999998"/>
    <n v="8345.0758380000007"/>
    <n v="-7282.8203279999998"/>
    <n v="25472.198090000002"/>
    <x v="186"/>
    <s v="Apr-2021"/>
  </r>
  <r>
    <x v="187"/>
    <s v="VEN"/>
    <x v="1"/>
    <x v="4"/>
    <x v="4"/>
    <s v="predicted"/>
    <n v="15526.73792"/>
    <n v="17496.526000000002"/>
    <n v="1969.7880769999999"/>
    <n v="10314.86392"/>
    <n v="-5733.3743800000002"/>
    <n v="28563.52824"/>
    <x v="186"/>
    <s v="May-2021"/>
  </r>
  <r>
    <x v="187"/>
    <s v="VEN"/>
    <x v="1"/>
    <x v="5"/>
    <x v="5"/>
    <s v="predicted"/>
    <n v="15617.973110000001"/>
    <n v="17304.745999999999"/>
    <n v="1686.7728890000001"/>
    <n v="12001.6368"/>
    <n v="-4216.0465329999997"/>
    <n v="30749.356400000001"/>
    <x v="186"/>
    <s v="Jun-2021"/>
  </r>
  <r>
    <x v="187"/>
    <s v="VEN"/>
    <x v="1"/>
    <x v="6"/>
    <x v="6"/>
    <s v="predicted"/>
    <n v="15624.18706"/>
    <n v="17233.661"/>
    <n v="1609.4739380000001"/>
    <n v="13611.11074"/>
    <n v="-3219.5009570000002"/>
    <n v="32214.06954"/>
    <x v="186"/>
    <s v="Jul-2021"/>
  </r>
  <r>
    <x v="187"/>
    <s v="VEN"/>
    <x v="1"/>
    <x v="7"/>
    <x v="7"/>
    <s v="predicted"/>
    <n v="15585.550569999999"/>
    <n v="17372.886999999999"/>
    <n v="1787.3364329999999"/>
    <n v="15398.447179999999"/>
    <n v="-1296.269086"/>
    <n v="34627.165970000002"/>
    <x v="186"/>
    <s v="Aug-2021"/>
  </r>
  <r>
    <x v="187"/>
    <s v="VEN"/>
    <x v="1"/>
    <x v="8"/>
    <x v="8"/>
    <s v="predicted"/>
    <n v="15536.556200000001"/>
    <n v="17414.704000000002"/>
    <n v="1878.1477990000001"/>
    <n v="17276.594980000002"/>
    <n v="-1212.304519"/>
    <n v="36283.110350000003"/>
    <x v="186"/>
    <s v="Sep-2021"/>
  </r>
  <r>
    <x v="187"/>
    <s v="VEN"/>
    <x v="1"/>
    <x v="9"/>
    <x v="9"/>
    <s v="predicted"/>
    <n v="15566.12831"/>
    <n v="17218.776999999998"/>
    <n v="1652.648694"/>
    <n v="18929.24367"/>
    <n v="218.46110849999999"/>
    <n v="38701.821150000003"/>
    <x v="186"/>
    <s v="Oct-2021"/>
  </r>
  <r>
    <x v="187"/>
    <s v="VEN"/>
    <x v="1"/>
    <x v="10"/>
    <x v="10"/>
    <s v="predicted"/>
    <n v="15579.205480000001"/>
    <n v="16719.098999999998"/>
    <n v="1139.8935240000001"/>
    <n v="20069.137190000001"/>
    <n v="652.74560150000002"/>
    <n v="40350.734940000002"/>
    <x v="186"/>
    <s v="Nov-2021"/>
  </r>
  <r>
    <x v="187"/>
    <s v="VEN"/>
    <x v="1"/>
    <x v="11"/>
    <x v="11"/>
    <s v="predicted"/>
    <n v="15616.69781"/>
    <n v="16685.349999999999"/>
    <n v="1068.6521909999999"/>
    <n v="21137.789379999998"/>
    <n v="1110.883824"/>
    <n v="42149.080150000002"/>
    <x v="186"/>
    <s v="Dec-2021"/>
  </r>
  <r>
    <x v="188"/>
    <s v="VNM"/>
    <x v="0"/>
    <x v="0"/>
    <x v="0"/>
    <s v="predicted"/>
    <n v="62744.835229999997"/>
    <n v="61591.775000000001"/>
    <n v="-1156.4547669999999"/>
    <n v="-1156.4547669999999"/>
    <n v="-1691.1734939999999"/>
    <n v="-619.07072779999999"/>
    <x v="187"/>
    <s v="Jan-2020"/>
  </r>
  <r>
    <x v="188"/>
    <s v="VNM"/>
    <x v="0"/>
    <x v="1"/>
    <x v="1"/>
    <s v="predicted"/>
    <n v="62713.616130000002"/>
    <n v="56227.489000000001"/>
    <n v="-6476.9473379999999"/>
    <n v="-7633.4021050000001"/>
    <n v="-8306.0634790000004"/>
    <n v="-6914.5421960000003"/>
    <x v="187"/>
    <s v="Feb-2020"/>
  </r>
  <r>
    <x v="188"/>
    <s v="VNM"/>
    <x v="0"/>
    <x v="2"/>
    <x v="2"/>
    <s v="predicted"/>
    <n v="62014.425819999997"/>
    <n v="55475.684999999998"/>
    <n v="-6530.0946949999998"/>
    <n v="-14163.496800000001"/>
    <n v="-15056.009"/>
    <n v="-13313.434380000001"/>
    <x v="187"/>
    <s v="Mar-2020"/>
  </r>
  <r>
    <x v="188"/>
    <s v="VNM"/>
    <x v="0"/>
    <x v="3"/>
    <x v="3"/>
    <s v="predicted"/>
    <n v="61443.48343"/>
    <n v="49183.544999999998"/>
    <n v="-12262.844789999999"/>
    <n v="-26426.34159"/>
    <n v="-27414.22625"/>
    <n v="-25491.41128"/>
    <x v="187"/>
    <s v="Apr-2020"/>
  </r>
  <r>
    <x v="188"/>
    <s v="VNM"/>
    <x v="0"/>
    <x v="4"/>
    <x v="4"/>
    <s v="predicted"/>
    <n v="60282.108350000002"/>
    <n v="52991.125999999997"/>
    <n v="-7283.070823"/>
    <n v="-33709.412409999997"/>
    <n v="-34746.469340000003"/>
    <n v="-32675.738850000002"/>
    <x v="187"/>
    <s v="May-2020"/>
  </r>
  <r>
    <x v="188"/>
    <s v="VNM"/>
    <x v="0"/>
    <x v="5"/>
    <x v="5"/>
    <s v="predicted"/>
    <n v="60315.017659999998"/>
    <n v="56060.489000000001"/>
    <n v="-4256.6517190000004"/>
    <n v="-37966.064129999999"/>
    <n v="-39065.315260000003"/>
    <n v="-36887.90754"/>
    <x v="187"/>
    <s v="Jun-2020"/>
  </r>
  <r>
    <x v="188"/>
    <s v="VNM"/>
    <x v="0"/>
    <x v="6"/>
    <x v="6"/>
    <s v="predicted"/>
    <n v="60356.467259999998"/>
    <n v="57608.718000000001"/>
    <n v="-2742.0544369999998"/>
    <n v="-40708.118569999999"/>
    <n v="-41861.400309999997"/>
    <n v="-39625.42985"/>
    <x v="187"/>
    <s v="Jul-2020"/>
  </r>
  <r>
    <x v="188"/>
    <s v="VNM"/>
    <x v="0"/>
    <x v="7"/>
    <x v="7"/>
    <s v="predicted"/>
    <n v="60577.017879999999"/>
    <n v="58921.374000000003"/>
    <n v="-1655.554306"/>
    <n v="-42363.672870000002"/>
    <n v="-43440.216690000001"/>
    <n v="-41287.053930000002"/>
    <x v="187"/>
    <s v="Aug-2020"/>
  </r>
  <r>
    <x v="188"/>
    <s v="VNM"/>
    <x v="0"/>
    <x v="8"/>
    <x v="8"/>
    <s v="predicted"/>
    <n v="60767.945930000002"/>
    <n v="56836.93"/>
    <n v="-3930.7205990000002"/>
    <n v="-46294.393470000003"/>
    <n v="-47369.539019999997"/>
    <n v="-45267.313269999999"/>
    <x v="187"/>
    <s v="Sep-2020"/>
  </r>
  <r>
    <x v="188"/>
    <s v="VNM"/>
    <x v="0"/>
    <x v="9"/>
    <x v="9"/>
    <s v="predicted"/>
    <n v="61783.661119999997"/>
    <n v="57442.642999999996"/>
    <n v="-4339.2156889999997"/>
    <n v="-50633.60916"/>
    <n v="-51673.764929999998"/>
    <n v="-49646.49899"/>
    <x v="187"/>
    <s v="Oct-2020"/>
  </r>
  <r>
    <x v="188"/>
    <s v="VNM"/>
    <x v="0"/>
    <x v="10"/>
    <x v="10"/>
    <s v="predicted"/>
    <n v="62022.205520000003"/>
    <n v="57599.995999999999"/>
    <n v="-4414.8646779999999"/>
    <n v="-55048.473839999999"/>
    <n v="-56084.847329999997"/>
    <n v="-54035.854650000001"/>
    <x v="187"/>
    <s v="Nov-2020"/>
  </r>
  <r>
    <x v="188"/>
    <s v="VNM"/>
    <x v="0"/>
    <x v="11"/>
    <x v="11"/>
    <s v="predicted"/>
    <n v="63085.238570000001"/>
    <n v="58840.23"/>
    <n v="-4247.6668600000003"/>
    <n v="-59296.140700000004"/>
    <n v="-60260.123350000002"/>
    <n v="-58384.749880000003"/>
    <x v="187"/>
    <s v="Dec-2020"/>
  </r>
  <r>
    <x v="188"/>
    <s v="VNM"/>
    <x v="1"/>
    <x v="0"/>
    <x v="0"/>
    <s v="predicted"/>
    <n v="63601.06957"/>
    <n v="58920.85"/>
    <n v="-4680.2195739999997"/>
    <n v="-63976.360269999997"/>
    <n v="-83097.042379999999"/>
    <n v="-39230.558250000002"/>
    <x v="187"/>
    <s v="Jan-2021"/>
  </r>
  <r>
    <x v="188"/>
    <s v="VNM"/>
    <x v="1"/>
    <x v="1"/>
    <x v="1"/>
    <s v="predicted"/>
    <n v="63554.320119999997"/>
    <n v="58578.601999999999"/>
    <n v="-4975.7181179999998"/>
    <n v="-68952.078389999995"/>
    <n v="-102444.7769"/>
    <n v="-27937.67236"/>
    <x v="187"/>
    <s v="Feb-2021"/>
  </r>
  <r>
    <x v="188"/>
    <s v="VNM"/>
    <x v="1"/>
    <x v="2"/>
    <x v="2"/>
    <s v="predicted"/>
    <n v="62857.017419999996"/>
    <n v="57924.559000000001"/>
    <n v="-4932.4584219999997"/>
    <n v="-73884.536810000005"/>
    <n v="-121653.52989999999"/>
    <n v="-17126.66303"/>
    <x v="187"/>
    <s v="Mar-2021"/>
  </r>
  <r>
    <x v="188"/>
    <s v="VNM"/>
    <x v="1"/>
    <x v="3"/>
    <x v="3"/>
    <s v="predicted"/>
    <n v="62279.088900000002"/>
    <n v="57954.951000000001"/>
    <n v="-4324.1378969999996"/>
    <n v="-78208.674710000007"/>
    <n v="-141778.89970000001"/>
    <n v="-2079.2802419999998"/>
    <x v="187"/>
    <s v="Apr-2021"/>
  </r>
  <r>
    <x v="188"/>
    <s v="VNM"/>
    <x v="1"/>
    <x v="4"/>
    <x v="4"/>
    <s v="predicted"/>
    <n v="61107.977610000002"/>
    <n v="57278.722000000002"/>
    <n v="-3829.2556140000002"/>
    <n v="-82037.930319999999"/>
    <n v="-159470.5134"/>
    <n v="12915.294040000001"/>
    <x v="187"/>
    <s v="May-2021"/>
  </r>
  <r>
    <x v="188"/>
    <s v="VNM"/>
    <x v="1"/>
    <x v="5"/>
    <x v="5"/>
    <s v="predicted"/>
    <n v="61142.944860000003"/>
    <n v="56822.506000000001"/>
    <n v="-4320.4388580000004"/>
    <n v="-86358.369179999994"/>
    <n v="-179212.76329999999"/>
    <n v="23696.924309999999"/>
    <x v="187"/>
    <s v="Jun-2021"/>
  </r>
  <r>
    <x v="188"/>
    <s v="VNM"/>
    <x v="1"/>
    <x v="6"/>
    <x v="6"/>
    <s v="predicted"/>
    <n v="61186.344409999998"/>
    <n v="61884.851000000002"/>
    <n v="698.50659089999999"/>
    <n v="-85659.862590000004"/>
    <n v="-193838.36040000001"/>
    <n v="44439.562530000003"/>
    <x v="187"/>
    <s v="Jul-2021"/>
  </r>
  <r>
    <x v="188"/>
    <s v="VNM"/>
    <x v="1"/>
    <x v="7"/>
    <x v="7"/>
    <s v="predicted"/>
    <n v="61397.034879999999"/>
    <n v="78119.611000000004"/>
    <n v="16722.576120000002"/>
    <n v="-68937.286479999995"/>
    <n v="-201428.41339999999"/>
    <n v="82991.882880000005"/>
    <x v="187"/>
    <s v="Aug-2021"/>
  </r>
  <r>
    <x v="188"/>
    <s v="VNM"/>
    <x v="1"/>
    <x v="8"/>
    <x v="8"/>
    <s v="predicted"/>
    <n v="61590.877769999999"/>
    <n v="73510.698000000004"/>
    <n v="11919.820229999999"/>
    <n v="-57017.466249999998"/>
    <n v="-206266.91399999999"/>
    <n v="118616.7614"/>
    <x v="187"/>
    <s v="Sep-2021"/>
  </r>
  <r>
    <x v="188"/>
    <s v="VNM"/>
    <x v="1"/>
    <x v="9"/>
    <x v="9"/>
    <s v="predicted"/>
    <n v="62625.930379999998"/>
    <n v="66728.555999999997"/>
    <n v="4102.6256219999996"/>
    <n v="-52914.840629999999"/>
    <n v="-222629.4191"/>
    <n v="139643.5209"/>
    <x v="187"/>
    <s v="Oct-2021"/>
  </r>
  <r>
    <x v="188"/>
    <s v="VNM"/>
    <x v="1"/>
    <x v="10"/>
    <x v="10"/>
    <s v="predicted"/>
    <n v="62860.53112"/>
    <n v="67892.929999999993"/>
    <n v="5032.3988769999996"/>
    <n v="-47882.441749999998"/>
    <n v="-236532.90150000001"/>
    <n v="167292.67749999999"/>
    <x v="187"/>
    <s v="Nov-2021"/>
  </r>
  <r>
    <x v="188"/>
    <s v="VNM"/>
    <x v="1"/>
    <x v="11"/>
    <x v="11"/>
    <s v="predicted"/>
    <n v="63951.004330000003"/>
    <n v="74559.054999999993"/>
    <n v="10608.050670000001"/>
    <n v="-37274.391080000001"/>
    <n v="-241633.48310000001"/>
    <n v="200166.9724"/>
    <x v="187"/>
    <s v="Dec-2021"/>
  </r>
  <r>
    <x v="189"/>
    <s v="VUT"/>
    <x v="0"/>
    <x v="0"/>
    <x v="0"/>
    <s v="predicted"/>
    <n v="182.84129179999999"/>
    <n v="171.56100000000001"/>
    <n v="-11.28029184"/>
    <n v="-11.28029184"/>
    <n v="-73.92266386"/>
    <n v="71.892476500000001"/>
    <x v="188"/>
    <s v="Jan-2020"/>
  </r>
  <r>
    <x v="189"/>
    <s v="VUT"/>
    <x v="0"/>
    <x v="1"/>
    <x v="1"/>
    <s v="predicted"/>
    <n v="182.00662220000001"/>
    <n v="180.01900000000001"/>
    <n v="-1.987622204"/>
    <n v="-13.26791405"/>
    <n v="-97.462426609999994"/>
    <n v="88.723215510000003"/>
    <x v="188"/>
    <s v="Feb-2020"/>
  </r>
  <r>
    <x v="189"/>
    <s v="VUT"/>
    <x v="0"/>
    <x v="2"/>
    <x v="2"/>
    <s v="predicted"/>
    <n v="182.65688929999999"/>
    <n v="183.29400000000001"/>
    <n v="0.63711067700000001"/>
    <n v="-12.630803370000001"/>
    <n v="-112.62961110000001"/>
    <n v="101.6715414"/>
    <x v="188"/>
    <s v="Mar-2020"/>
  </r>
  <r>
    <x v="189"/>
    <s v="VUT"/>
    <x v="0"/>
    <x v="3"/>
    <x v="3"/>
    <s v="predicted"/>
    <n v="183.32223429999999"/>
    <n v="171.18899999999999"/>
    <n v="-12.133234270000001"/>
    <n v="-24.764037630000001"/>
    <n v="-138.00507899999999"/>
    <n v="101.1828424"/>
    <x v="188"/>
    <s v="Apr-2020"/>
  </r>
  <r>
    <x v="189"/>
    <s v="VUT"/>
    <x v="0"/>
    <x v="4"/>
    <x v="4"/>
    <s v="predicted"/>
    <n v="185.14063959999999"/>
    <n v="183.27099999999999"/>
    <n v="-1.869639617"/>
    <n v="-26.633677250000002"/>
    <n v="-154.72468280000001"/>
    <n v="114.35896270000001"/>
    <x v="188"/>
    <s v="May-2020"/>
  </r>
  <r>
    <x v="189"/>
    <s v="VUT"/>
    <x v="0"/>
    <x v="5"/>
    <x v="5"/>
    <s v="predicted"/>
    <n v="185.2516037"/>
    <n v="189.18299999999999"/>
    <n v="3.9313963080000001"/>
    <n v="-22.702280940000001"/>
    <n v="-163.78936640000001"/>
    <n v="131.58985190000001"/>
    <x v="188"/>
    <s v="Jun-2020"/>
  </r>
  <r>
    <x v="189"/>
    <s v="VUT"/>
    <x v="0"/>
    <x v="6"/>
    <x v="6"/>
    <s v="predicted"/>
    <n v="185.54702069999999"/>
    <n v="195.54499999999999"/>
    <n v="9.9979793360000002"/>
    <n v="-12.70430161"/>
    <n v="-168.3265294"/>
    <n v="162.93022300000001"/>
    <x v="188"/>
    <s v="Jul-2020"/>
  </r>
  <r>
    <x v="189"/>
    <s v="VUT"/>
    <x v="0"/>
    <x v="7"/>
    <x v="7"/>
    <s v="predicted"/>
    <n v="185.65774640000001"/>
    <n v="197.804"/>
    <n v="12.14625365"/>
    <n v="-0.55804796000000001"/>
    <n v="-161.5768521"/>
    <n v="183.90084709999999"/>
    <x v="188"/>
    <s v="Aug-2020"/>
  </r>
  <r>
    <x v="189"/>
    <s v="VUT"/>
    <x v="0"/>
    <x v="8"/>
    <x v="8"/>
    <s v="predicted"/>
    <n v="185.5072596"/>
    <n v="199.69800000000001"/>
    <n v="14.19074043"/>
    <n v="13.63269247"/>
    <n v="-159.66343449999999"/>
    <n v="210.6359751"/>
    <x v="188"/>
    <s v="Sep-2020"/>
  </r>
  <r>
    <x v="189"/>
    <s v="VUT"/>
    <x v="0"/>
    <x v="9"/>
    <x v="9"/>
    <s v="predicted"/>
    <n v="184.10020979999999"/>
    <n v="195.66900000000001"/>
    <n v="11.56879024"/>
    <n v="25.201482710000001"/>
    <n v="-165.60221200000001"/>
    <n v="227.31216259999999"/>
    <x v="188"/>
    <s v="Oct-2020"/>
  </r>
  <r>
    <x v="189"/>
    <s v="VUT"/>
    <x v="0"/>
    <x v="10"/>
    <x v="10"/>
    <s v="predicted"/>
    <n v="183.4183362"/>
    <n v="193.44800000000001"/>
    <n v="10.02966376"/>
    <n v="35.231146469999999"/>
    <n v="-163.7752266"/>
    <n v="250.02576790000001"/>
    <x v="188"/>
    <s v="Nov-2020"/>
  </r>
  <r>
    <x v="189"/>
    <s v="VUT"/>
    <x v="0"/>
    <x v="11"/>
    <x v="11"/>
    <s v="predicted"/>
    <n v="182.86399069999999"/>
    <n v="190.06200000000001"/>
    <n v="7.1980092630000003"/>
    <n v="42.429155729999998"/>
    <n v="-160.30624599999999"/>
    <n v="266.07751500000001"/>
    <x v="188"/>
    <s v="Dec-2020"/>
  </r>
  <r>
    <x v="189"/>
    <s v="VUT"/>
    <x v="1"/>
    <x v="0"/>
    <x v="0"/>
    <s v="predicted"/>
    <n v="187.15825620000001"/>
    <n v="194.30099999999999"/>
    <n v="7.1427438150000002"/>
    <n v="49.571899539999997"/>
    <n v="-160.09096410000001"/>
    <n v="275.72668119999997"/>
    <x v="188"/>
    <s v="Jan-2021"/>
  </r>
  <r>
    <x v="189"/>
    <s v="VUT"/>
    <x v="1"/>
    <x v="1"/>
    <x v="1"/>
    <s v="predicted"/>
    <n v="185.9190165"/>
    <n v="195.62200000000001"/>
    <n v="9.7029835280000007"/>
    <n v="59.274883070000001"/>
    <n v="-161.82834980000001"/>
    <n v="286.2599184"/>
    <x v="188"/>
    <s v="Feb-2021"/>
  </r>
  <r>
    <x v="189"/>
    <s v="VUT"/>
    <x v="1"/>
    <x v="2"/>
    <x v="2"/>
    <s v="predicted"/>
    <n v="186.5866173"/>
    <n v="193.286"/>
    <n v="6.6993827330000002"/>
    <n v="65.974265810000006"/>
    <n v="-163.80051230000001"/>
    <n v="304.40956740000001"/>
    <x v="188"/>
    <s v="Mar-2021"/>
  </r>
  <r>
    <x v="189"/>
    <s v="VUT"/>
    <x v="1"/>
    <x v="3"/>
    <x v="3"/>
    <s v="predicted"/>
    <n v="187.46388999999999"/>
    <n v="195.97300000000001"/>
    <n v="8.5091099729999993"/>
    <n v="74.483375780000003"/>
    <n v="-175.29174950000001"/>
    <n v="332.8457689"/>
    <x v="188"/>
    <s v="Apr-2021"/>
  </r>
  <r>
    <x v="189"/>
    <s v="VUT"/>
    <x v="1"/>
    <x v="4"/>
    <x v="4"/>
    <s v="predicted"/>
    <n v="189.15574190000001"/>
    <n v="202.67599999999999"/>
    <n v="13.52025806"/>
    <n v="88.003633840000006"/>
    <n v="-160.85748129999999"/>
    <n v="356.61736300000001"/>
    <x v="188"/>
    <s v="May-2021"/>
  </r>
  <r>
    <x v="189"/>
    <s v="VUT"/>
    <x v="1"/>
    <x v="5"/>
    <x v="5"/>
    <s v="predicted"/>
    <n v="189.69898749999999"/>
    <n v="204.649"/>
    <n v="14.95001246"/>
    <n v="102.9536463"/>
    <n v="-154.1036019"/>
    <n v="377.04788180000003"/>
    <x v="188"/>
    <s v="Jun-2021"/>
  </r>
  <r>
    <x v="189"/>
    <s v="VUT"/>
    <x v="1"/>
    <x v="6"/>
    <x v="6"/>
    <s v="predicted"/>
    <n v="189.73023839999999"/>
    <n v="206.75700000000001"/>
    <n v="17.0267616"/>
    <n v="119.9804079"/>
    <n v="-140.24524959999999"/>
    <n v="414.92014110000002"/>
    <x v="188"/>
    <s v="Jul-2021"/>
  </r>
  <r>
    <x v="189"/>
    <s v="VUT"/>
    <x v="1"/>
    <x v="7"/>
    <x v="7"/>
    <s v="predicted"/>
    <n v="189.9221282"/>
    <n v="205.44300000000001"/>
    <n v="15.520871809999999"/>
    <n v="135.5012797"/>
    <n v="-135.86209310000001"/>
    <n v="425.12191840000003"/>
    <x v="188"/>
    <s v="Aug-2021"/>
  </r>
  <r>
    <x v="189"/>
    <s v="VUT"/>
    <x v="1"/>
    <x v="8"/>
    <x v="8"/>
    <s v="predicted"/>
    <n v="189.54462409999999"/>
    <n v="208.26"/>
    <n v="18.715375909999999"/>
    <n v="154.2166556"/>
    <n v="-114.568506"/>
    <n v="451.33533820000002"/>
    <x v="188"/>
    <s v="Sep-2021"/>
  </r>
  <r>
    <x v="189"/>
    <s v="VUT"/>
    <x v="1"/>
    <x v="9"/>
    <x v="9"/>
    <s v="predicted"/>
    <n v="188.11490380000001"/>
    <n v="203.70400000000001"/>
    <n v="15.58909622"/>
    <n v="169.8057518"/>
    <n v="-113.9390542"/>
    <n v="469.4007221"/>
    <x v="188"/>
    <s v="Oct-2021"/>
  </r>
  <r>
    <x v="189"/>
    <s v="VUT"/>
    <x v="1"/>
    <x v="10"/>
    <x v="10"/>
    <s v="predicted"/>
    <n v="187.35225199999999"/>
    <n v="204.65299999999999"/>
    <n v="17.300748030000001"/>
    <n v="187.10649989999999"/>
    <n v="-99.426541"/>
    <n v="495.2780411"/>
    <x v="188"/>
    <s v="Nov-2021"/>
  </r>
  <r>
    <x v="189"/>
    <s v="VUT"/>
    <x v="1"/>
    <x v="11"/>
    <x v="11"/>
    <s v="predicted"/>
    <n v="187.28518879999999"/>
    <n v="204.14599999999999"/>
    <n v="16.860811179999999"/>
    <n v="203.96731109999999"/>
    <n v="-92.718321380000006"/>
    <n v="512.64690819999998"/>
    <x v="188"/>
    <s v="Dec-2021"/>
  </r>
  <r>
    <x v="190"/>
    <s v="WSM"/>
    <x v="0"/>
    <x v="0"/>
    <x v="0"/>
    <s v="predicted"/>
    <n v="100.101675"/>
    <n v="101.077"/>
    <n v="0.97532496700000004"/>
    <n v="0.97532496700000004"/>
    <n v="-30.89128474"/>
    <n v="37.676370439999999"/>
    <x v="189"/>
    <s v="Jan-2020"/>
  </r>
  <r>
    <x v="190"/>
    <s v="WSM"/>
    <x v="0"/>
    <x v="1"/>
    <x v="1"/>
    <s v="predicted"/>
    <n v="100.24119090000001"/>
    <n v="99.831000000000003"/>
    <n v="-0.41019087100000001"/>
    <n v="0.56513409599999997"/>
    <n v="-43.000084989999998"/>
    <n v="51.864351900000003"/>
    <x v="189"/>
    <s v="Feb-2020"/>
  </r>
  <r>
    <x v="190"/>
    <s v="WSM"/>
    <x v="0"/>
    <x v="2"/>
    <x v="2"/>
    <s v="predicted"/>
    <n v="99.724437870000003"/>
    <n v="101.274"/>
    <n v="1.549562135"/>
    <n v="2.1146962309999999"/>
    <n v="-52.17273041"/>
    <n v="69.330053579999998"/>
    <x v="189"/>
    <s v="Mar-2020"/>
  </r>
  <r>
    <x v="190"/>
    <s v="WSM"/>
    <x v="0"/>
    <x v="3"/>
    <x v="3"/>
    <s v="predicted"/>
    <n v="99.690197449999999"/>
    <n v="103.038"/>
    <n v="3.3478025530000002"/>
    <n v="5.4624987840000001"/>
    <n v="-58.808255520000003"/>
    <n v="75.003185939999995"/>
    <x v="189"/>
    <s v="Apr-2020"/>
  </r>
  <r>
    <x v="190"/>
    <s v="WSM"/>
    <x v="0"/>
    <x v="4"/>
    <x v="4"/>
    <s v="predicted"/>
    <n v="99.608579910000003"/>
    <n v="104.711"/>
    <n v="5.1024200860000004"/>
    <n v="10.56491887"/>
    <n v="-66.340630390000001"/>
    <n v="91.158325610000006"/>
    <x v="189"/>
    <s v="May-2020"/>
  </r>
  <r>
    <x v="190"/>
    <s v="WSM"/>
    <x v="0"/>
    <x v="5"/>
    <x v="5"/>
    <s v="predicted"/>
    <n v="100.4562511"/>
    <n v="105.79600000000001"/>
    <n v="5.339748921"/>
    <n v="15.90466779"/>
    <n v="-70.089183969999993"/>
    <n v="103.0305958"/>
    <x v="189"/>
    <s v="Jun-2020"/>
  </r>
  <r>
    <x v="190"/>
    <s v="WSM"/>
    <x v="0"/>
    <x v="6"/>
    <x v="6"/>
    <s v="predicted"/>
    <n v="100.3574612"/>
    <n v="102.87"/>
    <n v="2.5125388059999998"/>
    <n v="18.4172066"/>
    <n v="-72.283978349999998"/>
    <n v="117.5432084"/>
    <x v="189"/>
    <s v="Jul-2020"/>
  </r>
  <r>
    <x v="190"/>
    <s v="WSM"/>
    <x v="0"/>
    <x v="7"/>
    <x v="7"/>
    <s v="predicted"/>
    <n v="100.2648207"/>
    <n v="102.102"/>
    <n v="1.8371792600000001"/>
    <n v="20.254385859999999"/>
    <n v="-75.077577390000002"/>
    <n v="133.609072"/>
    <x v="189"/>
    <s v="Aug-2020"/>
  </r>
  <r>
    <x v="190"/>
    <s v="WSM"/>
    <x v="0"/>
    <x v="8"/>
    <x v="8"/>
    <s v="predicted"/>
    <n v="100.5436783"/>
    <n v="102.148"/>
    <n v="1.6043216840000001"/>
    <n v="21.858707540000001"/>
    <n v="-85.386396669999996"/>
    <n v="137.49006130000001"/>
    <x v="189"/>
    <s v="Sep-2020"/>
  </r>
  <r>
    <x v="190"/>
    <s v="WSM"/>
    <x v="0"/>
    <x v="9"/>
    <x v="9"/>
    <s v="predicted"/>
    <n v="100.49822399999999"/>
    <n v="99.813999999999993"/>
    <n v="-0.68422400100000003"/>
    <n v="21.174483540000001"/>
    <n v="-90.391274289999998"/>
    <n v="135.52288580000001"/>
    <x v="189"/>
    <s v="Oct-2020"/>
  </r>
  <r>
    <x v="190"/>
    <s v="WSM"/>
    <x v="0"/>
    <x v="10"/>
    <x v="10"/>
    <s v="predicted"/>
    <n v="100.16418830000001"/>
    <n v="100.59699999999999"/>
    <n v="0.43281173699999997"/>
    <n v="21.607295279999999"/>
    <n v="-95.290034649999996"/>
    <n v="148.49738070000001"/>
    <x v="189"/>
    <s v="Nov-2020"/>
  </r>
  <r>
    <x v="190"/>
    <s v="WSM"/>
    <x v="0"/>
    <x v="11"/>
    <x v="11"/>
    <s v="predicted"/>
    <n v="100.1907025"/>
    <n v="101.72"/>
    <n v="1.5292974939999999"/>
    <n v="23.13659277"/>
    <n v="-97.206622760000002"/>
    <n v="150.3556691"/>
    <x v="189"/>
    <s v="Dec-2020"/>
  </r>
  <r>
    <x v="190"/>
    <s v="WSM"/>
    <x v="1"/>
    <x v="0"/>
    <x v="0"/>
    <s v="predicted"/>
    <n v="99.974036560000002"/>
    <n v="99.903999999999996"/>
    <n v="-7.0036561999999997E-2"/>
    <n v="23.066556210000002"/>
    <n v="-104.9572184"/>
    <n v="153.51635949999999"/>
    <x v="189"/>
    <s v="Jan-2021"/>
  </r>
  <r>
    <x v="190"/>
    <s v="WSM"/>
    <x v="1"/>
    <x v="1"/>
    <x v="1"/>
    <s v="predicted"/>
    <n v="100.1023958"/>
    <n v="101.773"/>
    <n v="1.6706041810000001"/>
    <n v="24.73716039"/>
    <n v="-106.9945378"/>
    <n v="159.51793190000001"/>
    <x v="189"/>
    <s v="Feb-2021"/>
  </r>
  <r>
    <x v="190"/>
    <s v="WSM"/>
    <x v="1"/>
    <x v="2"/>
    <x v="2"/>
    <s v="predicted"/>
    <n v="99.701146399999999"/>
    <n v="99.347999999999999"/>
    <n v="-0.35314639599999997"/>
    <n v="24.38401399"/>
    <n v="-112.2375818"/>
    <n v="163.30890640000001"/>
    <x v="189"/>
    <s v="Mar-2021"/>
  </r>
  <r>
    <x v="190"/>
    <s v="WSM"/>
    <x v="1"/>
    <x v="3"/>
    <x v="3"/>
    <s v="predicted"/>
    <n v="99.682814440000001"/>
    <n v="99.204999999999998"/>
    <n v="-0.47781444499999998"/>
    <n v="23.90619955"/>
    <n v="-118.0909199"/>
    <n v="174.44709900000001"/>
    <x v="189"/>
    <s v="Apr-2021"/>
  </r>
  <r>
    <x v="190"/>
    <s v="WSM"/>
    <x v="1"/>
    <x v="4"/>
    <x v="4"/>
    <s v="predicted"/>
    <n v="99.773787010000007"/>
    <n v="99.771000000000001"/>
    <n v="-2.787009E-3"/>
    <n v="23.903412540000001"/>
    <n v="-119.07496380000001"/>
    <n v="179.15130880000001"/>
    <x v="189"/>
    <s v="May-2021"/>
  </r>
  <r>
    <x v="190"/>
    <s v="WSM"/>
    <x v="1"/>
    <x v="5"/>
    <x v="5"/>
    <s v="predicted"/>
    <n v="100.5492528"/>
    <n v="100.965"/>
    <n v="0.41574724200000002"/>
    <n v="24.31915978"/>
    <n v="-122.1023814"/>
    <n v="171.58380510000001"/>
    <x v="189"/>
    <s v="Jun-2021"/>
  </r>
  <r>
    <x v="190"/>
    <s v="WSM"/>
    <x v="1"/>
    <x v="6"/>
    <x v="6"/>
    <s v="predicted"/>
    <n v="100.8368203"/>
    <n v="102.211"/>
    <n v="1.3741796829999999"/>
    <n v="25.693339470000002"/>
    <n v="-127.1928272"/>
    <n v="179.6019187"/>
    <x v="189"/>
    <s v="Jul-2021"/>
  </r>
  <r>
    <x v="190"/>
    <s v="WSM"/>
    <x v="1"/>
    <x v="7"/>
    <x v="7"/>
    <s v="predicted"/>
    <n v="100.3234138"/>
    <n v="101.14"/>
    <n v="0.81658620299999995"/>
    <n v="26.509925670000001"/>
    <n v="-135.4123956"/>
    <n v="187.3575764"/>
    <x v="189"/>
    <s v="Aug-2021"/>
  </r>
  <r>
    <x v="190"/>
    <s v="WSM"/>
    <x v="1"/>
    <x v="8"/>
    <x v="8"/>
    <s v="predicted"/>
    <n v="100.8349649"/>
    <n v="103.164"/>
    <n v="2.3290351020000002"/>
    <n v="28.83896077"/>
    <n v="-135.93368749999999"/>
    <n v="189.98958060000001"/>
    <x v="189"/>
    <s v="Sep-2021"/>
  </r>
  <r>
    <x v="190"/>
    <s v="WSM"/>
    <x v="1"/>
    <x v="9"/>
    <x v="9"/>
    <s v="predicted"/>
    <n v="100.3823455"/>
    <n v="102.004"/>
    <n v="1.621654546"/>
    <n v="30.460615319999999"/>
    <n v="-133.30121990000001"/>
    <n v="193.03332789999999"/>
    <x v="189"/>
    <s v="Oct-2021"/>
  </r>
  <r>
    <x v="190"/>
    <s v="WSM"/>
    <x v="1"/>
    <x v="10"/>
    <x v="10"/>
    <s v="predicted"/>
    <n v="100.3490553"/>
    <n v="105.22799999999999"/>
    <n v="4.8789446989999998"/>
    <n v="35.33956002"/>
    <n v="-140.9763585"/>
    <n v="202.61150749999999"/>
    <x v="189"/>
    <s v="Nov-2021"/>
  </r>
  <r>
    <x v="190"/>
    <s v="WSM"/>
    <x v="1"/>
    <x v="11"/>
    <x v="11"/>
    <s v="predicted"/>
    <n v="100.41733600000001"/>
    <n v="107.515"/>
    <n v="7.0976639690000001"/>
    <n v="42.437223979999999"/>
    <n v="-145.2367912"/>
    <n v="220.49467780000001"/>
    <x v="189"/>
    <s v="Dec-2021"/>
  </r>
  <r>
    <x v="191"/>
    <s v="YEM"/>
    <x v="0"/>
    <x v="0"/>
    <x v="0"/>
    <s v="predicted"/>
    <n v="15368.236709999999"/>
    <n v="15586.47"/>
    <n v="218.23329319999999"/>
    <n v="218.23329319999999"/>
    <n v="-3607.1589319999998"/>
    <n v="5089.0469030000004"/>
    <x v="190"/>
    <s v="Jan-2020"/>
  </r>
  <r>
    <x v="191"/>
    <s v="YEM"/>
    <x v="0"/>
    <x v="1"/>
    <x v="1"/>
    <s v="predicted"/>
    <n v="15274.246230000001"/>
    <n v="15292.334999999999"/>
    <n v="18.08877326"/>
    <n v="236.32206640000001"/>
    <n v="-5740.3975499999997"/>
    <n v="6534.0926659999996"/>
    <x v="190"/>
    <s v="Feb-2020"/>
  </r>
  <r>
    <x v="191"/>
    <s v="YEM"/>
    <x v="0"/>
    <x v="2"/>
    <x v="2"/>
    <s v="predicted"/>
    <n v="15153.69353"/>
    <n v="14409.723"/>
    <n v="-743.97053330000006"/>
    <n v="-507.64846679999999"/>
    <n v="-7149.7555080000002"/>
    <n v="7649.7162539999999"/>
    <x v="190"/>
    <s v="Mar-2020"/>
  </r>
  <r>
    <x v="191"/>
    <s v="YEM"/>
    <x v="0"/>
    <x v="3"/>
    <x v="3"/>
    <s v="predicted"/>
    <n v="14853.747300000001"/>
    <n v="14460.880999999999"/>
    <n v="-392.8662976"/>
    <n v="-900.51476439999999"/>
    <n v="-9718.5589130000008"/>
    <n v="8220.0276919999997"/>
    <x v="190"/>
    <s v="Apr-2020"/>
  </r>
  <r>
    <x v="191"/>
    <s v="YEM"/>
    <x v="0"/>
    <x v="4"/>
    <x v="4"/>
    <s v="predicted"/>
    <n v="14640.757540000001"/>
    <n v="15738.593999999999"/>
    <n v="1097.836464"/>
    <n v="197.3216994"/>
    <n v="-9334.9866459999994"/>
    <n v="10233.366609999999"/>
    <x v="190"/>
    <s v="May-2020"/>
  </r>
  <r>
    <x v="191"/>
    <s v="YEM"/>
    <x v="0"/>
    <x v="5"/>
    <x v="5"/>
    <s v="predicted"/>
    <n v="14473.640729999999"/>
    <n v="17130.128000000001"/>
    <n v="2656.4872690000002"/>
    <n v="2853.8089679999998"/>
    <n v="-7802.8669110000001"/>
    <n v="14478.453670000001"/>
    <x v="190"/>
    <s v="Jun-2020"/>
  </r>
  <r>
    <x v="191"/>
    <s v="YEM"/>
    <x v="0"/>
    <x v="6"/>
    <x v="6"/>
    <s v="predicted"/>
    <n v="14570.529420000001"/>
    <n v="17057.956999999999"/>
    <n v="2487.4275750000002"/>
    <n v="5341.236543"/>
    <n v="-5557.1119849999995"/>
    <n v="18214.267489999998"/>
    <x v="190"/>
    <s v="Jul-2020"/>
  </r>
  <r>
    <x v="191"/>
    <s v="YEM"/>
    <x v="0"/>
    <x v="7"/>
    <x v="7"/>
    <s v="predicted"/>
    <n v="14572.514359999999"/>
    <n v="16339.093999999999"/>
    <n v="1766.5796399999999"/>
    <n v="7107.8161829999999"/>
    <n v="-5041.1955390000003"/>
    <n v="20237.274979999998"/>
    <x v="190"/>
    <s v="Aug-2020"/>
  </r>
  <r>
    <x v="191"/>
    <s v="YEM"/>
    <x v="0"/>
    <x v="8"/>
    <x v="8"/>
    <s v="predicted"/>
    <n v="14657.86643"/>
    <n v="15915.526"/>
    <n v="1257.65957"/>
    <n v="8365.4757530000006"/>
    <n v="-4854.6258969999999"/>
    <n v="22490.647420000001"/>
    <x v="190"/>
    <s v="Sep-2020"/>
  </r>
  <r>
    <x v="191"/>
    <s v="YEM"/>
    <x v="0"/>
    <x v="9"/>
    <x v="9"/>
    <s v="predicted"/>
    <n v="14917.692880000001"/>
    <n v="15888.106"/>
    <n v="970.41312430000005"/>
    <n v="9335.8888769999994"/>
    <n v="-4117.2458200000001"/>
    <n v="23679.805469999999"/>
    <x v="190"/>
    <s v="Oct-2020"/>
  </r>
  <r>
    <x v="191"/>
    <s v="YEM"/>
    <x v="0"/>
    <x v="10"/>
    <x v="10"/>
    <s v="predicted"/>
    <n v="15173.561760000001"/>
    <n v="16143.056"/>
    <n v="969.49424239999996"/>
    <n v="10305.38312"/>
    <n v="-4325.4500989999997"/>
    <n v="25465.334180000002"/>
    <x v="190"/>
    <s v="Nov-2020"/>
  </r>
  <r>
    <x v="191"/>
    <s v="YEM"/>
    <x v="0"/>
    <x v="11"/>
    <x v="11"/>
    <s v="predicted"/>
    <n v="15239.2994"/>
    <n v="15994.078"/>
    <n v="754.77860420000002"/>
    <n v="11060.16172"/>
    <n v="-3936.7806230000001"/>
    <n v="27620.172200000001"/>
    <x v="190"/>
    <s v="Dec-2020"/>
  </r>
  <r>
    <x v="191"/>
    <s v="YEM"/>
    <x v="1"/>
    <x v="0"/>
    <x v="0"/>
    <s v="predicted"/>
    <n v="15766.7713"/>
    <n v="16504.742999999999"/>
    <n v="737.9716985"/>
    <n v="11798.13342"/>
    <n v="-3447.2174100000002"/>
    <n v="29643.504560000001"/>
    <x v="190"/>
    <s v="Jan-2021"/>
  </r>
  <r>
    <x v="191"/>
    <s v="YEM"/>
    <x v="1"/>
    <x v="1"/>
    <x v="1"/>
    <s v="predicted"/>
    <n v="15664.19881"/>
    <n v="16699.653999999999"/>
    <n v="1035.455191"/>
    <n v="12833.588610000001"/>
    <n v="-3445.9124270000002"/>
    <n v="30240.42742"/>
    <x v="190"/>
    <s v="Feb-2021"/>
  </r>
  <r>
    <x v="191"/>
    <s v="YEM"/>
    <x v="1"/>
    <x v="2"/>
    <x v="2"/>
    <s v="predicted"/>
    <n v="15532.25836"/>
    <n v="18123.748"/>
    <n v="2591.4896410000001"/>
    <n v="15425.07825"/>
    <n v="-1163.2792870000001"/>
    <n v="34088.577619999996"/>
    <x v="190"/>
    <s v="Mar-2021"/>
  </r>
  <r>
    <x v="191"/>
    <s v="YEM"/>
    <x v="1"/>
    <x v="3"/>
    <x v="3"/>
    <s v="predicted"/>
    <n v="15249.36522"/>
    <n v="18012.858"/>
    <n v="2763.492776"/>
    <n v="18188.571029999999"/>
    <n v="144.6114699"/>
    <n v="37005.670510000004"/>
    <x v="190"/>
    <s v="Apr-2021"/>
  </r>
  <r>
    <x v="191"/>
    <s v="YEM"/>
    <x v="1"/>
    <x v="4"/>
    <x v="4"/>
    <s v="predicted"/>
    <n v="15042.519109999999"/>
    <n v="16849.490000000002"/>
    <n v="1806.9708929999999"/>
    <n v="19995.54192"/>
    <n v="369.68304289999998"/>
    <n v="39918.912049999999"/>
    <x v="190"/>
    <s v="May-2021"/>
  </r>
  <r>
    <x v="191"/>
    <s v="YEM"/>
    <x v="1"/>
    <x v="5"/>
    <x v="5"/>
    <s v="predicted"/>
    <n v="14843.73121"/>
    <n v="16497.995999999999"/>
    <n v="1654.2647870000001"/>
    <n v="21649.806710000001"/>
    <n v="558.44917969999995"/>
    <n v="41987.462440000003"/>
    <x v="190"/>
    <s v="Jun-2021"/>
  </r>
  <r>
    <x v="191"/>
    <s v="YEM"/>
    <x v="1"/>
    <x v="6"/>
    <x v="6"/>
    <s v="predicted"/>
    <n v="14968.62839"/>
    <n v="16277.745999999999"/>
    <n v="1309.1176129999999"/>
    <n v="22958.924319999998"/>
    <n v="1198.9861410000001"/>
    <n v="43473.43795"/>
    <x v="190"/>
    <s v="Jul-2021"/>
  </r>
  <r>
    <x v="191"/>
    <s v="YEM"/>
    <x v="1"/>
    <x v="7"/>
    <x v="7"/>
    <s v="predicted"/>
    <n v="14932.10025"/>
    <n v="16947.817999999999"/>
    <n v="2015.717746"/>
    <n v="24974.642070000002"/>
    <n v="2375.3942050000001"/>
    <n v="46284.327469999997"/>
    <x v="190"/>
    <s v="Aug-2021"/>
  </r>
  <r>
    <x v="191"/>
    <s v="YEM"/>
    <x v="1"/>
    <x v="8"/>
    <x v="8"/>
    <s v="predicted"/>
    <n v="15045.44981"/>
    <n v="17224.055"/>
    <n v="2178.6051950000001"/>
    <n v="27153.24726"/>
    <n v="4396.8709490000001"/>
    <n v="49218.009839999999"/>
    <x v="190"/>
    <s v="Sep-2021"/>
  </r>
  <r>
    <x v="191"/>
    <s v="YEM"/>
    <x v="1"/>
    <x v="9"/>
    <x v="9"/>
    <s v="predicted"/>
    <n v="15283.99739"/>
    <n v="16915.685000000001"/>
    <n v="1631.6876110000001"/>
    <n v="28784.934880000001"/>
    <n v="4902.9002620000001"/>
    <n v="51205.816749999998"/>
    <x v="190"/>
    <s v="Oct-2021"/>
  </r>
  <r>
    <x v="191"/>
    <s v="YEM"/>
    <x v="1"/>
    <x v="10"/>
    <x v="10"/>
    <s v="predicted"/>
    <n v="15575.98439"/>
    <n v="16761.237000000001"/>
    <n v="1185.252614"/>
    <n v="29970.18749"/>
    <n v="6153.881762"/>
    <n v="52970.925309999999"/>
    <x v="190"/>
    <s v="Nov-2021"/>
  </r>
  <r>
    <x v="191"/>
    <s v="YEM"/>
    <x v="1"/>
    <x v="11"/>
    <x v="11"/>
    <s v="predicted"/>
    <n v="15671.60773"/>
    <n v="16692.123"/>
    <n v="1020.515266"/>
    <n v="30990.70275"/>
    <n v="5846.2803130000002"/>
    <n v="54695.667690000002"/>
    <x v="190"/>
    <s v="Dec-2021"/>
  </r>
  <r>
    <x v="192"/>
    <s v="ZAF"/>
    <x v="0"/>
    <x v="0"/>
    <x v="0"/>
    <s v="reported"/>
    <n v="44628.161010000003"/>
    <n v="44248"/>
    <n v="-398.61711229999997"/>
    <n v="-398.61711229999997"/>
    <n v="-1579.3889630000001"/>
    <n v="684.71555790000002"/>
    <x v="191"/>
    <s v="Jan-2020"/>
  </r>
  <r>
    <x v="192"/>
    <s v="ZAF"/>
    <x v="0"/>
    <x v="1"/>
    <x v="1"/>
    <s v="reported"/>
    <n v="40554.470679999999"/>
    <n v="41450"/>
    <n v="877.07321830000001"/>
    <n v="478.45610599999998"/>
    <n v="-1308.6809940000001"/>
    <n v="2292.2379179999998"/>
    <x v="191"/>
    <s v="Feb-2020"/>
  </r>
  <r>
    <x v="192"/>
    <s v="ZAF"/>
    <x v="0"/>
    <x v="2"/>
    <x v="2"/>
    <s v="reported"/>
    <n v="43376.875090000001"/>
    <n v="43658"/>
    <n v="262.66880850000001"/>
    <n v="741.12491450000005"/>
    <n v="-1553.4793110000001"/>
    <n v="3005.8719850000002"/>
    <x v="191"/>
    <s v="Mar-2020"/>
  </r>
  <r>
    <x v="192"/>
    <s v="ZAF"/>
    <x v="0"/>
    <x v="3"/>
    <x v="3"/>
    <s v="reported"/>
    <n v="44566.9571"/>
    <n v="40797"/>
    <n v="-3788.413196"/>
    <n v="-3047.288282"/>
    <n v="-5763.8501509999996"/>
    <n v="-95.01392199"/>
    <x v="191"/>
    <s v="Apr-2020"/>
  </r>
  <r>
    <x v="192"/>
    <s v="ZAF"/>
    <x v="0"/>
    <x v="4"/>
    <x v="4"/>
    <s v="reported"/>
    <n v="48849.03385"/>
    <n v="45337"/>
    <n v="-3530.4899460000001"/>
    <n v="-6577.7782280000001"/>
    <n v="-9740.1887839999999"/>
    <n v="-3294.3369299999999"/>
    <x v="191"/>
    <s v="May-2020"/>
  </r>
  <r>
    <x v="192"/>
    <s v="ZAF"/>
    <x v="0"/>
    <x v="5"/>
    <x v="5"/>
    <s v="reported"/>
    <n v="52278.399819999999"/>
    <n v="53931"/>
    <n v="1634.144084"/>
    <n v="-4943.6341430000002"/>
    <n v="-8459.2039370000002"/>
    <n v="-1130.21759"/>
    <x v="191"/>
    <s v="Jun-2020"/>
  </r>
  <r>
    <x v="192"/>
    <s v="ZAF"/>
    <x v="0"/>
    <x v="6"/>
    <x v="6"/>
    <s v="reported"/>
    <n v="52657.923410000003"/>
    <n v="73814"/>
    <n v="21137.620500000001"/>
    <n v="16193.986349999999"/>
    <n v="12192.786400000001"/>
    <n v="20297.181960000002"/>
    <x v="191"/>
    <s v="Jul-2020"/>
  </r>
  <r>
    <x v="192"/>
    <s v="ZAF"/>
    <x v="0"/>
    <x v="7"/>
    <x v="7"/>
    <s v="reported"/>
    <n v="50720.304680000001"/>
    <n v="60365"/>
    <n v="9626.2392230000005"/>
    <n v="25820.225579999998"/>
    <n v="21535.082910000001"/>
    <n v="29950.577359999999"/>
    <x v="191"/>
    <s v="Aug-2020"/>
  </r>
  <r>
    <x v="192"/>
    <s v="ZAF"/>
    <x v="0"/>
    <x v="8"/>
    <x v="8"/>
    <s v="reported"/>
    <n v="47656.456729999998"/>
    <n v="47446"/>
    <n v="-228.91282709999999"/>
    <n v="25591.312750000001"/>
    <n v="21104.133669999999"/>
    <n v="30024.040010000001"/>
    <x v="191"/>
    <s v="Sep-2020"/>
  </r>
  <r>
    <x v="192"/>
    <s v="ZAF"/>
    <x v="0"/>
    <x v="9"/>
    <x v="9"/>
    <s v="reported"/>
    <n v="46566.977489999997"/>
    <n v="48804"/>
    <n v="2218.5664120000001"/>
    <n v="27809.87916"/>
    <n v="22646.602449999998"/>
    <n v="32551.694329999998"/>
    <x v="191"/>
    <s v="Oct-2020"/>
  </r>
  <r>
    <x v="192"/>
    <s v="ZAF"/>
    <x v="0"/>
    <x v="10"/>
    <x v="10"/>
    <s v="reported"/>
    <n v="44969.941630000001"/>
    <n v="48583"/>
    <n v="3594.6022710000002"/>
    <n v="31404.48143"/>
    <n v="26080.276040000001"/>
    <n v="36345.370990000003"/>
    <x v="191"/>
    <s v="Nov-2020"/>
  </r>
  <r>
    <x v="192"/>
    <s v="ZAF"/>
    <x v="0"/>
    <x v="11"/>
    <x v="11"/>
    <s v="reported"/>
    <n v="44785.392440000003"/>
    <n v="70367"/>
    <n v="25563.151460000001"/>
    <n v="56967.632890000001"/>
    <n v="51381.191509999997"/>
    <n v="62139.417439999997"/>
    <x v="191"/>
    <s v="Dec-2020"/>
  </r>
  <r>
    <x v="192"/>
    <s v="ZAF"/>
    <x v="1"/>
    <x v="0"/>
    <x v="0"/>
    <s v="reported"/>
    <n v="44840.395199999999"/>
    <n v="100422"/>
    <n v="55550.344230000002"/>
    <n v="112517.9771"/>
    <n v="106933.90700000001"/>
    <n v="117819.0439"/>
    <x v="191"/>
    <s v="Jan-2021"/>
  </r>
  <r>
    <x v="192"/>
    <s v="ZAF"/>
    <x v="1"/>
    <x v="1"/>
    <x v="1"/>
    <s v="reported"/>
    <n v="40735.47896"/>
    <n v="51053"/>
    <n v="10286.260469999999"/>
    <n v="122804.23759999999"/>
    <n v="116875.94469999999"/>
    <n v="128250.0931"/>
    <x v="191"/>
    <s v="Feb-2021"/>
  </r>
  <r>
    <x v="192"/>
    <s v="ZAF"/>
    <x v="1"/>
    <x v="2"/>
    <x v="2"/>
    <s v="reported"/>
    <n v="43539.95289"/>
    <n v="49575"/>
    <n v="6003.7865460000003"/>
    <n v="128808.0241"/>
    <n v="122563.8505"/>
    <n v="134527.9393"/>
    <x v="191"/>
    <s v="Mar-2021"/>
  </r>
  <r>
    <x v="192"/>
    <s v="ZAF"/>
    <x v="1"/>
    <x v="3"/>
    <x v="3"/>
    <s v="reported"/>
    <n v="44759.071830000001"/>
    <n v="48929"/>
    <n v="4138.6675990000003"/>
    <n v="132946.6917"/>
    <n v="126104.2525"/>
    <n v="138921.04440000001"/>
    <x v="191"/>
    <s v="Apr-2021"/>
  </r>
  <r>
    <x v="192"/>
    <s v="ZAF"/>
    <x v="1"/>
    <x v="4"/>
    <x v="4"/>
    <s v="reported"/>
    <n v="49062.74596"/>
    <n v="55455"/>
    <n v="6360.9934720000001"/>
    <n v="139307.68520000001"/>
    <n v="132369.2409"/>
    <n v="145606.93340000001"/>
    <x v="191"/>
    <s v="May-2021"/>
  </r>
  <r>
    <x v="192"/>
    <s v="ZAF"/>
    <x v="1"/>
    <x v="5"/>
    <x v="5"/>
    <s v="reported"/>
    <n v="52478.531490000001"/>
    <n v="66856"/>
    <n v="14346.20794"/>
    <n v="153653.89319999999"/>
    <n v="146090.86989999999"/>
    <n v="160211.2622"/>
    <x v="191"/>
    <s v="Jun-2021"/>
  </r>
  <r>
    <x v="192"/>
    <s v="ZAF"/>
    <x v="1"/>
    <x v="6"/>
    <x v="6"/>
    <s v="reported"/>
    <n v="52781.384590000001"/>
    <n v="92120"/>
    <n v="39307.35484"/>
    <n v="192961.24799999999"/>
    <n v="185372.14249999999"/>
    <n v="199738.69469999999"/>
    <x v="191"/>
    <s v="Jul-2021"/>
  </r>
  <r>
    <x v="192"/>
    <s v="ZAF"/>
    <x v="1"/>
    <x v="7"/>
    <x v="7"/>
    <s v="reported"/>
    <n v="50857.138650000001"/>
    <n v="74921"/>
    <n v="24032.600780000001"/>
    <n v="216993.84880000001"/>
    <n v="208996.4313"/>
    <n v="224374.3726"/>
    <x v="191"/>
    <s v="Aug-2021"/>
  </r>
  <r>
    <x v="192"/>
    <s v="ZAF"/>
    <x v="1"/>
    <x v="8"/>
    <x v="8"/>
    <s v="reported"/>
    <n v="47809.370369999997"/>
    <n v="57810"/>
    <n v="9969.3690590000006"/>
    <n v="226963.21780000001"/>
    <n v="218918.10930000001"/>
    <n v="234136.48439999999"/>
    <x v="191"/>
    <s v="Sep-2021"/>
  </r>
  <r>
    <x v="192"/>
    <s v="ZAF"/>
    <x v="1"/>
    <x v="9"/>
    <x v="9"/>
    <s v="reported"/>
    <n v="46797.435120000002"/>
    <n v="50325"/>
    <n v="3496.3043090000001"/>
    <n v="230459.5221"/>
    <n v="222226.7359"/>
    <n v="237982.62349999999"/>
    <x v="191"/>
    <s v="Oct-2021"/>
  </r>
  <r>
    <x v="192"/>
    <s v="ZAF"/>
    <x v="1"/>
    <x v="10"/>
    <x v="10"/>
    <s v="reported"/>
    <n v="45155.49538"/>
    <n v="48699"/>
    <n v="3512.2440550000001"/>
    <n v="233971.76620000001"/>
    <n v="225703.24460000001"/>
    <n v="241717.4656"/>
    <x v="191"/>
    <s v="Nov-2021"/>
  </r>
  <r>
    <x v="192"/>
    <s v="ZAF"/>
    <x v="1"/>
    <x v="11"/>
    <x v="11"/>
    <s v="reported"/>
    <n v="44990.613810000003"/>
    <n v="57852"/>
    <n v="12830.125620000001"/>
    <n v="246801.89180000001"/>
    <n v="238343.2751"/>
    <n v="254532.20860000001"/>
    <x v="191"/>
    <s v="Dec-2021"/>
  </r>
  <r>
    <x v="193"/>
    <s v="ZMB"/>
    <x v="0"/>
    <x v="0"/>
    <x v="0"/>
    <s v="predicted"/>
    <n v="10046.55406"/>
    <n v="10514.553"/>
    <n v="467.99894039999998"/>
    <n v="467.99894039999998"/>
    <n v="-2090.3185790000002"/>
    <n v="3367.919328"/>
    <x v="192"/>
    <s v="Jan-2020"/>
  </r>
  <r>
    <x v="193"/>
    <s v="ZMB"/>
    <x v="0"/>
    <x v="1"/>
    <x v="1"/>
    <s v="predicted"/>
    <n v="10009.12587"/>
    <n v="10133.537"/>
    <n v="124.4111326"/>
    <n v="592.41007300000001"/>
    <n v="-3088.2152449999999"/>
    <n v="4859.2759120000001"/>
    <x v="192"/>
    <s v="Feb-2020"/>
  </r>
  <r>
    <x v="193"/>
    <s v="ZMB"/>
    <x v="0"/>
    <x v="2"/>
    <x v="2"/>
    <s v="predicted"/>
    <n v="10040.310359999999"/>
    <n v="10059.092000000001"/>
    <n v="18.781639030000001"/>
    <n v="611.19171210000002"/>
    <n v="-3932.2879549999998"/>
    <n v="5868.8587369999996"/>
    <x v="192"/>
    <s v="Mar-2020"/>
  </r>
  <r>
    <x v="193"/>
    <s v="ZMB"/>
    <x v="0"/>
    <x v="3"/>
    <x v="3"/>
    <s v="predicted"/>
    <n v="10086.24056"/>
    <n v="9449.7729999999992"/>
    <n v="-636.46755629999996"/>
    <n v="-25.27584426"/>
    <n v="-5260.8676020000003"/>
    <n v="5816.1947309999996"/>
    <x v="192"/>
    <s v="Apr-2020"/>
  </r>
  <r>
    <x v="193"/>
    <s v="ZMB"/>
    <x v="0"/>
    <x v="4"/>
    <x v="4"/>
    <s v="predicted"/>
    <n v="10232.602989999999"/>
    <n v="9809.6759999999995"/>
    <n v="-422.92699019999998"/>
    <n v="-448.20283439999997"/>
    <n v="-6159.440791"/>
    <n v="5606.775901"/>
    <x v="192"/>
    <s v="May-2020"/>
  </r>
  <r>
    <x v="193"/>
    <s v="ZMB"/>
    <x v="0"/>
    <x v="5"/>
    <x v="5"/>
    <s v="predicted"/>
    <n v="10367.427890000001"/>
    <n v="10126.263999999999"/>
    <n v="-241.1638944"/>
    <n v="-689.36672880000003"/>
    <n v="-7068.1074529999996"/>
    <n v="5712.050776"/>
    <x v="192"/>
    <s v="Jun-2020"/>
  </r>
  <r>
    <x v="193"/>
    <s v="ZMB"/>
    <x v="0"/>
    <x v="6"/>
    <x v="6"/>
    <s v="predicted"/>
    <n v="10401.84794"/>
    <n v="10880.933000000001"/>
    <n v="479.08505760000003"/>
    <n v="-210.28167120000001"/>
    <n v="-6927.9900150000003"/>
    <n v="7076.6486349999996"/>
    <x v="192"/>
    <s v="Jul-2020"/>
  </r>
  <r>
    <x v="193"/>
    <s v="ZMB"/>
    <x v="0"/>
    <x v="7"/>
    <x v="7"/>
    <s v="predicted"/>
    <n v="10227.01262"/>
    <n v="11501.272999999999"/>
    <n v="1274.2603770000001"/>
    <n v="1063.9787060000001"/>
    <n v="-6315.0689659999998"/>
    <n v="9038.8464899999999"/>
    <x v="192"/>
    <s v="Aug-2020"/>
  </r>
  <r>
    <x v="193"/>
    <s v="ZMB"/>
    <x v="0"/>
    <x v="8"/>
    <x v="8"/>
    <s v="predicted"/>
    <n v="10039.07784"/>
    <n v="10708.725"/>
    <n v="669.64716199999998"/>
    <n v="1733.6258680000001"/>
    <n v="-6518.4775049999998"/>
    <n v="11191.76561"/>
    <x v="192"/>
    <s v="Sep-2020"/>
  </r>
  <r>
    <x v="193"/>
    <s v="ZMB"/>
    <x v="0"/>
    <x v="9"/>
    <x v="9"/>
    <s v="predicted"/>
    <n v="9922.7076410000009"/>
    <n v="10038.246999999999"/>
    <n v="115.5393586"/>
    <n v="1849.1652260000001"/>
    <n v="-6943.0823300000002"/>
    <n v="10764.88487"/>
    <x v="192"/>
    <s v="Oct-2020"/>
  </r>
  <r>
    <x v="193"/>
    <s v="ZMB"/>
    <x v="0"/>
    <x v="10"/>
    <x v="10"/>
    <s v="predicted"/>
    <n v="9915.3770399999994"/>
    <n v="9912.4779999999992"/>
    <n v="-2.8990402620000002"/>
    <n v="1846.2661860000001"/>
    <n v="-7361.3185000000003"/>
    <n v="11437.26669"/>
    <x v="192"/>
    <s v="Nov-2020"/>
  </r>
  <r>
    <x v="193"/>
    <s v="ZMB"/>
    <x v="0"/>
    <x v="11"/>
    <x v="11"/>
    <s v="predicted"/>
    <n v="10039.138080000001"/>
    <n v="10210.464"/>
    <n v="171.32592059999999"/>
    <n v="2017.5921060000001"/>
    <n v="-7641.0560409999998"/>
    <n v="11969.33174"/>
    <x v="192"/>
    <s v="Dec-2020"/>
  </r>
  <r>
    <x v="193"/>
    <s v="ZMB"/>
    <x v="1"/>
    <x v="0"/>
    <x v="0"/>
    <s v="predicted"/>
    <n v="10061.79391"/>
    <n v="11556.564"/>
    <n v="1494.770086"/>
    <n v="3512.3621929999999"/>
    <n v="-6435.214567"/>
    <n v="14175.644340000001"/>
    <x v="192"/>
    <s v="Jan-2021"/>
  </r>
  <r>
    <x v="193"/>
    <s v="ZMB"/>
    <x v="1"/>
    <x v="1"/>
    <x v="1"/>
    <s v="predicted"/>
    <n v="10021.22983"/>
    <n v="11943.239"/>
    <n v="1922.0091729999999"/>
    <n v="5434.3713660000003"/>
    <n v="-4632.1319540000004"/>
    <n v="16468.175579999999"/>
    <x v="192"/>
    <s v="Feb-2021"/>
  </r>
  <r>
    <x v="193"/>
    <s v="ZMB"/>
    <x v="1"/>
    <x v="2"/>
    <x v="2"/>
    <s v="predicted"/>
    <n v="10052.68837"/>
    <n v="11149.385"/>
    <n v="1096.696635"/>
    <n v="6531.0680009999996"/>
    <n v="-4095.4765980000002"/>
    <n v="18059.996630000001"/>
    <x v="192"/>
    <s v="Mar-2021"/>
  </r>
  <r>
    <x v="193"/>
    <s v="ZMB"/>
    <x v="1"/>
    <x v="3"/>
    <x v="3"/>
    <s v="predicted"/>
    <n v="10091.955190000001"/>
    <n v="10427.946"/>
    <n v="335.990814"/>
    <n v="6867.0588150000003"/>
    <n v="-4198.3515150000003"/>
    <n v="18741.353630000001"/>
    <x v="192"/>
    <s v="Apr-2021"/>
  </r>
  <r>
    <x v="193"/>
    <s v="ZMB"/>
    <x v="1"/>
    <x v="4"/>
    <x v="4"/>
    <s v="predicted"/>
    <n v="10242.76319"/>
    <n v="10353.406999999999"/>
    <n v="110.64380509999999"/>
    <n v="6977.70262"/>
    <n v="-4329.5543399999997"/>
    <n v="18797.99379"/>
    <x v="192"/>
    <s v="May-2021"/>
  </r>
  <r>
    <x v="193"/>
    <s v="ZMB"/>
    <x v="1"/>
    <x v="5"/>
    <x v="5"/>
    <s v="predicted"/>
    <n v="10379.41504"/>
    <n v="13310.692999999999"/>
    <n v="2931.2779569999998"/>
    <n v="9908.9805770000003"/>
    <n v="-1978.131439"/>
    <n v="22653.388999999999"/>
    <x v="192"/>
    <s v="Jun-2021"/>
  </r>
  <r>
    <x v="193"/>
    <s v="ZMB"/>
    <x v="1"/>
    <x v="6"/>
    <x v="6"/>
    <s v="predicted"/>
    <n v="10419.395699999999"/>
    <n v="13516.300999999999"/>
    <n v="3096.9052969999998"/>
    <n v="13005.88587"/>
    <n v="29.51917461"/>
    <n v="25830.769759999999"/>
    <x v="192"/>
    <s v="Jul-2021"/>
  </r>
  <r>
    <x v="193"/>
    <s v="ZMB"/>
    <x v="1"/>
    <x v="7"/>
    <x v="7"/>
    <s v="predicted"/>
    <n v="10243.18427"/>
    <n v="10970.669"/>
    <n v="727.48472630000003"/>
    <n v="13733.3706"/>
    <n v="246.80993649999999"/>
    <n v="26511.389169999999"/>
    <x v="192"/>
    <s v="Aug-2021"/>
  </r>
  <r>
    <x v="193"/>
    <s v="ZMB"/>
    <x v="1"/>
    <x v="8"/>
    <x v="8"/>
    <s v="predicted"/>
    <n v="10049.086939999999"/>
    <n v="10144.861999999999"/>
    <n v="95.775057129999993"/>
    <n v="13829.14566"/>
    <n v="554.27580379999995"/>
    <n v="27435.99209"/>
    <x v="192"/>
    <s v="Sep-2021"/>
  </r>
  <r>
    <x v="193"/>
    <s v="ZMB"/>
    <x v="1"/>
    <x v="9"/>
    <x v="9"/>
    <s v="predicted"/>
    <n v="9934.4631449999997"/>
    <n v="9809.2330000000002"/>
    <n v="-125.23014499999999"/>
    <n v="13703.915510000001"/>
    <n v="-19.501968040000001"/>
    <n v="27771.568889999999"/>
    <x v="192"/>
    <s v="Oct-2021"/>
  </r>
  <r>
    <x v="193"/>
    <s v="ZMB"/>
    <x v="1"/>
    <x v="10"/>
    <x v="10"/>
    <s v="predicted"/>
    <n v="9931.0923029999994"/>
    <n v="9904.4539999999997"/>
    <n v="-26.63830312"/>
    <n v="13677.27721"/>
    <n v="-170.99457509999999"/>
    <n v="27287.145850000001"/>
    <x v="192"/>
    <s v="Nov-2021"/>
  </r>
  <r>
    <x v="193"/>
    <s v="ZMB"/>
    <x v="1"/>
    <x v="11"/>
    <x v="11"/>
    <s v="predicted"/>
    <n v="10051.12862"/>
    <n v="10655.583000000001"/>
    <n v="604.45438439999998"/>
    <n v="14281.731589999999"/>
    <n v="471.33419090000001"/>
    <n v="28334.874769999999"/>
    <x v="192"/>
    <s v="Dec-2021"/>
  </r>
  <r>
    <x v="194"/>
    <s v="ZWE"/>
    <x v="0"/>
    <x v="0"/>
    <x v="0"/>
    <s v="predicted"/>
    <n v="9497.6872500000009"/>
    <n v="9738.7350000000006"/>
    <n v="241.0477497"/>
    <n v="241.0477497"/>
    <n v="-2107.871999"/>
    <n v="3031.9625769999998"/>
    <x v="193"/>
    <s v="Jan-2020"/>
  </r>
  <r>
    <x v="194"/>
    <s v="ZWE"/>
    <x v="0"/>
    <x v="1"/>
    <x v="1"/>
    <s v="predicted"/>
    <n v="9499.6807939999999"/>
    <n v="9483.8019999999997"/>
    <n v="-15.878794170000001"/>
    <n v="225.16895550000001"/>
    <n v="-3236.890073"/>
    <n v="4232.8323730000002"/>
    <x v="193"/>
    <s v="Feb-2020"/>
  </r>
  <r>
    <x v="194"/>
    <s v="ZWE"/>
    <x v="0"/>
    <x v="2"/>
    <x v="2"/>
    <s v="predicted"/>
    <n v="9559.4235009999993"/>
    <n v="9948.7909999999993"/>
    <n v="389.3674987"/>
    <n v="614.53645429999995"/>
    <n v="-3640.8581490000001"/>
    <n v="5262.4311459999999"/>
    <x v="193"/>
    <s v="Mar-2020"/>
  </r>
  <r>
    <x v="194"/>
    <s v="ZWE"/>
    <x v="0"/>
    <x v="3"/>
    <x v="3"/>
    <s v="predicted"/>
    <n v="9637.2347040000004"/>
    <n v="8727.3719999999994"/>
    <n v="-909.86270439999998"/>
    <n v="-295.32625009999998"/>
    <n v="-5131.7192359999999"/>
    <n v="5023.0077890000002"/>
    <x v="193"/>
    <s v="Apr-2020"/>
  </r>
  <r>
    <x v="194"/>
    <s v="ZWE"/>
    <x v="0"/>
    <x v="4"/>
    <x v="4"/>
    <s v="predicted"/>
    <n v="9820.4074199999995"/>
    <n v="8902.4120000000003"/>
    <n v="-917.99542010000005"/>
    <n v="-1213.32167"/>
    <n v="-6390.2261330000001"/>
    <n v="4520.9411870000004"/>
    <x v="193"/>
    <s v="May-2020"/>
  </r>
  <r>
    <x v="194"/>
    <s v="ZWE"/>
    <x v="0"/>
    <x v="5"/>
    <x v="5"/>
    <s v="predicted"/>
    <n v="9970.4327310000008"/>
    <n v="9573.0949999999993"/>
    <n v="-397.3377309"/>
    <n v="-1610.6594009999999"/>
    <n v="-7487.8355760000004"/>
    <n v="5123.8446979999999"/>
    <x v="193"/>
    <s v="Jun-2020"/>
  </r>
  <r>
    <x v="194"/>
    <s v="ZWE"/>
    <x v="0"/>
    <x v="6"/>
    <x v="6"/>
    <s v="predicted"/>
    <n v="10018.95471"/>
    <n v="10428.583000000001"/>
    <n v="409.62828940000003"/>
    <n v="-1201.0311119999999"/>
    <n v="-7653.0297330000003"/>
    <n v="5723.6131329999998"/>
    <x v="193"/>
    <s v="Jul-2020"/>
  </r>
  <r>
    <x v="194"/>
    <s v="ZWE"/>
    <x v="0"/>
    <x v="7"/>
    <x v="7"/>
    <s v="predicted"/>
    <n v="9846.59771"/>
    <n v="11045.819"/>
    <n v="1199.22129"/>
    <n v="-1.8098222500000001"/>
    <n v="-7280.3711990000002"/>
    <n v="7701.901554"/>
    <x v="193"/>
    <s v="Aug-2020"/>
  </r>
  <r>
    <x v="194"/>
    <s v="ZWE"/>
    <x v="0"/>
    <x v="8"/>
    <x v="8"/>
    <s v="predicted"/>
    <n v="9648.1542430000009"/>
    <n v="10346.786"/>
    <n v="698.63175690000003"/>
    <n v="696.82193470000004"/>
    <n v="-6686.9664240000002"/>
    <n v="8917.9463410000008"/>
    <x v="193"/>
    <s v="Sep-2020"/>
  </r>
  <r>
    <x v="194"/>
    <s v="ZWE"/>
    <x v="0"/>
    <x v="9"/>
    <x v="9"/>
    <s v="predicted"/>
    <n v="9512.5236590000004"/>
    <n v="9798.2039999999997"/>
    <n v="285.680341"/>
    <n v="982.50227570000004"/>
    <n v="-7048.1333830000003"/>
    <n v="9346.3215789999995"/>
    <x v="193"/>
    <s v="Oct-2020"/>
  </r>
  <r>
    <x v="194"/>
    <s v="ZWE"/>
    <x v="0"/>
    <x v="10"/>
    <x v="10"/>
    <s v="predicted"/>
    <n v="9404.9881989999994"/>
    <n v="9830.9840000000004"/>
    <n v="425.9958014"/>
    <n v="1408.498077"/>
    <n v="-7263.0950220000004"/>
    <n v="10162.12326"/>
    <x v="193"/>
    <s v="Nov-2020"/>
  </r>
  <r>
    <x v="194"/>
    <s v="ZWE"/>
    <x v="0"/>
    <x v="11"/>
    <x v="11"/>
    <s v="predicted"/>
    <n v="9494.8399310000004"/>
    <n v="10246.895"/>
    <n v="752.05506879999996"/>
    <n v="2160.5531460000002"/>
    <n v="-7037.822287"/>
    <n v="11488.244919999999"/>
    <x v="193"/>
    <s v="Dec-2020"/>
  </r>
  <r>
    <x v="194"/>
    <s v="ZWE"/>
    <x v="1"/>
    <x v="0"/>
    <x v="0"/>
    <s v="predicted"/>
    <n v="9367.3005219999995"/>
    <n v="12007.066000000001"/>
    <n v="2639.7654779999998"/>
    <n v="4800.3186240000005"/>
    <n v="-4875.4089999999997"/>
    <n v="15122.574500000001"/>
    <x v="193"/>
    <s v="Jan-2021"/>
  </r>
  <r>
    <x v="194"/>
    <s v="ZWE"/>
    <x v="1"/>
    <x v="1"/>
    <x v="1"/>
    <s v="predicted"/>
    <n v="9379.7021970000005"/>
    <n v="10400.844999999999"/>
    <n v="1021.142803"/>
    <n v="5821.4614259999998"/>
    <n v="-4190.8452360000001"/>
    <n v="16921.361199999999"/>
    <x v="193"/>
    <s v="Feb-2021"/>
  </r>
  <r>
    <x v="194"/>
    <s v="ZWE"/>
    <x v="1"/>
    <x v="2"/>
    <x v="2"/>
    <s v="predicted"/>
    <n v="9430.3922230000007"/>
    <n v="9775.4179999999997"/>
    <n v="345.02577689999998"/>
    <n v="6166.4872029999997"/>
    <n v="-3695.1609199999998"/>
    <n v="17174.09562"/>
    <x v="193"/>
    <s v="Mar-2021"/>
  </r>
  <r>
    <x v="194"/>
    <s v="ZWE"/>
    <x v="1"/>
    <x v="3"/>
    <x v="3"/>
    <s v="predicted"/>
    <n v="9510.2305670000005"/>
    <n v="9741.7739999999994"/>
    <n v="231.54343259999999"/>
    <n v="6398.0306360000004"/>
    <n v="-3596.1170189999998"/>
    <n v="17807.509969999999"/>
    <x v="193"/>
    <s v="Apr-2021"/>
  </r>
  <r>
    <x v="194"/>
    <s v="ZWE"/>
    <x v="1"/>
    <x v="4"/>
    <x v="4"/>
    <s v="predicted"/>
    <n v="9695.7293109999991"/>
    <n v="9640.7009999999991"/>
    <n v="-55.028311219999999"/>
    <n v="6343.0023250000004"/>
    <n v="-4216.8225179999999"/>
    <n v="17758.916239999999"/>
    <x v="193"/>
    <s v="May-2021"/>
  </r>
  <r>
    <x v="194"/>
    <s v="ZWE"/>
    <x v="1"/>
    <x v="5"/>
    <x v="5"/>
    <s v="predicted"/>
    <n v="9840.9136670000007"/>
    <n v="10476.593999999999"/>
    <n v="635.68033249999996"/>
    <n v="6978.6826570000003"/>
    <n v="-3902.055867"/>
    <n v="18710.770779999999"/>
    <x v="193"/>
    <s v="Jun-2021"/>
  </r>
  <r>
    <x v="194"/>
    <s v="ZWE"/>
    <x v="1"/>
    <x v="6"/>
    <x v="6"/>
    <s v="predicted"/>
    <n v="9890.2462460000006"/>
    <n v="13777.886"/>
    <n v="3887.6397539999998"/>
    <n v="10866.322410000001"/>
    <n v="-846.38362189999998"/>
    <n v="23612.556240000002"/>
    <x v="193"/>
    <s v="Jul-2021"/>
  </r>
  <r>
    <x v="194"/>
    <s v="ZWE"/>
    <x v="1"/>
    <x v="7"/>
    <x v="7"/>
    <s v="predicted"/>
    <n v="9716.4083250000003"/>
    <n v="11970.517"/>
    <n v="2254.1086749999999"/>
    <n v="13120.43109"/>
    <n v="709.31521410000005"/>
    <n v="26102.79495"/>
    <x v="193"/>
    <s v="Aug-2021"/>
  </r>
  <r>
    <x v="194"/>
    <s v="ZWE"/>
    <x v="1"/>
    <x v="8"/>
    <x v="8"/>
    <s v="predicted"/>
    <n v="9517.6476399999992"/>
    <n v="10291.538"/>
    <n v="773.8903603"/>
    <n v="13894.321449999999"/>
    <n v="839.88806150000005"/>
    <n v="27202.009849999999"/>
    <x v="193"/>
    <s v="Sep-2021"/>
  </r>
  <r>
    <x v="194"/>
    <s v="ZWE"/>
    <x v="1"/>
    <x v="9"/>
    <x v="9"/>
    <s v="predicted"/>
    <n v="9385.1014429999996"/>
    <n v="9678.08"/>
    <n v="292.9785569"/>
    <n v="14187.3"/>
    <n v="165.93061800000001"/>
    <n v="27729.879809999999"/>
    <x v="193"/>
    <s v="Oct-2021"/>
  </r>
  <r>
    <x v="194"/>
    <s v="ZWE"/>
    <x v="1"/>
    <x v="10"/>
    <x v="10"/>
    <s v="predicted"/>
    <n v="9272.4623539999993"/>
    <n v="9583.7099999999991"/>
    <n v="311.2476456"/>
    <n v="14498.54765"/>
    <n v="651.65318720000005"/>
    <n v="27870.811389999999"/>
    <x v="193"/>
    <s v="Nov-2021"/>
  </r>
  <r>
    <x v="194"/>
    <s v="ZWE"/>
    <x v="1"/>
    <x v="11"/>
    <x v="11"/>
    <s v="predicted"/>
    <n v="9363.1613280000001"/>
    <n v="11417.541999999999"/>
    <n v="2054.3806719999998"/>
    <n v="16552.928319999999"/>
    <n v="1835.3908469999999"/>
    <n v="30982.195090000001"/>
    <x v="193"/>
    <s v="Dec-2021"/>
  </r>
  <r>
    <x v="1"/>
    <m/>
    <x v="2"/>
    <x v="12"/>
    <x v="12"/>
    <m/>
    <m/>
    <m/>
    <m/>
    <m/>
    <m/>
    <m/>
    <x v="194"/>
    <m/>
  </r>
  <r>
    <x v="1"/>
    <m/>
    <x v="2"/>
    <x v="12"/>
    <x v="12"/>
    <m/>
    <m/>
    <m/>
    <m/>
    <m/>
    <m/>
    <m/>
    <x v="19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B0E7AD-E710-477B-A230-F1069CD9AC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B23" firstHeaderRow="1" firstDataRow="1" firstDataCol="1"/>
  <pivotFields count="14">
    <pivotField showAll="0"/>
    <pivotField showAll="0"/>
    <pivotField showAll="0">
      <items count="4">
        <item x="0"/>
        <item x="1"/>
        <item h="1" x="2"/>
        <item t="default"/>
      </items>
    </pivotField>
    <pivotField showAll="0">
      <items count="14">
        <item x="0"/>
        <item x="1"/>
        <item x="2"/>
        <item x="3"/>
        <item x="4"/>
        <item x="5"/>
        <item x="6"/>
        <item x="7"/>
        <item x="8"/>
        <item x="9"/>
        <item x="10"/>
        <item x="11"/>
        <item x="12"/>
        <item t="default"/>
      </items>
    </pivotField>
    <pivotField axis="axisRow" showAll="0">
      <items count="14">
        <item x="0"/>
        <item x="1"/>
        <item x="2"/>
        <item x="3"/>
        <item x="4"/>
        <item x="5"/>
        <item x="6"/>
        <item x="7"/>
        <item x="8"/>
        <item x="9"/>
        <item x="10"/>
        <item x="11"/>
        <item x="12"/>
        <item t="default"/>
      </items>
    </pivotField>
    <pivotField showAll="0"/>
    <pivotField showAll="0"/>
    <pivotField dataField="1" showAll="0"/>
    <pivotField showAll="0"/>
    <pivotField showAll="0"/>
    <pivotField showAll="0"/>
    <pivotField showAll="0"/>
    <pivotField showAll="0">
      <items count="197">
        <item x="194"/>
        <item x="0"/>
        <item x="2"/>
        <item x="50"/>
        <item x="3"/>
        <item x="1"/>
        <item x="7"/>
        <item x="5"/>
        <item x="6"/>
        <item x="8"/>
        <item x="9"/>
        <item x="10"/>
        <item x="18"/>
        <item x="17"/>
        <item x="15"/>
        <item x="24"/>
        <item x="20"/>
        <item x="12"/>
        <item x="21"/>
        <item x="13"/>
        <item x="26"/>
        <item x="22"/>
        <item x="19"/>
        <item x="27"/>
        <item x="23"/>
        <item x="25"/>
        <item x="16"/>
        <item x="14"/>
        <item x="11"/>
        <item x="33"/>
        <item x="40"/>
        <item x="91"/>
        <item x="34"/>
        <item x="29"/>
        <item x="28"/>
        <item x="168"/>
        <item x="31"/>
        <item x="32"/>
        <item x="38"/>
        <item x="39"/>
        <item x="36"/>
        <item x="37"/>
        <item x="41"/>
        <item x="74"/>
        <item x="42"/>
        <item x="43"/>
        <item x="44"/>
        <item x="142"/>
        <item x="35"/>
        <item x="48"/>
        <item x="46"/>
        <item x="47"/>
        <item x="49"/>
        <item x="51"/>
        <item x="52"/>
        <item x="155"/>
        <item x="68"/>
        <item x="53"/>
        <item x="55"/>
        <item x="165"/>
        <item x="56"/>
        <item x="58"/>
        <item x="57"/>
        <item x="59"/>
        <item x="61"/>
        <item x="66"/>
        <item x="63"/>
        <item x="45"/>
        <item x="64"/>
        <item x="69"/>
        <item x="70"/>
        <item x="71"/>
        <item x="65"/>
        <item x="67"/>
        <item x="72"/>
        <item x="75"/>
        <item x="73"/>
        <item x="76"/>
        <item x="82"/>
        <item x="78"/>
        <item x="77"/>
        <item x="80"/>
        <item x="81"/>
        <item x="79"/>
        <item x="83"/>
        <item x="84"/>
        <item x="85"/>
        <item x="87"/>
        <item x="86"/>
        <item x="88"/>
        <item x="89"/>
        <item x="92"/>
        <item x="95"/>
        <item x="90"/>
        <item x="96"/>
        <item x="105"/>
        <item x="97"/>
        <item x="102"/>
        <item x="98"/>
        <item x="99"/>
        <item x="103"/>
        <item x="104"/>
        <item x="109"/>
        <item x="122"/>
        <item x="123"/>
        <item x="110"/>
        <item x="114"/>
        <item x="115"/>
        <item x="112"/>
        <item x="120"/>
        <item x="121"/>
        <item x="111"/>
        <item x="60"/>
        <item x="107"/>
        <item x="118"/>
        <item x="117"/>
        <item x="106"/>
        <item x="119"/>
        <item x="116"/>
        <item x="124"/>
        <item x="132"/>
        <item x="131"/>
        <item x="129"/>
        <item x="133"/>
        <item x="127"/>
        <item x="125"/>
        <item x="126"/>
        <item x="128"/>
        <item x="113"/>
        <item x="130"/>
        <item x="134"/>
        <item x="135"/>
        <item x="139"/>
        <item x="136"/>
        <item x="140"/>
        <item x="144"/>
        <item x="137"/>
        <item x="138"/>
        <item x="141"/>
        <item x="143"/>
        <item x="145"/>
        <item x="94"/>
        <item x="108"/>
        <item x="146"/>
        <item x="147"/>
        <item x="148"/>
        <item x="93"/>
        <item x="100"/>
        <item x="185"/>
        <item x="189"/>
        <item x="156"/>
        <item x="160"/>
        <item x="149"/>
        <item x="151"/>
        <item x="158"/>
        <item x="166"/>
        <item x="154"/>
        <item x="152"/>
        <item x="162"/>
        <item x="163"/>
        <item x="153"/>
        <item x="157"/>
        <item x="191"/>
        <item x="159"/>
        <item x="54"/>
        <item x="101"/>
        <item x="150"/>
        <item x="161"/>
        <item x="164"/>
        <item x="30"/>
        <item x="167"/>
        <item x="177"/>
        <item x="171"/>
        <item x="170"/>
        <item x="62"/>
        <item x="173"/>
        <item x="169"/>
        <item x="174"/>
        <item x="175"/>
        <item x="176"/>
        <item x="172"/>
        <item x="178"/>
        <item x="180"/>
        <item x="181"/>
        <item x="4"/>
        <item x="179"/>
        <item x="183"/>
        <item x="182"/>
        <item x="184"/>
        <item x="188"/>
        <item x="186"/>
        <item x="187"/>
        <item x="190"/>
        <item x="192"/>
        <item x="193"/>
        <item x="195"/>
        <item t="default"/>
      </items>
    </pivotField>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acm.mean"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2D4304-07E7-4AD9-841B-BFFF1A4E87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14">
    <pivotField showAll="0"/>
    <pivotField showAll="0"/>
    <pivotField axis="axisRow" showAll="0">
      <items count="4">
        <item x="0"/>
        <item x="1"/>
        <item h="1" x="2"/>
        <item t="default"/>
      </items>
    </pivotField>
    <pivotField showAll="0"/>
    <pivotField showAll="0"/>
    <pivotField showAll="0"/>
    <pivotField showAll="0"/>
    <pivotField dataField="1" showAll="0"/>
    <pivotField showAll="0"/>
    <pivotField showAll="0"/>
    <pivotField showAll="0"/>
    <pivotField showAll="0"/>
    <pivotField showAll="0">
      <items count="197">
        <item x="194"/>
        <item x="0"/>
        <item x="2"/>
        <item x="50"/>
        <item x="3"/>
        <item x="1"/>
        <item x="7"/>
        <item x="5"/>
        <item x="6"/>
        <item x="8"/>
        <item x="9"/>
        <item x="10"/>
        <item x="18"/>
        <item x="17"/>
        <item x="15"/>
        <item x="24"/>
        <item x="20"/>
        <item x="12"/>
        <item x="21"/>
        <item x="13"/>
        <item x="26"/>
        <item x="22"/>
        <item x="19"/>
        <item x="27"/>
        <item x="23"/>
        <item x="25"/>
        <item x="16"/>
        <item x="14"/>
        <item x="11"/>
        <item x="33"/>
        <item x="40"/>
        <item x="91"/>
        <item x="34"/>
        <item x="29"/>
        <item x="28"/>
        <item x="168"/>
        <item x="31"/>
        <item x="32"/>
        <item x="38"/>
        <item x="39"/>
        <item x="36"/>
        <item x="37"/>
        <item x="41"/>
        <item x="74"/>
        <item x="42"/>
        <item x="43"/>
        <item x="44"/>
        <item x="142"/>
        <item x="35"/>
        <item x="48"/>
        <item x="46"/>
        <item x="47"/>
        <item x="49"/>
        <item x="51"/>
        <item x="52"/>
        <item x="155"/>
        <item x="68"/>
        <item x="53"/>
        <item x="55"/>
        <item x="165"/>
        <item x="56"/>
        <item x="58"/>
        <item x="57"/>
        <item x="59"/>
        <item x="61"/>
        <item x="66"/>
        <item x="63"/>
        <item x="45"/>
        <item x="64"/>
        <item x="69"/>
        <item x="70"/>
        <item x="71"/>
        <item x="65"/>
        <item x="67"/>
        <item x="72"/>
        <item x="75"/>
        <item x="73"/>
        <item x="76"/>
        <item x="82"/>
        <item x="78"/>
        <item x="77"/>
        <item x="80"/>
        <item x="81"/>
        <item x="79"/>
        <item x="83"/>
        <item x="84"/>
        <item x="85"/>
        <item x="87"/>
        <item x="86"/>
        <item x="88"/>
        <item x="89"/>
        <item x="92"/>
        <item x="95"/>
        <item x="90"/>
        <item x="96"/>
        <item x="105"/>
        <item x="97"/>
        <item x="102"/>
        <item x="98"/>
        <item x="99"/>
        <item x="103"/>
        <item x="104"/>
        <item x="109"/>
        <item x="122"/>
        <item x="123"/>
        <item x="110"/>
        <item x="114"/>
        <item x="115"/>
        <item x="112"/>
        <item x="120"/>
        <item x="121"/>
        <item x="111"/>
        <item x="60"/>
        <item x="107"/>
        <item x="118"/>
        <item x="117"/>
        <item x="106"/>
        <item x="119"/>
        <item x="116"/>
        <item x="124"/>
        <item x="132"/>
        <item x="131"/>
        <item x="129"/>
        <item x="133"/>
        <item x="127"/>
        <item x="125"/>
        <item x="126"/>
        <item x="128"/>
        <item x="113"/>
        <item x="130"/>
        <item x="134"/>
        <item x="135"/>
        <item x="139"/>
        <item x="136"/>
        <item x="140"/>
        <item x="144"/>
        <item x="137"/>
        <item x="138"/>
        <item x="141"/>
        <item x="143"/>
        <item x="145"/>
        <item x="94"/>
        <item x="108"/>
        <item x="146"/>
        <item x="147"/>
        <item x="148"/>
        <item x="93"/>
        <item x="100"/>
        <item x="185"/>
        <item x="189"/>
        <item x="156"/>
        <item x="160"/>
        <item x="149"/>
        <item x="151"/>
        <item x="158"/>
        <item x="166"/>
        <item x="154"/>
        <item x="152"/>
        <item x="162"/>
        <item x="163"/>
        <item x="153"/>
        <item x="157"/>
        <item x="191"/>
        <item x="159"/>
        <item x="54"/>
        <item x="101"/>
        <item x="150"/>
        <item x="161"/>
        <item x="164"/>
        <item x="30"/>
        <item x="167"/>
        <item x="177"/>
        <item x="171"/>
        <item x="170"/>
        <item x="62"/>
        <item x="173"/>
        <item x="169"/>
        <item x="174"/>
        <item x="175"/>
        <item x="176"/>
        <item x="172"/>
        <item x="178"/>
        <item x="180"/>
        <item x="181"/>
        <item x="4"/>
        <item x="179"/>
        <item x="183"/>
        <item x="182"/>
        <item x="184"/>
        <item x="188"/>
        <item x="186"/>
        <item x="187"/>
        <item x="190"/>
        <item x="192"/>
        <item x="193"/>
        <item x="195"/>
        <item t="default"/>
      </items>
    </pivotField>
    <pivotField showAll="0"/>
  </pivotFields>
  <rowFields count="1">
    <field x="2"/>
  </rowFields>
  <rowItems count="3">
    <i>
      <x/>
    </i>
    <i>
      <x v="1"/>
    </i>
    <i t="grand">
      <x/>
    </i>
  </rowItems>
  <colItems count="1">
    <i/>
  </colItems>
  <dataFields count="1">
    <dataField name="Sum of acm.mean" fld="7" baseField="0" baseItem="0"/>
  </dataFields>
  <chartFormats count="2">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1905DC-1969-4915-B31E-8ED6A3A0ED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6:B47" firstHeaderRow="1" firstDataRow="1" firstDataCol="1"/>
  <pivotFields count="14">
    <pivotField showAll="0"/>
    <pivotField showAll="0"/>
    <pivotField showAll="0">
      <items count="4">
        <item x="0"/>
        <item x="1"/>
        <item h="1" x="2"/>
        <item t="default"/>
      </items>
    </pivotField>
    <pivotField showAll="0"/>
    <pivotField showAll="0"/>
    <pivotField showAll="0"/>
    <pivotField showAll="0"/>
    <pivotField dataField="1" showAll="0"/>
    <pivotField showAll="0"/>
    <pivotField showAll="0"/>
    <pivotField showAll="0"/>
    <pivotField showAll="0"/>
    <pivotField axis="axisRow" showAll="0" measureFilter="1">
      <items count="197">
        <item x="194"/>
        <item x="0"/>
        <item x="2"/>
        <item x="50"/>
        <item x="3"/>
        <item x="1"/>
        <item x="7"/>
        <item x="5"/>
        <item x="6"/>
        <item x="8"/>
        <item x="9"/>
        <item x="10"/>
        <item x="18"/>
        <item x="17"/>
        <item x="15"/>
        <item x="24"/>
        <item x="20"/>
        <item x="12"/>
        <item x="21"/>
        <item x="13"/>
        <item x="26"/>
        <item x="22"/>
        <item x="19"/>
        <item x="27"/>
        <item x="23"/>
        <item x="25"/>
        <item x="16"/>
        <item x="14"/>
        <item x="11"/>
        <item x="33"/>
        <item x="40"/>
        <item x="91"/>
        <item x="34"/>
        <item x="29"/>
        <item x="28"/>
        <item x="168"/>
        <item x="31"/>
        <item x="32"/>
        <item x="38"/>
        <item x="39"/>
        <item x="36"/>
        <item x="37"/>
        <item x="41"/>
        <item x="74"/>
        <item x="42"/>
        <item x="43"/>
        <item x="44"/>
        <item x="142"/>
        <item x="35"/>
        <item x="48"/>
        <item x="46"/>
        <item x="47"/>
        <item x="49"/>
        <item x="51"/>
        <item x="52"/>
        <item x="155"/>
        <item x="68"/>
        <item x="53"/>
        <item x="55"/>
        <item x="165"/>
        <item x="56"/>
        <item x="58"/>
        <item x="57"/>
        <item x="59"/>
        <item x="61"/>
        <item x="66"/>
        <item x="63"/>
        <item x="45"/>
        <item x="64"/>
        <item x="69"/>
        <item x="70"/>
        <item x="71"/>
        <item x="65"/>
        <item x="67"/>
        <item x="72"/>
        <item x="75"/>
        <item x="73"/>
        <item x="76"/>
        <item x="82"/>
        <item x="78"/>
        <item x="77"/>
        <item x="80"/>
        <item x="81"/>
        <item x="79"/>
        <item x="83"/>
        <item x="84"/>
        <item x="85"/>
        <item x="87"/>
        <item x="86"/>
        <item x="88"/>
        <item x="89"/>
        <item x="92"/>
        <item x="95"/>
        <item x="90"/>
        <item x="96"/>
        <item x="105"/>
        <item x="97"/>
        <item x="102"/>
        <item x="98"/>
        <item x="99"/>
        <item x="103"/>
        <item x="104"/>
        <item x="109"/>
        <item x="122"/>
        <item x="123"/>
        <item x="110"/>
        <item x="114"/>
        <item x="115"/>
        <item x="112"/>
        <item x="120"/>
        <item x="121"/>
        <item x="111"/>
        <item x="60"/>
        <item x="107"/>
        <item x="118"/>
        <item x="117"/>
        <item x="106"/>
        <item x="119"/>
        <item x="116"/>
        <item x="124"/>
        <item x="132"/>
        <item x="131"/>
        <item x="129"/>
        <item x="133"/>
        <item x="127"/>
        <item x="125"/>
        <item x="126"/>
        <item x="128"/>
        <item x="113"/>
        <item x="130"/>
        <item x="134"/>
        <item x="135"/>
        <item x="139"/>
        <item x="136"/>
        <item x="140"/>
        <item x="144"/>
        <item x="137"/>
        <item x="138"/>
        <item x="141"/>
        <item x="143"/>
        <item x="145"/>
        <item x="94"/>
        <item x="108"/>
        <item x="146"/>
        <item x="147"/>
        <item x="148"/>
        <item x="93"/>
        <item x="100"/>
        <item x="185"/>
        <item x="189"/>
        <item x="156"/>
        <item x="160"/>
        <item x="149"/>
        <item x="151"/>
        <item x="158"/>
        <item x="166"/>
        <item x="154"/>
        <item x="152"/>
        <item x="162"/>
        <item x="163"/>
        <item x="153"/>
        <item x="157"/>
        <item x="191"/>
        <item x="159"/>
        <item x="54"/>
        <item x="101"/>
        <item x="150"/>
        <item x="161"/>
        <item x="164"/>
        <item x="30"/>
        <item x="167"/>
        <item x="177"/>
        <item x="171"/>
        <item x="170"/>
        <item x="62"/>
        <item x="173"/>
        <item x="169"/>
        <item x="174"/>
        <item x="175"/>
        <item x="176"/>
        <item x="172"/>
        <item x="178"/>
        <item x="180"/>
        <item x="181"/>
        <item x="4"/>
        <item x="179"/>
        <item x="183"/>
        <item x="182"/>
        <item x="184"/>
        <item x="188"/>
        <item x="186"/>
        <item x="187"/>
        <item x="190"/>
        <item x="192"/>
        <item x="193"/>
        <item x="195"/>
        <item t="default"/>
      </items>
    </pivotField>
    <pivotField showAll="0"/>
  </pivotFields>
  <rowFields count="1">
    <field x="12"/>
  </rowFields>
  <rowItems count="11">
    <i>
      <x v="24"/>
    </i>
    <i>
      <x v="37"/>
    </i>
    <i>
      <x v="79"/>
    </i>
    <i>
      <x v="80"/>
    </i>
    <i>
      <x v="87"/>
    </i>
    <i>
      <x v="111"/>
    </i>
    <i>
      <x v="126"/>
    </i>
    <i>
      <x v="131"/>
    </i>
    <i>
      <x v="144"/>
    </i>
    <i>
      <x v="186"/>
    </i>
    <i t="grand">
      <x/>
    </i>
  </rowItems>
  <colItems count="1">
    <i/>
  </colItems>
  <dataFields count="1">
    <dataField name="Sum of acm.mean" fld="7"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794089-B2C4-44F2-AAC2-CD3CF23637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B33" firstHeaderRow="1" firstDataRow="1" firstDataCol="1"/>
  <pivotFields count="14">
    <pivotField showAll="0">
      <items count="196">
        <item x="0"/>
        <item x="3"/>
        <item x="51"/>
        <item x="4"/>
        <item x="2"/>
        <item x="8"/>
        <item x="6"/>
        <item x="7"/>
        <item x="9"/>
        <item x="10"/>
        <item x="11"/>
        <item x="19"/>
        <item x="18"/>
        <item x="16"/>
        <item x="25"/>
        <item x="21"/>
        <item x="13"/>
        <item x="22"/>
        <item x="14"/>
        <item x="27"/>
        <item x="23"/>
        <item x="20"/>
        <item x="28"/>
        <item x="24"/>
        <item x="26"/>
        <item x="17"/>
        <item x="15"/>
        <item x="12"/>
        <item x="34"/>
        <item x="41"/>
        <item x="92"/>
        <item x="35"/>
        <item x="30"/>
        <item x="29"/>
        <item x="169"/>
        <item x="32"/>
        <item x="33"/>
        <item x="39"/>
        <item x="40"/>
        <item x="37"/>
        <item x="38"/>
        <item x="42"/>
        <item x="75"/>
        <item x="43"/>
        <item x="44"/>
        <item x="45"/>
        <item x="143"/>
        <item x="36"/>
        <item x="49"/>
        <item x="47"/>
        <item x="48"/>
        <item x="50"/>
        <item x="52"/>
        <item x="53"/>
        <item x="156"/>
        <item x="69"/>
        <item x="54"/>
        <item x="56"/>
        <item x="166"/>
        <item x="57"/>
        <item x="59"/>
        <item x="58"/>
        <item x="60"/>
        <item x="62"/>
        <item x="67"/>
        <item x="64"/>
        <item x="46"/>
        <item x="65"/>
        <item x="70"/>
        <item x="71"/>
        <item x="72"/>
        <item x="66"/>
        <item x="68"/>
        <item x="73"/>
        <item x="76"/>
        <item x="74"/>
        <item x="77"/>
        <item x="83"/>
        <item x="79"/>
        <item x="78"/>
        <item x="81"/>
        <item x="82"/>
        <item x="80"/>
        <item x="84"/>
        <item x="85"/>
        <item x="86"/>
        <item x="88"/>
        <item x="87"/>
        <item x="89"/>
        <item x="90"/>
        <item x="93"/>
        <item x="96"/>
        <item x="91"/>
        <item x="97"/>
        <item x="106"/>
        <item x="98"/>
        <item x="103"/>
        <item x="99"/>
        <item x="100"/>
        <item x="104"/>
        <item x="105"/>
        <item x="110"/>
        <item x="123"/>
        <item x="124"/>
        <item x="111"/>
        <item x="115"/>
        <item x="116"/>
        <item x="113"/>
        <item x="121"/>
        <item x="122"/>
        <item x="112"/>
        <item x="61"/>
        <item x="108"/>
        <item x="119"/>
        <item x="118"/>
        <item x="107"/>
        <item x="120"/>
        <item x="117"/>
        <item x="125"/>
        <item x="133"/>
        <item x="132"/>
        <item x="130"/>
        <item x="134"/>
        <item x="128"/>
        <item x="126"/>
        <item x="127"/>
        <item x="129"/>
        <item x="114"/>
        <item x="131"/>
        <item x="135"/>
        <item x="136"/>
        <item x="140"/>
        <item x="137"/>
        <item x="141"/>
        <item x="145"/>
        <item x="138"/>
        <item x="139"/>
        <item x="142"/>
        <item x="144"/>
        <item x="146"/>
        <item x="95"/>
        <item x="109"/>
        <item x="147"/>
        <item x="148"/>
        <item x="149"/>
        <item x="94"/>
        <item x="101"/>
        <item x="186"/>
        <item x="190"/>
        <item x="157"/>
        <item x="161"/>
        <item x="150"/>
        <item x="152"/>
        <item x="159"/>
        <item x="167"/>
        <item x="155"/>
        <item x="153"/>
        <item x="163"/>
        <item x="164"/>
        <item x="154"/>
        <item x="158"/>
        <item x="192"/>
        <item x="160"/>
        <item x="55"/>
        <item x="102"/>
        <item x="151"/>
        <item x="162"/>
        <item x="165"/>
        <item x="31"/>
        <item x="168"/>
        <item x="178"/>
        <item x="172"/>
        <item x="171"/>
        <item x="63"/>
        <item x="174"/>
        <item x="170"/>
        <item x="175"/>
        <item x="176"/>
        <item x="177"/>
        <item x="173"/>
        <item x="179"/>
        <item x="181"/>
        <item x="182"/>
        <item x="5"/>
        <item x="180"/>
        <item x="184"/>
        <item x="183"/>
        <item x="185"/>
        <item x="189"/>
        <item x="187"/>
        <item x="188"/>
        <item x="191"/>
        <item x="193"/>
        <item x="194"/>
        <item x="1"/>
        <item t="default"/>
      </items>
    </pivotField>
    <pivotField showAll="0"/>
    <pivotField showAll="0">
      <items count="4">
        <item x="0"/>
        <item x="1"/>
        <item h="1" x="2"/>
        <item t="default"/>
      </items>
    </pivotField>
    <pivotField showAll="0"/>
    <pivotField showAll="0"/>
    <pivotField showAll="0"/>
    <pivotField showAll="0"/>
    <pivotField dataField="1" showAll="0"/>
    <pivotField showAll="0"/>
    <pivotField showAll="0"/>
    <pivotField showAll="0"/>
    <pivotField showAll="0"/>
    <pivotField axis="axisRow" showAll="0" measureFilter="1">
      <items count="197">
        <item x="194"/>
        <item x="0"/>
        <item x="2"/>
        <item x="50"/>
        <item x="3"/>
        <item x="1"/>
        <item x="7"/>
        <item x="5"/>
        <item x="6"/>
        <item x="8"/>
        <item x="9"/>
        <item x="10"/>
        <item x="18"/>
        <item x="17"/>
        <item x="15"/>
        <item x="24"/>
        <item x="20"/>
        <item x="12"/>
        <item x="21"/>
        <item x="13"/>
        <item x="26"/>
        <item x="22"/>
        <item x="19"/>
        <item x="27"/>
        <item x="23"/>
        <item x="25"/>
        <item x="16"/>
        <item x="14"/>
        <item x="11"/>
        <item x="33"/>
        <item x="40"/>
        <item x="91"/>
        <item x="34"/>
        <item x="29"/>
        <item x="28"/>
        <item x="168"/>
        <item x="31"/>
        <item x="32"/>
        <item x="38"/>
        <item x="39"/>
        <item x="36"/>
        <item x="37"/>
        <item x="41"/>
        <item x="74"/>
        <item x="42"/>
        <item x="43"/>
        <item x="44"/>
        <item x="142"/>
        <item x="35"/>
        <item x="48"/>
        <item x="46"/>
        <item x="47"/>
        <item x="49"/>
        <item x="51"/>
        <item x="52"/>
        <item x="155"/>
        <item x="68"/>
        <item x="53"/>
        <item x="55"/>
        <item x="165"/>
        <item x="56"/>
        <item x="58"/>
        <item x="57"/>
        <item x="59"/>
        <item x="61"/>
        <item x="66"/>
        <item x="63"/>
        <item x="45"/>
        <item x="64"/>
        <item x="69"/>
        <item x="70"/>
        <item x="71"/>
        <item x="65"/>
        <item x="67"/>
        <item x="72"/>
        <item x="75"/>
        <item x="73"/>
        <item x="76"/>
        <item x="82"/>
        <item x="78"/>
        <item x="77"/>
        <item x="80"/>
        <item x="81"/>
        <item x="79"/>
        <item x="83"/>
        <item x="84"/>
        <item x="85"/>
        <item x="87"/>
        <item x="86"/>
        <item x="88"/>
        <item x="89"/>
        <item x="92"/>
        <item x="95"/>
        <item x="90"/>
        <item x="96"/>
        <item x="105"/>
        <item x="97"/>
        <item x="102"/>
        <item x="98"/>
        <item x="99"/>
        <item x="103"/>
        <item x="104"/>
        <item x="109"/>
        <item x="122"/>
        <item x="123"/>
        <item x="110"/>
        <item x="114"/>
        <item x="115"/>
        <item x="112"/>
        <item x="120"/>
        <item x="121"/>
        <item x="111"/>
        <item x="60"/>
        <item x="107"/>
        <item x="118"/>
        <item x="117"/>
        <item x="106"/>
        <item x="119"/>
        <item x="116"/>
        <item x="124"/>
        <item x="132"/>
        <item x="131"/>
        <item x="129"/>
        <item x="133"/>
        <item x="127"/>
        <item x="125"/>
        <item x="126"/>
        <item x="128"/>
        <item x="113"/>
        <item x="130"/>
        <item x="134"/>
        <item x="135"/>
        <item x="139"/>
        <item x="136"/>
        <item x="140"/>
        <item x="144"/>
        <item x="137"/>
        <item x="138"/>
        <item x="141"/>
        <item x="143"/>
        <item x="145"/>
        <item x="94"/>
        <item x="108"/>
        <item x="146"/>
        <item x="147"/>
        <item x="148"/>
        <item x="93"/>
        <item x="100"/>
        <item x="185"/>
        <item x="189"/>
        <item x="156"/>
        <item x="160"/>
        <item x="149"/>
        <item x="151"/>
        <item x="158"/>
        <item x="166"/>
        <item x="154"/>
        <item x="152"/>
        <item x="162"/>
        <item x="163"/>
        <item x="153"/>
        <item x="157"/>
        <item x="191"/>
        <item x="159"/>
        <item x="54"/>
        <item x="101"/>
        <item x="150"/>
        <item x="161"/>
        <item x="164"/>
        <item x="30"/>
        <item x="167"/>
        <item x="177"/>
        <item x="171"/>
        <item x="170"/>
        <item x="62"/>
        <item x="173"/>
        <item x="169"/>
        <item x="174"/>
        <item x="175"/>
        <item x="176"/>
        <item x="172"/>
        <item x="178"/>
        <item x="180"/>
        <item x="181"/>
        <item x="4"/>
        <item x="179"/>
        <item x="183"/>
        <item x="182"/>
        <item x="184"/>
        <item x="188"/>
        <item x="186"/>
        <item x="187"/>
        <item x="190"/>
        <item x="192"/>
        <item x="193"/>
        <item x="195"/>
        <item t="default"/>
      </items>
    </pivotField>
    <pivotField showAll="0"/>
  </pivotFields>
  <rowFields count="1">
    <field x="12"/>
  </rowFields>
  <rowItems count="6">
    <i>
      <x v="37"/>
    </i>
    <i>
      <x v="79"/>
    </i>
    <i>
      <x v="80"/>
    </i>
    <i>
      <x v="144"/>
    </i>
    <i>
      <x v="186"/>
    </i>
    <i t="grand">
      <x/>
    </i>
  </rowItems>
  <colItems count="1">
    <i/>
  </colItems>
  <dataFields count="1">
    <dataField name="Sum of acm.mean" fld="7" baseField="12" baseItem="37"/>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37"/>
          </reference>
        </references>
      </pivotArea>
    </chartFormat>
    <chartFormat chart="3" format="2">
      <pivotArea type="data" outline="0" fieldPosition="0">
        <references count="2">
          <reference field="4294967294" count="1" selected="0">
            <x v="0"/>
          </reference>
          <reference field="12" count="1" selected="0">
            <x v="79"/>
          </reference>
        </references>
      </pivotArea>
    </chartFormat>
    <chartFormat chart="3" format="3">
      <pivotArea type="data" outline="0" fieldPosition="0">
        <references count="2">
          <reference field="4294967294" count="1" selected="0">
            <x v="0"/>
          </reference>
          <reference field="12" count="1" selected="0">
            <x v="80"/>
          </reference>
        </references>
      </pivotArea>
    </chartFormat>
    <chartFormat chart="3" format="4">
      <pivotArea type="data" outline="0" fieldPosition="0">
        <references count="2">
          <reference field="4294967294" count="1" selected="0">
            <x v="0"/>
          </reference>
          <reference field="12" count="1" selected="0">
            <x v="144"/>
          </reference>
        </references>
      </pivotArea>
    </chartFormat>
    <chartFormat chart="3" format="5">
      <pivotArea type="data" outline="0" fieldPosition="0">
        <references count="2">
          <reference field="4294967294" count="1" selected="0">
            <x v="0"/>
          </reference>
          <reference field="12" count="1" selected="0">
            <x v="186"/>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318BD17-7A8A-4F60-9A80-B6764FFC37F4}" sourceName="year">
  <pivotTables>
    <pivotTable tabId="4" name="PivotTable2"/>
    <pivotTable tabId="4" name="PivotTable1"/>
    <pivotTable tabId="4" name="PivotTable3"/>
    <pivotTable tabId="4" name="PivotTable4"/>
  </pivotTables>
  <data>
    <tabular pivotCacheId="813010815">
      <items count="3">
        <i x="0" s="1"/>
        <i x="1"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7B1DECFC-61DD-4BB5-8936-6DF17797C822}" sourceName="Country2">
  <pivotTables>
    <pivotTable tabId="4" name="PivotTable2"/>
    <pivotTable tabId="4" name="PivotTable1"/>
    <pivotTable tabId="4" name="PivotTable3"/>
    <pivotTable tabId="4" name="PivotTable4"/>
  </pivotTables>
  <data>
    <tabular pivotCacheId="813010815">
      <items count="196">
        <i x="0" s="1"/>
        <i x="2" s="1"/>
        <i x="50" s="1"/>
        <i x="3" s="1"/>
        <i x="1" s="1"/>
        <i x="7" s="1"/>
        <i x="5" s="1"/>
        <i x="6" s="1"/>
        <i x="8" s="1"/>
        <i x="9" s="1"/>
        <i x="10" s="1"/>
        <i x="18" s="1"/>
        <i x="17" s="1"/>
        <i x="15" s="1"/>
        <i x="24" s="1"/>
        <i x="20" s="1"/>
        <i x="12" s="1"/>
        <i x="21" s="1"/>
        <i x="13" s="1"/>
        <i x="26" s="1"/>
        <i x="22" s="1"/>
        <i x="19" s="1"/>
        <i x="27" s="1"/>
        <i x="23" s="1"/>
        <i x="25" s="1"/>
        <i x="16" s="1"/>
        <i x="14" s="1"/>
        <i x="11" s="1"/>
        <i x="33" s="1"/>
        <i x="40" s="1"/>
        <i x="91" s="1"/>
        <i x="34" s="1"/>
        <i x="29" s="1"/>
        <i x="28" s="1"/>
        <i x="168" s="1"/>
        <i x="31" s="1"/>
        <i x="32" s="1"/>
        <i x="38" s="1"/>
        <i x="39" s="1"/>
        <i x="36" s="1"/>
        <i x="37" s="1"/>
        <i x="41" s="1"/>
        <i x="74" s="1"/>
        <i x="42" s="1"/>
        <i x="43" s="1"/>
        <i x="44" s="1"/>
        <i x="142" s="1"/>
        <i x="35" s="1"/>
        <i x="48" s="1"/>
        <i x="46" s="1"/>
        <i x="47" s="1"/>
        <i x="49" s="1"/>
        <i x="51" s="1"/>
        <i x="52" s="1"/>
        <i x="155" s="1"/>
        <i x="68" s="1"/>
        <i x="53" s="1"/>
        <i x="55" s="1"/>
        <i x="165" s="1"/>
        <i x="56" s="1"/>
        <i x="58" s="1"/>
        <i x="57" s="1"/>
        <i x="59" s="1"/>
        <i x="61" s="1"/>
        <i x="66" s="1"/>
        <i x="63" s="1"/>
        <i x="45" s="1"/>
        <i x="64" s="1"/>
        <i x="69" s="1"/>
        <i x="70" s="1"/>
        <i x="71" s="1"/>
        <i x="65" s="1"/>
        <i x="67" s="1"/>
        <i x="72" s="1"/>
        <i x="75" s="1"/>
        <i x="73" s="1"/>
        <i x="76" s="1"/>
        <i x="82" s="1"/>
        <i x="78" s="1"/>
        <i x="77" s="1"/>
        <i x="80" s="1"/>
        <i x="81" s="1"/>
        <i x="79" s="1"/>
        <i x="83" s="1"/>
        <i x="84" s="1"/>
        <i x="85" s="1"/>
        <i x="87" s="1"/>
        <i x="86" s="1"/>
        <i x="88" s="1"/>
        <i x="89" s="1"/>
        <i x="92" s="1"/>
        <i x="95" s="1"/>
        <i x="90" s="1"/>
        <i x="96" s="1"/>
        <i x="105" s="1"/>
        <i x="97" s="1"/>
        <i x="102" s="1"/>
        <i x="98" s="1"/>
        <i x="99" s="1"/>
        <i x="103" s="1"/>
        <i x="104" s="1"/>
        <i x="109" s="1"/>
        <i x="122" s="1"/>
        <i x="123" s="1"/>
        <i x="110" s="1"/>
        <i x="114" s="1"/>
        <i x="115" s="1"/>
        <i x="112" s="1"/>
        <i x="120" s="1"/>
        <i x="121" s="1"/>
        <i x="111" s="1"/>
        <i x="60" s="1"/>
        <i x="107" s="1"/>
        <i x="118" s="1"/>
        <i x="117" s="1"/>
        <i x="106" s="1"/>
        <i x="119" s="1"/>
        <i x="116" s="1"/>
        <i x="124" s="1"/>
        <i x="132" s="1"/>
        <i x="131" s="1"/>
        <i x="129" s="1"/>
        <i x="133" s="1"/>
        <i x="127" s="1"/>
        <i x="125" s="1"/>
        <i x="126" s="1"/>
        <i x="128" s="1"/>
        <i x="113" s="1"/>
        <i x="130" s="1"/>
        <i x="134" s="1"/>
        <i x="135" s="1"/>
        <i x="139" s="1"/>
        <i x="136" s="1"/>
        <i x="140" s="1"/>
        <i x="144" s="1"/>
        <i x="137" s="1"/>
        <i x="138" s="1"/>
        <i x="141" s="1"/>
        <i x="143" s="1"/>
        <i x="145" s="1"/>
        <i x="94" s="1"/>
        <i x="108" s="1"/>
        <i x="146" s="1"/>
        <i x="147" s="1"/>
        <i x="148" s="1"/>
        <i x="93" s="1"/>
        <i x="100" s="1"/>
        <i x="185" s="1"/>
        <i x="189" s="1"/>
        <i x="156" s="1"/>
        <i x="160" s="1"/>
        <i x="149" s="1"/>
        <i x="151" s="1"/>
        <i x="158" s="1"/>
        <i x="166" s="1"/>
        <i x="154" s="1"/>
        <i x="152" s="1"/>
        <i x="162" s="1"/>
        <i x="163" s="1"/>
        <i x="153" s="1"/>
        <i x="157" s="1"/>
        <i x="191" s="1"/>
        <i x="159" s="1"/>
        <i x="54" s="1"/>
        <i x="101" s="1"/>
        <i x="150" s="1"/>
        <i x="161" s="1"/>
        <i x="164" s="1"/>
        <i x="30" s="1"/>
        <i x="167" s="1"/>
        <i x="177" s="1"/>
        <i x="171" s="1"/>
        <i x="170" s="1"/>
        <i x="62" s="1"/>
        <i x="173" s="1"/>
        <i x="169" s="1"/>
        <i x="174" s="1"/>
        <i x="175" s="1"/>
        <i x="176" s="1"/>
        <i x="172" s="1"/>
        <i x="178" s="1"/>
        <i x="180" s="1"/>
        <i x="181" s="1"/>
        <i x="4" s="1"/>
        <i x="179" s="1"/>
        <i x="183" s="1"/>
        <i x="182" s="1"/>
        <i x="184" s="1"/>
        <i x="188" s="1"/>
        <i x="186" s="1"/>
        <i x="187" s="1"/>
        <i x="190" s="1"/>
        <i x="192" s="1"/>
        <i x="193" s="1"/>
        <i x="194" s="1" nd="1"/>
        <i x="19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FC29D60-7687-4FE7-85F1-DF4A54586F80}" cache="Slicer_year" caption="year" rowHeight="234950"/>
  <slicer name="Country2" xr10:uid="{57071E3A-AA50-459F-B2BD-B85FDCC502D4}" cache="Slicer_Country2" caption="Country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57"/>
  <sheetViews>
    <sheetView tabSelected="1" workbookViewId="0">
      <selection activeCell="M2" sqref="M2"/>
    </sheetView>
  </sheetViews>
  <sheetFormatPr defaultRowHeight="14.4" x14ac:dyDescent="0.3"/>
  <cols>
    <col min="1" max="1" width="15.5546875" style="1" customWidth="1"/>
    <col min="2" max="2" width="8.88671875" style="1"/>
    <col min="3" max="4" width="8.88671875" style="10"/>
    <col min="5" max="6" width="8.88671875" style="1"/>
    <col min="7" max="7" width="18.5546875" style="10" bestFit="1" customWidth="1"/>
    <col min="8" max="8" width="14.33203125" style="10" bestFit="1" customWidth="1"/>
    <col min="9" max="9" width="17.109375" style="10" bestFit="1" customWidth="1"/>
    <col min="10" max="10" width="23.109375" style="10" bestFit="1" customWidth="1"/>
    <col min="11" max="11" width="21.21875" style="10" bestFit="1" customWidth="1"/>
    <col min="12" max="12" width="22" style="10" bestFit="1" customWidth="1"/>
    <col min="13" max="13" width="22" customWidth="1"/>
    <col min="14" max="14" width="14.6640625" style="1" bestFit="1" customWidth="1"/>
  </cols>
  <sheetData>
    <row r="1" spans="1:14" x14ac:dyDescent="0.3">
      <c r="A1" s="5" t="s">
        <v>396</v>
      </c>
      <c r="B1" s="5" t="s">
        <v>0</v>
      </c>
      <c r="C1" s="6" t="s">
        <v>1</v>
      </c>
      <c r="D1" s="6" t="s">
        <v>397</v>
      </c>
      <c r="E1" s="2" t="s">
        <v>401</v>
      </c>
      <c r="F1" s="2" t="s">
        <v>2</v>
      </c>
      <c r="G1" s="6" t="s">
        <v>3</v>
      </c>
      <c r="H1" s="6" t="s">
        <v>4</v>
      </c>
      <c r="I1" s="6" t="s">
        <v>5</v>
      </c>
      <c r="J1" s="6" t="s">
        <v>398</v>
      </c>
      <c r="K1" s="6" t="s">
        <v>399</v>
      </c>
      <c r="L1" s="6" t="s">
        <v>400</v>
      </c>
      <c r="M1" s="7" t="s">
        <v>396</v>
      </c>
      <c r="N1" s="2" t="s">
        <v>402</v>
      </c>
    </row>
    <row r="2" spans="1:14" x14ac:dyDescent="0.3">
      <c r="A2" s="3" t="s">
        <v>6</v>
      </c>
      <c r="B2" s="3" t="s">
        <v>7</v>
      </c>
      <c r="C2" s="8">
        <v>2020</v>
      </c>
      <c r="D2" s="8">
        <v>1</v>
      </c>
      <c r="E2" s="3" t="str">
        <f t="shared" ref="E2:E65" si="0">TEXT(DATE(C2,D2,1),"MMMM")</f>
        <v>January</v>
      </c>
      <c r="F2" s="3" t="s">
        <v>8</v>
      </c>
      <c r="G2" s="8">
        <v>23088.21545</v>
      </c>
      <c r="H2" s="8">
        <v>23425.106</v>
      </c>
      <c r="I2" s="8">
        <v>336.89054900000002</v>
      </c>
      <c r="J2" s="8">
        <v>336.89054900000002</v>
      </c>
      <c r="K2" s="8">
        <v>-5112.7112379999999</v>
      </c>
      <c r="L2" s="8">
        <v>7461.8176039999998</v>
      </c>
      <c r="M2" s="9" t="str">
        <f>IF(A2="",M3,A2)</f>
        <v>Afghanistan</v>
      </c>
      <c r="N2" s="3" t="str">
        <f t="shared" ref="N2:N65" si="1">TEXT(DATE(C2,D2,1),"MMM-YYYY")</f>
        <v>Jan-2020</v>
      </c>
    </row>
    <row r="3" spans="1:14" x14ac:dyDescent="0.3">
      <c r="A3" s="3" t="s">
        <v>6</v>
      </c>
      <c r="B3" s="3" t="s">
        <v>7</v>
      </c>
      <c r="C3" s="8">
        <v>2020</v>
      </c>
      <c r="D3" s="8">
        <v>2</v>
      </c>
      <c r="E3" s="3" t="str">
        <f t="shared" si="0"/>
        <v>February</v>
      </c>
      <c r="F3" s="3" t="s">
        <v>8</v>
      </c>
      <c r="G3" s="8">
        <v>22412.029750000002</v>
      </c>
      <c r="H3" s="8">
        <v>22461.347000000002</v>
      </c>
      <c r="I3" s="8">
        <v>49.317245890000002</v>
      </c>
      <c r="J3" s="8">
        <v>386.20779490000001</v>
      </c>
      <c r="K3" s="8">
        <v>-7457.7148459999999</v>
      </c>
      <c r="L3" s="8">
        <v>9907.2320230000005</v>
      </c>
      <c r="M3" s="9" t="str">
        <f>IF(A3="",M4,A3)</f>
        <v>Afghanistan</v>
      </c>
      <c r="N3" s="3" t="str">
        <f t="shared" si="1"/>
        <v>Feb-2020</v>
      </c>
    </row>
    <row r="4" spans="1:14" x14ac:dyDescent="0.3">
      <c r="A4" s="3" t="s">
        <v>6</v>
      </c>
      <c r="B4" s="3" t="s">
        <v>7</v>
      </c>
      <c r="C4" s="8">
        <v>2020</v>
      </c>
      <c r="D4" s="8">
        <v>3</v>
      </c>
      <c r="E4" s="3" t="str">
        <f t="shared" si="0"/>
        <v>March</v>
      </c>
      <c r="F4" s="3" t="s">
        <v>8</v>
      </c>
      <c r="G4" s="8">
        <v>21921.163120000001</v>
      </c>
      <c r="H4" s="8">
        <v>20938.806</v>
      </c>
      <c r="I4" s="8">
        <v>-982.35712190000004</v>
      </c>
      <c r="J4" s="8">
        <v>-596.14932699999997</v>
      </c>
      <c r="K4" s="8">
        <v>-10256.391949999999</v>
      </c>
      <c r="L4" s="8">
        <v>10302.902319999999</v>
      </c>
      <c r="M4" s="9" t="str">
        <f>IF(A4="",M5,A4)</f>
        <v>Afghanistan</v>
      </c>
      <c r="N4" s="3" t="str">
        <f t="shared" si="1"/>
        <v>Mar-2020</v>
      </c>
    </row>
    <row r="5" spans="1:14" x14ac:dyDescent="0.3">
      <c r="A5" s="3" t="s">
        <v>6</v>
      </c>
      <c r="B5" s="3" t="s">
        <v>7</v>
      </c>
      <c r="C5" s="8">
        <v>2020</v>
      </c>
      <c r="D5" s="8">
        <v>4</v>
      </c>
      <c r="E5" s="3" t="str">
        <f t="shared" si="0"/>
        <v>April</v>
      </c>
      <c r="F5" s="3" t="s">
        <v>8</v>
      </c>
      <c r="G5" s="8">
        <v>21207.45767</v>
      </c>
      <c r="H5" s="8">
        <v>20136.824000000001</v>
      </c>
      <c r="I5" s="8">
        <v>-1070.6336679999999</v>
      </c>
      <c r="J5" s="8">
        <v>-1666.782995</v>
      </c>
      <c r="K5" s="8">
        <v>-13095.632240000001</v>
      </c>
      <c r="L5" s="8">
        <v>10995.879269999999</v>
      </c>
      <c r="M5" s="9" t="str">
        <f>IF(A5="",M6,A5)</f>
        <v>Afghanistan</v>
      </c>
      <c r="N5" s="3" t="str">
        <f t="shared" si="1"/>
        <v>Apr-2020</v>
      </c>
    </row>
    <row r="6" spans="1:14" x14ac:dyDescent="0.3">
      <c r="A6" s="3" t="s">
        <v>6</v>
      </c>
      <c r="B6" s="3" t="s">
        <v>7</v>
      </c>
      <c r="C6" s="8">
        <v>2020</v>
      </c>
      <c r="D6" s="8">
        <v>5</v>
      </c>
      <c r="E6" s="3" t="str">
        <f t="shared" si="0"/>
        <v>May</v>
      </c>
      <c r="F6" s="3" t="s">
        <v>8</v>
      </c>
      <c r="G6" s="8">
        <v>20485.264650000001</v>
      </c>
      <c r="H6" s="8">
        <v>21559.31</v>
      </c>
      <c r="I6" s="8">
        <v>1074.0453540000001</v>
      </c>
      <c r="J6" s="8">
        <v>-592.73764110000002</v>
      </c>
      <c r="K6" s="8">
        <v>-13314.82445</v>
      </c>
      <c r="L6" s="8">
        <v>14423.64327</v>
      </c>
      <c r="M6" s="9" t="str">
        <f>IF(A6="",M7,A6)</f>
        <v>Afghanistan</v>
      </c>
      <c r="N6" s="3" t="str">
        <f t="shared" si="1"/>
        <v>May-2020</v>
      </c>
    </row>
    <row r="7" spans="1:14" x14ac:dyDescent="0.3">
      <c r="A7" s="3" t="s">
        <v>6</v>
      </c>
      <c r="B7" s="3" t="s">
        <v>7</v>
      </c>
      <c r="C7" s="8">
        <v>2020</v>
      </c>
      <c r="D7" s="8">
        <v>6</v>
      </c>
      <c r="E7" s="3" t="str">
        <f t="shared" si="0"/>
        <v>June</v>
      </c>
      <c r="F7" s="3" t="s">
        <v>8</v>
      </c>
      <c r="G7" s="8">
        <v>19873.239310000001</v>
      </c>
      <c r="H7" s="8">
        <v>23752.624</v>
      </c>
      <c r="I7" s="8">
        <v>3879.3846899999999</v>
      </c>
      <c r="J7" s="8">
        <v>3286.6470490000002</v>
      </c>
      <c r="K7" s="8">
        <v>-10646.009120000001</v>
      </c>
      <c r="L7" s="8">
        <v>18775.610710000001</v>
      </c>
      <c r="M7" s="9" t="str">
        <f>IF(A7="",M8,A7)</f>
        <v>Afghanistan</v>
      </c>
      <c r="N7" s="3" t="str">
        <f t="shared" si="1"/>
        <v>Jun-2020</v>
      </c>
    </row>
    <row r="8" spans="1:14" x14ac:dyDescent="0.3">
      <c r="A8" s="3" t="s">
        <v>6</v>
      </c>
      <c r="B8" s="3" t="s">
        <v>7</v>
      </c>
      <c r="C8" s="8">
        <v>2020</v>
      </c>
      <c r="D8" s="8">
        <v>7</v>
      </c>
      <c r="E8" s="3" t="str">
        <f t="shared" si="0"/>
        <v>July</v>
      </c>
      <c r="F8" s="3" t="s">
        <v>8</v>
      </c>
      <c r="G8" s="8">
        <v>19623.200349999999</v>
      </c>
      <c r="H8" s="8">
        <v>24604.503000000001</v>
      </c>
      <c r="I8" s="8">
        <v>4981.3026529999997</v>
      </c>
      <c r="J8" s="8">
        <v>8267.9497019999999</v>
      </c>
      <c r="K8" s="8">
        <v>-7218.7751490000001</v>
      </c>
      <c r="L8" s="8">
        <v>26140.865160000001</v>
      </c>
      <c r="M8" s="9" t="str">
        <f>IF(A8="",M9,A8)</f>
        <v>Afghanistan</v>
      </c>
      <c r="N8" s="3" t="str">
        <f t="shared" si="1"/>
        <v>Jul-2020</v>
      </c>
    </row>
    <row r="9" spans="1:14" x14ac:dyDescent="0.3">
      <c r="A9" s="3" t="s">
        <v>6</v>
      </c>
      <c r="B9" s="3" t="s">
        <v>7</v>
      </c>
      <c r="C9" s="8">
        <v>2020</v>
      </c>
      <c r="D9" s="8">
        <v>8</v>
      </c>
      <c r="E9" s="3" t="str">
        <f t="shared" si="0"/>
        <v>August</v>
      </c>
      <c r="F9" s="3" t="s">
        <v>8</v>
      </c>
      <c r="G9" s="8">
        <v>19776.864269999998</v>
      </c>
      <c r="H9" s="8">
        <v>23194.142</v>
      </c>
      <c r="I9" s="8">
        <v>3417.2777329999999</v>
      </c>
      <c r="J9" s="8">
        <v>11685.227430000001</v>
      </c>
      <c r="K9" s="8">
        <v>-4423.9713359999996</v>
      </c>
      <c r="L9" s="8">
        <v>30663.573079999998</v>
      </c>
      <c r="M9" s="9" t="str">
        <f>IF(A9="",M10,A9)</f>
        <v>Afghanistan</v>
      </c>
      <c r="N9" s="3" t="str">
        <f t="shared" si="1"/>
        <v>Aug-2020</v>
      </c>
    </row>
    <row r="10" spans="1:14" x14ac:dyDescent="0.3">
      <c r="A10" s="3" t="s">
        <v>6</v>
      </c>
      <c r="B10" s="3" t="s">
        <v>7</v>
      </c>
      <c r="C10" s="8">
        <v>2020</v>
      </c>
      <c r="D10" s="8">
        <v>9</v>
      </c>
      <c r="E10" s="3" t="str">
        <f t="shared" si="0"/>
        <v>September</v>
      </c>
      <c r="F10" s="3" t="s">
        <v>8</v>
      </c>
      <c r="G10" s="8">
        <v>20539.985260000001</v>
      </c>
      <c r="H10" s="8">
        <v>23147.289000000001</v>
      </c>
      <c r="I10" s="8">
        <v>2607.3037420000001</v>
      </c>
      <c r="J10" s="8">
        <v>14292.53118</v>
      </c>
      <c r="K10" s="8">
        <v>-3241.6800450000001</v>
      </c>
      <c r="L10" s="8">
        <v>34629.55126</v>
      </c>
      <c r="M10" s="9" t="str">
        <f>IF(A10="",M11,A10)</f>
        <v>Afghanistan</v>
      </c>
      <c r="N10" s="3" t="str">
        <f t="shared" si="1"/>
        <v>Sep-2020</v>
      </c>
    </row>
    <row r="11" spans="1:14" x14ac:dyDescent="0.3">
      <c r="A11" s="3" t="s">
        <v>6</v>
      </c>
      <c r="B11" s="3" t="s">
        <v>7</v>
      </c>
      <c r="C11" s="8">
        <v>2020</v>
      </c>
      <c r="D11" s="8">
        <v>10</v>
      </c>
      <c r="E11" s="3" t="str">
        <f t="shared" si="0"/>
        <v>October</v>
      </c>
      <c r="F11" s="3" t="s">
        <v>8</v>
      </c>
      <c r="G11" s="8">
        <v>21380.608789999998</v>
      </c>
      <c r="H11" s="8">
        <v>24526.018</v>
      </c>
      <c r="I11" s="8">
        <v>3145.4092099999998</v>
      </c>
      <c r="J11" s="8">
        <v>17437.94039</v>
      </c>
      <c r="K11" s="8">
        <v>-1574.1003430000001</v>
      </c>
      <c r="L11" s="8">
        <v>38156.698960000002</v>
      </c>
      <c r="M11" s="9" t="str">
        <f>IF(A11="",M12,A11)</f>
        <v>Afghanistan</v>
      </c>
      <c r="N11" s="3" t="str">
        <f t="shared" si="1"/>
        <v>Oct-2020</v>
      </c>
    </row>
    <row r="12" spans="1:14" x14ac:dyDescent="0.3">
      <c r="A12" s="3"/>
      <c r="B12" s="3" t="s">
        <v>7</v>
      </c>
      <c r="C12" s="8">
        <v>2020</v>
      </c>
      <c r="D12" s="8">
        <v>11</v>
      </c>
      <c r="E12" s="3" t="str">
        <f t="shared" si="0"/>
        <v>November</v>
      </c>
      <c r="F12" s="3" t="s">
        <v>8</v>
      </c>
      <c r="G12" s="8">
        <v>22260.33713</v>
      </c>
      <c r="H12" s="8">
        <v>27087.067999999999</v>
      </c>
      <c r="I12" s="8">
        <v>4826.7308659999999</v>
      </c>
      <c r="J12" s="8">
        <v>22264.671249999999</v>
      </c>
      <c r="K12" s="8">
        <v>1965.1710029999999</v>
      </c>
      <c r="L12" s="8">
        <v>45444.600050000001</v>
      </c>
      <c r="M12" s="11" t="str">
        <f>IF(A12="",M13,A12)</f>
        <v>Afghanistan</v>
      </c>
      <c r="N12" s="3" t="str">
        <f t="shared" si="1"/>
        <v>Nov-2020</v>
      </c>
    </row>
    <row r="13" spans="1:14" x14ac:dyDescent="0.3">
      <c r="A13" s="3" t="s">
        <v>6</v>
      </c>
      <c r="B13" s="3" t="s">
        <v>7</v>
      </c>
      <c r="C13" s="8">
        <v>2020</v>
      </c>
      <c r="D13" s="8">
        <v>12</v>
      </c>
      <c r="E13" s="3" t="str">
        <f t="shared" si="0"/>
        <v>December</v>
      </c>
      <c r="F13" s="3" t="s">
        <v>8</v>
      </c>
      <c r="G13" s="8">
        <v>22982.159220000001</v>
      </c>
      <c r="H13" s="8">
        <v>27671.437000000002</v>
      </c>
      <c r="I13" s="8">
        <v>4689.2777820000001</v>
      </c>
      <c r="J13" s="8">
        <v>26953.94903</v>
      </c>
      <c r="K13" s="8">
        <v>4791.7814019999996</v>
      </c>
      <c r="L13" s="8">
        <v>51031.422579999999</v>
      </c>
      <c r="M13" s="9" t="str">
        <f>IF(A13="",M14,A13)</f>
        <v>Afghanistan</v>
      </c>
      <c r="N13" s="3" t="str">
        <f t="shared" si="1"/>
        <v>Dec-2020</v>
      </c>
    </row>
    <row r="14" spans="1:14" x14ac:dyDescent="0.3">
      <c r="A14" s="3" t="s">
        <v>6</v>
      </c>
      <c r="B14" s="3" t="s">
        <v>7</v>
      </c>
      <c r="C14" s="8">
        <v>2021</v>
      </c>
      <c r="D14" s="8">
        <v>1</v>
      </c>
      <c r="E14" s="3" t="str">
        <f t="shared" si="0"/>
        <v>January</v>
      </c>
      <c r="F14" s="3" t="s">
        <v>8</v>
      </c>
      <c r="G14" s="8">
        <v>23144.65741</v>
      </c>
      <c r="H14" s="8">
        <v>25547.51</v>
      </c>
      <c r="I14" s="8">
        <v>2402.85259</v>
      </c>
      <c r="J14" s="8">
        <v>29356.801619999998</v>
      </c>
      <c r="K14" s="8">
        <v>6036.2447679999996</v>
      </c>
      <c r="L14" s="8">
        <v>54005.940499999997</v>
      </c>
      <c r="M14" s="9" t="str">
        <f>IF(A14="",M15,A14)</f>
        <v>Afghanistan</v>
      </c>
      <c r="N14" s="3" t="str">
        <f t="shared" si="1"/>
        <v>Jan-2021</v>
      </c>
    </row>
    <row r="15" spans="1:14" x14ac:dyDescent="0.3">
      <c r="A15" s="3" t="s">
        <v>6</v>
      </c>
      <c r="B15" s="3" t="s">
        <v>7</v>
      </c>
      <c r="C15" s="8">
        <v>2021</v>
      </c>
      <c r="D15" s="8">
        <v>2</v>
      </c>
      <c r="E15" s="3" t="str">
        <f t="shared" si="0"/>
        <v>February</v>
      </c>
      <c r="F15" s="3" t="s">
        <v>8</v>
      </c>
      <c r="G15" s="8">
        <v>22441.710340000001</v>
      </c>
      <c r="H15" s="8">
        <v>23130.017</v>
      </c>
      <c r="I15" s="8">
        <v>688.30665820000002</v>
      </c>
      <c r="J15" s="8">
        <v>30045.10828</v>
      </c>
      <c r="K15" s="8">
        <v>7230.4647889999997</v>
      </c>
      <c r="L15" s="8">
        <v>55260.722529999999</v>
      </c>
      <c r="M15" s="9" t="str">
        <f>IF(A15="",M16,A15)</f>
        <v>Afghanistan</v>
      </c>
      <c r="N15" s="3" t="str">
        <f t="shared" si="1"/>
        <v>Feb-2021</v>
      </c>
    </row>
    <row r="16" spans="1:14" x14ac:dyDescent="0.3">
      <c r="A16" s="3" t="s">
        <v>6</v>
      </c>
      <c r="B16" s="3" t="s">
        <v>7</v>
      </c>
      <c r="C16" s="8">
        <v>2021</v>
      </c>
      <c r="D16" s="8">
        <v>3</v>
      </c>
      <c r="E16" s="3" t="str">
        <f t="shared" si="0"/>
        <v>March</v>
      </c>
      <c r="F16" s="3" t="s">
        <v>8</v>
      </c>
      <c r="G16" s="8">
        <v>21945.565620000001</v>
      </c>
      <c r="H16" s="8">
        <v>22786.219000000001</v>
      </c>
      <c r="I16" s="8">
        <v>840.65338450000002</v>
      </c>
      <c r="J16" s="8">
        <v>30885.76167</v>
      </c>
      <c r="K16" s="8">
        <v>5632.479824</v>
      </c>
      <c r="L16" s="8">
        <v>58317.715400000001</v>
      </c>
      <c r="M16" s="9" t="str">
        <f>IF(A16="",M17,A16)</f>
        <v>Afghanistan</v>
      </c>
      <c r="N16" s="3" t="str">
        <f t="shared" si="1"/>
        <v>Mar-2021</v>
      </c>
    </row>
    <row r="17" spans="1:14" x14ac:dyDescent="0.3">
      <c r="A17" s="3" t="s">
        <v>6</v>
      </c>
      <c r="B17" s="3" t="s">
        <v>7</v>
      </c>
      <c r="C17" s="8">
        <v>2021</v>
      </c>
      <c r="D17" s="8">
        <v>4</v>
      </c>
      <c r="E17" s="3" t="str">
        <f t="shared" si="0"/>
        <v>April</v>
      </c>
      <c r="F17" s="3" t="s">
        <v>8</v>
      </c>
      <c r="G17" s="8">
        <v>21261.34043</v>
      </c>
      <c r="H17" s="8">
        <v>23741.436000000002</v>
      </c>
      <c r="I17" s="8">
        <v>2480.095566</v>
      </c>
      <c r="J17" s="8">
        <v>33365.857230000001</v>
      </c>
      <c r="K17" s="8">
        <v>8310.910425</v>
      </c>
      <c r="L17" s="8">
        <v>62380.467810000002</v>
      </c>
      <c r="M17" s="9" t="str">
        <f>IF(A17="",M18,A17)</f>
        <v>Afghanistan</v>
      </c>
      <c r="N17" s="3" t="str">
        <f t="shared" si="1"/>
        <v>Apr-2021</v>
      </c>
    </row>
    <row r="18" spans="1:14" x14ac:dyDescent="0.3">
      <c r="A18" s="3" t="s">
        <v>6</v>
      </c>
      <c r="B18" s="3" t="s">
        <v>7</v>
      </c>
      <c r="C18" s="8">
        <v>2021</v>
      </c>
      <c r="D18" s="8">
        <v>5</v>
      </c>
      <c r="E18" s="3" t="str">
        <f t="shared" si="0"/>
        <v>May</v>
      </c>
      <c r="F18" s="3" t="s">
        <v>8</v>
      </c>
      <c r="G18" s="8">
        <v>20523.80601</v>
      </c>
      <c r="H18" s="8">
        <v>23868.54</v>
      </c>
      <c r="I18" s="8">
        <v>3344.7339919999999</v>
      </c>
      <c r="J18" s="8">
        <v>36710.591229999998</v>
      </c>
      <c r="K18" s="8">
        <v>10643.3534</v>
      </c>
      <c r="L18" s="8">
        <v>66496.159780000002</v>
      </c>
      <c r="M18" s="9" t="str">
        <f>IF(A18="",M19,A18)</f>
        <v>Afghanistan</v>
      </c>
      <c r="N18" s="3" t="str">
        <f t="shared" si="1"/>
        <v>May-2021</v>
      </c>
    </row>
    <row r="19" spans="1:14" x14ac:dyDescent="0.3">
      <c r="A19" s="3" t="s">
        <v>6</v>
      </c>
      <c r="B19" s="3" t="s">
        <v>7</v>
      </c>
      <c r="C19" s="8">
        <v>2021</v>
      </c>
      <c r="D19" s="8">
        <v>6</v>
      </c>
      <c r="E19" s="3" t="str">
        <f t="shared" si="0"/>
        <v>June</v>
      </c>
      <c r="F19" s="3" t="s">
        <v>8</v>
      </c>
      <c r="G19" s="8">
        <v>19904.227599999998</v>
      </c>
      <c r="H19" s="8">
        <v>26549.474999999999</v>
      </c>
      <c r="I19" s="8">
        <v>6645.2473970000001</v>
      </c>
      <c r="J19" s="8">
        <v>43355.838620000002</v>
      </c>
      <c r="K19" s="8">
        <v>16068.99193</v>
      </c>
      <c r="L19" s="8">
        <v>73034.018660000002</v>
      </c>
      <c r="M19" s="9" t="str">
        <f>IF(A19="",M20,A19)</f>
        <v>Afghanistan</v>
      </c>
      <c r="N19" s="3" t="str">
        <f t="shared" si="1"/>
        <v>Jun-2021</v>
      </c>
    </row>
    <row r="20" spans="1:14" x14ac:dyDescent="0.3">
      <c r="A20" s="3" t="s">
        <v>6</v>
      </c>
      <c r="B20" s="3" t="s">
        <v>7</v>
      </c>
      <c r="C20" s="8">
        <v>2021</v>
      </c>
      <c r="D20" s="8">
        <v>7</v>
      </c>
      <c r="E20" s="3" t="str">
        <f t="shared" si="0"/>
        <v>July</v>
      </c>
      <c r="F20" s="3" t="s">
        <v>8</v>
      </c>
      <c r="G20" s="8">
        <v>19663.612580000001</v>
      </c>
      <c r="H20" s="8">
        <v>26299.375</v>
      </c>
      <c r="I20" s="8">
        <v>6635.7624169999999</v>
      </c>
      <c r="J20" s="8">
        <v>49991.601040000001</v>
      </c>
      <c r="K20" s="8">
        <v>21577.098020000001</v>
      </c>
      <c r="L20" s="8">
        <v>80787.939190000005</v>
      </c>
      <c r="M20" s="9" t="str">
        <f>IF(A20="",M21,A20)</f>
        <v>Afghanistan</v>
      </c>
      <c r="N20" s="3" t="str">
        <f t="shared" si="1"/>
        <v>Jul-2021</v>
      </c>
    </row>
    <row r="21" spans="1:14" x14ac:dyDescent="0.3">
      <c r="A21" s="3" t="s">
        <v>6</v>
      </c>
      <c r="B21" s="3" t="s">
        <v>7</v>
      </c>
      <c r="C21" s="8">
        <v>2021</v>
      </c>
      <c r="D21" s="8">
        <v>8</v>
      </c>
      <c r="E21" s="3" t="str">
        <f t="shared" si="0"/>
        <v>August</v>
      </c>
      <c r="F21" s="3" t="s">
        <v>8</v>
      </c>
      <c r="G21" s="8">
        <v>19806.613160000001</v>
      </c>
      <c r="H21" s="8">
        <v>24792.77</v>
      </c>
      <c r="I21" s="8">
        <v>4986.1568390000002</v>
      </c>
      <c r="J21" s="8">
        <v>54977.757879999997</v>
      </c>
      <c r="K21" s="8">
        <v>24181.549060000001</v>
      </c>
      <c r="L21" s="8">
        <v>86926.426949999994</v>
      </c>
      <c r="M21" s="9" t="str">
        <f>IF(A21="",M22,A21)</f>
        <v>Afghanistan</v>
      </c>
      <c r="N21" s="3" t="str">
        <f t="shared" si="1"/>
        <v>Aug-2021</v>
      </c>
    </row>
    <row r="22" spans="1:14" x14ac:dyDescent="0.3">
      <c r="A22" s="3" t="s">
        <v>6</v>
      </c>
      <c r="B22" s="3" t="s">
        <v>7</v>
      </c>
      <c r="C22" s="8">
        <v>2021</v>
      </c>
      <c r="D22" s="8">
        <v>9</v>
      </c>
      <c r="E22" s="3" t="str">
        <f t="shared" si="0"/>
        <v>September</v>
      </c>
      <c r="F22" s="3" t="s">
        <v>8</v>
      </c>
      <c r="G22" s="8">
        <v>20580.3027</v>
      </c>
      <c r="H22" s="8">
        <v>23498.807000000001</v>
      </c>
      <c r="I22" s="8">
        <v>2918.5043000000001</v>
      </c>
      <c r="J22" s="8">
        <v>57896.262179999998</v>
      </c>
      <c r="K22" s="8">
        <v>26556.036390000001</v>
      </c>
      <c r="L22" s="8">
        <v>89831.689559999999</v>
      </c>
      <c r="M22" s="9" t="str">
        <f>IF(A22="",M23,A22)</f>
        <v>Afghanistan</v>
      </c>
      <c r="N22" s="3" t="str">
        <f t="shared" si="1"/>
        <v>Sep-2021</v>
      </c>
    </row>
    <row r="23" spans="1:14" x14ac:dyDescent="0.3">
      <c r="A23" s="3" t="s">
        <v>6</v>
      </c>
      <c r="B23" s="3" t="s">
        <v>7</v>
      </c>
      <c r="C23" s="8">
        <v>2021</v>
      </c>
      <c r="D23" s="8">
        <v>10</v>
      </c>
      <c r="E23" s="3" t="str">
        <f t="shared" si="0"/>
        <v>October</v>
      </c>
      <c r="F23" s="3" t="s">
        <v>8</v>
      </c>
      <c r="G23" s="8">
        <v>21424.839039999999</v>
      </c>
      <c r="H23" s="8">
        <v>24277.236000000001</v>
      </c>
      <c r="I23" s="8">
        <v>2852.3969569999999</v>
      </c>
      <c r="J23" s="8">
        <v>60748.659140000003</v>
      </c>
      <c r="K23" s="8">
        <v>28955.848549999999</v>
      </c>
      <c r="L23" s="8">
        <v>94716.647849999994</v>
      </c>
      <c r="M23" s="9" t="str">
        <f>IF(A23="",M24,A23)</f>
        <v>Afghanistan</v>
      </c>
      <c r="N23" s="3" t="str">
        <f t="shared" si="1"/>
        <v>Oct-2021</v>
      </c>
    </row>
    <row r="24" spans="1:14" x14ac:dyDescent="0.3">
      <c r="A24" s="3" t="s">
        <v>6</v>
      </c>
      <c r="B24" s="3" t="s">
        <v>7</v>
      </c>
      <c r="C24" s="8">
        <v>2021</v>
      </c>
      <c r="D24" s="8">
        <v>11</v>
      </c>
      <c r="E24" s="3" t="str">
        <f t="shared" si="0"/>
        <v>November</v>
      </c>
      <c r="F24" s="3" t="s">
        <v>8</v>
      </c>
      <c r="G24" s="8">
        <v>22307.619050000001</v>
      </c>
      <c r="H24" s="8">
        <v>24971.85</v>
      </c>
      <c r="I24" s="8">
        <v>2664.2309540000001</v>
      </c>
      <c r="J24" s="8">
        <v>63412.890090000001</v>
      </c>
      <c r="K24" s="8">
        <v>31434.79391</v>
      </c>
      <c r="L24" s="8">
        <v>98062.497390000004</v>
      </c>
      <c r="M24" s="9" t="str">
        <f>IF(A24="",M25,A24)</f>
        <v>Afghanistan</v>
      </c>
      <c r="N24" s="3" t="str">
        <f t="shared" si="1"/>
        <v>Nov-2021</v>
      </c>
    </row>
    <row r="25" spans="1:14" x14ac:dyDescent="0.3">
      <c r="A25" s="3" t="s">
        <v>6</v>
      </c>
      <c r="B25" s="3" t="s">
        <v>7</v>
      </c>
      <c r="C25" s="8">
        <v>2021</v>
      </c>
      <c r="D25" s="8">
        <v>12</v>
      </c>
      <c r="E25" s="3" t="str">
        <f t="shared" si="0"/>
        <v>December</v>
      </c>
      <c r="F25" s="3" t="s">
        <v>8</v>
      </c>
      <c r="G25" s="8">
        <v>23023.985089999998</v>
      </c>
      <c r="H25" s="8">
        <v>25344.453000000001</v>
      </c>
      <c r="I25" s="8">
        <v>2320.4679070000002</v>
      </c>
      <c r="J25" s="8">
        <v>65733.357999999993</v>
      </c>
      <c r="K25" s="8">
        <v>32745.83654</v>
      </c>
      <c r="L25" s="8">
        <v>100857.976</v>
      </c>
      <c r="M25" s="9" t="str">
        <f>IF(A25="",M26,A25)</f>
        <v>Afghanistan</v>
      </c>
      <c r="N25" s="3" t="str">
        <f t="shared" si="1"/>
        <v>Dec-2021</v>
      </c>
    </row>
    <row r="26" spans="1:14" x14ac:dyDescent="0.3">
      <c r="A26" s="3" t="s">
        <v>9</v>
      </c>
      <c r="B26" s="3" t="s">
        <v>10</v>
      </c>
      <c r="C26" s="8">
        <v>2020</v>
      </c>
      <c r="D26" s="8">
        <v>1</v>
      </c>
      <c r="E26" s="3" t="str">
        <f t="shared" si="0"/>
        <v>January</v>
      </c>
      <c r="F26" s="3" t="s">
        <v>8</v>
      </c>
      <c r="G26" s="8">
        <v>18968.181670000002</v>
      </c>
      <c r="H26" s="8">
        <v>19760.13</v>
      </c>
      <c r="I26" s="8">
        <v>791.94832899999994</v>
      </c>
      <c r="J26" s="8">
        <v>791.94832899999994</v>
      </c>
      <c r="K26" s="8">
        <v>-3697.9636340000002</v>
      </c>
      <c r="L26" s="8">
        <v>6907.017691</v>
      </c>
      <c r="M26" s="9" t="str">
        <f>IF(A26="",M27,A26)</f>
        <v>Angola</v>
      </c>
      <c r="N26" s="3" t="str">
        <f t="shared" si="1"/>
        <v>Jan-2020</v>
      </c>
    </row>
    <row r="27" spans="1:14" x14ac:dyDescent="0.3">
      <c r="A27" s="3" t="s">
        <v>9</v>
      </c>
      <c r="B27" s="3" t="s">
        <v>10</v>
      </c>
      <c r="C27" s="8">
        <v>2020</v>
      </c>
      <c r="D27" s="8">
        <v>2</v>
      </c>
      <c r="E27" s="3" t="str">
        <f t="shared" si="0"/>
        <v>February</v>
      </c>
      <c r="F27" s="3" t="s">
        <v>8</v>
      </c>
      <c r="G27" s="8">
        <v>18943.522260000002</v>
      </c>
      <c r="H27" s="8">
        <v>19103.297999999999</v>
      </c>
      <c r="I27" s="8">
        <v>159.7757368</v>
      </c>
      <c r="J27" s="8">
        <v>951.72406579999995</v>
      </c>
      <c r="K27" s="8">
        <v>-5887.336902</v>
      </c>
      <c r="L27" s="8">
        <v>8538.3601620000009</v>
      </c>
      <c r="M27" s="9" t="str">
        <f>IF(A27="",M28,A27)</f>
        <v>Angola</v>
      </c>
      <c r="N27" s="3" t="str">
        <f t="shared" si="1"/>
        <v>Feb-2020</v>
      </c>
    </row>
    <row r="28" spans="1:14" x14ac:dyDescent="0.3">
      <c r="A28" s="3" t="s">
        <v>9</v>
      </c>
      <c r="B28" s="3" t="s">
        <v>10</v>
      </c>
      <c r="C28" s="8">
        <v>2020</v>
      </c>
      <c r="D28" s="8">
        <v>3</v>
      </c>
      <c r="E28" s="3" t="str">
        <f t="shared" si="0"/>
        <v>March</v>
      </c>
      <c r="F28" s="3" t="s">
        <v>8</v>
      </c>
      <c r="G28" s="8">
        <v>18952.891589999999</v>
      </c>
      <c r="H28" s="8">
        <v>18856.845000000001</v>
      </c>
      <c r="I28" s="8">
        <v>-96.046593310000006</v>
      </c>
      <c r="J28" s="8">
        <v>855.67747250000002</v>
      </c>
      <c r="K28" s="8">
        <v>-7394.6800999999996</v>
      </c>
      <c r="L28" s="8">
        <v>10173.415080000001</v>
      </c>
      <c r="M28" s="9" t="str">
        <f>IF(A28="",M29,A28)</f>
        <v>Angola</v>
      </c>
      <c r="N28" s="3" t="str">
        <f t="shared" si="1"/>
        <v>Mar-2020</v>
      </c>
    </row>
    <row r="29" spans="1:14" x14ac:dyDescent="0.3">
      <c r="A29" s="3" t="s">
        <v>9</v>
      </c>
      <c r="B29" s="3" t="s">
        <v>10</v>
      </c>
      <c r="C29" s="8">
        <v>2020</v>
      </c>
      <c r="D29" s="8">
        <v>4</v>
      </c>
      <c r="E29" s="3" t="str">
        <f t="shared" si="0"/>
        <v>April</v>
      </c>
      <c r="F29" s="3" t="s">
        <v>8</v>
      </c>
      <c r="G29" s="8">
        <v>19003.802110000001</v>
      </c>
      <c r="H29" s="8">
        <v>17034.315999999999</v>
      </c>
      <c r="I29" s="8">
        <v>-1969.4861069999999</v>
      </c>
      <c r="J29" s="8">
        <v>-1113.808634</v>
      </c>
      <c r="K29" s="8">
        <v>-10920.513000000001</v>
      </c>
      <c r="L29" s="8">
        <v>9040.7291810000006</v>
      </c>
      <c r="M29" s="9" t="str">
        <f>IF(A29="",M30,A29)</f>
        <v>Angola</v>
      </c>
      <c r="N29" s="3" t="str">
        <f t="shared" si="1"/>
        <v>Apr-2020</v>
      </c>
    </row>
    <row r="30" spans="1:14" x14ac:dyDescent="0.3">
      <c r="A30" s="3" t="s">
        <v>9</v>
      </c>
      <c r="B30" s="3" t="s">
        <v>10</v>
      </c>
      <c r="C30" s="8">
        <v>2020</v>
      </c>
      <c r="D30" s="8">
        <v>5</v>
      </c>
      <c r="E30" s="3" t="str">
        <f t="shared" si="0"/>
        <v>May</v>
      </c>
      <c r="F30" s="3" t="s">
        <v>8</v>
      </c>
      <c r="G30" s="8">
        <v>19188.076679999998</v>
      </c>
      <c r="H30" s="8">
        <v>18029.684000000001</v>
      </c>
      <c r="I30" s="8">
        <v>-1158.3926759999999</v>
      </c>
      <c r="J30" s="8">
        <v>-2272.2013109999998</v>
      </c>
      <c r="K30" s="8">
        <v>-12734.5334</v>
      </c>
      <c r="L30" s="8">
        <v>8897.4246949999997</v>
      </c>
      <c r="M30" s="9" t="str">
        <f>IF(A30="",M31,A30)</f>
        <v>Angola</v>
      </c>
      <c r="N30" s="3" t="str">
        <f t="shared" si="1"/>
        <v>May-2020</v>
      </c>
    </row>
    <row r="31" spans="1:14" x14ac:dyDescent="0.3">
      <c r="A31" s="3" t="s">
        <v>9</v>
      </c>
      <c r="B31" s="3" t="s">
        <v>10</v>
      </c>
      <c r="C31" s="8">
        <v>2020</v>
      </c>
      <c r="D31" s="8">
        <v>6</v>
      </c>
      <c r="E31" s="3" t="str">
        <f t="shared" si="0"/>
        <v>June</v>
      </c>
      <c r="F31" s="3" t="s">
        <v>8</v>
      </c>
      <c r="G31" s="8">
        <v>19477.233189999999</v>
      </c>
      <c r="H31" s="8">
        <v>18642.27</v>
      </c>
      <c r="I31" s="8">
        <v>-834.96318529999996</v>
      </c>
      <c r="J31" s="8">
        <v>-3107.1644959999999</v>
      </c>
      <c r="K31" s="8">
        <v>-14436.03494</v>
      </c>
      <c r="L31" s="8">
        <v>9150.850434</v>
      </c>
      <c r="M31" s="9" t="str">
        <f>IF(A31="",M32,A31)</f>
        <v>Angola</v>
      </c>
      <c r="N31" s="3" t="str">
        <f t="shared" si="1"/>
        <v>Jun-2020</v>
      </c>
    </row>
    <row r="32" spans="1:14" x14ac:dyDescent="0.3">
      <c r="A32" s="3" t="s">
        <v>9</v>
      </c>
      <c r="B32" s="3" t="s">
        <v>10</v>
      </c>
      <c r="C32" s="8">
        <v>2020</v>
      </c>
      <c r="D32" s="8">
        <v>7</v>
      </c>
      <c r="E32" s="3" t="str">
        <f t="shared" si="0"/>
        <v>July</v>
      </c>
      <c r="F32" s="3" t="s">
        <v>8</v>
      </c>
      <c r="G32" s="8">
        <v>19503.284019999999</v>
      </c>
      <c r="H32" s="8">
        <v>19481.235000000001</v>
      </c>
      <c r="I32" s="8">
        <v>-22.049015319999999</v>
      </c>
      <c r="J32" s="8">
        <v>-3129.2135109999999</v>
      </c>
      <c r="K32" s="8">
        <v>-14921.153350000001</v>
      </c>
      <c r="L32" s="8">
        <v>10081.955830000001</v>
      </c>
      <c r="M32" s="9" t="str">
        <f>IF(A32="",M33,A32)</f>
        <v>Angola</v>
      </c>
      <c r="N32" s="3" t="str">
        <f t="shared" si="1"/>
        <v>Jul-2020</v>
      </c>
    </row>
    <row r="33" spans="1:14" x14ac:dyDescent="0.3">
      <c r="A33" s="3" t="s">
        <v>9</v>
      </c>
      <c r="B33" s="3" t="s">
        <v>10</v>
      </c>
      <c r="C33" s="8">
        <v>2020</v>
      </c>
      <c r="D33" s="8">
        <v>8</v>
      </c>
      <c r="E33" s="3" t="str">
        <f t="shared" si="0"/>
        <v>August</v>
      </c>
      <c r="F33" s="3" t="s">
        <v>8</v>
      </c>
      <c r="G33" s="8">
        <v>19271.41329</v>
      </c>
      <c r="H33" s="8">
        <v>20032.907999999999</v>
      </c>
      <c r="I33" s="8">
        <v>761.49471159999996</v>
      </c>
      <c r="J33" s="8">
        <v>-2367.7187990000002</v>
      </c>
      <c r="K33" s="8">
        <v>-15475.71796</v>
      </c>
      <c r="L33" s="8">
        <v>11499.758980000001</v>
      </c>
      <c r="M33" s="9" t="str">
        <f>IF(A33="",M34,A33)</f>
        <v>Angola</v>
      </c>
      <c r="N33" s="3" t="str">
        <f t="shared" si="1"/>
        <v>Aug-2020</v>
      </c>
    </row>
    <row r="34" spans="1:14" x14ac:dyDescent="0.3">
      <c r="A34" s="3" t="s">
        <v>9</v>
      </c>
      <c r="B34" s="3" t="s">
        <v>10</v>
      </c>
      <c r="C34" s="8">
        <v>2020</v>
      </c>
      <c r="D34" s="8">
        <v>9</v>
      </c>
      <c r="E34" s="3" t="str">
        <f t="shared" si="0"/>
        <v>September</v>
      </c>
      <c r="F34" s="3" t="s">
        <v>8</v>
      </c>
      <c r="G34" s="8">
        <v>19038.045559999999</v>
      </c>
      <c r="H34" s="8">
        <v>20154.358</v>
      </c>
      <c r="I34" s="8">
        <v>1116.3124419999999</v>
      </c>
      <c r="J34" s="8">
        <v>-1251.4063570000001</v>
      </c>
      <c r="K34" s="8">
        <v>-15460.894619999999</v>
      </c>
      <c r="L34" s="8">
        <v>14307.46609</v>
      </c>
      <c r="M34" s="9" t="str">
        <f>IF(A34="",M35,A34)</f>
        <v>Angola</v>
      </c>
      <c r="N34" s="3" t="str">
        <f t="shared" si="1"/>
        <v>Sep-2020</v>
      </c>
    </row>
    <row r="35" spans="1:14" x14ac:dyDescent="0.3">
      <c r="A35" s="3" t="s">
        <v>9</v>
      </c>
      <c r="B35" s="3" t="s">
        <v>10</v>
      </c>
      <c r="C35" s="8">
        <v>2020</v>
      </c>
      <c r="D35" s="8">
        <v>10</v>
      </c>
      <c r="E35" s="3" t="str">
        <f t="shared" si="0"/>
        <v>October</v>
      </c>
      <c r="F35" s="3" t="s">
        <v>8</v>
      </c>
      <c r="G35" s="8">
        <v>18912.078130000002</v>
      </c>
      <c r="H35" s="8">
        <v>19511.513999999999</v>
      </c>
      <c r="I35" s="8">
        <v>599.43586949999997</v>
      </c>
      <c r="J35" s="8">
        <v>-651.97048789999997</v>
      </c>
      <c r="K35" s="8">
        <v>-15325.24605</v>
      </c>
      <c r="L35" s="8">
        <v>15496.928910000001</v>
      </c>
      <c r="M35" s="9" t="str">
        <f>IF(A35="",M36,A35)</f>
        <v>Angola</v>
      </c>
      <c r="N35" s="3" t="str">
        <f t="shared" si="1"/>
        <v>Oct-2020</v>
      </c>
    </row>
    <row r="36" spans="1:14" x14ac:dyDescent="0.3">
      <c r="A36" s="3" t="s">
        <v>9</v>
      </c>
      <c r="B36" s="3" t="s">
        <v>10</v>
      </c>
      <c r="C36" s="8">
        <v>2020</v>
      </c>
      <c r="D36" s="8">
        <v>11</v>
      </c>
      <c r="E36" s="3" t="str">
        <f t="shared" si="0"/>
        <v>November</v>
      </c>
      <c r="F36" s="3" t="s">
        <v>8</v>
      </c>
      <c r="G36" s="8">
        <v>18962.21154</v>
      </c>
      <c r="H36" s="8">
        <v>19622.353999999999</v>
      </c>
      <c r="I36" s="8">
        <v>660.14245540000002</v>
      </c>
      <c r="J36" s="8">
        <v>8.1719675380000005</v>
      </c>
      <c r="K36" s="8">
        <v>-16579.66099</v>
      </c>
      <c r="L36" s="8">
        <v>16730.694729999999</v>
      </c>
      <c r="M36" s="9" t="str">
        <f>IF(A36="",M37,A36)</f>
        <v>Angola</v>
      </c>
      <c r="N36" s="3" t="str">
        <f t="shared" si="1"/>
        <v>Nov-2020</v>
      </c>
    </row>
    <row r="37" spans="1:14" x14ac:dyDescent="0.3">
      <c r="A37" s="3" t="s">
        <v>9</v>
      </c>
      <c r="B37" s="3" t="s">
        <v>10</v>
      </c>
      <c r="C37" s="8">
        <v>2020</v>
      </c>
      <c r="D37" s="8">
        <v>12</v>
      </c>
      <c r="E37" s="3" t="str">
        <f t="shared" si="0"/>
        <v>December</v>
      </c>
      <c r="F37" s="3" t="s">
        <v>8</v>
      </c>
      <c r="G37" s="8">
        <v>18979.363799999999</v>
      </c>
      <c r="H37" s="8">
        <v>19524.361000000001</v>
      </c>
      <c r="I37" s="8">
        <v>544.99719679999998</v>
      </c>
      <c r="J37" s="8">
        <v>553.16916430000003</v>
      </c>
      <c r="K37" s="8">
        <v>-16951.75591</v>
      </c>
      <c r="L37" s="8">
        <v>17781.72667</v>
      </c>
      <c r="M37" s="9" t="str">
        <f>IF(A37="",M38,A37)</f>
        <v>Angola</v>
      </c>
      <c r="N37" s="3" t="str">
        <f t="shared" si="1"/>
        <v>Dec-2020</v>
      </c>
    </row>
    <row r="38" spans="1:14" x14ac:dyDescent="0.3">
      <c r="A38" s="3" t="s">
        <v>9</v>
      </c>
      <c r="B38" s="3" t="s">
        <v>10</v>
      </c>
      <c r="C38" s="8">
        <v>2021</v>
      </c>
      <c r="D38" s="8">
        <v>1</v>
      </c>
      <c r="E38" s="3" t="str">
        <f t="shared" si="0"/>
        <v>January</v>
      </c>
      <c r="F38" s="3" t="s">
        <v>8</v>
      </c>
      <c r="G38" s="8">
        <v>19003.876550000001</v>
      </c>
      <c r="H38" s="8">
        <v>19878.105</v>
      </c>
      <c r="I38" s="8">
        <v>874.2284502</v>
      </c>
      <c r="J38" s="8">
        <v>1427.3976150000001</v>
      </c>
      <c r="K38" s="8">
        <v>-17227.649969999999</v>
      </c>
      <c r="L38" s="8">
        <v>20181.489280000002</v>
      </c>
      <c r="M38" s="9" t="str">
        <f>IF(A38="",M39,A38)</f>
        <v>Angola</v>
      </c>
      <c r="N38" s="3" t="str">
        <f t="shared" si="1"/>
        <v>Jan-2021</v>
      </c>
    </row>
    <row r="39" spans="1:14" x14ac:dyDescent="0.3">
      <c r="A39" s="3" t="s">
        <v>9</v>
      </c>
      <c r="B39" s="3" t="s">
        <v>10</v>
      </c>
      <c r="C39" s="8">
        <v>2021</v>
      </c>
      <c r="D39" s="8">
        <v>2</v>
      </c>
      <c r="E39" s="3" t="str">
        <f t="shared" si="0"/>
        <v>February</v>
      </c>
      <c r="F39" s="3" t="s">
        <v>8</v>
      </c>
      <c r="G39" s="8">
        <v>18982.35886</v>
      </c>
      <c r="H39" s="8">
        <v>19903.300999999999</v>
      </c>
      <c r="I39" s="8">
        <v>920.9421423</v>
      </c>
      <c r="J39" s="8">
        <v>2348.3397570000002</v>
      </c>
      <c r="K39" s="8">
        <v>-17995.48315</v>
      </c>
      <c r="L39" s="8">
        <v>22300.94342</v>
      </c>
      <c r="M39" s="9" t="str">
        <f>IF(A39="",M40,A39)</f>
        <v>Angola</v>
      </c>
      <c r="N39" s="3" t="str">
        <f t="shared" si="1"/>
        <v>Feb-2021</v>
      </c>
    </row>
    <row r="40" spans="1:14" x14ac:dyDescent="0.3">
      <c r="A40" s="3" t="s">
        <v>9</v>
      </c>
      <c r="B40" s="3" t="s">
        <v>10</v>
      </c>
      <c r="C40" s="8">
        <v>2021</v>
      </c>
      <c r="D40" s="8">
        <v>3</v>
      </c>
      <c r="E40" s="3" t="str">
        <f t="shared" si="0"/>
        <v>March</v>
      </c>
      <c r="F40" s="3" t="s">
        <v>8</v>
      </c>
      <c r="G40" s="8">
        <v>18993.109079999998</v>
      </c>
      <c r="H40" s="8">
        <v>19569.185000000001</v>
      </c>
      <c r="I40" s="8">
        <v>576.07592139999997</v>
      </c>
      <c r="J40" s="8">
        <v>2924.4156779999998</v>
      </c>
      <c r="K40" s="8">
        <v>-18432.07144</v>
      </c>
      <c r="L40" s="8">
        <v>23611.42859</v>
      </c>
      <c r="M40" s="9" t="str">
        <f>IF(A40="",M41,A40)</f>
        <v>Angola</v>
      </c>
      <c r="N40" s="3" t="str">
        <f t="shared" si="1"/>
        <v>Mar-2021</v>
      </c>
    </row>
    <row r="41" spans="1:14" x14ac:dyDescent="0.3">
      <c r="A41" s="3" t="s">
        <v>9</v>
      </c>
      <c r="B41" s="3" t="s">
        <v>10</v>
      </c>
      <c r="C41" s="8">
        <v>2021</v>
      </c>
      <c r="D41" s="8">
        <v>4</v>
      </c>
      <c r="E41" s="3" t="str">
        <f t="shared" si="0"/>
        <v>April</v>
      </c>
      <c r="F41" s="3" t="s">
        <v>8</v>
      </c>
      <c r="G41" s="8">
        <v>19036.792519999999</v>
      </c>
      <c r="H41" s="8">
        <v>19225.095000000001</v>
      </c>
      <c r="I41" s="8">
        <v>188.3024795</v>
      </c>
      <c r="J41" s="8">
        <v>3112.7181580000001</v>
      </c>
      <c r="K41" s="8">
        <v>-17879.398840000002</v>
      </c>
      <c r="L41" s="8">
        <v>24881.135050000001</v>
      </c>
      <c r="M41" s="9" t="str">
        <f>IF(A41="",M42,A41)</f>
        <v>Angola</v>
      </c>
      <c r="N41" s="3" t="str">
        <f t="shared" si="1"/>
        <v>Apr-2021</v>
      </c>
    </row>
    <row r="42" spans="1:14" x14ac:dyDescent="0.3">
      <c r="A42" s="3" t="s">
        <v>9</v>
      </c>
      <c r="B42" s="3" t="s">
        <v>10</v>
      </c>
      <c r="C42" s="8">
        <v>2021</v>
      </c>
      <c r="D42" s="8">
        <v>5</v>
      </c>
      <c r="E42" s="3" t="str">
        <f t="shared" si="0"/>
        <v>May</v>
      </c>
      <c r="F42" s="3" t="s">
        <v>8</v>
      </c>
      <c r="G42" s="8">
        <v>19234.691510000001</v>
      </c>
      <c r="H42" s="8">
        <v>20462.498</v>
      </c>
      <c r="I42" s="8">
        <v>1227.8064859999999</v>
      </c>
      <c r="J42" s="8">
        <v>4340.5246440000001</v>
      </c>
      <c r="K42" s="8">
        <v>-17467.013749999998</v>
      </c>
      <c r="L42" s="8">
        <v>28184.9251</v>
      </c>
      <c r="M42" s="9" t="str">
        <f>IF(A42="",M43,A42)</f>
        <v>Angola</v>
      </c>
      <c r="N42" s="3" t="str">
        <f t="shared" si="1"/>
        <v>May-2021</v>
      </c>
    </row>
    <row r="43" spans="1:14" x14ac:dyDescent="0.3">
      <c r="A43" s="3" t="s">
        <v>9</v>
      </c>
      <c r="B43" s="3" t="s">
        <v>10</v>
      </c>
      <c r="C43" s="8">
        <v>2021</v>
      </c>
      <c r="D43" s="8">
        <v>6</v>
      </c>
      <c r="E43" s="3" t="str">
        <f t="shared" si="0"/>
        <v>June</v>
      </c>
      <c r="F43" s="3" t="s">
        <v>8</v>
      </c>
      <c r="G43" s="8">
        <v>19518.212589999999</v>
      </c>
      <c r="H43" s="8">
        <v>20144.879000000001</v>
      </c>
      <c r="I43" s="8">
        <v>626.66640710000001</v>
      </c>
      <c r="J43" s="8">
        <v>4967.1910509999998</v>
      </c>
      <c r="K43" s="8">
        <v>-17393.24236</v>
      </c>
      <c r="L43" s="8">
        <v>29160.663089999998</v>
      </c>
      <c r="M43" s="9" t="str">
        <f>IF(A43="",M44,A43)</f>
        <v>Angola</v>
      </c>
      <c r="N43" s="3" t="str">
        <f t="shared" si="1"/>
        <v>Jun-2021</v>
      </c>
    </row>
    <row r="44" spans="1:14" x14ac:dyDescent="0.3">
      <c r="A44" s="3" t="s">
        <v>9</v>
      </c>
      <c r="B44" s="3" t="s">
        <v>10</v>
      </c>
      <c r="C44" s="8">
        <v>2021</v>
      </c>
      <c r="D44" s="8">
        <v>7</v>
      </c>
      <c r="E44" s="3" t="str">
        <f t="shared" si="0"/>
        <v>July</v>
      </c>
      <c r="F44" s="3" t="s">
        <v>8</v>
      </c>
      <c r="G44" s="8">
        <v>19533.677360000001</v>
      </c>
      <c r="H44" s="8">
        <v>20434.847000000002</v>
      </c>
      <c r="I44" s="8">
        <v>901.16964140000005</v>
      </c>
      <c r="J44" s="8">
        <v>5868.3606929999996</v>
      </c>
      <c r="K44" s="8">
        <v>-17598.361290000001</v>
      </c>
      <c r="L44" s="8">
        <v>30465.46371</v>
      </c>
      <c r="M44" s="9" t="str">
        <f>IF(A44="",M45,A44)</f>
        <v>Angola</v>
      </c>
      <c r="N44" s="3" t="str">
        <f t="shared" si="1"/>
        <v>Jul-2021</v>
      </c>
    </row>
    <row r="45" spans="1:14" x14ac:dyDescent="0.3">
      <c r="A45" s="3" t="s">
        <v>9</v>
      </c>
      <c r="B45" s="3" t="s">
        <v>10</v>
      </c>
      <c r="C45" s="8">
        <v>2021</v>
      </c>
      <c r="D45" s="8">
        <v>8</v>
      </c>
      <c r="E45" s="3" t="str">
        <f t="shared" si="0"/>
        <v>August</v>
      </c>
      <c r="F45" s="3" t="s">
        <v>8</v>
      </c>
      <c r="G45" s="8">
        <v>19316.289519999998</v>
      </c>
      <c r="H45" s="8">
        <v>20532.435000000001</v>
      </c>
      <c r="I45" s="8">
        <v>1216.1454839999999</v>
      </c>
      <c r="J45" s="8">
        <v>7084.5061759999999</v>
      </c>
      <c r="K45" s="8">
        <v>-15845.270469999999</v>
      </c>
      <c r="L45" s="8">
        <v>31723.811020000001</v>
      </c>
      <c r="M45" s="9" t="str">
        <f>IF(A45="",M46,A45)</f>
        <v>Angola</v>
      </c>
      <c r="N45" s="3" t="str">
        <f t="shared" si="1"/>
        <v>Aug-2021</v>
      </c>
    </row>
    <row r="46" spans="1:14" x14ac:dyDescent="0.3">
      <c r="A46" s="3" t="s">
        <v>9</v>
      </c>
      <c r="B46" s="3" t="s">
        <v>10</v>
      </c>
      <c r="C46" s="8">
        <v>2021</v>
      </c>
      <c r="D46" s="8">
        <v>9</v>
      </c>
      <c r="E46" s="3" t="str">
        <f t="shared" si="0"/>
        <v>September</v>
      </c>
      <c r="F46" s="3" t="s">
        <v>8</v>
      </c>
      <c r="G46" s="8">
        <v>19070.648860000001</v>
      </c>
      <c r="H46" s="8">
        <v>20327.224999999999</v>
      </c>
      <c r="I46" s="8">
        <v>1256.5761399999999</v>
      </c>
      <c r="J46" s="8">
        <v>8341.0823170000003</v>
      </c>
      <c r="K46" s="8">
        <v>-16657.353190000002</v>
      </c>
      <c r="L46" s="8">
        <v>33193.818630000002</v>
      </c>
      <c r="M46" s="9" t="str">
        <f>IF(A46="",M47,A46)</f>
        <v>Angola</v>
      </c>
      <c r="N46" s="3" t="str">
        <f t="shared" si="1"/>
        <v>Sep-2021</v>
      </c>
    </row>
    <row r="47" spans="1:14" x14ac:dyDescent="0.3">
      <c r="A47" s="3" t="s">
        <v>9</v>
      </c>
      <c r="B47" s="3" t="s">
        <v>10</v>
      </c>
      <c r="C47" s="8">
        <v>2021</v>
      </c>
      <c r="D47" s="8">
        <v>10</v>
      </c>
      <c r="E47" s="3" t="str">
        <f t="shared" si="0"/>
        <v>October</v>
      </c>
      <c r="F47" s="3" t="s">
        <v>8</v>
      </c>
      <c r="G47" s="8">
        <v>18942.398580000001</v>
      </c>
      <c r="H47" s="8">
        <v>19600.074000000001</v>
      </c>
      <c r="I47" s="8">
        <v>657.67541510000001</v>
      </c>
      <c r="J47" s="8">
        <v>8998.757732</v>
      </c>
      <c r="K47" s="8">
        <v>-16235.20883</v>
      </c>
      <c r="L47" s="8">
        <v>34939.079270000002</v>
      </c>
      <c r="M47" s="9" t="str">
        <f>IF(A47="",M48,A47)</f>
        <v>Angola</v>
      </c>
      <c r="N47" s="3" t="str">
        <f t="shared" si="1"/>
        <v>Oct-2021</v>
      </c>
    </row>
    <row r="48" spans="1:14" x14ac:dyDescent="0.3">
      <c r="A48" s="3" t="s">
        <v>9</v>
      </c>
      <c r="B48" s="3" t="s">
        <v>10</v>
      </c>
      <c r="C48" s="8">
        <v>2021</v>
      </c>
      <c r="D48" s="8">
        <v>11</v>
      </c>
      <c r="E48" s="3" t="str">
        <f t="shared" si="0"/>
        <v>November</v>
      </c>
      <c r="F48" s="3" t="s">
        <v>8</v>
      </c>
      <c r="G48" s="8">
        <v>18997.66647</v>
      </c>
      <c r="H48" s="8">
        <v>19462.207999999999</v>
      </c>
      <c r="I48" s="8">
        <v>464.54153159999998</v>
      </c>
      <c r="J48" s="8">
        <v>9463.2992630000008</v>
      </c>
      <c r="K48" s="8">
        <v>-16229.0625</v>
      </c>
      <c r="L48" s="8">
        <v>36958.492120000003</v>
      </c>
      <c r="M48" s="9" t="str">
        <f>IF(A48="",M49,A48)</f>
        <v>Angola</v>
      </c>
      <c r="N48" s="3" t="str">
        <f t="shared" si="1"/>
        <v>Nov-2021</v>
      </c>
    </row>
    <row r="49" spans="1:14" x14ac:dyDescent="0.3">
      <c r="A49" s="3" t="s">
        <v>9</v>
      </c>
      <c r="B49" s="3" t="s">
        <v>10</v>
      </c>
      <c r="C49" s="8">
        <v>2021</v>
      </c>
      <c r="D49" s="8">
        <v>12</v>
      </c>
      <c r="E49" s="3" t="str">
        <f t="shared" si="0"/>
        <v>December</v>
      </c>
      <c r="F49" s="3" t="s">
        <v>8</v>
      </c>
      <c r="G49" s="8">
        <v>19015.364399999999</v>
      </c>
      <c r="H49" s="8">
        <v>20547.68</v>
      </c>
      <c r="I49" s="8">
        <v>1532.315603</v>
      </c>
      <c r="J49" s="8">
        <v>10995.614869999999</v>
      </c>
      <c r="K49" s="8">
        <v>-16157.390880000001</v>
      </c>
      <c r="L49" s="8">
        <v>37400.010869999998</v>
      </c>
      <c r="M49" s="9" t="str">
        <f>IF(A49="",M50,A49)</f>
        <v>Angola</v>
      </c>
      <c r="N49" s="3" t="str">
        <f t="shared" si="1"/>
        <v>Dec-2021</v>
      </c>
    </row>
    <row r="50" spans="1:14" x14ac:dyDescent="0.3">
      <c r="A50" s="3" t="s">
        <v>11</v>
      </c>
      <c r="B50" s="3" t="s">
        <v>12</v>
      </c>
      <c r="C50" s="8">
        <v>2020</v>
      </c>
      <c r="D50" s="8">
        <v>1</v>
      </c>
      <c r="E50" s="3" t="str">
        <f t="shared" si="0"/>
        <v>January</v>
      </c>
      <c r="F50" s="3" t="s">
        <v>13</v>
      </c>
      <c r="G50" s="8">
        <v>2143.314249</v>
      </c>
      <c r="H50" s="8">
        <v>2187</v>
      </c>
      <c r="I50" s="8">
        <v>43.685750949999999</v>
      </c>
      <c r="J50" s="8">
        <v>43.685750949999999</v>
      </c>
      <c r="K50" s="8">
        <v>-88.286810610000003</v>
      </c>
      <c r="L50" s="8">
        <v>169.19856580000001</v>
      </c>
      <c r="M50" s="9" t="str">
        <f>IF(A50="",M51,A50)</f>
        <v>Albania</v>
      </c>
      <c r="N50" s="3" t="str">
        <f t="shared" si="1"/>
        <v>Jan-2020</v>
      </c>
    </row>
    <row r="51" spans="1:14" x14ac:dyDescent="0.3">
      <c r="A51" s="3" t="s">
        <v>11</v>
      </c>
      <c r="B51" s="3" t="s">
        <v>12</v>
      </c>
      <c r="C51" s="8">
        <v>2020</v>
      </c>
      <c r="D51" s="8">
        <v>2</v>
      </c>
      <c r="E51" s="3" t="str">
        <f t="shared" si="0"/>
        <v>February</v>
      </c>
      <c r="F51" s="3" t="s">
        <v>13</v>
      </c>
      <c r="G51" s="8">
        <v>2029.587219</v>
      </c>
      <c r="H51" s="8">
        <v>2018</v>
      </c>
      <c r="I51" s="8">
        <v>-11.58721858</v>
      </c>
      <c r="J51" s="8">
        <v>32.098532370000001</v>
      </c>
      <c r="K51" s="8">
        <v>-152.07310219999999</v>
      </c>
      <c r="L51" s="8">
        <v>223.04410329999999</v>
      </c>
      <c r="M51" s="9" t="str">
        <f>IF(A51="",M52,A51)</f>
        <v>Albania</v>
      </c>
      <c r="N51" s="3" t="str">
        <f t="shared" si="1"/>
        <v>Feb-2020</v>
      </c>
    </row>
    <row r="52" spans="1:14" x14ac:dyDescent="0.3">
      <c r="A52" s="3" t="s">
        <v>11</v>
      </c>
      <c r="B52" s="3" t="s">
        <v>12</v>
      </c>
      <c r="C52" s="8">
        <v>2020</v>
      </c>
      <c r="D52" s="8">
        <v>3</v>
      </c>
      <c r="E52" s="3" t="str">
        <f t="shared" si="0"/>
        <v>March</v>
      </c>
      <c r="F52" s="3" t="s">
        <v>13</v>
      </c>
      <c r="G52" s="8">
        <v>1909.877577</v>
      </c>
      <c r="H52" s="8">
        <v>1993</v>
      </c>
      <c r="I52" s="8">
        <v>83.122422529999994</v>
      </c>
      <c r="J52" s="8">
        <v>115.2209549</v>
      </c>
      <c r="K52" s="8">
        <v>-109.1953855</v>
      </c>
      <c r="L52" s="8">
        <v>361.68447379999998</v>
      </c>
      <c r="M52" s="9" t="str">
        <f>IF(A52="",M53,A52)</f>
        <v>Albania</v>
      </c>
      <c r="N52" s="3" t="str">
        <f t="shared" si="1"/>
        <v>Mar-2020</v>
      </c>
    </row>
    <row r="53" spans="1:14" x14ac:dyDescent="0.3">
      <c r="A53" s="3" t="s">
        <v>11</v>
      </c>
      <c r="B53" s="3" t="s">
        <v>12</v>
      </c>
      <c r="C53" s="8">
        <v>2020</v>
      </c>
      <c r="D53" s="8">
        <v>4</v>
      </c>
      <c r="E53" s="3" t="str">
        <f t="shared" si="0"/>
        <v>April</v>
      </c>
      <c r="F53" s="3" t="s">
        <v>13</v>
      </c>
      <c r="G53" s="8">
        <v>1745.4713879999999</v>
      </c>
      <c r="H53" s="8">
        <v>1804</v>
      </c>
      <c r="I53" s="8">
        <v>58.528611509999998</v>
      </c>
      <c r="J53" s="8">
        <v>173.74956639999999</v>
      </c>
      <c r="K53" s="8">
        <v>-77.935471919999998</v>
      </c>
      <c r="L53" s="8">
        <v>440.75409250000001</v>
      </c>
      <c r="M53" s="9" t="str">
        <f>IF(A53="",M54,A53)</f>
        <v>Albania</v>
      </c>
      <c r="N53" s="3" t="str">
        <f t="shared" si="1"/>
        <v>Apr-2020</v>
      </c>
    </row>
    <row r="54" spans="1:14" x14ac:dyDescent="0.3">
      <c r="A54" s="3" t="s">
        <v>11</v>
      </c>
      <c r="B54" s="3" t="s">
        <v>12</v>
      </c>
      <c r="C54" s="8">
        <v>2020</v>
      </c>
      <c r="D54" s="8">
        <v>5</v>
      </c>
      <c r="E54" s="3" t="str">
        <f t="shared" si="0"/>
        <v>May</v>
      </c>
      <c r="F54" s="3" t="s">
        <v>13</v>
      </c>
      <c r="G54" s="8">
        <v>1657.4053530000001</v>
      </c>
      <c r="H54" s="8">
        <v>1803</v>
      </c>
      <c r="I54" s="8">
        <v>145.59464700000001</v>
      </c>
      <c r="J54" s="8">
        <v>319.3442134</v>
      </c>
      <c r="K54" s="8">
        <v>43.902038959999999</v>
      </c>
      <c r="L54" s="8">
        <v>609.56212619999997</v>
      </c>
      <c r="M54" s="9" t="str">
        <f>IF(A54="",M55,A54)</f>
        <v>Albania</v>
      </c>
      <c r="N54" s="3" t="str">
        <f t="shared" si="1"/>
        <v>May-2020</v>
      </c>
    </row>
    <row r="55" spans="1:14" x14ac:dyDescent="0.3">
      <c r="A55" s="3" t="s">
        <v>11</v>
      </c>
      <c r="B55" s="3" t="s">
        <v>12</v>
      </c>
      <c r="C55" s="8">
        <v>2020</v>
      </c>
      <c r="D55" s="8">
        <v>6</v>
      </c>
      <c r="E55" s="3" t="str">
        <f t="shared" si="0"/>
        <v>June</v>
      </c>
      <c r="F55" s="3" t="s">
        <v>13</v>
      </c>
      <c r="G55" s="8">
        <v>1634.302743</v>
      </c>
      <c r="H55" s="8">
        <v>1779</v>
      </c>
      <c r="I55" s="8">
        <v>144.69725750000001</v>
      </c>
      <c r="J55" s="8">
        <v>464.04147089999998</v>
      </c>
      <c r="K55" s="8">
        <v>158.19421750000001</v>
      </c>
      <c r="L55" s="8">
        <v>796.52759200000003</v>
      </c>
      <c r="M55" s="9" t="str">
        <f>IF(A55="",M56,A55)</f>
        <v>Albania</v>
      </c>
      <c r="N55" s="3" t="str">
        <f t="shared" si="1"/>
        <v>Jun-2020</v>
      </c>
    </row>
    <row r="56" spans="1:14" x14ac:dyDescent="0.3">
      <c r="A56" s="3" t="s">
        <v>11</v>
      </c>
      <c r="B56" s="3" t="s">
        <v>12</v>
      </c>
      <c r="C56" s="8">
        <v>2020</v>
      </c>
      <c r="D56" s="8">
        <v>7</v>
      </c>
      <c r="E56" s="3" t="str">
        <f t="shared" si="0"/>
        <v>July</v>
      </c>
      <c r="F56" s="3" t="s">
        <v>13</v>
      </c>
      <c r="G56" s="8">
        <v>1706.421951</v>
      </c>
      <c r="H56" s="8">
        <v>2166</v>
      </c>
      <c r="I56" s="8">
        <v>459.57804900000002</v>
      </c>
      <c r="J56" s="8">
        <v>923.6195199</v>
      </c>
      <c r="K56" s="8">
        <v>586.93947230000003</v>
      </c>
      <c r="L56" s="8">
        <v>1257.208875</v>
      </c>
      <c r="M56" s="9" t="str">
        <f>IF(A56="",M57,A56)</f>
        <v>Albania</v>
      </c>
      <c r="N56" s="3" t="str">
        <f t="shared" si="1"/>
        <v>Jul-2020</v>
      </c>
    </row>
    <row r="57" spans="1:14" x14ac:dyDescent="0.3">
      <c r="A57" s="3" t="s">
        <v>11</v>
      </c>
      <c r="B57" s="3" t="s">
        <v>12</v>
      </c>
      <c r="C57" s="8">
        <v>2020</v>
      </c>
      <c r="D57" s="8">
        <v>8</v>
      </c>
      <c r="E57" s="3" t="str">
        <f t="shared" si="0"/>
        <v>August</v>
      </c>
      <c r="F57" s="3" t="s">
        <v>13</v>
      </c>
      <c r="G57" s="8">
        <v>1653.377514</v>
      </c>
      <c r="H57" s="8">
        <v>2476</v>
      </c>
      <c r="I57" s="8">
        <v>822.62248620000003</v>
      </c>
      <c r="J57" s="8">
        <v>1746.2420059999999</v>
      </c>
      <c r="K57" s="8">
        <v>1388.6852980000001</v>
      </c>
      <c r="L57" s="8">
        <v>2090.5431560000002</v>
      </c>
      <c r="M57" s="9" t="str">
        <f>IF(A57="",M58,A57)</f>
        <v>Albania</v>
      </c>
      <c r="N57" s="3" t="str">
        <f t="shared" si="1"/>
        <v>Aug-2020</v>
      </c>
    </row>
    <row r="58" spans="1:14" x14ac:dyDescent="0.3">
      <c r="A58" s="3" t="s">
        <v>11</v>
      </c>
      <c r="B58" s="3" t="s">
        <v>12</v>
      </c>
      <c r="C58" s="8">
        <v>2020</v>
      </c>
      <c r="D58" s="8">
        <v>9</v>
      </c>
      <c r="E58" s="3" t="str">
        <f t="shared" si="0"/>
        <v>September</v>
      </c>
      <c r="F58" s="3" t="s">
        <v>13</v>
      </c>
      <c r="G58" s="8">
        <v>1551.887025</v>
      </c>
      <c r="H58" s="8">
        <v>1982</v>
      </c>
      <c r="I58" s="8">
        <v>430.11297480000002</v>
      </c>
      <c r="J58" s="8">
        <v>2176.354981</v>
      </c>
      <c r="K58" s="8">
        <v>1805.6143770000001</v>
      </c>
      <c r="L58" s="8">
        <v>2523.0196329999999</v>
      </c>
      <c r="M58" s="9" t="str">
        <f>IF(A58="",M59,A58)</f>
        <v>Albania</v>
      </c>
      <c r="N58" s="3" t="str">
        <f t="shared" si="1"/>
        <v>Sep-2020</v>
      </c>
    </row>
    <row r="59" spans="1:14" x14ac:dyDescent="0.3">
      <c r="A59" s="3" t="s">
        <v>11</v>
      </c>
      <c r="B59" s="3" t="s">
        <v>12</v>
      </c>
      <c r="C59" s="8">
        <v>2020</v>
      </c>
      <c r="D59" s="8">
        <v>10</v>
      </c>
      <c r="E59" s="3" t="str">
        <f t="shared" si="0"/>
        <v>October</v>
      </c>
      <c r="F59" s="3" t="s">
        <v>13</v>
      </c>
      <c r="G59" s="8">
        <v>1609.6677689999999</v>
      </c>
      <c r="H59" s="8">
        <v>2403</v>
      </c>
      <c r="I59" s="8">
        <v>793.33223129999999</v>
      </c>
      <c r="J59" s="8">
        <v>2969.6872119999998</v>
      </c>
      <c r="K59" s="8">
        <v>2581.7640200000001</v>
      </c>
      <c r="L59" s="8">
        <v>3348.755678</v>
      </c>
      <c r="M59" s="9" t="str">
        <f>IF(A59="",M60,A59)</f>
        <v>Albania</v>
      </c>
      <c r="N59" s="3" t="str">
        <f t="shared" si="1"/>
        <v>Oct-2020</v>
      </c>
    </row>
    <row r="60" spans="1:14" x14ac:dyDescent="0.3">
      <c r="A60" s="3" t="s">
        <v>11</v>
      </c>
      <c r="B60" s="3" t="s">
        <v>12</v>
      </c>
      <c r="C60" s="8">
        <v>2020</v>
      </c>
      <c r="D60" s="8">
        <v>11</v>
      </c>
      <c r="E60" s="3" t="str">
        <f t="shared" si="0"/>
        <v>November</v>
      </c>
      <c r="F60" s="3" t="s">
        <v>13</v>
      </c>
      <c r="G60" s="8">
        <v>1814.92733</v>
      </c>
      <c r="H60" s="8">
        <v>3854</v>
      </c>
      <c r="I60" s="8">
        <v>2039.07267</v>
      </c>
      <c r="J60" s="8">
        <v>5008.7598820000003</v>
      </c>
      <c r="K60" s="8">
        <v>4590.5896339999999</v>
      </c>
      <c r="L60" s="8">
        <v>5413.5404410000001</v>
      </c>
      <c r="M60" s="9" t="str">
        <f>IF(A60="",M61,A60)</f>
        <v>Albania</v>
      </c>
      <c r="N60" s="3" t="str">
        <f t="shared" si="1"/>
        <v>Nov-2020</v>
      </c>
    </row>
    <row r="61" spans="1:14" x14ac:dyDescent="0.3">
      <c r="A61" s="3" t="s">
        <v>11</v>
      </c>
      <c r="B61" s="3" t="s">
        <v>12</v>
      </c>
      <c r="C61" s="8">
        <v>2020</v>
      </c>
      <c r="D61" s="8">
        <v>12</v>
      </c>
      <c r="E61" s="3" t="str">
        <f t="shared" si="0"/>
        <v>December</v>
      </c>
      <c r="F61" s="3" t="s">
        <v>13</v>
      </c>
      <c r="G61" s="8">
        <v>2133.0612759999999</v>
      </c>
      <c r="H61" s="8">
        <v>3140</v>
      </c>
      <c r="I61" s="8">
        <v>1006.938724</v>
      </c>
      <c r="J61" s="8">
        <v>6015.6986059999999</v>
      </c>
      <c r="K61" s="8">
        <v>5555.4405349999997</v>
      </c>
      <c r="L61" s="8">
        <v>6457.7163389999996</v>
      </c>
      <c r="M61" s="9" t="str">
        <f>IF(A61="",M62,A61)</f>
        <v>Albania</v>
      </c>
      <c r="N61" s="3" t="str">
        <f t="shared" si="1"/>
        <v>Dec-2020</v>
      </c>
    </row>
    <row r="62" spans="1:14" x14ac:dyDescent="0.3">
      <c r="A62" s="3" t="s">
        <v>11</v>
      </c>
      <c r="B62" s="3" t="s">
        <v>12</v>
      </c>
      <c r="C62" s="8">
        <v>2021</v>
      </c>
      <c r="D62" s="8">
        <v>1</v>
      </c>
      <c r="E62" s="3" t="str">
        <f t="shared" si="0"/>
        <v>January</v>
      </c>
      <c r="F62" s="3" t="s">
        <v>13</v>
      </c>
      <c r="G62" s="8">
        <v>2134.4341960000002</v>
      </c>
      <c r="H62" s="8">
        <v>3002</v>
      </c>
      <c r="I62" s="8">
        <v>867.48247100000003</v>
      </c>
      <c r="J62" s="8">
        <v>6883.1810770000002</v>
      </c>
      <c r="K62" s="8">
        <v>6411.5989890000001</v>
      </c>
      <c r="L62" s="8">
        <v>7337.7680810000002</v>
      </c>
      <c r="M62" s="9" t="str">
        <f>IF(A62="",M63,A62)</f>
        <v>Albania</v>
      </c>
      <c r="N62" s="3" t="str">
        <f t="shared" si="1"/>
        <v>Jan-2021</v>
      </c>
    </row>
    <row r="63" spans="1:14" x14ac:dyDescent="0.3">
      <c r="A63" s="3" t="s">
        <v>11</v>
      </c>
      <c r="B63" s="3" t="s">
        <v>12</v>
      </c>
      <c r="C63" s="8">
        <v>2021</v>
      </c>
      <c r="D63" s="8">
        <v>2</v>
      </c>
      <c r="E63" s="3" t="str">
        <f t="shared" si="0"/>
        <v>February</v>
      </c>
      <c r="F63" s="3" t="s">
        <v>13</v>
      </c>
      <c r="G63" s="8">
        <v>2028.1151070000001</v>
      </c>
      <c r="H63" s="8">
        <v>3773</v>
      </c>
      <c r="I63" s="8">
        <v>1744.8015600000001</v>
      </c>
      <c r="J63" s="8">
        <v>8627.9826369999992</v>
      </c>
      <c r="K63" s="8">
        <v>8122.8045339999999</v>
      </c>
      <c r="L63" s="8">
        <v>9110.0929840000008</v>
      </c>
      <c r="M63" s="9" t="str">
        <f>IF(A63="",M64,A63)</f>
        <v>Albania</v>
      </c>
      <c r="N63" s="3" t="str">
        <f t="shared" si="1"/>
        <v>Feb-2021</v>
      </c>
    </row>
    <row r="64" spans="1:14" x14ac:dyDescent="0.3">
      <c r="A64" s="3" t="s">
        <v>11</v>
      </c>
      <c r="B64" s="3" t="s">
        <v>12</v>
      </c>
      <c r="C64" s="8">
        <v>2021</v>
      </c>
      <c r="D64" s="8">
        <v>3</v>
      </c>
      <c r="E64" s="3" t="str">
        <f t="shared" si="0"/>
        <v>March</v>
      </c>
      <c r="F64" s="3" t="s">
        <v>13</v>
      </c>
      <c r="G64" s="8">
        <v>1900.440769</v>
      </c>
      <c r="H64" s="8">
        <v>3447</v>
      </c>
      <c r="I64" s="8">
        <v>1546.475897</v>
      </c>
      <c r="J64" s="8">
        <v>10174.45853</v>
      </c>
      <c r="K64" s="8">
        <v>9642.9397000000008</v>
      </c>
      <c r="L64" s="8">
        <v>10683.751459999999</v>
      </c>
      <c r="M64" s="9" t="str">
        <f>IF(A64="",M65,A64)</f>
        <v>Albania</v>
      </c>
      <c r="N64" s="3" t="str">
        <f t="shared" si="1"/>
        <v>Mar-2021</v>
      </c>
    </row>
    <row r="65" spans="1:14" x14ac:dyDescent="0.3">
      <c r="A65" s="3" t="s">
        <v>11</v>
      </c>
      <c r="B65" s="3" t="s">
        <v>12</v>
      </c>
      <c r="C65" s="8">
        <v>2021</v>
      </c>
      <c r="D65" s="8">
        <v>4</v>
      </c>
      <c r="E65" s="3" t="str">
        <f t="shared" si="0"/>
        <v>April</v>
      </c>
      <c r="F65" s="3" t="s">
        <v>13</v>
      </c>
      <c r="G65" s="8">
        <v>1733.9102889999999</v>
      </c>
      <c r="H65" s="8">
        <v>2419</v>
      </c>
      <c r="I65" s="8">
        <v>685.00637759999995</v>
      </c>
      <c r="J65" s="8">
        <v>10859.464910000001</v>
      </c>
      <c r="K65" s="8">
        <v>10330.14759</v>
      </c>
      <c r="L65" s="8">
        <v>11423.159970000001</v>
      </c>
      <c r="M65" s="9" t="str">
        <f>IF(A65="",M66,A65)</f>
        <v>Albania</v>
      </c>
      <c r="N65" s="3" t="str">
        <f t="shared" si="1"/>
        <v>Apr-2021</v>
      </c>
    </row>
    <row r="66" spans="1:14" x14ac:dyDescent="0.3">
      <c r="A66" s="3" t="s">
        <v>11</v>
      </c>
      <c r="B66" s="3" t="s">
        <v>12</v>
      </c>
      <c r="C66" s="8">
        <v>2021</v>
      </c>
      <c r="D66" s="8">
        <v>5</v>
      </c>
      <c r="E66" s="3" t="str">
        <f t="shared" ref="E66:E129" si="2">TEXT(DATE(C66,D66,1),"MMMM")</f>
        <v>May</v>
      </c>
      <c r="F66" s="3" t="s">
        <v>13</v>
      </c>
      <c r="G66" s="8">
        <v>1643.4405750000001</v>
      </c>
      <c r="H66" s="8">
        <v>1874</v>
      </c>
      <c r="I66" s="8">
        <v>230.47609130000001</v>
      </c>
      <c r="J66" s="8">
        <v>11089.941000000001</v>
      </c>
      <c r="K66" s="8">
        <v>10540.42398</v>
      </c>
      <c r="L66" s="8">
        <v>11651.40718</v>
      </c>
      <c r="M66" s="9" t="str">
        <f>IF(A66="",M67,A66)</f>
        <v>Albania</v>
      </c>
      <c r="N66" s="3" t="str">
        <f t="shared" ref="N66:N129" si="3">TEXT(DATE(C66,D66,1),"MMM-YYYY")</f>
        <v>May-2021</v>
      </c>
    </row>
    <row r="67" spans="1:14" x14ac:dyDescent="0.3">
      <c r="A67" s="3" t="s">
        <v>11</v>
      </c>
      <c r="B67" s="3" t="s">
        <v>12</v>
      </c>
      <c r="C67" s="8">
        <v>2021</v>
      </c>
      <c r="D67" s="8">
        <v>6</v>
      </c>
      <c r="E67" s="3" t="str">
        <f t="shared" si="2"/>
        <v>June</v>
      </c>
      <c r="F67" s="3" t="s">
        <v>13</v>
      </c>
      <c r="G67" s="8">
        <v>1627.7176649999999</v>
      </c>
      <c r="H67" s="8">
        <v>1822</v>
      </c>
      <c r="I67" s="8">
        <v>194.1990021</v>
      </c>
      <c r="J67" s="8">
        <v>11284.140009999999</v>
      </c>
      <c r="K67" s="8">
        <v>10707.302890000001</v>
      </c>
      <c r="L67" s="8">
        <v>11858.465249999999</v>
      </c>
      <c r="M67" s="9" t="str">
        <f>IF(A67="",M68,A67)</f>
        <v>Albania</v>
      </c>
      <c r="N67" s="3" t="str">
        <f t="shared" si="3"/>
        <v>Jun-2021</v>
      </c>
    </row>
    <row r="68" spans="1:14" x14ac:dyDescent="0.3">
      <c r="A68" s="3" t="s">
        <v>11</v>
      </c>
      <c r="B68" s="3" t="s">
        <v>12</v>
      </c>
      <c r="C68" s="8">
        <v>2021</v>
      </c>
      <c r="D68" s="8">
        <v>7</v>
      </c>
      <c r="E68" s="3" t="str">
        <f t="shared" si="2"/>
        <v>July</v>
      </c>
      <c r="F68" s="3" t="s">
        <v>13</v>
      </c>
      <c r="G68" s="8">
        <v>1699.863216</v>
      </c>
      <c r="H68" s="8">
        <v>1820</v>
      </c>
      <c r="I68" s="8">
        <v>120.0534509</v>
      </c>
      <c r="J68" s="8">
        <v>11404.19346</v>
      </c>
      <c r="K68" s="8">
        <v>10802.338449999999</v>
      </c>
      <c r="L68" s="8">
        <v>11971.9378</v>
      </c>
      <c r="M68" s="9" t="str">
        <f>IF(A68="",M69,A68)</f>
        <v>Albania</v>
      </c>
      <c r="N68" s="3" t="str">
        <f t="shared" si="3"/>
        <v>Jul-2021</v>
      </c>
    </row>
    <row r="69" spans="1:14" x14ac:dyDescent="0.3">
      <c r="A69" s="3" t="s">
        <v>11</v>
      </c>
      <c r="B69" s="3" t="s">
        <v>12</v>
      </c>
      <c r="C69" s="8">
        <v>2021</v>
      </c>
      <c r="D69" s="8">
        <v>8</v>
      </c>
      <c r="E69" s="3" t="str">
        <f t="shared" si="2"/>
        <v>August</v>
      </c>
      <c r="F69" s="3" t="s">
        <v>13</v>
      </c>
      <c r="G69" s="8">
        <v>1654.552514</v>
      </c>
      <c r="H69" s="8">
        <v>2080</v>
      </c>
      <c r="I69" s="8">
        <v>425.36415249999999</v>
      </c>
      <c r="J69" s="8">
        <v>11829.55761</v>
      </c>
      <c r="K69" s="8">
        <v>11244.57836</v>
      </c>
      <c r="L69" s="8">
        <v>12429.277609999999</v>
      </c>
      <c r="M69" s="9" t="str">
        <f>IF(A69="",M70,A69)</f>
        <v>Albania</v>
      </c>
      <c r="N69" s="3" t="str">
        <f t="shared" si="3"/>
        <v>Aug-2021</v>
      </c>
    </row>
    <row r="70" spans="1:14" x14ac:dyDescent="0.3">
      <c r="A70" s="3" t="s">
        <v>11</v>
      </c>
      <c r="B70" s="3" t="s">
        <v>12</v>
      </c>
      <c r="C70" s="8">
        <v>2021</v>
      </c>
      <c r="D70" s="8">
        <v>9</v>
      </c>
      <c r="E70" s="3" t="str">
        <f t="shared" si="2"/>
        <v>September</v>
      </c>
      <c r="F70" s="3" t="s">
        <v>13</v>
      </c>
      <c r="G70" s="8">
        <v>1536.9213520000001</v>
      </c>
      <c r="H70" s="8">
        <v>2506</v>
      </c>
      <c r="I70" s="8">
        <v>968.99531469999999</v>
      </c>
      <c r="J70" s="8">
        <v>12798.55292</v>
      </c>
      <c r="K70" s="8">
        <v>12175.520200000001</v>
      </c>
      <c r="L70" s="8">
        <v>13420.99977</v>
      </c>
      <c r="M70" s="9" t="str">
        <f>IF(A70="",M71,A70)</f>
        <v>Albania</v>
      </c>
      <c r="N70" s="3" t="str">
        <f t="shared" si="3"/>
        <v>Sep-2021</v>
      </c>
    </row>
    <row r="71" spans="1:14" x14ac:dyDescent="0.3">
      <c r="A71" s="3" t="s">
        <v>11</v>
      </c>
      <c r="B71" s="3" t="s">
        <v>12</v>
      </c>
      <c r="C71" s="8">
        <v>2021</v>
      </c>
      <c r="D71" s="8">
        <v>10</v>
      </c>
      <c r="E71" s="3" t="str">
        <f t="shared" si="2"/>
        <v>October</v>
      </c>
      <c r="F71" s="3" t="s">
        <v>13</v>
      </c>
      <c r="G71" s="8">
        <v>1601.2627729999999</v>
      </c>
      <c r="H71" s="8">
        <v>2559</v>
      </c>
      <c r="I71" s="8">
        <v>957.65389379999999</v>
      </c>
      <c r="J71" s="8">
        <v>13756.206819999999</v>
      </c>
      <c r="K71" s="8">
        <v>13149.71775</v>
      </c>
      <c r="L71" s="8">
        <v>14389.38845</v>
      </c>
      <c r="M71" s="9" t="str">
        <f>IF(A71="",M72,A71)</f>
        <v>Albania</v>
      </c>
      <c r="N71" s="3" t="str">
        <f t="shared" si="3"/>
        <v>Oct-2021</v>
      </c>
    </row>
    <row r="72" spans="1:14" x14ac:dyDescent="0.3">
      <c r="A72" s="3" t="s">
        <v>11</v>
      </c>
      <c r="B72" s="3" t="s">
        <v>12</v>
      </c>
      <c r="C72" s="8">
        <v>2021</v>
      </c>
      <c r="D72" s="8">
        <v>11</v>
      </c>
      <c r="E72" s="3" t="str">
        <f t="shared" si="2"/>
        <v>November</v>
      </c>
      <c r="F72" s="3" t="s">
        <v>13</v>
      </c>
      <c r="G72" s="8">
        <v>1805.4319370000001</v>
      </c>
      <c r="H72" s="8">
        <v>2506</v>
      </c>
      <c r="I72" s="8">
        <v>700.4847297</v>
      </c>
      <c r="J72" s="8">
        <v>14456.69155</v>
      </c>
      <c r="K72" s="8">
        <v>13835.943799999999</v>
      </c>
      <c r="L72" s="8">
        <v>15124.13917</v>
      </c>
      <c r="M72" s="9" t="str">
        <f>IF(A72="",M73,A72)</f>
        <v>Albania</v>
      </c>
      <c r="N72" s="3" t="str">
        <f t="shared" si="3"/>
        <v>Nov-2021</v>
      </c>
    </row>
    <row r="73" spans="1:14" x14ac:dyDescent="0.3">
      <c r="A73" s="3" t="s">
        <v>11</v>
      </c>
      <c r="B73" s="3" t="s">
        <v>12</v>
      </c>
      <c r="C73" s="8">
        <v>2021</v>
      </c>
      <c r="D73" s="8">
        <v>12</v>
      </c>
      <c r="E73" s="3" t="str">
        <f t="shared" si="2"/>
        <v>December</v>
      </c>
      <c r="F73" s="3" t="s">
        <v>13</v>
      </c>
      <c r="G73" s="8">
        <v>2126.7685689999998</v>
      </c>
      <c r="H73" s="8">
        <v>2772</v>
      </c>
      <c r="I73" s="8">
        <v>645.14809730000002</v>
      </c>
      <c r="J73" s="8">
        <v>15101.83964</v>
      </c>
      <c r="K73" s="8">
        <v>14443.25453</v>
      </c>
      <c r="L73" s="8">
        <v>15780.70377</v>
      </c>
      <c r="M73" s="9" t="str">
        <f>IF(A73="",M74,A73)</f>
        <v>Albania</v>
      </c>
      <c r="N73" s="3" t="str">
        <f t="shared" si="3"/>
        <v>Dec-2021</v>
      </c>
    </row>
    <row r="74" spans="1:14" x14ac:dyDescent="0.3">
      <c r="A74" s="3" t="s">
        <v>14</v>
      </c>
      <c r="B74" s="3" t="s">
        <v>15</v>
      </c>
      <c r="C74" s="8">
        <v>2020</v>
      </c>
      <c r="D74" s="8">
        <v>1</v>
      </c>
      <c r="E74" s="3" t="str">
        <f t="shared" si="2"/>
        <v>January</v>
      </c>
      <c r="F74" s="3" t="s">
        <v>13</v>
      </c>
      <c r="G74" s="8">
        <v>54.716486340000003</v>
      </c>
      <c r="H74" s="8">
        <v>63</v>
      </c>
      <c r="I74" s="8">
        <v>8.2835136610000006</v>
      </c>
      <c r="J74" s="8">
        <v>8.2835136610000006</v>
      </c>
      <c r="K74" s="8">
        <v>0.38211694000000002</v>
      </c>
      <c r="L74" s="8">
        <v>16.029479429999999</v>
      </c>
      <c r="M74" s="9" t="str">
        <f>IF(A74="",M75,A74)</f>
        <v>Andorra</v>
      </c>
      <c r="N74" s="3" t="str">
        <f t="shared" si="3"/>
        <v>Jan-2020</v>
      </c>
    </row>
    <row r="75" spans="1:14" x14ac:dyDescent="0.3">
      <c r="A75" s="3" t="s">
        <v>14</v>
      </c>
      <c r="B75" s="3" t="s">
        <v>15</v>
      </c>
      <c r="C75" s="8">
        <v>2020</v>
      </c>
      <c r="D75" s="8">
        <v>2</v>
      </c>
      <c r="E75" s="3" t="str">
        <f t="shared" si="2"/>
        <v>February</v>
      </c>
      <c r="F75" s="3" t="s">
        <v>13</v>
      </c>
      <c r="G75" s="8">
        <v>54.399549290000003</v>
      </c>
      <c r="H75" s="8">
        <v>68</v>
      </c>
      <c r="I75" s="8">
        <v>13.60045071</v>
      </c>
      <c r="J75" s="8">
        <v>21.883964370000001</v>
      </c>
      <c r="K75" s="8">
        <v>9.8338377159999997</v>
      </c>
      <c r="L75" s="8">
        <v>32.371862470000003</v>
      </c>
      <c r="M75" s="9" t="str">
        <f>IF(A75="",M76,A75)</f>
        <v>Andorra</v>
      </c>
      <c r="N75" s="3" t="str">
        <f t="shared" si="3"/>
        <v>Feb-2020</v>
      </c>
    </row>
    <row r="76" spans="1:14" x14ac:dyDescent="0.3">
      <c r="A76" s="3" t="s">
        <v>14</v>
      </c>
      <c r="B76" s="3" t="s">
        <v>15</v>
      </c>
      <c r="C76" s="8">
        <v>2020</v>
      </c>
      <c r="D76" s="8">
        <v>3</v>
      </c>
      <c r="E76" s="3" t="str">
        <f t="shared" si="2"/>
        <v>March</v>
      </c>
      <c r="F76" s="3" t="s">
        <v>13</v>
      </c>
      <c r="G76" s="8">
        <v>52.160500640000002</v>
      </c>
      <c r="H76" s="8">
        <v>74</v>
      </c>
      <c r="I76" s="8">
        <v>21.839499360000001</v>
      </c>
      <c r="J76" s="8">
        <v>43.723463729999999</v>
      </c>
      <c r="K76" s="8">
        <v>28.841292939999999</v>
      </c>
      <c r="L76" s="8">
        <v>57.656414390000002</v>
      </c>
      <c r="M76" s="9" t="str">
        <f>IF(A76="",M77,A76)</f>
        <v>Andorra</v>
      </c>
      <c r="N76" s="3" t="str">
        <f t="shared" si="3"/>
        <v>Mar-2020</v>
      </c>
    </row>
    <row r="77" spans="1:14" x14ac:dyDescent="0.3">
      <c r="A77" s="3" t="s">
        <v>14</v>
      </c>
      <c r="B77" s="3" t="s">
        <v>15</v>
      </c>
      <c r="C77" s="8">
        <v>2020</v>
      </c>
      <c r="D77" s="8">
        <v>4</v>
      </c>
      <c r="E77" s="3" t="str">
        <f t="shared" si="2"/>
        <v>April</v>
      </c>
      <c r="F77" s="3" t="s">
        <v>13</v>
      </c>
      <c r="G77" s="8">
        <v>48.444327100000002</v>
      </c>
      <c r="H77" s="8">
        <v>111</v>
      </c>
      <c r="I77" s="8">
        <v>62.555672899999998</v>
      </c>
      <c r="J77" s="8">
        <v>106.2791366</v>
      </c>
      <c r="K77" s="8">
        <v>89.959809890000002</v>
      </c>
      <c r="L77" s="8">
        <v>121.8913599</v>
      </c>
      <c r="M77" s="9" t="str">
        <f>IF(A77="",M78,A77)</f>
        <v>Andorra</v>
      </c>
      <c r="N77" s="3" t="str">
        <f t="shared" si="3"/>
        <v>Apr-2020</v>
      </c>
    </row>
    <row r="78" spans="1:14" x14ac:dyDescent="0.3">
      <c r="A78" s="3" t="s">
        <v>14</v>
      </c>
      <c r="B78" s="3" t="s">
        <v>15</v>
      </c>
      <c r="C78" s="8">
        <v>2020</v>
      </c>
      <c r="D78" s="8">
        <v>5</v>
      </c>
      <c r="E78" s="3" t="str">
        <f t="shared" si="2"/>
        <v>May</v>
      </c>
      <c r="F78" s="3" t="s">
        <v>13</v>
      </c>
      <c r="G78" s="8">
        <v>45.787039530000001</v>
      </c>
      <c r="H78" s="8">
        <v>66</v>
      </c>
      <c r="I78" s="8">
        <v>20.212960469999999</v>
      </c>
      <c r="J78" s="8">
        <v>126.4920971</v>
      </c>
      <c r="K78" s="8">
        <v>107.5764259</v>
      </c>
      <c r="L78" s="8">
        <v>143.2918142</v>
      </c>
      <c r="M78" s="9" t="str">
        <f>IF(A78="",M79,A78)</f>
        <v>Andorra</v>
      </c>
      <c r="N78" s="3" t="str">
        <f t="shared" si="3"/>
        <v>May-2020</v>
      </c>
    </row>
    <row r="79" spans="1:14" x14ac:dyDescent="0.3">
      <c r="A79" s="3" t="s">
        <v>14</v>
      </c>
      <c r="B79" s="3" t="s">
        <v>15</v>
      </c>
      <c r="C79" s="8">
        <v>2020</v>
      </c>
      <c r="D79" s="8">
        <v>6</v>
      </c>
      <c r="E79" s="3" t="str">
        <f t="shared" si="2"/>
        <v>June</v>
      </c>
      <c r="F79" s="3" t="s">
        <v>13</v>
      </c>
      <c r="G79" s="8">
        <v>45.60769243</v>
      </c>
      <c r="H79" s="8">
        <v>48</v>
      </c>
      <c r="I79" s="8">
        <v>2.392307572</v>
      </c>
      <c r="J79" s="8">
        <v>128.8844047</v>
      </c>
      <c r="K79" s="8">
        <v>107.6524241</v>
      </c>
      <c r="L79" s="8">
        <v>147.86221829999999</v>
      </c>
      <c r="M79" s="9" t="str">
        <f>IF(A79="",M80,A79)</f>
        <v>Andorra</v>
      </c>
      <c r="N79" s="3" t="str">
        <f t="shared" si="3"/>
        <v>Jun-2020</v>
      </c>
    </row>
    <row r="80" spans="1:14" x14ac:dyDescent="0.3">
      <c r="A80" s="3" t="s">
        <v>14</v>
      </c>
      <c r="B80" s="3" t="s">
        <v>15</v>
      </c>
      <c r="C80" s="8">
        <v>2020</v>
      </c>
      <c r="D80" s="8">
        <v>7</v>
      </c>
      <c r="E80" s="3" t="str">
        <f t="shared" si="2"/>
        <v>July</v>
      </c>
      <c r="F80" s="3" t="s">
        <v>13</v>
      </c>
      <c r="G80" s="8">
        <v>46.167561059999997</v>
      </c>
      <c r="H80" s="8">
        <v>53</v>
      </c>
      <c r="I80" s="8">
        <v>6.8324389419999996</v>
      </c>
      <c r="J80" s="8">
        <v>135.7168436</v>
      </c>
      <c r="K80" s="8">
        <v>112.4100631</v>
      </c>
      <c r="L80" s="8">
        <v>156.5156661</v>
      </c>
      <c r="M80" s="9" t="str">
        <f>IF(A80="",M81,A80)</f>
        <v>Andorra</v>
      </c>
      <c r="N80" s="3" t="str">
        <f t="shared" si="3"/>
        <v>Jul-2020</v>
      </c>
    </row>
    <row r="81" spans="1:14" x14ac:dyDescent="0.3">
      <c r="A81" s="3" t="s">
        <v>14</v>
      </c>
      <c r="B81" s="3" t="s">
        <v>15</v>
      </c>
      <c r="C81" s="8">
        <v>2020</v>
      </c>
      <c r="D81" s="8">
        <v>8</v>
      </c>
      <c r="E81" s="3" t="str">
        <f t="shared" si="2"/>
        <v>August</v>
      </c>
      <c r="F81" s="3" t="s">
        <v>13</v>
      </c>
      <c r="G81" s="8">
        <v>46.856673710000003</v>
      </c>
      <c r="H81" s="8">
        <v>35</v>
      </c>
      <c r="I81" s="8">
        <v>-11.856673710000001</v>
      </c>
      <c r="J81" s="8">
        <v>123.8601699</v>
      </c>
      <c r="K81" s="8">
        <v>99.301367999999997</v>
      </c>
      <c r="L81" s="8">
        <v>145.35299520000001</v>
      </c>
      <c r="M81" s="9" t="str">
        <f>IF(A81="",M82,A81)</f>
        <v>Andorra</v>
      </c>
      <c r="N81" s="3" t="str">
        <f t="shared" si="3"/>
        <v>Aug-2020</v>
      </c>
    </row>
    <row r="82" spans="1:14" x14ac:dyDescent="0.3">
      <c r="A82" s="3" t="s">
        <v>14</v>
      </c>
      <c r="B82" s="3" t="s">
        <v>15</v>
      </c>
      <c r="C82" s="8">
        <v>2020</v>
      </c>
      <c r="D82" s="8">
        <v>9</v>
      </c>
      <c r="E82" s="3" t="str">
        <f t="shared" si="2"/>
        <v>September</v>
      </c>
      <c r="F82" s="3" t="s">
        <v>13</v>
      </c>
      <c r="G82" s="8">
        <v>48.37472271</v>
      </c>
      <c r="H82" s="8">
        <v>50</v>
      </c>
      <c r="I82" s="8">
        <v>1.625277286</v>
      </c>
      <c r="J82" s="8">
        <v>125.4854472</v>
      </c>
      <c r="K82" s="8">
        <v>100.62894470000001</v>
      </c>
      <c r="L82" s="8">
        <v>148.15684630000001</v>
      </c>
      <c r="M82" s="9" t="str">
        <f>IF(A82="",M83,A82)</f>
        <v>Andorra</v>
      </c>
      <c r="N82" s="3" t="str">
        <f t="shared" si="3"/>
        <v>Sep-2020</v>
      </c>
    </row>
    <row r="83" spans="1:14" x14ac:dyDescent="0.3">
      <c r="A83" s="3" t="s">
        <v>14</v>
      </c>
      <c r="B83" s="3" t="s">
        <v>15</v>
      </c>
      <c r="C83" s="8">
        <v>2020</v>
      </c>
      <c r="D83" s="8">
        <v>10</v>
      </c>
      <c r="E83" s="3" t="str">
        <f t="shared" si="2"/>
        <v>October</v>
      </c>
      <c r="F83" s="3" t="s">
        <v>13</v>
      </c>
      <c r="G83" s="8">
        <v>50.564009050000003</v>
      </c>
      <c r="H83" s="8">
        <v>94</v>
      </c>
      <c r="I83" s="8">
        <v>43.435990949999997</v>
      </c>
      <c r="J83" s="8">
        <v>168.92143809999999</v>
      </c>
      <c r="K83" s="8">
        <v>143.77126730000001</v>
      </c>
      <c r="L83" s="8">
        <v>194.3157372</v>
      </c>
      <c r="M83" s="9" t="str">
        <f>IF(A83="",M84,A83)</f>
        <v>Andorra</v>
      </c>
      <c r="N83" s="3" t="str">
        <f t="shared" si="3"/>
        <v>Oct-2020</v>
      </c>
    </row>
    <row r="84" spans="1:14" x14ac:dyDescent="0.3">
      <c r="A84" s="3" t="s">
        <v>14</v>
      </c>
      <c r="B84" s="3" t="s">
        <v>15</v>
      </c>
      <c r="C84" s="8">
        <v>2020</v>
      </c>
      <c r="D84" s="8">
        <v>11</v>
      </c>
      <c r="E84" s="3" t="str">
        <f t="shared" si="2"/>
        <v>November</v>
      </c>
      <c r="F84" s="3" t="s">
        <v>13</v>
      </c>
      <c r="G84" s="8">
        <v>53.423045700000003</v>
      </c>
      <c r="H84" s="8">
        <v>35</v>
      </c>
      <c r="I84" s="8">
        <v>-18.423045699999999</v>
      </c>
      <c r="J84" s="8">
        <v>150.4983924</v>
      </c>
      <c r="K84" s="8">
        <v>122.4215707</v>
      </c>
      <c r="L84" s="8">
        <v>178.37949939999999</v>
      </c>
      <c r="M84" s="9" t="str">
        <f>IF(A84="",M85,A84)</f>
        <v>Andorra</v>
      </c>
      <c r="N84" s="3" t="str">
        <f t="shared" si="3"/>
        <v>Nov-2020</v>
      </c>
    </row>
    <row r="85" spans="1:14" x14ac:dyDescent="0.3">
      <c r="A85" s="3" t="s">
        <v>14</v>
      </c>
      <c r="B85" s="3" t="s">
        <v>15</v>
      </c>
      <c r="C85" s="8">
        <v>2020</v>
      </c>
      <c r="D85" s="8">
        <v>12</v>
      </c>
      <c r="E85" s="3" t="str">
        <f t="shared" si="2"/>
        <v>December</v>
      </c>
      <c r="F85" s="3" t="s">
        <v>13</v>
      </c>
      <c r="G85" s="8">
        <v>55.476805570000003</v>
      </c>
      <c r="H85" s="8">
        <v>76</v>
      </c>
      <c r="I85" s="8">
        <v>20.52319443</v>
      </c>
      <c r="J85" s="8">
        <v>171.02158689999999</v>
      </c>
      <c r="K85" s="8">
        <v>141.11911470000001</v>
      </c>
      <c r="L85" s="8">
        <v>199.008533</v>
      </c>
      <c r="M85" s="9" t="str">
        <f>IF(A85="",M86,A85)</f>
        <v>Andorra</v>
      </c>
      <c r="N85" s="3" t="str">
        <f t="shared" si="3"/>
        <v>Dec-2020</v>
      </c>
    </row>
    <row r="86" spans="1:14" x14ac:dyDescent="0.3">
      <c r="A86" s="3" t="s">
        <v>14</v>
      </c>
      <c r="B86" s="3" t="s">
        <v>15</v>
      </c>
      <c r="C86" s="8">
        <v>2021</v>
      </c>
      <c r="D86" s="8">
        <v>1</v>
      </c>
      <c r="E86" s="3" t="str">
        <f t="shared" si="2"/>
        <v>January</v>
      </c>
      <c r="F86" s="3" t="s">
        <v>13</v>
      </c>
      <c r="G86" s="8">
        <v>56.021232789999999</v>
      </c>
      <c r="H86" s="8">
        <v>96</v>
      </c>
      <c r="I86" s="8">
        <v>39.978767210000001</v>
      </c>
      <c r="J86" s="8">
        <v>211.00035410000001</v>
      </c>
      <c r="K86" s="8">
        <v>180.78364569999999</v>
      </c>
      <c r="L86" s="8">
        <v>241.7824162</v>
      </c>
      <c r="M86" s="9" t="str">
        <f>IF(A86="",M87,A86)</f>
        <v>Andorra</v>
      </c>
      <c r="N86" s="3" t="str">
        <f t="shared" si="3"/>
        <v>Jan-2021</v>
      </c>
    </row>
    <row r="87" spans="1:14" x14ac:dyDescent="0.3">
      <c r="A87" s="3" t="s">
        <v>14</v>
      </c>
      <c r="B87" s="3" t="s">
        <v>15</v>
      </c>
      <c r="C87" s="8">
        <v>2021</v>
      </c>
      <c r="D87" s="8">
        <v>2</v>
      </c>
      <c r="E87" s="3" t="str">
        <f t="shared" si="2"/>
        <v>February</v>
      </c>
      <c r="F87" s="3" t="s">
        <v>13</v>
      </c>
      <c r="G87" s="8">
        <v>55.966918640000003</v>
      </c>
      <c r="H87" s="8">
        <v>66</v>
      </c>
      <c r="I87" s="8">
        <v>10.033081360000001</v>
      </c>
      <c r="J87" s="8">
        <v>221.0334355</v>
      </c>
      <c r="K87" s="8">
        <v>186.88019170000001</v>
      </c>
      <c r="L87" s="8">
        <v>253.21359659999999</v>
      </c>
      <c r="M87" s="9" t="str">
        <f>IF(A87="",M88,A87)</f>
        <v>Andorra</v>
      </c>
      <c r="N87" s="3" t="str">
        <f t="shared" si="3"/>
        <v>Feb-2021</v>
      </c>
    </row>
    <row r="88" spans="1:14" x14ac:dyDescent="0.3">
      <c r="A88" s="3" t="s">
        <v>14</v>
      </c>
      <c r="B88" s="3" t="s">
        <v>15</v>
      </c>
      <c r="C88" s="8">
        <v>2021</v>
      </c>
      <c r="D88" s="8">
        <v>3</v>
      </c>
      <c r="E88" s="3" t="str">
        <f t="shared" si="2"/>
        <v>March</v>
      </c>
      <c r="F88" s="3" t="s">
        <v>13</v>
      </c>
      <c r="G88" s="8">
        <v>53.508940119999998</v>
      </c>
      <c r="H88" s="8">
        <v>48</v>
      </c>
      <c r="I88" s="8">
        <v>-5.5089401220000003</v>
      </c>
      <c r="J88" s="8">
        <v>215.52449530000001</v>
      </c>
      <c r="K88" s="8">
        <v>179.67749660000001</v>
      </c>
      <c r="L88" s="8">
        <v>248.93551400000001</v>
      </c>
      <c r="M88" s="9" t="str">
        <f>IF(A88="",M89,A88)</f>
        <v>Andorra</v>
      </c>
      <c r="N88" s="3" t="str">
        <f t="shared" si="3"/>
        <v>Mar-2021</v>
      </c>
    </row>
    <row r="89" spans="1:14" x14ac:dyDescent="0.3">
      <c r="A89" s="3" t="s">
        <v>14</v>
      </c>
      <c r="B89" s="3" t="s">
        <v>15</v>
      </c>
      <c r="C89" s="8">
        <v>2021</v>
      </c>
      <c r="D89" s="8">
        <v>4</v>
      </c>
      <c r="E89" s="3" t="str">
        <f t="shared" si="2"/>
        <v>April</v>
      </c>
      <c r="F89" s="3" t="s">
        <v>13</v>
      </c>
      <c r="G89" s="8">
        <v>49.523580019999997</v>
      </c>
      <c r="H89" s="8">
        <v>79</v>
      </c>
      <c r="I89" s="8">
        <v>29.476419979999999</v>
      </c>
      <c r="J89" s="8">
        <v>245.0009153</v>
      </c>
      <c r="K89" s="8">
        <v>209.497863</v>
      </c>
      <c r="L89" s="8">
        <v>280.38590210000001</v>
      </c>
      <c r="M89" s="9" t="str">
        <f>IF(A89="",M90,A89)</f>
        <v>Andorra</v>
      </c>
      <c r="N89" s="3" t="str">
        <f t="shared" si="3"/>
        <v>Apr-2021</v>
      </c>
    </row>
    <row r="90" spans="1:14" x14ac:dyDescent="0.3">
      <c r="A90" s="3" t="s">
        <v>14</v>
      </c>
      <c r="B90" s="3" t="s">
        <v>15</v>
      </c>
      <c r="C90" s="8">
        <v>2021</v>
      </c>
      <c r="D90" s="8">
        <v>5</v>
      </c>
      <c r="E90" s="3" t="str">
        <f t="shared" si="2"/>
        <v>May</v>
      </c>
      <c r="F90" s="3" t="s">
        <v>13</v>
      </c>
      <c r="G90" s="8">
        <v>47.487346619999997</v>
      </c>
      <c r="H90" s="8">
        <v>59</v>
      </c>
      <c r="I90" s="8">
        <v>11.51265338</v>
      </c>
      <c r="J90" s="8">
        <v>256.51356870000001</v>
      </c>
      <c r="K90" s="8">
        <v>218.9125386</v>
      </c>
      <c r="L90" s="8">
        <v>294.36948940000002</v>
      </c>
      <c r="M90" s="9" t="str">
        <f>IF(A90="",M91,A90)</f>
        <v>Andorra</v>
      </c>
      <c r="N90" s="3" t="str">
        <f t="shared" si="3"/>
        <v>May-2021</v>
      </c>
    </row>
    <row r="91" spans="1:14" x14ac:dyDescent="0.3">
      <c r="A91" s="3" t="s">
        <v>14</v>
      </c>
      <c r="B91" s="3" t="s">
        <v>15</v>
      </c>
      <c r="C91" s="8">
        <v>2021</v>
      </c>
      <c r="D91" s="8">
        <v>6</v>
      </c>
      <c r="E91" s="3" t="str">
        <f t="shared" si="2"/>
        <v>June</v>
      </c>
      <c r="F91" s="3" t="s">
        <v>13</v>
      </c>
      <c r="G91" s="8">
        <v>46.942772050000002</v>
      </c>
      <c r="H91" s="8">
        <v>35</v>
      </c>
      <c r="I91" s="8">
        <v>-11.94277205</v>
      </c>
      <c r="J91" s="8">
        <v>244.57079659999999</v>
      </c>
      <c r="K91" s="8">
        <v>204.73496499999999</v>
      </c>
      <c r="L91" s="8">
        <v>281.52300930000001</v>
      </c>
      <c r="M91" s="9" t="str">
        <f>IF(A91="",M92,A91)</f>
        <v>Andorra</v>
      </c>
      <c r="N91" s="3" t="str">
        <f t="shared" si="3"/>
        <v>Jun-2021</v>
      </c>
    </row>
    <row r="92" spans="1:14" x14ac:dyDescent="0.3">
      <c r="A92" s="3" t="s">
        <v>14</v>
      </c>
      <c r="B92" s="3" t="s">
        <v>15</v>
      </c>
      <c r="C92" s="8">
        <v>2021</v>
      </c>
      <c r="D92" s="8">
        <v>7</v>
      </c>
      <c r="E92" s="3" t="str">
        <f t="shared" si="2"/>
        <v>July</v>
      </c>
      <c r="F92" s="3" t="s">
        <v>13</v>
      </c>
      <c r="G92" s="8">
        <v>46.80605542</v>
      </c>
      <c r="H92" s="8">
        <v>53</v>
      </c>
      <c r="I92" s="8">
        <v>6.1939445800000001</v>
      </c>
      <c r="J92" s="8">
        <v>250.7647412</v>
      </c>
      <c r="K92" s="8">
        <v>210.47944010000001</v>
      </c>
      <c r="L92" s="8">
        <v>289.43139480000002</v>
      </c>
      <c r="M92" s="9" t="str">
        <f>IF(A92="",M93,A92)</f>
        <v>Andorra</v>
      </c>
      <c r="N92" s="3" t="str">
        <f t="shared" si="3"/>
        <v>Jul-2021</v>
      </c>
    </row>
    <row r="93" spans="1:14" x14ac:dyDescent="0.3">
      <c r="A93" s="3" t="s">
        <v>14</v>
      </c>
      <c r="B93" s="3" t="s">
        <v>15</v>
      </c>
      <c r="C93" s="8">
        <v>2021</v>
      </c>
      <c r="D93" s="8">
        <v>8</v>
      </c>
      <c r="E93" s="3" t="str">
        <f t="shared" si="2"/>
        <v>August</v>
      </c>
      <c r="F93" s="3" t="s">
        <v>13</v>
      </c>
      <c r="G93" s="8">
        <v>47.915627860000001</v>
      </c>
      <c r="H93" s="8">
        <v>52</v>
      </c>
      <c r="I93" s="8">
        <v>4.0843721410000002</v>
      </c>
      <c r="J93" s="8">
        <v>254.84911339999999</v>
      </c>
      <c r="K93" s="8">
        <v>213.66176279999999</v>
      </c>
      <c r="L93" s="8">
        <v>294.97979759999998</v>
      </c>
      <c r="M93" s="9" t="str">
        <f>IF(A93="",M94,A93)</f>
        <v>Andorra</v>
      </c>
      <c r="N93" s="3" t="str">
        <f t="shared" si="3"/>
        <v>Aug-2021</v>
      </c>
    </row>
    <row r="94" spans="1:14" x14ac:dyDescent="0.3">
      <c r="A94" s="3" t="s">
        <v>14</v>
      </c>
      <c r="B94" s="3" t="s">
        <v>15</v>
      </c>
      <c r="C94" s="8">
        <v>2021</v>
      </c>
      <c r="D94" s="8">
        <v>9</v>
      </c>
      <c r="E94" s="3" t="str">
        <f t="shared" si="2"/>
        <v>September</v>
      </c>
      <c r="F94" s="3" t="s">
        <v>13</v>
      </c>
      <c r="G94" s="8">
        <v>49.491608579999998</v>
      </c>
      <c r="H94" s="8">
        <v>48</v>
      </c>
      <c r="I94" s="8">
        <v>-1.491608579</v>
      </c>
      <c r="J94" s="8">
        <v>253.35750479999999</v>
      </c>
      <c r="K94" s="8">
        <v>211.28701319999999</v>
      </c>
      <c r="L94" s="8">
        <v>294.47893979999998</v>
      </c>
      <c r="M94" s="9" t="str">
        <f>IF(A94="",M95,A94)</f>
        <v>Andorra</v>
      </c>
      <c r="N94" s="3" t="str">
        <f t="shared" si="3"/>
        <v>Sep-2021</v>
      </c>
    </row>
    <row r="95" spans="1:14" x14ac:dyDescent="0.3">
      <c r="A95" s="3" t="s">
        <v>14</v>
      </c>
      <c r="B95" s="3" t="s">
        <v>15</v>
      </c>
      <c r="C95" s="8">
        <v>2021</v>
      </c>
      <c r="D95" s="8">
        <v>10</v>
      </c>
      <c r="E95" s="3" t="str">
        <f t="shared" si="2"/>
        <v>October</v>
      </c>
      <c r="F95" s="3" t="s">
        <v>13</v>
      </c>
      <c r="G95" s="8">
        <v>51.724913430000001</v>
      </c>
      <c r="H95" s="8">
        <v>50</v>
      </c>
      <c r="I95" s="8">
        <v>-1.7249134260000001</v>
      </c>
      <c r="J95" s="8">
        <v>251.6325914</v>
      </c>
      <c r="K95" s="8">
        <v>209.17405059999999</v>
      </c>
      <c r="L95" s="8">
        <v>293.39931159999998</v>
      </c>
      <c r="M95" s="9" t="str">
        <f>IF(A95="",M96,A95)</f>
        <v>Andorra</v>
      </c>
      <c r="N95" s="3" t="str">
        <f t="shared" si="3"/>
        <v>Oct-2021</v>
      </c>
    </row>
    <row r="96" spans="1:14" x14ac:dyDescent="0.3">
      <c r="A96" s="3" t="s">
        <v>14</v>
      </c>
      <c r="B96" s="3" t="s">
        <v>15</v>
      </c>
      <c r="C96" s="8">
        <v>2021</v>
      </c>
      <c r="D96" s="8">
        <v>11</v>
      </c>
      <c r="E96" s="3" t="str">
        <f t="shared" si="2"/>
        <v>November</v>
      </c>
      <c r="F96" s="3" t="s">
        <v>13</v>
      </c>
      <c r="G96" s="8">
        <v>54.861708780000001</v>
      </c>
      <c r="H96" s="8">
        <v>48</v>
      </c>
      <c r="I96" s="8">
        <v>-6.8617087760000004</v>
      </c>
      <c r="J96" s="8">
        <v>244.77088259999999</v>
      </c>
      <c r="K96" s="8">
        <v>201.02534689999999</v>
      </c>
      <c r="L96" s="8">
        <v>287.21453289999999</v>
      </c>
      <c r="M96" s="9" t="str">
        <f>IF(A96="",M97,A96)</f>
        <v>Andorra</v>
      </c>
      <c r="N96" s="3" t="str">
        <f t="shared" si="3"/>
        <v>Nov-2021</v>
      </c>
    </row>
    <row r="97" spans="1:14" x14ac:dyDescent="0.3">
      <c r="A97" s="3" t="s">
        <v>14</v>
      </c>
      <c r="B97" s="3" t="s">
        <v>15</v>
      </c>
      <c r="C97" s="8">
        <v>2021</v>
      </c>
      <c r="D97" s="8">
        <v>12</v>
      </c>
      <c r="E97" s="3" t="str">
        <f t="shared" si="2"/>
        <v>December</v>
      </c>
      <c r="F97" s="3" t="s">
        <v>13</v>
      </c>
      <c r="G97" s="8">
        <v>57.332767220000001</v>
      </c>
      <c r="H97" s="8">
        <v>78</v>
      </c>
      <c r="I97" s="8">
        <v>20.667232779999999</v>
      </c>
      <c r="J97" s="8">
        <v>265.43811540000002</v>
      </c>
      <c r="K97" s="8">
        <v>221.60140630000001</v>
      </c>
      <c r="L97" s="8">
        <v>310.20867500000003</v>
      </c>
      <c r="M97" s="9" t="str">
        <f>IF(A97="",M98,A97)</f>
        <v>Andorra</v>
      </c>
      <c r="N97" s="3" t="str">
        <f t="shared" si="3"/>
        <v>Dec-2021</v>
      </c>
    </row>
    <row r="98" spans="1:14" x14ac:dyDescent="0.3">
      <c r="A98" s="3" t="s">
        <v>16</v>
      </c>
      <c r="B98" s="3" t="s">
        <v>17</v>
      </c>
      <c r="C98" s="8">
        <v>2020</v>
      </c>
      <c r="D98" s="8">
        <v>1</v>
      </c>
      <c r="E98" s="3" t="str">
        <f t="shared" si="2"/>
        <v>January</v>
      </c>
      <c r="F98" s="3" t="s">
        <v>13</v>
      </c>
      <c r="G98" s="8">
        <v>1567.2159710000001</v>
      </c>
      <c r="H98" s="8">
        <v>1467</v>
      </c>
      <c r="I98" s="8">
        <v>-100.5460389</v>
      </c>
      <c r="J98" s="8">
        <v>-100.5460389</v>
      </c>
      <c r="K98" s="8">
        <v>-155.21814660000001</v>
      </c>
      <c r="L98" s="8">
        <v>-44.127053400000001</v>
      </c>
      <c r="M98" s="9" t="str">
        <f>IF(A98="",M99,A98)</f>
        <v>United Arab Emirates</v>
      </c>
      <c r="N98" s="3" t="str">
        <f t="shared" si="3"/>
        <v>Jan-2020</v>
      </c>
    </row>
    <row r="99" spans="1:14" x14ac:dyDescent="0.3">
      <c r="A99" s="3" t="s">
        <v>16</v>
      </c>
      <c r="B99" s="3" t="s">
        <v>17</v>
      </c>
      <c r="C99" s="8">
        <v>2020</v>
      </c>
      <c r="D99" s="8">
        <v>2</v>
      </c>
      <c r="E99" s="3" t="str">
        <f t="shared" si="2"/>
        <v>February</v>
      </c>
      <c r="F99" s="3" t="s">
        <v>13</v>
      </c>
      <c r="G99" s="8">
        <v>1564.5836099999999</v>
      </c>
      <c r="H99" s="8">
        <v>1318</v>
      </c>
      <c r="I99" s="8">
        <v>-246.91367790000001</v>
      </c>
      <c r="J99" s="8">
        <v>-347.45971680000002</v>
      </c>
      <c r="K99" s="8">
        <v>-437.06414840000002</v>
      </c>
      <c r="L99" s="8">
        <v>-258.11775740000002</v>
      </c>
      <c r="M99" s="9" t="str">
        <f>IF(A99="",M100,A99)</f>
        <v>United Arab Emirates</v>
      </c>
      <c r="N99" s="3" t="str">
        <f t="shared" si="3"/>
        <v>Feb-2020</v>
      </c>
    </row>
    <row r="100" spans="1:14" x14ac:dyDescent="0.3">
      <c r="A100" s="3" t="s">
        <v>16</v>
      </c>
      <c r="B100" s="3" t="s">
        <v>17</v>
      </c>
      <c r="C100" s="8">
        <v>2020</v>
      </c>
      <c r="D100" s="8">
        <v>3</v>
      </c>
      <c r="E100" s="3" t="str">
        <f t="shared" si="2"/>
        <v>March</v>
      </c>
      <c r="F100" s="3" t="s">
        <v>13</v>
      </c>
      <c r="G100" s="8">
        <v>1524.6677480000001</v>
      </c>
      <c r="H100" s="8">
        <v>1289</v>
      </c>
      <c r="I100" s="8">
        <v>-235.99781569999999</v>
      </c>
      <c r="J100" s="8">
        <v>-583.45753249999996</v>
      </c>
      <c r="K100" s="8">
        <v>-696.14903760000004</v>
      </c>
      <c r="L100" s="8">
        <v>-472.44898180000001</v>
      </c>
      <c r="M100" s="9" t="str">
        <f>IF(A100="",M101,A100)</f>
        <v>United Arab Emirates</v>
      </c>
      <c r="N100" s="3" t="str">
        <f t="shared" si="3"/>
        <v>Mar-2020</v>
      </c>
    </row>
    <row r="101" spans="1:14" x14ac:dyDescent="0.3">
      <c r="A101" s="3" t="s">
        <v>16</v>
      </c>
      <c r="B101" s="3" t="s">
        <v>17</v>
      </c>
      <c r="C101" s="8">
        <v>2020</v>
      </c>
      <c r="D101" s="8">
        <v>4</v>
      </c>
      <c r="E101" s="3" t="str">
        <f t="shared" si="2"/>
        <v>April</v>
      </c>
      <c r="F101" s="3" t="s">
        <v>13</v>
      </c>
      <c r="G101" s="8">
        <v>1471.0386209999999</v>
      </c>
      <c r="H101" s="8">
        <v>2107</v>
      </c>
      <c r="I101" s="8">
        <v>635.63131169999997</v>
      </c>
      <c r="J101" s="8">
        <v>52.173779260000003</v>
      </c>
      <c r="K101" s="8">
        <v>-75.192936709999998</v>
      </c>
      <c r="L101" s="8">
        <v>180.9062462</v>
      </c>
      <c r="M101" s="9" t="str">
        <f>IF(A101="",M102,A101)</f>
        <v>United Arab Emirates</v>
      </c>
      <c r="N101" s="3" t="str">
        <f t="shared" si="3"/>
        <v>Apr-2020</v>
      </c>
    </row>
    <row r="102" spans="1:14" x14ac:dyDescent="0.3">
      <c r="A102" s="3" t="s">
        <v>16</v>
      </c>
      <c r="B102" s="3" t="s">
        <v>17</v>
      </c>
      <c r="C102" s="8">
        <v>2020</v>
      </c>
      <c r="D102" s="8">
        <v>5</v>
      </c>
      <c r="E102" s="3" t="str">
        <f t="shared" si="2"/>
        <v>May</v>
      </c>
      <c r="F102" s="3" t="s">
        <v>13</v>
      </c>
      <c r="G102" s="8">
        <v>1439.4179690000001</v>
      </c>
      <c r="H102" s="8">
        <v>3164</v>
      </c>
      <c r="I102" s="8">
        <v>1724.2519629999999</v>
      </c>
      <c r="J102" s="8">
        <v>1776.4257419999999</v>
      </c>
      <c r="K102" s="8">
        <v>1623.3005410000001</v>
      </c>
      <c r="L102" s="8">
        <v>1924.379486</v>
      </c>
      <c r="M102" s="9" t="str">
        <f>IF(A102="",M103,A102)</f>
        <v>United Arab Emirates</v>
      </c>
      <c r="N102" s="3" t="str">
        <f t="shared" si="3"/>
        <v>May-2020</v>
      </c>
    </row>
    <row r="103" spans="1:14" x14ac:dyDescent="0.3">
      <c r="A103" s="3" t="s">
        <v>16</v>
      </c>
      <c r="B103" s="3" t="s">
        <v>17</v>
      </c>
      <c r="C103" s="8">
        <v>2020</v>
      </c>
      <c r="D103" s="8">
        <v>6</v>
      </c>
      <c r="E103" s="3" t="str">
        <f t="shared" si="2"/>
        <v>June</v>
      </c>
      <c r="F103" s="3" t="s">
        <v>13</v>
      </c>
      <c r="G103" s="8">
        <v>1433.9082000000001</v>
      </c>
      <c r="H103" s="8">
        <v>2101</v>
      </c>
      <c r="I103" s="8">
        <v>666.76173240000003</v>
      </c>
      <c r="J103" s="8">
        <v>2443.1874750000002</v>
      </c>
      <c r="K103" s="8">
        <v>2280.1718209999999</v>
      </c>
      <c r="L103" s="8">
        <v>2600.339966</v>
      </c>
      <c r="M103" s="9" t="str">
        <f>IF(A103="",M104,A103)</f>
        <v>United Arab Emirates</v>
      </c>
      <c r="N103" s="3" t="str">
        <f t="shared" si="3"/>
        <v>Jun-2020</v>
      </c>
    </row>
    <row r="104" spans="1:14" x14ac:dyDescent="0.3">
      <c r="A104" s="3" t="s">
        <v>16</v>
      </c>
      <c r="B104" s="3" t="s">
        <v>17</v>
      </c>
      <c r="C104" s="8">
        <v>2020</v>
      </c>
      <c r="D104" s="8">
        <v>7</v>
      </c>
      <c r="E104" s="3" t="str">
        <f t="shared" si="2"/>
        <v>July</v>
      </c>
      <c r="F104" s="3" t="s">
        <v>13</v>
      </c>
      <c r="G104" s="8">
        <v>1433.922444</v>
      </c>
      <c r="H104" s="8">
        <v>1548</v>
      </c>
      <c r="I104" s="8">
        <v>113.7474883</v>
      </c>
      <c r="J104" s="8">
        <v>2556.9349630000002</v>
      </c>
      <c r="K104" s="8">
        <v>2384.6087120000002</v>
      </c>
      <c r="L104" s="8">
        <v>2732.3035839999998</v>
      </c>
      <c r="M104" s="9" t="str">
        <f>IF(A104="",M105,A104)</f>
        <v>United Arab Emirates</v>
      </c>
      <c r="N104" s="3" t="str">
        <f t="shared" si="3"/>
        <v>Jul-2020</v>
      </c>
    </row>
    <row r="105" spans="1:14" x14ac:dyDescent="0.3">
      <c r="A105" s="3" t="s">
        <v>16</v>
      </c>
      <c r="B105" s="3" t="s">
        <v>17</v>
      </c>
      <c r="C105" s="8">
        <v>2020</v>
      </c>
      <c r="D105" s="8">
        <v>8</v>
      </c>
      <c r="E105" s="3" t="str">
        <f t="shared" si="2"/>
        <v>August</v>
      </c>
      <c r="F105" s="3" t="s">
        <v>13</v>
      </c>
      <c r="G105" s="8">
        <v>1432.8196069999999</v>
      </c>
      <c r="H105" s="8">
        <v>1491</v>
      </c>
      <c r="I105" s="8">
        <v>57.850325009999999</v>
      </c>
      <c r="J105" s="8">
        <v>2614.785288</v>
      </c>
      <c r="K105" s="8">
        <v>2430.145888</v>
      </c>
      <c r="L105" s="8">
        <v>2796.8206319999999</v>
      </c>
      <c r="M105" s="9" t="str">
        <f>IF(A105="",M106,A105)</f>
        <v>United Arab Emirates</v>
      </c>
      <c r="N105" s="3" t="str">
        <f t="shared" si="3"/>
        <v>Aug-2020</v>
      </c>
    </row>
    <row r="106" spans="1:14" x14ac:dyDescent="0.3">
      <c r="A106" s="3" t="s">
        <v>16</v>
      </c>
      <c r="B106" s="3" t="s">
        <v>17</v>
      </c>
      <c r="C106" s="8">
        <v>2020</v>
      </c>
      <c r="D106" s="8">
        <v>9</v>
      </c>
      <c r="E106" s="3" t="str">
        <f t="shared" si="2"/>
        <v>September</v>
      </c>
      <c r="F106" s="3" t="s">
        <v>13</v>
      </c>
      <c r="G106" s="8">
        <v>1444.530336</v>
      </c>
      <c r="H106" s="8">
        <v>1429</v>
      </c>
      <c r="I106" s="8">
        <v>-15.86040354</v>
      </c>
      <c r="J106" s="8">
        <v>2598.924884</v>
      </c>
      <c r="K106" s="8">
        <v>2392.5080579999999</v>
      </c>
      <c r="L106" s="8">
        <v>2789.9077130000001</v>
      </c>
      <c r="M106" s="9" t="str">
        <f>IF(A106="",M107,A106)</f>
        <v>United Arab Emirates</v>
      </c>
      <c r="N106" s="3" t="str">
        <f t="shared" si="3"/>
        <v>Sep-2020</v>
      </c>
    </row>
    <row r="107" spans="1:14" x14ac:dyDescent="0.3">
      <c r="A107" s="3"/>
      <c r="B107" s="3" t="s">
        <v>17</v>
      </c>
      <c r="C107" s="8">
        <v>2020</v>
      </c>
      <c r="D107" s="8">
        <v>10</v>
      </c>
      <c r="E107" s="3" t="str">
        <f t="shared" si="2"/>
        <v>October</v>
      </c>
      <c r="F107" s="3" t="s">
        <v>13</v>
      </c>
      <c r="G107" s="8">
        <v>1475.768994</v>
      </c>
      <c r="H107" s="8">
        <v>1425</v>
      </c>
      <c r="I107" s="8">
        <v>-51.099061900000002</v>
      </c>
      <c r="J107" s="8">
        <v>2547.8258230000001</v>
      </c>
      <c r="K107" s="8">
        <v>2334.9842840000001</v>
      </c>
      <c r="L107" s="8">
        <v>2752.9480039999999</v>
      </c>
      <c r="M107" s="11" t="str">
        <f>IF(A107="",M108,A107)</f>
        <v>United Arab Emirates</v>
      </c>
      <c r="N107" s="3" t="str">
        <f t="shared" si="3"/>
        <v>Oct-2020</v>
      </c>
    </row>
    <row r="108" spans="1:14" x14ac:dyDescent="0.3">
      <c r="A108" s="3" t="s">
        <v>16</v>
      </c>
      <c r="B108" s="3" t="s">
        <v>17</v>
      </c>
      <c r="C108" s="8">
        <v>2020</v>
      </c>
      <c r="D108" s="8">
        <v>11</v>
      </c>
      <c r="E108" s="3" t="str">
        <f t="shared" si="2"/>
        <v>November</v>
      </c>
      <c r="F108" s="3" t="s">
        <v>13</v>
      </c>
      <c r="G108" s="8">
        <v>1536.5302469999999</v>
      </c>
      <c r="H108" s="8">
        <v>1617</v>
      </c>
      <c r="I108" s="8">
        <v>80.139685060000005</v>
      </c>
      <c r="J108" s="8">
        <v>2627.9655080000002</v>
      </c>
      <c r="K108" s="8">
        <v>2411.075405</v>
      </c>
      <c r="L108" s="8">
        <v>2842.420451</v>
      </c>
      <c r="M108" s="9" t="str">
        <f>IF(A108="",M109,A108)</f>
        <v>United Arab Emirates</v>
      </c>
      <c r="N108" s="3" t="str">
        <f t="shared" si="3"/>
        <v>Nov-2020</v>
      </c>
    </row>
    <row r="109" spans="1:14" x14ac:dyDescent="0.3">
      <c r="A109" s="3" t="s">
        <v>16</v>
      </c>
      <c r="B109" s="3" t="s">
        <v>17</v>
      </c>
      <c r="C109" s="8">
        <v>2020</v>
      </c>
      <c r="D109" s="8">
        <v>12</v>
      </c>
      <c r="E109" s="3" t="str">
        <f t="shared" si="2"/>
        <v>December</v>
      </c>
      <c r="F109" s="3" t="s">
        <v>13</v>
      </c>
      <c r="G109" s="8">
        <v>1581.0885499999999</v>
      </c>
      <c r="H109" s="8">
        <v>1548</v>
      </c>
      <c r="I109" s="8">
        <v>-33.418617769999997</v>
      </c>
      <c r="J109" s="8">
        <v>2594.5468900000001</v>
      </c>
      <c r="K109" s="8">
        <v>2363.2635340000002</v>
      </c>
      <c r="L109" s="8">
        <v>2838.8612899999998</v>
      </c>
      <c r="M109" s="9" t="str">
        <f>IF(A109="",M110,A109)</f>
        <v>United Arab Emirates</v>
      </c>
      <c r="N109" s="3" t="str">
        <f t="shared" si="3"/>
        <v>Dec-2020</v>
      </c>
    </row>
    <row r="110" spans="1:14" x14ac:dyDescent="0.3">
      <c r="A110" s="3" t="s">
        <v>16</v>
      </c>
      <c r="B110" s="3" t="s">
        <v>17</v>
      </c>
      <c r="C110" s="8">
        <v>2021</v>
      </c>
      <c r="D110" s="8">
        <v>1</v>
      </c>
      <c r="E110" s="3" t="str">
        <f t="shared" si="2"/>
        <v>January</v>
      </c>
      <c r="F110" s="3" t="s">
        <v>8</v>
      </c>
      <c r="G110" s="8">
        <v>1584.760824</v>
      </c>
      <c r="H110" s="8">
        <v>1673.9169999999999</v>
      </c>
      <c r="I110" s="8">
        <v>89.156175809999993</v>
      </c>
      <c r="J110" s="8">
        <v>2683.703066</v>
      </c>
      <c r="K110" s="8">
        <v>2182.4522619999998</v>
      </c>
      <c r="L110" s="8">
        <v>3271.543741</v>
      </c>
      <c r="M110" s="9" t="str">
        <f>IF(A110="",M111,A110)</f>
        <v>United Arab Emirates</v>
      </c>
      <c r="N110" s="3" t="str">
        <f t="shared" si="3"/>
        <v>Jan-2021</v>
      </c>
    </row>
    <row r="111" spans="1:14" x14ac:dyDescent="0.3">
      <c r="A111" s="3" t="s">
        <v>16</v>
      </c>
      <c r="B111" s="3" t="s">
        <v>17</v>
      </c>
      <c r="C111" s="8">
        <v>2021</v>
      </c>
      <c r="D111" s="8">
        <v>2</v>
      </c>
      <c r="E111" s="3" t="str">
        <f t="shared" si="2"/>
        <v>February</v>
      </c>
      <c r="F111" s="3" t="s">
        <v>8</v>
      </c>
      <c r="G111" s="8">
        <v>1580.6815799999999</v>
      </c>
      <c r="H111" s="8">
        <v>1719.375</v>
      </c>
      <c r="I111" s="8">
        <v>138.6934196</v>
      </c>
      <c r="J111" s="8">
        <v>2822.3964850000002</v>
      </c>
      <c r="K111" s="8">
        <v>2083.0079569999998</v>
      </c>
      <c r="L111" s="8">
        <v>3627.581502</v>
      </c>
      <c r="M111" s="9" t="str">
        <f>IF(A111="",M112,A111)</f>
        <v>United Arab Emirates</v>
      </c>
      <c r="N111" s="3" t="str">
        <f t="shared" si="3"/>
        <v>Feb-2021</v>
      </c>
    </row>
    <row r="112" spans="1:14" x14ac:dyDescent="0.3">
      <c r="A112" s="3" t="s">
        <v>16</v>
      </c>
      <c r="B112" s="3" t="s">
        <v>17</v>
      </c>
      <c r="C112" s="8">
        <v>2021</v>
      </c>
      <c r="D112" s="8">
        <v>3</v>
      </c>
      <c r="E112" s="3" t="str">
        <f t="shared" si="2"/>
        <v>March</v>
      </c>
      <c r="F112" s="3" t="s">
        <v>8</v>
      </c>
      <c r="G112" s="8">
        <v>1538.968028</v>
      </c>
      <c r="H112" s="8">
        <v>1685.845</v>
      </c>
      <c r="I112" s="8">
        <v>146.87697170000001</v>
      </c>
      <c r="J112" s="8">
        <v>2969.2734569999998</v>
      </c>
      <c r="K112" s="8">
        <v>2041.635219</v>
      </c>
      <c r="L112" s="8">
        <v>4052.2518340000001</v>
      </c>
      <c r="M112" s="9" t="str">
        <f>IF(A112="",M113,A112)</f>
        <v>United Arab Emirates</v>
      </c>
      <c r="N112" s="3" t="str">
        <f t="shared" si="3"/>
        <v>Mar-2021</v>
      </c>
    </row>
    <row r="113" spans="1:14" x14ac:dyDescent="0.3">
      <c r="A113" s="3" t="s">
        <v>16</v>
      </c>
      <c r="B113" s="3" t="s">
        <v>17</v>
      </c>
      <c r="C113" s="8">
        <v>2021</v>
      </c>
      <c r="D113" s="8">
        <v>4</v>
      </c>
      <c r="E113" s="3" t="str">
        <f t="shared" si="2"/>
        <v>April</v>
      </c>
      <c r="F113" s="3" t="s">
        <v>8</v>
      </c>
      <c r="G113" s="8">
        <v>1482.0765060000001</v>
      </c>
      <c r="H113" s="8">
        <v>1589.5170000000001</v>
      </c>
      <c r="I113" s="8">
        <v>107.4404943</v>
      </c>
      <c r="J113" s="8">
        <v>3076.7139510000002</v>
      </c>
      <c r="K113" s="8">
        <v>2003.7382170000001</v>
      </c>
      <c r="L113" s="8">
        <v>4315.2616200000002</v>
      </c>
      <c r="M113" s="9" t="str">
        <f>IF(A113="",M114,A113)</f>
        <v>United Arab Emirates</v>
      </c>
      <c r="N113" s="3" t="str">
        <f t="shared" si="3"/>
        <v>Apr-2021</v>
      </c>
    </row>
    <row r="114" spans="1:14" x14ac:dyDescent="0.3">
      <c r="A114" s="3" t="s">
        <v>16</v>
      </c>
      <c r="B114" s="3" t="s">
        <v>17</v>
      </c>
      <c r="C114" s="8">
        <v>2021</v>
      </c>
      <c r="D114" s="8">
        <v>5</v>
      </c>
      <c r="E114" s="3" t="str">
        <f t="shared" si="2"/>
        <v>May</v>
      </c>
      <c r="F114" s="3" t="s">
        <v>8</v>
      </c>
      <c r="G114" s="8">
        <v>1453.3074859999999</v>
      </c>
      <c r="H114" s="8">
        <v>1626.192</v>
      </c>
      <c r="I114" s="8">
        <v>172.88451449999999</v>
      </c>
      <c r="J114" s="8">
        <v>3249.5984659999999</v>
      </c>
      <c r="K114" s="8">
        <v>2004.200842</v>
      </c>
      <c r="L114" s="8">
        <v>4602.4495420000003</v>
      </c>
      <c r="M114" s="9" t="str">
        <f>IF(A114="",M115,A114)</f>
        <v>United Arab Emirates</v>
      </c>
      <c r="N114" s="3" t="str">
        <f t="shared" si="3"/>
        <v>May-2021</v>
      </c>
    </row>
    <row r="115" spans="1:14" x14ac:dyDescent="0.3">
      <c r="A115" s="3" t="s">
        <v>16</v>
      </c>
      <c r="B115" s="3" t="s">
        <v>17</v>
      </c>
      <c r="C115" s="8">
        <v>2021</v>
      </c>
      <c r="D115" s="8">
        <v>6</v>
      </c>
      <c r="E115" s="3" t="str">
        <f t="shared" si="2"/>
        <v>June</v>
      </c>
      <c r="F115" s="3" t="s">
        <v>8</v>
      </c>
      <c r="G115" s="8">
        <v>1448.4344639999999</v>
      </c>
      <c r="H115" s="8">
        <v>1716.1949999999999</v>
      </c>
      <c r="I115" s="8">
        <v>267.76053589999998</v>
      </c>
      <c r="J115" s="8">
        <v>3517.3590020000001</v>
      </c>
      <c r="K115" s="8">
        <v>2197.6985119999999</v>
      </c>
      <c r="L115" s="8">
        <v>5042.0547640000004</v>
      </c>
      <c r="M115" s="9" t="str">
        <f>IF(A115="",M116,A115)</f>
        <v>United Arab Emirates</v>
      </c>
      <c r="N115" s="3" t="str">
        <f t="shared" si="3"/>
        <v>Jun-2021</v>
      </c>
    </row>
    <row r="116" spans="1:14" x14ac:dyDescent="0.3">
      <c r="A116" s="3" t="s">
        <v>16</v>
      </c>
      <c r="B116" s="3" t="s">
        <v>17</v>
      </c>
      <c r="C116" s="8">
        <v>2021</v>
      </c>
      <c r="D116" s="8">
        <v>7</v>
      </c>
      <c r="E116" s="3" t="str">
        <f t="shared" si="2"/>
        <v>July</v>
      </c>
      <c r="F116" s="3" t="s">
        <v>8</v>
      </c>
      <c r="G116" s="8">
        <v>1445.2866180000001</v>
      </c>
      <c r="H116" s="8">
        <v>1775.0050000000001</v>
      </c>
      <c r="I116" s="8">
        <v>329.71838209999999</v>
      </c>
      <c r="J116" s="8">
        <v>3847.0773840000002</v>
      </c>
      <c r="K116" s="8">
        <v>2309.264831</v>
      </c>
      <c r="L116" s="8">
        <v>5546.2747440000003</v>
      </c>
      <c r="M116" s="9" t="str">
        <f>IF(A116="",M117,A116)</f>
        <v>United Arab Emirates</v>
      </c>
      <c r="N116" s="3" t="str">
        <f t="shared" si="3"/>
        <v>Jul-2021</v>
      </c>
    </row>
    <row r="117" spans="1:14" x14ac:dyDescent="0.3">
      <c r="A117" s="3" t="s">
        <v>16</v>
      </c>
      <c r="B117" s="3" t="s">
        <v>17</v>
      </c>
      <c r="C117" s="8">
        <v>2021</v>
      </c>
      <c r="D117" s="8">
        <v>8</v>
      </c>
      <c r="E117" s="3" t="str">
        <f t="shared" si="2"/>
        <v>August</v>
      </c>
      <c r="F117" s="3" t="s">
        <v>8</v>
      </c>
      <c r="G117" s="8">
        <v>1448.0820719999999</v>
      </c>
      <c r="H117" s="8">
        <v>1749.268</v>
      </c>
      <c r="I117" s="8">
        <v>301.18592849999999</v>
      </c>
      <c r="J117" s="8">
        <v>4148.263312</v>
      </c>
      <c r="K117" s="8">
        <v>2517.455379</v>
      </c>
      <c r="L117" s="8">
        <v>6012.8974909999997</v>
      </c>
      <c r="M117" s="9" t="str">
        <f>IF(A117="",M118,A117)</f>
        <v>United Arab Emirates</v>
      </c>
      <c r="N117" s="3" t="str">
        <f t="shared" si="3"/>
        <v>Aug-2021</v>
      </c>
    </row>
    <row r="118" spans="1:14" x14ac:dyDescent="0.3">
      <c r="A118" s="3" t="s">
        <v>16</v>
      </c>
      <c r="B118" s="3" t="s">
        <v>17</v>
      </c>
      <c r="C118" s="8">
        <v>2021</v>
      </c>
      <c r="D118" s="8">
        <v>9</v>
      </c>
      <c r="E118" s="3" t="str">
        <f t="shared" si="2"/>
        <v>September</v>
      </c>
      <c r="F118" s="3" t="s">
        <v>8</v>
      </c>
      <c r="G118" s="8">
        <v>1459.152018</v>
      </c>
      <c r="H118" s="8">
        <v>1694.1010000000001</v>
      </c>
      <c r="I118" s="8">
        <v>234.94898230000001</v>
      </c>
      <c r="J118" s="8">
        <v>4383.2122939999999</v>
      </c>
      <c r="K118" s="8">
        <v>2667.1718030000002</v>
      </c>
      <c r="L118" s="8">
        <v>6373.1995370000004</v>
      </c>
      <c r="M118" s="9" t="str">
        <f>IF(A118="",M119,A118)</f>
        <v>United Arab Emirates</v>
      </c>
      <c r="N118" s="3" t="str">
        <f t="shared" si="3"/>
        <v>Sep-2021</v>
      </c>
    </row>
    <row r="119" spans="1:14" x14ac:dyDescent="0.3">
      <c r="A119" s="3" t="s">
        <v>16</v>
      </c>
      <c r="B119" s="3" t="s">
        <v>17</v>
      </c>
      <c r="C119" s="8">
        <v>2021</v>
      </c>
      <c r="D119" s="8">
        <v>10</v>
      </c>
      <c r="E119" s="3" t="str">
        <f t="shared" si="2"/>
        <v>October</v>
      </c>
      <c r="F119" s="3" t="s">
        <v>8</v>
      </c>
      <c r="G119" s="8">
        <v>1489.5186610000001</v>
      </c>
      <c r="H119" s="8">
        <v>1658.538</v>
      </c>
      <c r="I119" s="8">
        <v>169.0193395</v>
      </c>
      <c r="J119" s="8">
        <v>4552.2316339999998</v>
      </c>
      <c r="K119" s="8">
        <v>2720.620038</v>
      </c>
      <c r="L119" s="8">
        <v>6704.6797269999997</v>
      </c>
      <c r="M119" s="9" t="str">
        <f>IF(A119="",M120,A119)</f>
        <v>United Arab Emirates</v>
      </c>
      <c r="N119" s="3" t="str">
        <f t="shared" si="3"/>
        <v>Oct-2021</v>
      </c>
    </row>
    <row r="120" spans="1:14" x14ac:dyDescent="0.3">
      <c r="A120" s="3" t="s">
        <v>16</v>
      </c>
      <c r="B120" s="3" t="s">
        <v>17</v>
      </c>
      <c r="C120" s="8">
        <v>2021</v>
      </c>
      <c r="D120" s="8">
        <v>11</v>
      </c>
      <c r="E120" s="3" t="str">
        <f t="shared" si="2"/>
        <v>November</v>
      </c>
      <c r="F120" s="3" t="s">
        <v>8</v>
      </c>
      <c r="G120" s="8">
        <v>1547.4082249999999</v>
      </c>
      <c r="H120" s="8">
        <v>1672.5029999999999</v>
      </c>
      <c r="I120" s="8">
        <v>125.0947747</v>
      </c>
      <c r="J120" s="8">
        <v>4677.3264090000002</v>
      </c>
      <c r="K120" s="8">
        <v>2730.091363</v>
      </c>
      <c r="L120" s="8">
        <v>7039.8444730000001</v>
      </c>
      <c r="M120" s="9" t="str">
        <f>IF(A120="",M121,A120)</f>
        <v>United Arab Emirates</v>
      </c>
      <c r="N120" s="3" t="str">
        <f t="shared" si="3"/>
        <v>Nov-2021</v>
      </c>
    </row>
    <row r="121" spans="1:14" x14ac:dyDescent="0.3">
      <c r="A121" s="3" t="s">
        <v>16</v>
      </c>
      <c r="B121" s="3" t="s">
        <v>17</v>
      </c>
      <c r="C121" s="8">
        <v>2021</v>
      </c>
      <c r="D121" s="8">
        <v>12</v>
      </c>
      <c r="E121" s="3" t="str">
        <f t="shared" si="2"/>
        <v>December</v>
      </c>
      <c r="F121" s="3" t="s">
        <v>8</v>
      </c>
      <c r="G121" s="8">
        <v>1601.749722</v>
      </c>
      <c r="H121" s="8">
        <v>1769.453</v>
      </c>
      <c r="I121" s="8">
        <v>167.70327800000001</v>
      </c>
      <c r="J121" s="8">
        <v>4845.0296870000002</v>
      </c>
      <c r="K121" s="8">
        <v>2723.3779450000002</v>
      </c>
      <c r="L121" s="8">
        <v>7340.1832949999998</v>
      </c>
      <c r="M121" s="9" t="str">
        <f>IF(A121="",M122,A121)</f>
        <v>United Arab Emirates</v>
      </c>
      <c r="N121" s="3" t="str">
        <f t="shared" si="3"/>
        <v>Dec-2021</v>
      </c>
    </row>
    <row r="122" spans="1:14" x14ac:dyDescent="0.3">
      <c r="A122" s="3" t="s">
        <v>18</v>
      </c>
      <c r="B122" s="3" t="s">
        <v>19</v>
      </c>
      <c r="C122" s="8">
        <v>2020</v>
      </c>
      <c r="D122" s="8">
        <v>1</v>
      </c>
      <c r="E122" s="3" t="str">
        <f t="shared" si="2"/>
        <v>January</v>
      </c>
      <c r="F122" s="3" t="s">
        <v>13</v>
      </c>
      <c r="G122" s="8">
        <v>26281.688249999999</v>
      </c>
      <c r="H122" s="8">
        <v>25840</v>
      </c>
      <c r="I122" s="8">
        <v>-442.18825120000002</v>
      </c>
      <c r="J122" s="8">
        <v>-442.18825120000002</v>
      </c>
      <c r="K122" s="8">
        <v>-1319.5794719999999</v>
      </c>
      <c r="L122" s="8">
        <v>453.8651352</v>
      </c>
      <c r="M122" s="9" t="str">
        <f>IF(A122="",M123,A122)</f>
        <v>Argentina</v>
      </c>
      <c r="N122" s="3" t="str">
        <f t="shared" si="3"/>
        <v>Jan-2020</v>
      </c>
    </row>
    <row r="123" spans="1:14" x14ac:dyDescent="0.3">
      <c r="A123" s="3" t="s">
        <v>18</v>
      </c>
      <c r="B123" s="3" t="s">
        <v>19</v>
      </c>
      <c r="C123" s="8">
        <v>2020</v>
      </c>
      <c r="D123" s="8">
        <v>2</v>
      </c>
      <c r="E123" s="3" t="str">
        <f t="shared" si="2"/>
        <v>February</v>
      </c>
      <c r="F123" s="3" t="s">
        <v>13</v>
      </c>
      <c r="G123" s="8">
        <v>24622.631450000001</v>
      </c>
      <c r="H123" s="8">
        <v>24375</v>
      </c>
      <c r="I123" s="8">
        <v>-248.1314544</v>
      </c>
      <c r="J123" s="8">
        <v>-690.31970560000002</v>
      </c>
      <c r="K123" s="8">
        <v>-1981.1798570000001</v>
      </c>
      <c r="L123" s="8">
        <v>605.08862280000005</v>
      </c>
      <c r="M123" s="9" t="str">
        <f>IF(A123="",M124,A123)</f>
        <v>Argentina</v>
      </c>
      <c r="N123" s="3" t="str">
        <f t="shared" si="3"/>
        <v>Feb-2020</v>
      </c>
    </row>
    <row r="124" spans="1:14" x14ac:dyDescent="0.3">
      <c r="A124" s="3" t="s">
        <v>18</v>
      </c>
      <c r="B124" s="3" t="s">
        <v>19</v>
      </c>
      <c r="C124" s="8">
        <v>2020</v>
      </c>
      <c r="D124" s="8">
        <v>3</v>
      </c>
      <c r="E124" s="3" t="str">
        <f t="shared" si="2"/>
        <v>March</v>
      </c>
      <c r="F124" s="3" t="s">
        <v>13</v>
      </c>
      <c r="G124" s="8">
        <v>25466.99639</v>
      </c>
      <c r="H124" s="8">
        <v>26042</v>
      </c>
      <c r="I124" s="8">
        <v>574.50361410000005</v>
      </c>
      <c r="J124" s="8">
        <v>-115.8160915</v>
      </c>
      <c r="K124" s="8">
        <v>-1818.4647689999999</v>
      </c>
      <c r="L124" s="8">
        <v>1598.158034</v>
      </c>
      <c r="M124" s="9" t="str">
        <f>IF(A124="",M125,A124)</f>
        <v>Argentina</v>
      </c>
      <c r="N124" s="3" t="str">
        <f t="shared" si="3"/>
        <v>Mar-2020</v>
      </c>
    </row>
    <row r="125" spans="1:14" x14ac:dyDescent="0.3">
      <c r="A125" s="3" t="s">
        <v>18</v>
      </c>
      <c r="B125" s="3" t="s">
        <v>19</v>
      </c>
      <c r="C125" s="8">
        <v>2020</v>
      </c>
      <c r="D125" s="8">
        <v>4</v>
      </c>
      <c r="E125" s="3" t="str">
        <f t="shared" si="2"/>
        <v>April</v>
      </c>
      <c r="F125" s="3" t="s">
        <v>13</v>
      </c>
      <c r="G125" s="8">
        <v>26382.97596</v>
      </c>
      <c r="H125" s="8">
        <v>24911</v>
      </c>
      <c r="I125" s="8">
        <v>-1472.475958</v>
      </c>
      <c r="J125" s="8">
        <v>-1588.29205</v>
      </c>
      <c r="K125" s="8">
        <v>-3920.5939990000002</v>
      </c>
      <c r="L125" s="8">
        <v>512.48719860000006</v>
      </c>
      <c r="M125" s="9" t="str">
        <f>IF(A125="",M126,A125)</f>
        <v>Argentina</v>
      </c>
      <c r="N125" s="3" t="str">
        <f t="shared" si="3"/>
        <v>Apr-2020</v>
      </c>
    </row>
    <row r="126" spans="1:14" x14ac:dyDescent="0.3">
      <c r="A126" s="3" t="s">
        <v>18</v>
      </c>
      <c r="B126" s="3" t="s">
        <v>19</v>
      </c>
      <c r="C126" s="8">
        <v>2020</v>
      </c>
      <c r="D126" s="8">
        <v>5</v>
      </c>
      <c r="E126" s="3" t="str">
        <f t="shared" si="2"/>
        <v>May</v>
      </c>
      <c r="F126" s="3" t="s">
        <v>13</v>
      </c>
      <c r="G126" s="8">
        <v>29399.198110000001</v>
      </c>
      <c r="H126" s="8">
        <v>26897</v>
      </c>
      <c r="I126" s="8">
        <v>-2502.6981099999998</v>
      </c>
      <c r="J126" s="8">
        <v>-4090.9901589999999</v>
      </c>
      <c r="K126" s="8">
        <v>-6733.5651790000002</v>
      </c>
      <c r="L126" s="8">
        <v>-1682.2116510000001</v>
      </c>
      <c r="M126" s="9" t="str">
        <f>IF(A126="",M127,A126)</f>
        <v>Argentina</v>
      </c>
      <c r="N126" s="3" t="str">
        <f t="shared" si="3"/>
        <v>May-2020</v>
      </c>
    </row>
    <row r="127" spans="1:14" x14ac:dyDescent="0.3">
      <c r="A127" s="3" t="s">
        <v>18</v>
      </c>
      <c r="B127" s="3" t="s">
        <v>19</v>
      </c>
      <c r="C127" s="8">
        <v>2020</v>
      </c>
      <c r="D127" s="8">
        <v>6</v>
      </c>
      <c r="E127" s="3" t="str">
        <f t="shared" si="2"/>
        <v>June</v>
      </c>
      <c r="F127" s="3" t="s">
        <v>13</v>
      </c>
      <c r="G127" s="8">
        <v>33103.32071</v>
      </c>
      <c r="H127" s="8">
        <v>28335</v>
      </c>
      <c r="I127" s="8">
        <v>-4768.8207069999999</v>
      </c>
      <c r="J127" s="8">
        <v>-8859.8108670000001</v>
      </c>
      <c r="K127" s="8">
        <v>-11949.85391</v>
      </c>
      <c r="L127" s="8">
        <v>-6017.6251940000002</v>
      </c>
      <c r="M127" s="9" t="str">
        <f>IF(A127="",M128,A127)</f>
        <v>Argentina</v>
      </c>
      <c r="N127" s="3" t="str">
        <f t="shared" si="3"/>
        <v>Jun-2020</v>
      </c>
    </row>
    <row r="128" spans="1:14" x14ac:dyDescent="0.3">
      <c r="A128" s="3" t="s">
        <v>18</v>
      </c>
      <c r="B128" s="3" t="s">
        <v>19</v>
      </c>
      <c r="C128" s="8">
        <v>2020</v>
      </c>
      <c r="D128" s="8">
        <v>7</v>
      </c>
      <c r="E128" s="3" t="str">
        <f t="shared" si="2"/>
        <v>July</v>
      </c>
      <c r="F128" s="3" t="s">
        <v>13</v>
      </c>
      <c r="G128" s="8">
        <v>34286.263509999997</v>
      </c>
      <c r="H128" s="8">
        <v>35310</v>
      </c>
      <c r="I128" s="8">
        <v>1023.236488</v>
      </c>
      <c r="J128" s="8">
        <v>-7836.5743789999997</v>
      </c>
      <c r="K128" s="8">
        <v>-11217.02679</v>
      </c>
      <c r="L128" s="8">
        <v>-4521.8156429999999</v>
      </c>
      <c r="M128" s="9" t="str">
        <f>IF(A128="",M129,A128)</f>
        <v>Argentina</v>
      </c>
      <c r="N128" s="3" t="str">
        <f t="shared" si="3"/>
        <v>Jul-2020</v>
      </c>
    </row>
    <row r="129" spans="1:14" x14ac:dyDescent="0.3">
      <c r="A129" s="3" t="s">
        <v>18</v>
      </c>
      <c r="B129" s="3" t="s">
        <v>19</v>
      </c>
      <c r="C129" s="8">
        <v>2020</v>
      </c>
      <c r="D129" s="8">
        <v>8</v>
      </c>
      <c r="E129" s="3" t="str">
        <f t="shared" si="2"/>
        <v>August</v>
      </c>
      <c r="F129" s="3" t="s">
        <v>13</v>
      </c>
      <c r="G129" s="8">
        <v>32029.507860000002</v>
      </c>
      <c r="H129" s="8">
        <v>37192</v>
      </c>
      <c r="I129" s="8">
        <v>5161.9921400000003</v>
      </c>
      <c r="J129" s="8">
        <v>-2674.5822389999998</v>
      </c>
      <c r="K129" s="8">
        <v>-6406.1665650000004</v>
      </c>
      <c r="L129" s="8">
        <v>901.07412599999998</v>
      </c>
      <c r="M129" s="9" t="str">
        <f>IF(A129="",M130,A129)</f>
        <v>Argentina</v>
      </c>
      <c r="N129" s="3" t="str">
        <f t="shared" si="3"/>
        <v>Aug-2020</v>
      </c>
    </row>
    <row r="130" spans="1:14" x14ac:dyDescent="0.3">
      <c r="A130" s="3" t="s">
        <v>18</v>
      </c>
      <c r="B130" s="3" t="s">
        <v>19</v>
      </c>
      <c r="C130" s="8">
        <v>2020</v>
      </c>
      <c r="D130" s="8">
        <v>9</v>
      </c>
      <c r="E130" s="3" t="str">
        <f t="shared" ref="E130:E193" si="4">TEXT(DATE(C130,D130,1),"MMMM")</f>
        <v>September</v>
      </c>
      <c r="F130" s="3" t="s">
        <v>13</v>
      </c>
      <c r="G130" s="8">
        <v>29500.967670000002</v>
      </c>
      <c r="H130" s="8">
        <v>40513</v>
      </c>
      <c r="I130" s="8">
        <v>11011.53233</v>
      </c>
      <c r="J130" s="8">
        <v>8336.9500939999998</v>
      </c>
      <c r="K130" s="8">
        <v>4787.7001630000004</v>
      </c>
      <c r="L130" s="8">
        <v>12094.36807</v>
      </c>
      <c r="M130" s="9" t="str">
        <f>IF(A130="",M131,A130)</f>
        <v>Argentina</v>
      </c>
      <c r="N130" s="3" t="str">
        <f t="shared" ref="N130:N193" si="5">TEXT(DATE(C130,D130,1),"MMM-YYYY")</f>
        <v>Sep-2020</v>
      </c>
    </row>
    <row r="131" spans="1:14" x14ac:dyDescent="0.3">
      <c r="A131" s="3" t="s">
        <v>18</v>
      </c>
      <c r="B131" s="3" t="s">
        <v>19</v>
      </c>
      <c r="C131" s="8">
        <v>2020</v>
      </c>
      <c r="D131" s="8">
        <v>10</v>
      </c>
      <c r="E131" s="3" t="str">
        <f t="shared" si="4"/>
        <v>October</v>
      </c>
      <c r="F131" s="3" t="s">
        <v>13</v>
      </c>
      <c r="G131" s="8">
        <v>27835.194449999999</v>
      </c>
      <c r="H131" s="8">
        <v>40911</v>
      </c>
      <c r="I131" s="8">
        <v>13075.305549999999</v>
      </c>
      <c r="J131" s="8">
        <v>21412.255639999999</v>
      </c>
      <c r="K131" s="8">
        <v>17411.92844</v>
      </c>
      <c r="L131" s="8">
        <v>25468.700580000001</v>
      </c>
      <c r="M131" s="9" t="str">
        <f>IF(A131="",M132,A131)</f>
        <v>Argentina</v>
      </c>
      <c r="N131" s="3" t="str">
        <f t="shared" si="5"/>
        <v>Oct-2020</v>
      </c>
    </row>
    <row r="132" spans="1:14" x14ac:dyDescent="0.3">
      <c r="A132" s="3" t="s">
        <v>18</v>
      </c>
      <c r="B132" s="3" t="s">
        <v>19</v>
      </c>
      <c r="C132" s="8">
        <v>2020</v>
      </c>
      <c r="D132" s="8">
        <v>11</v>
      </c>
      <c r="E132" s="3" t="str">
        <f t="shared" si="4"/>
        <v>November</v>
      </c>
      <c r="F132" s="3" t="s">
        <v>13</v>
      </c>
      <c r="G132" s="8">
        <v>26236.259129999999</v>
      </c>
      <c r="H132" s="8">
        <v>34865</v>
      </c>
      <c r="I132" s="8">
        <v>8628.2408670000004</v>
      </c>
      <c r="J132" s="8">
        <v>30040.496510000001</v>
      </c>
      <c r="K132" s="8">
        <v>25847.300139999999</v>
      </c>
      <c r="L132" s="8">
        <v>34262.997739999999</v>
      </c>
      <c r="M132" s="9" t="str">
        <f>IF(A132="",M133,A132)</f>
        <v>Argentina</v>
      </c>
      <c r="N132" s="3" t="str">
        <f t="shared" si="5"/>
        <v>Nov-2020</v>
      </c>
    </row>
    <row r="133" spans="1:14" x14ac:dyDescent="0.3">
      <c r="A133" s="3" t="s">
        <v>18</v>
      </c>
      <c r="B133" s="3" t="s">
        <v>19</v>
      </c>
      <c r="C133" s="8">
        <v>2020</v>
      </c>
      <c r="D133" s="8">
        <v>12</v>
      </c>
      <c r="E133" s="3" t="str">
        <f t="shared" si="4"/>
        <v>December</v>
      </c>
      <c r="F133" s="3" t="s">
        <v>13</v>
      </c>
      <c r="G133" s="8">
        <v>26242.038690000001</v>
      </c>
      <c r="H133" s="8">
        <v>32043</v>
      </c>
      <c r="I133" s="8">
        <v>5800.4613120000004</v>
      </c>
      <c r="J133" s="8">
        <v>35840.957820000003</v>
      </c>
      <c r="K133" s="8">
        <v>31428.46211</v>
      </c>
      <c r="L133" s="8">
        <v>40196.930039999999</v>
      </c>
      <c r="M133" s="9" t="str">
        <f>IF(A133="",M134,A133)</f>
        <v>Argentina</v>
      </c>
      <c r="N133" s="3" t="str">
        <f t="shared" si="5"/>
        <v>Dec-2020</v>
      </c>
    </row>
    <row r="134" spans="1:14" x14ac:dyDescent="0.3">
      <c r="A134" s="3" t="s">
        <v>18</v>
      </c>
      <c r="B134" s="3" t="s">
        <v>19</v>
      </c>
      <c r="C134" s="8">
        <v>2021</v>
      </c>
      <c r="D134" s="8">
        <v>1</v>
      </c>
      <c r="E134" s="3" t="str">
        <f t="shared" si="4"/>
        <v>January</v>
      </c>
      <c r="F134" s="3" t="s">
        <v>13</v>
      </c>
      <c r="G134" s="8">
        <v>26274.98965</v>
      </c>
      <c r="H134" s="8">
        <v>34698</v>
      </c>
      <c r="I134" s="8">
        <v>8420.4270159999996</v>
      </c>
      <c r="J134" s="8">
        <v>44261.384839999999</v>
      </c>
      <c r="K134" s="8">
        <v>39656.80098</v>
      </c>
      <c r="L134" s="8">
        <v>48819.667909999996</v>
      </c>
      <c r="M134" s="9" t="str">
        <f>IF(A134="",M135,A134)</f>
        <v>Argentina</v>
      </c>
      <c r="N134" s="3" t="str">
        <f t="shared" si="5"/>
        <v>Jan-2021</v>
      </c>
    </row>
    <row r="135" spans="1:14" x14ac:dyDescent="0.3">
      <c r="A135" s="3" t="s">
        <v>18</v>
      </c>
      <c r="B135" s="3" t="s">
        <v>19</v>
      </c>
      <c r="C135" s="8">
        <v>2021</v>
      </c>
      <c r="D135" s="8">
        <v>2</v>
      </c>
      <c r="E135" s="3" t="str">
        <f t="shared" si="4"/>
        <v>February</v>
      </c>
      <c r="F135" s="3" t="s">
        <v>13</v>
      </c>
      <c r="G135" s="8">
        <v>24625.846949999999</v>
      </c>
      <c r="H135" s="8">
        <v>29482</v>
      </c>
      <c r="I135" s="8">
        <v>4853.5697190000001</v>
      </c>
      <c r="J135" s="8">
        <v>49114.954550000002</v>
      </c>
      <c r="K135" s="8">
        <v>44281.076910000003</v>
      </c>
      <c r="L135" s="8">
        <v>53760.042399999998</v>
      </c>
      <c r="M135" s="9" t="str">
        <f>IF(A135="",M136,A135)</f>
        <v>Argentina</v>
      </c>
      <c r="N135" s="3" t="str">
        <f t="shared" si="5"/>
        <v>Feb-2021</v>
      </c>
    </row>
    <row r="136" spans="1:14" x14ac:dyDescent="0.3">
      <c r="A136" s="3" t="s">
        <v>18</v>
      </c>
      <c r="B136" s="3" t="s">
        <v>19</v>
      </c>
      <c r="C136" s="8">
        <v>2021</v>
      </c>
      <c r="D136" s="8">
        <v>3</v>
      </c>
      <c r="E136" s="3" t="str">
        <f t="shared" si="4"/>
        <v>March</v>
      </c>
      <c r="F136" s="3" t="s">
        <v>13</v>
      </c>
      <c r="G136" s="8">
        <v>25490.500980000001</v>
      </c>
      <c r="H136" s="8">
        <v>32055</v>
      </c>
      <c r="I136" s="8">
        <v>6561.9156919999996</v>
      </c>
      <c r="J136" s="8">
        <v>55676.87025</v>
      </c>
      <c r="K136" s="8">
        <v>50884.218260000001</v>
      </c>
      <c r="L136" s="8">
        <v>60643.995340000001</v>
      </c>
      <c r="M136" s="9" t="str">
        <f>IF(A136="",M137,A136)</f>
        <v>Argentina</v>
      </c>
      <c r="N136" s="3" t="str">
        <f t="shared" si="5"/>
        <v>Mar-2021</v>
      </c>
    </row>
    <row r="137" spans="1:14" x14ac:dyDescent="0.3">
      <c r="A137" s="3" t="s">
        <v>18</v>
      </c>
      <c r="B137" s="3" t="s">
        <v>19</v>
      </c>
      <c r="C137" s="8">
        <v>2021</v>
      </c>
      <c r="D137" s="8">
        <v>4</v>
      </c>
      <c r="E137" s="3" t="str">
        <f t="shared" si="4"/>
        <v>April</v>
      </c>
      <c r="F137" s="3" t="s">
        <v>13</v>
      </c>
      <c r="G137" s="8">
        <v>26360.356019999999</v>
      </c>
      <c r="H137" s="8">
        <v>40056</v>
      </c>
      <c r="I137" s="8">
        <v>13693.060649999999</v>
      </c>
      <c r="J137" s="8">
        <v>69369.930890000003</v>
      </c>
      <c r="K137" s="8">
        <v>64380.147060000003</v>
      </c>
      <c r="L137" s="8">
        <v>74511.180850000004</v>
      </c>
      <c r="M137" s="9" t="str">
        <f>IF(A137="",M138,A137)</f>
        <v>Argentina</v>
      </c>
      <c r="N137" s="3" t="str">
        <f t="shared" si="5"/>
        <v>Apr-2021</v>
      </c>
    </row>
    <row r="138" spans="1:14" x14ac:dyDescent="0.3">
      <c r="A138" s="3" t="s">
        <v>18</v>
      </c>
      <c r="B138" s="3" t="s">
        <v>19</v>
      </c>
      <c r="C138" s="8">
        <v>2021</v>
      </c>
      <c r="D138" s="8">
        <v>5</v>
      </c>
      <c r="E138" s="3" t="str">
        <f t="shared" si="4"/>
        <v>May</v>
      </c>
      <c r="F138" s="3" t="s">
        <v>13</v>
      </c>
      <c r="G138" s="8">
        <v>29388.781800000001</v>
      </c>
      <c r="H138" s="8">
        <v>51612</v>
      </c>
      <c r="I138" s="8">
        <v>22220.634870000002</v>
      </c>
      <c r="J138" s="8">
        <v>91590.565759999998</v>
      </c>
      <c r="K138" s="8">
        <v>86482.729330000002</v>
      </c>
      <c r="L138" s="8">
        <v>96920.543109999999</v>
      </c>
      <c r="M138" s="9" t="str">
        <f>IF(A138="",M139,A138)</f>
        <v>Argentina</v>
      </c>
      <c r="N138" s="3" t="str">
        <f t="shared" si="5"/>
        <v>May-2021</v>
      </c>
    </row>
    <row r="139" spans="1:14" x14ac:dyDescent="0.3">
      <c r="A139" s="3" t="s">
        <v>18</v>
      </c>
      <c r="B139" s="3" t="s">
        <v>19</v>
      </c>
      <c r="C139" s="8">
        <v>2021</v>
      </c>
      <c r="D139" s="8">
        <v>6</v>
      </c>
      <c r="E139" s="3" t="str">
        <f t="shared" si="4"/>
        <v>June</v>
      </c>
      <c r="F139" s="3" t="s">
        <v>13</v>
      </c>
      <c r="G139" s="8">
        <v>33132.621350000001</v>
      </c>
      <c r="H139" s="8">
        <v>51214</v>
      </c>
      <c r="I139" s="8">
        <v>18078.795310000001</v>
      </c>
      <c r="J139" s="8">
        <v>109669.36109999999</v>
      </c>
      <c r="K139" s="8">
        <v>104626.9724</v>
      </c>
      <c r="L139" s="8">
        <v>115306.9847</v>
      </c>
      <c r="M139" s="9" t="str">
        <f>IF(A139="",M140,A139)</f>
        <v>Argentina</v>
      </c>
      <c r="N139" s="3" t="str">
        <f t="shared" si="5"/>
        <v>Jun-2021</v>
      </c>
    </row>
    <row r="140" spans="1:14" x14ac:dyDescent="0.3">
      <c r="A140" s="3" t="s">
        <v>18</v>
      </c>
      <c r="B140" s="3" t="s">
        <v>19</v>
      </c>
      <c r="C140" s="8">
        <v>2021</v>
      </c>
      <c r="D140" s="8">
        <v>7</v>
      </c>
      <c r="E140" s="3" t="str">
        <f t="shared" si="4"/>
        <v>July</v>
      </c>
      <c r="F140" s="3" t="s">
        <v>13</v>
      </c>
      <c r="G140" s="8">
        <v>34295.672550000003</v>
      </c>
      <c r="H140" s="8">
        <v>44006</v>
      </c>
      <c r="I140" s="8">
        <v>9707.7441120000003</v>
      </c>
      <c r="J140" s="8">
        <v>119377.10520000001</v>
      </c>
      <c r="K140" s="8">
        <v>113918.1113</v>
      </c>
      <c r="L140" s="8">
        <v>125390.0013</v>
      </c>
      <c r="M140" s="9" t="str">
        <f>IF(A140="",M141,A140)</f>
        <v>Argentina</v>
      </c>
      <c r="N140" s="3" t="str">
        <f t="shared" si="5"/>
        <v>Jul-2021</v>
      </c>
    </row>
    <row r="141" spans="1:14" x14ac:dyDescent="0.3">
      <c r="A141" s="3" t="s">
        <v>18</v>
      </c>
      <c r="B141" s="3" t="s">
        <v>19</v>
      </c>
      <c r="C141" s="8">
        <v>2021</v>
      </c>
      <c r="D141" s="8">
        <v>8</v>
      </c>
      <c r="E141" s="3" t="str">
        <f t="shared" si="4"/>
        <v>August</v>
      </c>
      <c r="F141" s="3" t="s">
        <v>13</v>
      </c>
      <c r="G141" s="8">
        <v>32003.498739999999</v>
      </c>
      <c r="H141" s="8">
        <v>37125</v>
      </c>
      <c r="I141" s="8">
        <v>5118.9179240000003</v>
      </c>
      <c r="J141" s="8">
        <v>124496.02310000001</v>
      </c>
      <c r="K141" s="8">
        <v>118708.273</v>
      </c>
      <c r="L141" s="8">
        <v>130780.78320000001</v>
      </c>
      <c r="M141" s="9" t="str">
        <f>IF(A141="",M142,A141)</f>
        <v>Argentina</v>
      </c>
      <c r="N141" s="3" t="str">
        <f t="shared" si="5"/>
        <v>Aug-2021</v>
      </c>
    </row>
    <row r="142" spans="1:14" x14ac:dyDescent="0.3">
      <c r="A142" s="3" t="s">
        <v>18</v>
      </c>
      <c r="B142" s="3" t="s">
        <v>19</v>
      </c>
      <c r="C142" s="8">
        <v>2021</v>
      </c>
      <c r="D142" s="8">
        <v>9</v>
      </c>
      <c r="E142" s="3" t="str">
        <f t="shared" si="4"/>
        <v>September</v>
      </c>
      <c r="F142" s="3" t="s">
        <v>13</v>
      </c>
      <c r="G142" s="8">
        <v>29505.54883</v>
      </c>
      <c r="H142" s="8">
        <v>29428</v>
      </c>
      <c r="I142" s="8">
        <v>-80.132168300000004</v>
      </c>
      <c r="J142" s="8">
        <v>124415.8909</v>
      </c>
      <c r="K142" s="8">
        <v>118795.0028</v>
      </c>
      <c r="L142" s="8">
        <v>130750.93730000001</v>
      </c>
      <c r="M142" s="9" t="str">
        <f>IF(A142="",M143,A142)</f>
        <v>Argentina</v>
      </c>
      <c r="N142" s="3" t="str">
        <f t="shared" si="5"/>
        <v>Sep-2021</v>
      </c>
    </row>
    <row r="143" spans="1:14" x14ac:dyDescent="0.3">
      <c r="A143" s="3" t="s">
        <v>18</v>
      </c>
      <c r="B143" s="3" t="s">
        <v>19</v>
      </c>
      <c r="C143" s="8">
        <v>2021</v>
      </c>
      <c r="D143" s="8">
        <v>10</v>
      </c>
      <c r="E143" s="3" t="str">
        <f t="shared" si="4"/>
        <v>October</v>
      </c>
      <c r="F143" s="3" t="s">
        <v>13</v>
      </c>
      <c r="G143" s="8">
        <v>27831.091649999998</v>
      </c>
      <c r="H143" s="8">
        <v>28978</v>
      </c>
      <c r="I143" s="8">
        <v>1144.325012</v>
      </c>
      <c r="J143" s="8">
        <v>125560.216</v>
      </c>
      <c r="K143" s="8">
        <v>119625.47560000001</v>
      </c>
      <c r="L143" s="8">
        <v>132340.49919999999</v>
      </c>
      <c r="M143" s="9" t="str">
        <f>IF(A143="",M144,A143)</f>
        <v>Argentina</v>
      </c>
      <c r="N143" s="3" t="str">
        <f t="shared" si="5"/>
        <v>Oct-2021</v>
      </c>
    </row>
    <row r="144" spans="1:14" x14ac:dyDescent="0.3">
      <c r="A144" s="3" t="s">
        <v>18</v>
      </c>
      <c r="B144" s="3" t="s">
        <v>19</v>
      </c>
      <c r="C144" s="8">
        <v>2021</v>
      </c>
      <c r="D144" s="8">
        <v>11</v>
      </c>
      <c r="E144" s="3" t="str">
        <f t="shared" si="4"/>
        <v>November</v>
      </c>
      <c r="F144" s="3" t="s">
        <v>13</v>
      </c>
      <c r="G144" s="8">
        <v>26216.807789999999</v>
      </c>
      <c r="H144" s="8">
        <v>27041</v>
      </c>
      <c r="I144" s="8">
        <v>821.60887430000002</v>
      </c>
      <c r="J144" s="8">
        <v>126381.8248</v>
      </c>
      <c r="K144" s="8">
        <v>120315.2164</v>
      </c>
      <c r="L144" s="8">
        <v>133233.69039999999</v>
      </c>
      <c r="M144" s="9" t="str">
        <f>IF(A144="",M145,A144)</f>
        <v>Argentina</v>
      </c>
      <c r="N144" s="3" t="str">
        <f t="shared" si="5"/>
        <v>Nov-2021</v>
      </c>
    </row>
    <row r="145" spans="1:14" x14ac:dyDescent="0.3">
      <c r="A145" s="3" t="s">
        <v>18</v>
      </c>
      <c r="B145" s="3" t="s">
        <v>19</v>
      </c>
      <c r="C145" s="8">
        <v>2021</v>
      </c>
      <c r="D145" s="8">
        <v>12</v>
      </c>
      <c r="E145" s="3" t="str">
        <f t="shared" si="4"/>
        <v>December</v>
      </c>
      <c r="F145" s="3" t="s">
        <v>13</v>
      </c>
      <c r="G145" s="8">
        <v>26265.360830000001</v>
      </c>
      <c r="H145" s="8">
        <v>26546</v>
      </c>
      <c r="I145" s="8">
        <v>278.05583460000003</v>
      </c>
      <c r="J145" s="8">
        <v>126659.88069999999</v>
      </c>
      <c r="K145" s="8">
        <v>120085.80590000001</v>
      </c>
      <c r="L145" s="8">
        <v>133331.01730000001</v>
      </c>
      <c r="M145" s="9" t="str">
        <f>IF(A145="",M146,A145)</f>
        <v>Argentina</v>
      </c>
      <c r="N145" s="3" t="str">
        <f t="shared" si="5"/>
        <v>Dec-2021</v>
      </c>
    </row>
    <row r="146" spans="1:14" x14ac:dyDescent="0.3">
      <c r="A146" s="3" t="s">
        <v>20</v>
      </c>
      <c r="B146" s="3" t="s">
        <v>21</v>
      </c>
      <c r="C146" s="8">
        <v>2020</v>
      </c>
      <c r="D146" s="8">
        <v>1</v>
      </c>
      <c r="E146" s="3" t="str">
        <f t="shared" si="4"/>
        <v>January</v>
      </c>
      <c r="F146" s="3" t="s">
        <v>13</v>
      </c>
      <c r="G146" s="8">
        <v>2411.454577</v>
      </c>
      <c r="H146" s="8">
        <v>2567</v>
      </c>
      <c r="I146" s="8">
        <v>153.9620894</v>
      </c>
      <c r="J146" s="8">
        <v>153.9620894</v>
      </c>
      <c r="K146" s="8">
        <v>25.609962110000001</v>
      </c>
      <c r="L146" s="8">
        <v>269.06524919999998</v>
      </c>
      <c r="M146" s="9" t="str">
        <f>IF(A146="",M147,A146)</f>
        <v>Armenia</v>
      </c>
      <c r="N146" s="3" t="str">
        <f t="shared" si="5"/>
        <v>Jan-2020</v>
      </c>
    </row>
    <row r="147" spans="1:14" x14ac:dyDescent="0.3">
      <c r="A147" s="3" t="s">
        <v>20</v>
      </c>
      <c r="B147" s="3" t="s">
        <v>21</v>
      </c>
      <c r="C147" s="8">
        <v>2020</v>
      </c>
      <c r="D147" s="8">
        <v>2</v>
      </c>
      <c r="E147" s="3" t="str">
        <f t="shared" si="4"/>
        <v>February</v>
      </c>
      <c r="F147" s="3" t="s">
        <v>13</v>
      </c>
      <c r="G147" s="8">
        <v>2297.1447109999999</v>
      </c>
      <c r="H147" s="8">
        <v>2434</v>
      </c>
      <c r="I147" s="8">
        <v>135.2719558</v>
      </c>
      <c r="J147" s="8">
        <v>289.23404520000003</v>
      </c>
      <c r="K147" s="8">
        <v>102.66462199999999</v>
      </c>
      <c r="L147" s="8">
        <v>467.44373899999999</v>
      </c>
      <c r="M147" s="9" t="str">
        <f>IF(A147="",M148,A147)</f>
        <v>Armenia</v>
      </c>
      <c r="N147" s="3" t="str">
        <f t="shared" si="5"/>
        <v>Feb-2020</v>
      </c>
    </row>
    <row r="148" spans="1:14" x14ac:dyDescent="0.3">
      <c r="A148" s="3" t="s">
        <v>20</v>
      </c>
      <c r="B148" s="3" t="s">
        <v>21</v>
      </c>
      <c r="C148" s="8">
        <v>2020</v>
      </c>
      <c r="D148" s="8">
        <v>3</v>
      </c>
      <c r="E148" s="3" t="str">
        <f t="shared" si="4"/>
        <v>March</v>
      </c>
      <c r="F148" s="3" t="s">
        <v>13</v>
      </c>
      <c r="G148" s="8">
        <v>2233.5727310000002</v>
      </c>
      <c r="H148" s="8">
        <v>2288</v>
      </c>
      <c r="I148" s="8">
        <v>52.843935969999997</v>
      </c>
      <c r="J148" s="8">
        <v>342.07798120000001</v>
      </c>
      <c r="K148" s="8">
        <v>113.5701961</v>
      </c>
      <c r="L148" s="8">
        <v>562.6435358</v>
      </c>
      <c r="M148" s="9" t="str">
        <f>IF(A148="",M149,A148)</f>
        <v>Armenia</v>
      </c>
      <c r="N148" s="3" t="str">
        <f t="shared" si="5"/>
        <v>Mar-2020</v>
      </c>
    </row>
    <row r="149" spans="1:14" x14ac:dyDescent="0.3">
      <c r="A149" s="3" t="s">
        <v>20</v>
      </c>
      <c r="B149" s="3" t="s">
        <v>21</v>
      </c>
      <c r="C149" s="8">
        <v>2020</v>
      </c>
      <c r="D149" s="8">
        <v>4</v>
      </c>
      <c r="E149" s="3" t="str">
        <f t="shared" si="4"/>
        <v>April</v>
      </c>
      <c r="F149" s="3" t="s">
        <v>13</v>
      </c>
      <c r="G149" s="8">
        <v>2116.4973879999998</v>
      </c>
      <c r="H149" s="8">
        <v>2156</v>
      </c>
      <c r="I149" s="8">
        <v>37.919278660000003</v>
      </c>
      <c r="J149" s="8">
        <v>379.99725990000002</v>
      </c>
      <c r="K149" s="8">
        <v>132.068231</v>
      </c>
      <c r="L149" s="8">
        <v>631.7760528</v>
      </c>
      <c r="M149" s="9" t="str">
        <f>IF(A149="",M150,A149)</f>
        <v>Armenia</v>
      </c>
      <c r="N149" s="3" t="str">
        <f t="shared" si="5"/>
        <v>Apr-2020</v>
      </c>
    </row>
    <row r="150" spans="1:14" x14ac:dyDescent="0.3">
      <c r="A150" s="3" t="s">
        <v>20</v>
      </c>
      <c r="B150" s="3" t="s">
        <v>21</v>
      </c>
      <c r="C150" s="8">
        <v>2020</v>
      </c>
      <c r="D150" s="8">
        <v>5</v>
      </c>
      <c r="E150" s="3" t="str">
        <f t="shared" si="4"/>
        <v>May</v>
      </c>
      <c r="F150" s="3" t="s">
        <v>13</v>
      </c>
      <c r="G150" s="8">
        <v>2067.5980960000002</v>
      </c>
      <c r="H150" s="8">
        <v>2103</v>
      </c>
      <c r="I150" s="8">
        <v>33.818570989999998</v>
      </c>
      <c r="J150" s="8">
        <v>413.81583089999998</v>
      </c>
      <c r="K150" s="8">
        <v>119.2895979</v>
      </c>
      <c r="L150" s="8">
        <v>697.79304909999996</v>
      </c>
      <c r="M150" s="9" t="str">
        <f>IF(A150="",M151,A150)</f>
        <v>Armenia</v>
      </c>
      <c r="N150" s="3" t="str">
        <f t="shared" si="5"/>
        <v>May-2020</v>
      </c>
    </row>
    <row r="151" spans="1:14" x14ac:dyDescent="0.3">
      <c r="A151" s="3" t="s">
        <v>20</v>
      </c>
      <c r="B151" s="3" t="s">
        <v>21</v>
      </c>
      <c r="C151" s="8">
        <v>2020</v>
      </c>
      <c r="D151" s="8">
        <v>6</v>
      </c>
      <c r="E151" s="3" t="str">
        <f t="shared" si="4"/>
        <v>June</v>
      </c>
      <c r="F151" s="3" t="s">
        <v>13</v>
      </c>
      <c r="G151" s="8">
        <v>1985.373572</v>
      </c>
      <c r="H151" s="8">
        <v>2869</v>
      </c>
      <c r="I151" s="8">
        <v>882.04309490000003</v>
      </c>
      <c r="J151" s="8">
        <v>1295.8589260000001</v>
      </c>
      <c r="K151" s="8">
        <v>1002.599472</v>
      </c>
      <c r="L151" s="8">
        <v>1598.076505</v>
      </c>
      <c r="M151" s="9" t="str">
        <f>IF(A151="",M152,A151)</f>
        <v>Armenia</v>
      </c>
      <c r="N151" s="3" t="str">
        <f t="shared" si="5"/>
        <v>Jun-2020</v>
      </c>
    </row>
    <row r="152" spans="1:14" x14ac:dyDescent="0.3">
      <c r="A152" s="3" t="s">
        <v>20</v>
      </c>
      <c r="B152" s="3" t="s">
        <v>21</v>
      </c>
      <c r="C152" s="8">
        <v>2020</v>
      </c>
      <c r="D152" s="8">
        <v>7</v>
      </c>
      <c r="E152" s="3" t="str">
        <f t="shared" si="4"/>
        <v>July</v>
      </c>
      <c r="F152" s="3" t="s">
        <v>13</v>
      </c>
      <c r="G152" s="8">
        <v>1990.075621</v>
      </c>
      <c r="H152" s="8">
        <v>2719</v>
      </c>
      <c r="I152" s="8">
        <v>727.34104579999996</v>
      </c>
      <c r="J152" s="8">
        <v>2023.1999719999999</v>
      </c>
      <c r="K152" s="8">
        <v>1699.850218</v>
      </c>
      <c r="L152" s="8">
        <v>2346.90119</v>
      </c>
      <c r="M152" s="9" t="str">
        <f>IF(A152="",M153,A152)</f>
        <v>Armenia</v>
      </c>
      <c r="N152" s="3" t="str">
        <f t="shared" si="5"/>
        <v>Jul-2020</v>
      </c>
    </row>
    <row r="153" spans="1:14" x14ac:dyDescent="0.3">
      <c r="A153" s="3" t="s">
        <v>20</v>
      </c>
      <c r="B153" s="3" t="s">
        <v>21</v>
      </c>
      <c r="C153" s="8">
        <v>2020</v>
      </c>
      <c r="D153" s="8">
        <v>8</v>
      </c>
      <c r="E153" s="3" t="str">
        <f t="shared" si="4"/>
        <v>August</v>
      </c>
      <c r="F153" s="3" t="s">
        <v>13</v>
      </c>
      <c r="G153" s="8">
        <v>1903.7221400000001</v>
      </c>
      <c r="H153" s="8">
        <v>2106</v>
      </c>
      <c r="I153" s="8">
        <v>200.69452699999999</v>
      </c>
      <c r="J153" s="8">
        <v>2223.894499</v>
      </c>
      <c r="K153" s="8">
        <v>1892.700057</v>
      </c>
      <c r="L153" s="8">
        <v>2561.2866020000001</v>
      </c>
      <c r="M153" s="9" t="str">
        <f>IF(A153="",M154,A153)</f>
        <v>Armenia</v>
      </c>
      <c r="N153" s="3" t="str">
        <f t="shared" si="5"/>
        <v>Aug-2020</v>
      </c>
    </row>
    <row r="154" spans="1:14" x14ac:dyDescent="0.3">
      <c r="A154" s="3" t="s">
        <v>20</v>
      </c>
      <c r="B154" s="3" t="s">
        <v>21</v>
      </c>
      <c r="C154" s="8">
        <v>2020</v>
      </c>
      <c r="D154" s="8">
        <v>9</v>
      </c>
      <c r="E154" s="3" t="str">
        <f t="shared" si="4"/>
        <v>September</v>
      </c>
      <c r="F154" s="3" t="s">
        <v>13</v>
      </c>
      <c r="G154" s="8">
        <v>1770.104394</v>
      </c>
      <c r="H154" s="8">
        <v>2042</v>
      </c>
      <c r="I154" s="8">
        <v>270.31227280000002</v>
      </c>
      <c r="J154" s="8">
        <v>2494.2067710000001</v>
      </c>
      <c r="K154" s="8">
        <v>2155.6124380000001</v>
      </c>
      <c r="L154" s="8">
        <v>2858.277908</v>
      </c>
      <c r="M154" s="9" t="str">
        <f>IF(A154="",M155,A154)</f>
        <v>Armenia</v>
      </c>
      <c r="N154" s="3" t="str">
        <f t="shared" si="5"/>
        <v>Sep-2020</v>
      </c>
    </row>
    <row r="155" spans="1:14" x14ac:dyDescent="0.3">
      <c r="A155" s="3" t="s">
        <v>20</v>
      </c>
      <c r="B155" s="3" t="s">
        <v>21</v>
      </c>
      <c r="C155" s="8">
        <v>2020</v>
      </c>
      <c r="D155" s="8">
        <v>10</v>
      </c>
      <c r="E155" s="3" t="str">
        <f t="shared" si="4"/>
        <v>October</v>
      </c>
      <c r="F155" s="3" t="s">
        <v>13</v>
      </c>
      <c r="G155" s="8">
        <v>1943.025488</v>
      </c>
      <c r="H155" s="8">
        <v>3632</v>
      </c>
      <c r="I155" s="8">
        <v>1687.3911780000001</v>
      </c>
      <c r="J155" s="8">
        <v>4181.5979500000003</v>
      </c>
      <c r="K155" s="8">
        <v>3806.7711119999999</v>
      </c>
      <c r="L155" s="8">
        <v>4588.898835</v>
      </c>
      <c r="M155" s="9" t="str">
        <f>IF(A155="",M156,A155)</f>
        <v>Armenia</v>
      </c>
      <c r="N155" s="3" t="str">
        <f t="shared" si="5"/>
        <v>Oct-2020</v>
      </c>
    </row>
    <row r="156" spans="1:14" x14ac:dyDescent="0.3">
      <c r="A156" s="3" t="s">
        <v>20</v>
      </c>
      <c r="B156" s="3" t="s">
        <v>21</v>
      </c>
      <c r="C156" s="8">
        <v>2020</v>
      </c>
      <c r="D156" s="8">
        <v>11</v>
      </c>
      <c r="E156" s="3" t="str">
        <f t="shared" si="4"/>
        <v>November</v>
      </c>
      <c r="F156" s="3" t="s">
        <v>13</v>
      </c>
      <c r="G156" s="8">
        <v>2192.6957769999999</v>
      </c>
      <c r="H156" s="8">
        <v>6060</v>
      </c>
      <c r="I156" s="8">
        <v>3865.7208900000001</v>
      </c>
      <c r="J156" s="8">
        <v>8047.3188389999996</v>
      </c>
      <c r="K156" s="8">
        <v>7602.026202</v>
      </c>
      <c r="L156" s="8">
        <v>8455.6636030000009</v>
      </c>
      <c r="M156" s="9" t="str">
        <f>IF(A156="",M157,A156)</f>
        <v>Armenia</v>
      </c>
      <c r="N156" s="3" t="str">
        <f t="shared" si="5"/>
        <v>Nov-2020</v>
      </c>
    </row>
    <row r="157" spans="1:14" x14ac:dyDescent="0.3">
      <c r="A157" s="3" t="s">
        <v>20</v>
      </c>
      <c r="B157" s="3" t="s">
        <v>21</v>
      </c>
      <c r="C157" s="8">
        <v>2020</v>
      </c>
      <c r="D157" s="8">
        <v>12</v>
      </c>
      <c r="E157" s="3" t="str">
        <f t="shared" si="4"/>
        <v>December</v>
      </c>
      <c r="F157" s="3" t="s">
        <v>13</v>
      </c>
      <c r="G157" s="8">
        <v>2357.131801</v>
      </c>
      <c r="H157" s="8">
        <v>4395</v>
      </c>
      <c r="I157" s="8">
        <v>2036.284866</v>
      </c>
      <c r="J157" s="8">
        <v>10083.603709999999</v>
      </c>
      <c r="K157" s="8">
        <v>9622.4804559999993</v>
      </c>
      <c r="L157" s="8">
        <v>10505.06494</v>
      </c>
      <c r="M157" s="9" t="str">
        <f>IF(A157="",M158,A157)</f>
        <v>Armenia</v>
      </c>
      <c r="N157" s="3" t="str">
        <f t="shared" si="5"/>
        <v>Dec-2020</v>
      </c>
    </row>
    <row r="158" spans="1:14" x14ac:dyDescent="0.3">
      <c r="A158" s="3" t="s">
        <v>20</v>
      </c>
      <c r="B158" s="3" t="s">
        <v>21</v>
      </c>
      <c r="C158" s="8">
        <v>2021</v>
      </c>
      <c r="D158" s="8">
        <v>1</v>
      </c>
      <c r="E158" s="3" t="str">
        <f t="shared" si="4"/>
        <v>January</v>
      </c>
      <c r="F158" s="3" t="s">
        <v>13</v>
      </c>
      <c r="G158" s="8">
        <v>2354.8833169999998</v>
      </c>
      <c r="H158" s="8">
        <v>3013</v>
      </c>
      <c r="I158" s="8">
        <v>656.1166829</v>
      </c>
      <c r="J158" s="8">
        <v>10739.72039</v>
      </c>
      <c r="K158" s="8">
        <v>10253.145</v>
      </c>
      <c r="L158" s="8">
        <v>11191.41754</v>
      </c>
      <c r="M158" s="9" t="str">
        <f>IF(A158="",M159,A158)</f>
        <v>Armenia</v>
      </c>
      <c r="N158" s="3" t="str">
        <f t="shared" si="5"/>
        <v>Jan-2021</v>
      </c>
    </row>
    <row r="159" spans="1:14" x14ac:dyDescent="0.3">
      <c r="A159" s="3" t="s">
        <v>20</v>
      </c>
      <c r="B159" s="3" t="s">
        <v>21</v>
      </c>
      <c r="C159" s="8">
        <v>2021</v>
      </c>
      <c r="D159" s="8">
        <v>2</v>
      </c>
      <c r="E159" s="3" t="str">
        <f t="shared" si="4"/>
        <v>February</v>
      </c>
      <c r="F159" s="3" t="s">
        <v>13</v>
      </c>
      <c r="G159" s="8">
        <v>2246.8645799999999</v>
      </c>
      <c r="H159" s="8">
        <v>2418</v>
      </c>
      <c r="I159" s="8">
        <v>169.1354201</v>
      </c>
      <c r="J159" s="8">
        <v>10908.855809999999</v>
      </c>
      <c r="K159" s="8">
        <v>10412.37938</v>
      </c>
      <c r="L159" s="8">
        <v>11390.7716</v>
      </c>
      <c r="M159" s="9" t="str">
        <f>IF(A159="",M160,A159)</f>
        <v>Armenia</v>
      </c>
      <c r="N159" s="3" t="str">
        <f t="shared" si="5"/>
        <v>Feb-2021</v>
      </c>
    </row>
    <row r="160" spans="1:14" x14ac:dyDescent="0.3">
      <c r="A160" s="3" t="s">
        <v>20</v>
      </c>
      <c r="B160" s="3" t="s">
        <v>21</v>
      </c>
      <c r="C160" s="8">
        <v>2021</v>
      </c>
      <c r="D160" s="8">
        <v>3</v>
      </c>
      <c r="E160" s="3" t="str">
        <f t="shared" si="4"/>
        <v>March</v>
      </c>
      <c r="F160" s="3" t="s">
        <v>13</v>
      </c>
      <c r="G160" s="8">
        <v>2185.3268739999999</v>
      </c>
      <c r="H160" s="8">
        <v>2836</v>
      </c>
      <c r="I160" s="8">
        <v>648.67312600000002</v>
      </c>
      <c r="J160" s="8">
        <v>11557.52893</v>
      </c>
      <c r="K160" s="8">
        <v>11043.62725</v>
      </c>
      <c r="L160" s="8">
        <v>12069.574710000001</v>
      </c>
      <c r="M160" s="9" t="str">
        <f>IF(A160="",M161,A160)</f>
        <v>Armenia</v>
      </c>
      <c r="N160" s="3" t="str">
        <f t="shared" si="5"/>
        <v>Mar-2021</v>
      </c>
    </row>
    <row r="161" spans="1:14" x14ac:dyDescent="0.3">
      <c r="A161" s="3" t="s">
        <v>20</v>
      </c>
      <c r="B161" s="3" t="s">
        <v>21</v>
      </c>
      <c r="C161" s="8">
        <v>2021</v>
      </c>
      <c r="D161" s="8">
        <v>4</v>
      </c>
      <c r="E161" s="3" t="str">
        <f t="shared" si="4"/>
        <v>April</v>
      </c>
      <c r="F161" s="3" t="s">
        <v>13</v>
      </c>
      <c r="G161" s="8">
        <v>2070.2531199999999</v>
      </c>
      <c r="H161" s="8">
        <v>3361</v>
      </c>
      <c r="I161" s="8">
        <v>1288.7468799999999</v>
      </c>
      <c r="J161" s="8">
        <v>12846.275809999999</v>
      </c>
      <c r="K161" s="8">
        <v>12303.37429</v>
      </c>
      <c r="L161" s="8">
        <v>13368.80285</v>
      </c>
      <c r="M161" s="9" t="str">
        <f>IF(A161="",M162,A161)</f>
        <v>Armenia</v>
      </c>
      <c r="N161" s="3" t="str">
        <f t="shared" si="5"/>
        <v>Apr-2021</v>
      </c>
    </row>
    <row r="162" spans="1:14" x14ac:dyDescent="0.3">
      <c r="A162" s="3" t="s">
        <v>20</v>
      </c>
      <c r="B162" s="3" t="s">
        <v>21</v>
      </c>
      <c r="C162" s="8">
        <v>2021</v>
      </c>
      <c r="D162" s="8">
        <v>5</v>
      </c>
      <c r="E162" s="3" t="str">
        <f t="shared" si="4"/>
        <v>May</v>
      </c>
      <c r="F162" s="3" t="s">
        <v>13</v>
      </c>
      <c r="G162" s="8">
        <v>2019.7154190000001</v>
      </c>
      <c r="H162" s="8">
        <v>2633</v>
      </c>
      <c r="I162" s="8">
        <v>611.28458139999998</v>
      </c>
      <c r="J162" s="8">
        <v>13457.5604</v>
      </c>
      <c r="K162" s="8">
        <v>12875.94629</v>
      </c>
      <c r="L162" s="8">
        <v>14003.10497</v>
      </c>
      <c r="M162" s="9" t="str">
        <f>IF(A162="",M163,A162)</f>
        <v>Armenia</v>
      </c>
      <c r="N162" s="3" t="str">
        <f t="shared" si="5"/>
        <v>May-2021</v>
      </c>
    </row>
    <row r="163" spans="1:14" x14ac:dyDescent="0.3">
      <c r="A163" s="3" t="s">
        <v>20</v>
      </c>
      <c r="B163" s="3" t="s">
        <v>21</v>
      </c>
      <c r="C163" s="8">
        <v>2021</v>
      </c>
      <c r="D163" s="8">
        <v>6</v>
      </c>
      <c r="E163" s="3" t="str">
        <f t="shared" si="4"/>
        <v>June</v>
      </c>
      <c r="F163" s="3" t="s">
        <v>13</v>
      </c>
      <c r="G163" s="8">
        <v>1940.3899699999999</v>
      </c>
      <c r="H163" s="8">
        <v>2290</v>
      </c>
      <c r="I163" s="8">
        <v>347.61003019999998</v>
      </c>
      <c r="J163" s="8">
        <v>13805.17043</v>
      </c>
      <c r="K163" s="8">
        <v>13221.09273</v>
      </c>
      <c r="L163" s="8">
        <v>14373.282579999999</v>
      </c>
      <c r="M163" s="9" t="str">
        <f>IF(A163="",M164,A163)</f>
        <v>Armenia</v>
      </c>
      <c r="N163" s="3" t="str">
        <f t="shared" si="5"/>
        <v>Jun-2021</v>
      </c>
    </row>
    <row r="164" spans="1:14" x14ac:dyDescent="0.3">
      <c r="A164" s="3" t="s">
        <v>20</v>
      </c>
      <c r="B164" s="3" t="s">
        <v>21</v>
      </c>
      <c r="C164" s="8">
        <v>2021</v>
      </c>
      <c r="D164" s="8">
        <v>7</v>
      </c>
      <c r="E164" s="3" t="str">
        <f t="shared" si="4"/>
        <v>July</v>
      </c>
      <c r="F164" s="3" t="s">
        <v>13</v>
      </c>
      <c r="G164" s="8">
        <v>1943.683397</v>
      </c>
      <c r="H164" s="8">
        <v>2247</v>
      </c>
      <c r="I164" s="8">
        <v>301.31660319999997</v>
      </c>
      <c r="J164" s="8">
        <v>14106.48703</v>
      </c>
      <c r="K164" s="8">
        <v>13516.00704</v>
      </c>
      <c r="L164" s="8">
        <v>14694.215459999999</v>
      </c>
      <c r="M164" s="9" t="str">
        <f>IF(A164="",M165,A164)</f>
        <v>Armenia</v>
      </c>
      <c r="N164" s="3" t="str">
        <f t="shared" si="5"/>
        <v>Jul-2021</v>
      </c>
    </row>
    <row r="165" spans="1:14" x14ac:dyDescent="0.3">
      <c r="A165" s="3" t="s">
        <v>20</v>
      </c>
      <c r="B165" s="3" t="s">
        <v>21</v>
      </c>
      <c r="C165" s="8">
        <v>2021</v>
      </c>
      <c r="D165" s="8">
        <v>8</v>
      </c>
      <c r="E165" s="3" t="str">
        <f t="shared" si="4"/>
        <v>August</v>
      </c>
      <c r="F165" s="3" t="s">
        <v>13</v>
      </c>
      <c r="G165" s="8">
        <v>1858.3157060000001</v>
      </c>
      <c r="H165" s="8">
        <v>2241</v>
      </c>
      <c r="I165" s="8">
        <v>380.6842944</v>
      </c>
      <c r="J165" s="8">
        <v>14487.171319999999</v>
      </c>
      <c r="K165" s="8">
        <v>13860.786</v>
      </c>
      <c r="L165" s="8">
        <v>15072.72803</v>
      </c>
      <c r="M165" s="9" t="str">
        <f>IF(A165="",M166,A165)</f>
        <v>Armenia</v>
      </c>
      <c r="N165" s="3" t="str">
        <f t="shared" si="5"/>
        <v>Aug-2021</v>
      </c>
    </row>
    <row r="166" spans="1:14" x14ac:dyDescent="0.3">
      <c r="A166" s="3" t="s">
        <v>20</v>
      </c>
      <c r="B166" s="3" t="s">
        <v>21</v>
      </c>
      <c r="C166" s="8">
        <v>2021</v>
      </c>
      <c r="D166" s="8">
        <v>9</v>
      </c>
      <c r="E166" s="3" t="str">
        <f t="shared" si="4"/>
        <v>September</v>
      </c>
      <c r="F166" s="3" t="s">
        <v>13</v>
      </c>
      <c r="G166" s="8">
        <v>1732.3130490000001</v>
      </c>
      <c r="H166" s="8">
        <v>2559</v>
      </c>
      <c r="I166" s="8">
        <v>824.68695109999999</v>
      </c>
      <c r="J166" s="8">
        <v>15311.85828</v>
      </c>
      <c r="K166" s="8">
        <v>14682.506149999999</v>
      </c>
      <c r="L166" s="8">
        <v>15897.661599999999</v>
      </c>
      <c r="M166" s="9" t="str">
        <f>IF(A166="",M167,A166)</f>
        <v>Armenia</v>
      </c>
      <c r="N166" s="3" t="str">
        <f t="shared" si="5"/>
        <v>Sep-2021</v>
      </c>
    </row>
    <row r="167" spans="1:14" x14ac:dyDescent="0.3">
      <c r="A167" s="3" t="s">
        <v>20</v>
      </c>
      <c r="B167" s="3" t="s">
        <v>21</v>
      </c>
      <c r="C167" s="8">
        <v>2021</v>
      </c>
      <c r="D167" s="8">
        <v>10</v>
      </c>
      <c r="E167" s="3" t="str">
        <f t="shared" si="4"/>
        <v>October</v>
      </c>
      <c r="F167" s="3" t="s">
        <v>13</v>
      </c>
      <c r="G167" s="8">
        <v>1898.463861</v>
      </c>
      <c r="H167" s="8">
        <v>3462</v>
      </c>
      <c r="I167" s="8">
        <v>1561.536139</v>
      </c>
      <c r="J167" s="8">
        <v>16873.394410000001</v>
      </c>
      <c r="K167" s="8">
        <v>16225.13674</v>
      </c>
      <c r="L167" s="8">
        <v>17467.329010000001</v>
      </c>
      <c r="M167" s="9" t="str">
        <f>IF(A167="",M168,A167)</f>
        <v>Armenia</v>
      </c>
      <c r="N167" s="3" t="str">
        <f t="shared" si="5"/>
        <v>Oct-2021</v>
      </c>
    </row>
    <row r="168" spans="1:14" x14ac:dyDescent="0.3">
      <c r="A168" s="3" t="s">
        <v>20</v>
      </c>
      <c r="B168" s="3" t="s">
        <v>21</v>
      </c>
      <c r="C168" s="8">
        <v>2021</v>
      </c>
      <c r="D168" s="8">
        <v>11</v>
      </c>
      <c r="E168" s="3" t="str">
        <f t="shared" si="4"/>
        <v>November</v>
      </c>
      <c r="F168" s="3" t="s">
        <v>13</v>
      </c>
      <c r="G168" s="8">
        <v>2145.7654349999998</v>
      </c>
      <c r="H168" s="8">
        <v>4577</v>
      </c>
      <c r="I168" s="8">
        <v>2429.2345650000002</v>
      </c>
      <c r="J168" s="8">
        <v>19302.628980000001</v>
      </c>
      <c r="K168" s="8">
        <v>18649.16965</v>
      </c>
      <c r="L168" s="8">
        <v>19898.83959</v>
      </c>
      <c r="M168" s="9" t="str">
        <f>IF(A168="",M169,A168)</f>
        <v>Armenia</v>
      </c>
      <c r="N168" s="3" t="str">
        <f t="shared" si="5"/>
        <v>Nov-2021</v>
      </c>
    </row>
    <row r="169" spans="1:14" x14ac:dyDescent="0.3">
      <c r="A169" s="3" t="s">
        <v>20</v>
      </c>
      <c r="B169" s="3" t="s">
        <v>21</v>
      </c>
      <c r="C169" s="8">
        <v>2021</v>
      </c>
      <c r="D169" s="8">
        <v>12</v>
      </c>
      <c r="E169" s="3" t="str">
        <f t="shared" si="4"/>
        <v>December</v>
      </c>
      <c r="F169" s="3" t="s">
        <v>13</v>
      </c>
      <c r="G169" s="8">
        <v>2301.9248910000001</v>
      </c>
      <c r="H169" s="8">
        <v>3001</v>
      </c>
      <c r="I169" s="8">
        <v>697.07510920000004</v>
      </c>
      <c r="J169" s="8">
        <v>19999.704089999999</v>
      </c>
      <c r="K169" s="8">
        <v>19338.73515</v>
      </c>
      <c r="L169" s="8">
        <v>20640.45982</v>
      </c>
      <c r="M169" s="9" t="str">
        <f>IF(A169="",M170,A169)</f>
        <v>Armenia</v>
      </c>
      <c r="N169" s="3" t="str">
        <f t="shared" si="5"/>
        <v>Dec-2021</v>
      </c>
    </row>
    <row r="170" spans="1:14" x14ac:dyDescent="0.3">
      <c r="A170" s="3" t="s">
        <v>22</v>
      </c>
      <c r="B170" s="3" t="s">
        <v>23</v>
      </c>
      <c r="C170" s="8">
        <v>2020</v>
      </c>
      <c r="D170" s="8">
        <v>1</v>
      </c>
      <c r="E170" s="3" t="str">
        <f t="shared" si="4"/>
        <v>January</v>
      </c>
      <c r="F170" s="3" t="s">
        <v>13</v>
      </c>
      <c r="G170" s="8">
        <v>51.956512760000003</v>
      </c>
      <c r="H170" s="8">
        <v>50</v>
      </c>
      <c r="I170" s="8">
        <v>-2.0398460890000001</v>
      </c>
      <c r="J170" s="8">
        <v>-2.0398460890000001</v>
      </c>
      <c r="K170" s="8">
        <v>-7.467067085</v>
      </c>
      <c r="L170" s="8">
        <v>2.8203044689999999</v>
      </c>
      <c r="M170" s="9" t="str">
        <f>IF(A170="",M171,A170)</f>
        <v>Antigua and Barbuda</v>
      </c>
      <c r="N170" s="3" t="str">
        <f t="shared" si="5"/>
        <v>Jan-2020</v>
      </c>
    </row>
    <row r="171" spans="1:14" x14ac:dyDescent="0.3">
      <c r="A171" s="3" t="s">
        <v>22</v>
      </c>
      <c r="B171" s="3" t="s">
        <v>23</v>
      </c>
      <c r="C171" s="8">
        <v>2020</v>
      </c>
      <c r="D171" s="8">
        <v>2</v>
      </c>
      <c r="E171" s="3" t="str">
        <f t="shared" si="4"/>
        <v>February</v>
      </c>
      <c r="F171" s="3" t="s">
        <v>13</v>
      </c>
      <c r="G171" s="8">
        <v>52.188398130000003</v>
      </c>
      <c r="H171" s="8">
        <v>47</v>
      </c>
      <c r="I171" s="8">
        <v>-5.2717314589999997</v>
      </c>
      <c r="J171" s="8">
        <v>-7.3115775479999998</v>
      </c>
      <c r="K171" s="8">
        <v>-15.15379379</v>
      </c>
      <c r="L171" s="8">
        <v>0.223145657</v>
      </c>
      <c r="M171" s="9" t="str">
        <f>IF(A171="",M172,A171)</f>
        <v>Antigua and Barbuda</v>
      </c>
      <c r="N171" s="3" t="str">
        <f t="shared" si="5"/>
        <v>Feb-2020</v>
      </c>
    </row>
    <row r="172" spans="1:14" x14ac:dyDescent="0.3">
      <c r="A172" s="3" t="s">
        <v>22</v>
      </c>
      <c r="B172" s="3" t="s">
        <v>23</v>
      </c>
      <c r="C172" s="8">
        <v>2020</v>
      </c>
      <c r="D172" s="8">
        <v>3</v>
      </c>
      <c r="E172" s="3" t="str">
        <f t="shared" si="4"/>
        <v>March</v>
      </c>
      <c r="F172" s="3" t="s">
        <v>13</v>
      </c>
      <c r="G172" s="8">
        <v>52.30279985</v>
      </c>
      <c r="H172" s="8">
        <v>60</v>
      </c>
      <c r="I172" s="8">
        <v>7.6138668190000001</v>
      </c>
      <c r="J172" s="8">
        <v>0.30228927100000003</v>
      </c>
      <c r="K172" s="8">
        <v>-9.2746829290000008</v>
      </c>
      <c r="L172" s="8">
        <v>9.7054573630000007</v>
      </c>
      <c r="M172" s="9" t="str">
        <f>IF(A172="",M173,A172)</f>
        <v>Antigua and Barbuda</v>
      </c>
      <c r="N172" s="3" t="str">
        <f t="shared" si="5"/>
        <v>Mar-2020</v>
      </c>
    </row>
    <row r="173" spans="1:14" x14ac:dyDescent="0.3">
      <c r="A173" s="3" t="s">
        <v>22</v>
      </c>
      <c r="B173" s="3" t="s">
        <v>23</v>
      </c>
      <c r="C173" s="8">
        <v>2020</v>
      </c>
      <c r="D173" s="8">
        <v>4</v>
      </c>
      <c r="E173" s="3" t="str">
        <f t="shared" si="4"/>
        <v>April</v>
      </c>
      <c r="F173" s="3" t="s">
        <v>13</v>
      </c>
      <c r="G173" s="8">
        <v>52.458269530000003</v>
      </c>
      <c r="H173" s="8">
        <v>49</v>
      </c>
      <c r="I173" s="8">
        <v>-3.5416028609999999</v>
      </c>
      <c r="J173" s="8">
        <v>-3.2393135900000001</v>
      </c>
      <c r="K173" s="8">
        <v>-13.811321830000001</v>
      </c>
      <c r="L173" s="8">
        <v>7.8415522019999999</v>
      </c>
      <c r="M173" s="9" t="str">
        <f>IF(A173="",M174,A173)</f>
        <v>Antigua and Barbuda</v>
      </c>
      <c r="N173" s="3" t="str">
        <f t="shared" si="5"/>
        <v>Apr-2020</v>
      </c>
    </row>
    <row r="174" spans="1:14" x14ac:dyDescent="0.3">
      <c r="A174" s="3" t="s">
        <v>22</v>
      </c>
      <c r="B174" s="3" t="s">
        <v>23</v>
      </c>
      <c r="C174" s="8">
        <v>2020</v>
      </c>
      <c r="D174" s="8">
        <v>5</v>
      </c>
      <c r="E174" s="3" t="str">
        <f t="shared" si="4"/>
        <v>May</v>
      </c>
      <c r="F174" s="3" t="s">
        <v>13</v>
      </c>
      <c r="G174" s="8">
        <v>52.856672840000002</v>
      </c>
      <c r="H174" s="8">
        <v>52</v>
      </c>
      <c r="I174" s="8">
        <v>-0.94000617799999997</v>
      </c>
      <c r="J174" s="8">
        <v>-4.179319768</v>
      </c>
      <c r="K174" s="8">
        <v>-17.220619719999998</v>
      </c>
      <c r="L174" s="8">
        <v>8.5310495480000004</v>
      </c>
      <c r="M174" s="9" t="str">
        <f>IF(A174="",M175,A174)</f>
        <v>Antigua and Barbuda</v>
      </c>
      <c r="N174" s="3" t="str">
        <f t="shared" si="5"/>
        <v>May-2020</v>
      </c>
    </row>
    <row r="175" spans="1:14" x14ac:dyDescent="0.3">
      <c r="A175" s="3" t="s">
        <v>22</v>
      </c>
      <c r="B175" s="3" t="s">
        <v>23</v>
      </c>
      <c r="C175" s="8">
        <v>2020</v>
      </c>
      <c r="D175" s="8">
        <v>6</v>
      </c>
      <c r="E175" s="3" t="str">
        <f t="shared" si="4"/>
        <v>June</v>
      </c>
      <c r="F175" s="3" t="s">
        <v>13</v>
      </c>
      <c r="G175" s="8">
        <v>52.891897499999999</v>
      </c>
      <c r="H175" s="8">
        <v>42</v>
      </c>
      <c r="I175" s="8">
        <v>-10.97523084</v>
      </c>
      <c r="J175" s="8">
        <v>-15.1545506</v>
      </c>
      <c r="K175" s="8">
        <v>-29.161914639999999</v>
      </c>
      <c r="L175" s="8">
        <v>-1.2791111740000001</v>
      </c>
      <c r="M175" s="9" t="str">
        <f>IF(A175="",M176,A175)</f>
        <v>Antigua and Barbuda</v>
      </c>
      <c r="N175" s="3" t="str">
        <f t="shared" si="5"/>
        <v>Jun-2020</v>
      </c>
    </row>
    <row r="176" spans="1:14" x14ac:dyDescent="0.3">
      <c r="A176" s="3" t="s">
        <v>22</v>
      </c>
      <c r="B176" s="3" t="s">
        <v>23</v>
      </c>
      <c r="C176" s="8">
        <v>2020</v>
      </c>
      <c r="D176" s="8">
        <v>7</v>
      </c>
      <c r="E176" s="3" t="str">
        <f t="shared" si="4"/>
        <v>July</v>
      </c>
      <c r="F176" s="3" t="s">
        <v>13</v>
      </c>
      <c r="G176" s="8">
        <v>53.108476099999997</v>
      </c>
      <c r="H176" s="8">
        <v>46</v>
      </c>
      <c r="I176" s="8">
        <v>-7.1918094339999996</v>
      </c>
      <c r="J176" s="8">
        <v>-22.34636004</v>
      </c>
      <c r="K176" s="8">
        <v>-37.325198540000002</v>
      </c>
      <c r="L176" s="8">
        <v>-7.4436955149999999</v>
      </c>
      <c r="M176" s="9" t="str">
        <f>IF(A176="",M177,A176)</f>
        <v>Antigua and Barbuda</v>
      </c>
      <c r="N176" s="3" t="str">
        <f t="shared" si="5"/>
        <v>Jul-2020</v>
      </c>
    </row>
    <row r="177" spans="1:14" x14ac:dyDescent="0.3">
      <c r="A177" s="3" t="s">
        <v>22</v>
      </c>
      <c r="B177" s="3" t="s">
        <v>23</v>
      </c>
      <c r="C177" s="8">
        <v>2020</v>
      </c>
      <c r="D177" s="8">
        <v>8</v>
      </c>
      <c r="E177" s="3" t="str">
        <f t="shared" si="4"/>
        <v>August</v>
      </c>
      <c r="F177" s="3" t="s">
        <v>13</v>
      </c>
      <c r="G177" s="8">
        <v>53.059880790000001</v>
      </c>
      <c r="H177" s="8">
        <v>44</v>
      </c>
      <c r="I177" s="8">
        <v>-9.143214124</v>
      </c>
      <c r="J177" s="8">
        <v>-31.48957416</v>
      </c>
      <c r="K177" s="8">
        <v>-48.081078730000002</v>
      </c>
      <c r="L177" s="8">
        <v>-14.148127949999999</v>
      </c>
      <c r="M177" s="9" t="str">
        <f>IF(A177="",M178,A177)</f>
        <v>Antigua and Barbuda</v>
      </c>
      <c r="N177" s="3" t="str">
        <f t="shared" si="5"/>
        <v>Aug-2020</v>
      </c>
    </row>
    <row r="178" spans="1:14" x14ac:dyDescent="0.3">
      <c r="A178" s="3" t="s">
        <v>22</v>
      </c>
      <c r="B178" s="3" t="s">
        <v>23</v>
      </c>
      <c r="C178" s="8">
        <v>2020</v>
      </c>
      <c r="D178" s="8">
        <v>9</v>
      </c>
      <c r="E178" s="3" t="str">
        <f t="shared" si="4"/>
        <v>September</v>
      </c>
      <c r="F178" s="3" t="s">
        <v>13</v>
      </c>
      <c r="G178" s="8">
        <v>53.276259090000003</v>
      </c>
      <c r="H178" s="8">
        <v>45</v>
      </c>
      <c r="I178" s="8">
        <v>-8.3595924270000008</v>
      </c>
      <c r="J178" s="8">
        <v>-39.849166590000003</v>
      </c>
      <c r="K178" s="8">
        <v>-57.558642159999998</v>
      </c>
      <c r="L178" s="8">
        <v>-20.819358600000001</v>
      </c>
      <c r="M178" s="9" t="str">
        <f>IF(A178="",M179,A178)</f>
        <v>Antigua and Barbuda</v>
      </c>
      <c r="N178" s="3" t="str">
        <f t="shared" si="5"/>
        <v>Sep-2020</v>
      </c>
    </row>
    <row r="179" spans="1:14" x14ac:dyDescent="0.3">
      <c r="A179" s="3" t="s">
        <v>22</v>
      </c>
      <c r="B179" s="3" t="s">
        <v>23</v>
      </c>
      <c r="C179" s="8">
        <v>2020</v>
      </c>
      <c r="D179" s="8">
        <v>10</v>
      </c>
      <c r="E179" s="3" t="str">
        <f t="shared" si="4"/>
        <v>October</v>
      </c>
      <c r="F179" s="3" t="s">
        <v>13</v>
      </c>
      <c r="G179" s="8">
        <v>53.40799286</v>
      </c>
      <c r="H179" s="8">
        <v>50</v>
      </c>
      <c r="I179" s="8">
        <v>-3.4913261969999998</v>
      </c>
      <c r="J179" s="8">
        <v>-43.340492789999999</v>
      </c>
      <c r="K179" s="8">
        <v>-62.083224569999999</v>
      </c>
      <c r="L179" s="8">
        <v>-23.573077219999998</v>
      </c>
      <c r="M179" s="9" t="str">
        <f>IF(A179="",M180,A179)</f>
        <v>Antigua and Barbuda</v>
      </c>
      <c r="N179" s="3" t="str">
        <f t="shared" si="5"/>
        <v>Oct-2020</v>
      </c>
    </row>
    <row r="180" spans="1:14" x14ac:dyDescent="0.3">
      <c r="A180" s="3" t="s">
        <v>22</v>
      </c>
      <c r="B180" s="3" t="s">
        <v>23</v>
      </c>
      <c r="C180" s="8">
        <v>2020</v>
      </c>
      <c r="D180" s="8">
        <v>11</v>
      </c>
      <c r="E180" s="3" t="str">
        <f t="shared" si="4"/>
        <v>November</v>
      </c>
      <c r="F180" s="3" t="s">
        <v>13</v>
      </c>
      <c r="G180" s="8">
        <v>53.586400759999997</v>
      </c>
      <c r="H180" s="8">
        <v>49</v>
      </c>
      <c r="I180" s="8">
        <v>-4.6697340900000004</v>
      </c>
      <c r="J180" s="8">
        <v>-48.010226879999998</v>
      </c>
      <c r="K180" s="8">
        <v>-68.844280949999998</v>
      </c>
      <c r="L180" s="8">
        <v>-27.881908970000001</v>
      </c>
      <c r="M180" s="9" t="str">
        <f>IF(A180="",M181,A180)</f>
        <v>Antigua and Barbuda</v>
      </c>
      <c r="N180" s="3" t="str">
        <f t="shared" si="5"/>
        <v>Nov-2020</v>
      </c>
    </row>
    <row r="181" spans="1:14" x14ac:dyDescent="0.3">
      <c r="A181" s="3" t="s">
        <v>22</v>
      </c>
      <c r="B181" s="3" t="s">
        <v>23</v>
      </c>
      <c r="C181" s="8">
        <v>2020</v>
      </c>
      <c r="D181" s="8">
        <v>12</v>
      </c>
      <c r="E181" s="3" t="str">
        <f t="shared" si="4"/>
        <v>December</v>
      </c>
      <c r="F181" s="3" t="s">
        <v>13</v>
      </c>
      <c r="G181" s="8">
        <v>53.592178660000002</v>
      </c>
      <c r="H181" s="8">
        <v>40</v>
      </c>
      <c r="I181" s="8">
        <v>-13.67551199</v>
      </c>
      <c r="J181" s="8">
        <v>-61.685738870000002</v>
      </c>
      <c r="K181" s="8">
        <v>-83.763867950000005</v>
      </c>
      <c r="L181" s="8">
        <v>-41.067606359999999</v>
      </c>
      <c r="M181" s="9" t="str">
        <f>IF(A181="",M182,A181)</f>
        <v>Antigua and Barbuda</v>
      </c>
      <c r="N181" s="3" t="str">
        <f t="shared" si="5"/>
        <v>Dec-2020</v>
      </c>
    </row>
    <row r="182" spans="1:14" x14ac:dyDescent="0.3">
      <c r="A182" s="3" t="s">
        <v>22</v>
      </c>
      <c r="B182" s="3" t="s">
        <v>23</v>
      </c>
      <c r="C182" s="8">
        <v>2021</v>
      </c>
      <c r="D182" s="8">
        <v>1</v>
      </c>
      <c r="E182" s="3" t="str">
        <f t="shared" si="4"/>
        <v>January</v>
      </c>
      <c r="F182" s="3" t="s">
        <v>13</v>
      </c>
      <c r="G182" s="8">
        <v>54.048245229999999</v>
      </c>
      <c r="H182" s="8">
        <v>56</v>
      </c>
      <c r="I182" s="8">
        <v>1.9517547660000001</v>
      </c>
      <c r="J182" s="8">
        <v>-59.733984110000002</v>
      </c>
      <c r="K182" s="8">
        <v>-83.036851110000001</v>
      </c>
      <c r="L182" s="8">
        <v>-37.923061920000002</v>
      </c>
      <c r="M182" s="9" t="str">
        <f>IF(A182="",M183,A182)</f>
        <v>Antigua and Barbuda</v>
      </c>
      <c r="N182" s="3" t="str">
        <f t="shared" si="5"/>
        <v>Jan-2021</v>
      </c>
    </row>
    <row r="183" spans="1:14" x14ac:dyDescent="0.3">
      <c r="A183" s="3" t="s">
        <v>22</v>
      </c>
      <c r="B183" s="3" t="s">
        <v>23</v>
      </c>
      <c r="C183" s="8">
        <v>2021</v>
      </c>
      <c r="D183" s="8">
        <v>2</v>
      </c>
      <c r="E183" s="3" t="str">
        <f t="shared" si="4"/>
        <v>February</v>
      </c>
      <c r="F183" s="3" t="s">
        <v>13</v>
      </c>
      <c r="G183" s="8">
        <v>54.272716950000003</v>
      </c>
      <c r="H183" s="8">
        <v>68</v>
      </c>
      <c r="I183" s="8">
        <v>13.72728305</v>
      </c>
      <c r="J183" s="8">
        <v>-46.006701049999997</v>
      </c>
      <c r="K183" s="8">
        <v>-71.358589359999996</v>
      </c>
      <c r="L183" s="8">
        <v>-22.587815549999998</v>
      </c>
      <c r="M183" s="9" t="str">
        <f>IF(A183="",M184,A183)</f>
        <v>Antigua and Barbuda</v>
      </c>
      <c r="N183" s="3" t="str">
        <f t="shared" si="5"/>
        <v>Feb-2021</v>
      </c>
    </row>
    <row r="184" spans="1:14" x14ac:dyDescent="0.3">
      <c r="A184" s="3" t="s">
        <v>22</v>
      </c>
      <c r="B184" s="3" t="s">
        <v>23</v>
      </c>
      <c r="C184" s="8">
        <v>2021</v>
      </c>
      <c r="D184" s="8">
        <v>3</v>
      </c>
      <c r="E184" s="3" t="str">
        <f t="shared" si="4"/>
        <v>March</v>
      </c>
      <c r="F184" s="3" t="s">
        <v>13</v>
      </c>
      <c r="G184" s="8">
        <v>54.117578209999998</v>
      </c>
      <c r="H184" s="8">
        <v>55</v>
      </c>
      <c r="I184" s="8">
        <v>0.88242179200000004</v>
      </c>
      <c r="J184" s="8">
        <v>-45.124279260000002</v>
      </c>
      <c r="K184" s="8">
        <v>-70.927002389999998</v>
      </c>
      <c r="L184" s="8">
        <v>-20.600745209999999</v>
      </c>
      <c r="M184" s="9" t="str">
        <f>IF(A184="",M185,A184)</f>
        <v>Antigua and Barbuda</v>
      </c>
      <c r="N184" s="3" t="str">
        <f t="shared" si="5"/>
        <v>Mar-2021</v>
      </c>
    </row>
    <row r="185" spans="1:14" x14ac:dyDescent="0.3">
      <c r="A185" s="3" t="s">
        <v>22</v>
      </c>
      <c r="B185" s="3" t="s">
        <v>23</v>
      </c>
      <c r="C185" s="8">
        <v>2021</v>
      </c>
      <c r="D185" s="8">
        <v>4</v>
      </c>
      <c r="E185" s="3" t="str">
        <f t="shared" si="4"/>
        <v>April</v>
      </c>
      <c r="F185" s="3" t="s">
        <v>13</v>
      </c>
      <c r="G185" s="8">
        <v>54.321686890000002</v>
      </c>
      <c r="H185" s="8">
        <v>50</v>
      </c>
      <c r="I185" s="8">
        <v>-4.321686895</v>
      </c>
      <c r="J185" s="8">
        <v>-49.445966159999998</v>
      </c>
      <c r="K185" s="8">
        <v>-77.840803170000001</v>
      </c>
      <c r="L185" s="8">
        <v>-22.827175440000001</v>
      </c>
      <c r="M185" s="9" t="str">
        <f>IF(A185="",M186,A185)</f>
        <v>Antigua and Barbuda</v>
      </c>
      <c r="N185" s="3" t="str">
        <f t="shared" si="5"/>
        <v>Apr-2021</v>
      </c>
    </row>
    <row r="186" spans="1:14" x14ac:dyDescent="0.3">
      <c r="A186" s="3" t="s">
        <v>22</v>
      </c>
      <c r="B186" s="3" t="s">
        <v>23</v>
      </c>
      <c r="C186" s="8">
        <v>2021</v>
      </c>
      <c r="D186" s="8">
        <v>5</v>
      </c>
      <c r="E186" s="3" t="str">
        <f t="shared" si="4"/>
        <v>May</v>
      </c>
      <c r="F186" s="3" t="s">
        <v>13</v>
      </c>
      <c r="G186" s="8">
        <v>54.782505739999998</v>
      </c>
      <c r="H186" s="8">
        <v>46</v>
      </c>
      <c r="I186" s="8">
        <v>-8.7825057389999994</v>
      </c>
      <c r="J186" s="8">
        <v>-58.228471890000002</v>
      </c>
      <c r="K186" s="8">
        <v>-87.989747820000005</v>
      </c>
      <c r="L186" s="8">
        <v>-31.716687050000001</v>
      </c>
      <c r="M186" s="9" t="str">
        <f>IF(A186="",M187,A186)</f>
        <v>Antigua and Barbuda</v>
      </c>
      <c r="N186" s="3" t="str">
        <f t="shared" si="5"/>
        <v>May-2021</v>
      </c>
    </row>
    <row r="187" spans="1:14" x14ac:dyDescent="0.3">
      <c r="A187" s="3" t="s">
        <v>22</v>
      </c>
      <c r="B187" s="3" t="s">
        <v>23</v>
      </c>
      <c r="C187" s="8">
        <v>2021</v>
      </c>
      <c r="D187" s="8">
        <v>6</v>
      </c>
      <c r="E187" s="3" t="str">
        <f t="shared" si="4"/>
        <v>June</v>
      </c>
      <c r="F187" s="3" t="s">
        <v>13</v>
      </c>
      <c r="G187" s="8">
        <v>54.59879643</v>
      </c>
      <c r="H187" s="8">
        <v>39</v>
      </c>
      <c r="I187" s="8">
        <v>-15.59879643</v>
      </c>
      <c r="J187" s="8">
        <v>-73.827268329999995</v>
      </c>
      <c r="K187" s="8">
        <v>-103.6511117</v>
      </c>
      <c r="L187" s="8">
        <v>-44.646341270000001</v>
      </c>
      <c r="M187" s="9" t="str">
        <f>IF(A187="",M188,A187)</f>
        <v>Antigua and Barbuda</v>
      </c>
      <c r="N187" s="3" t="str">
        <f t="shared" si="5"/>
        <v>Jun-2021</v>
      </c>
    </row>
    <row r="188" spans="1:14" x14ac:dyDescent="0.3">
      <c r="A188" s="3" t="s">
        <v>22</v>
      </c>
      <c r="B188" s="3" t="s">
        <v>23</v>
      </c>
      <c r="C188" s="8">
        <v>2021</v>
      </c>
      <c r="D188" s="8">
        <v>7</v>
      </c>
      <c r="E188" s="3" t="str">
        <f t="shared" si="4"/>
        <v>July</v>
      </c>
      <c r="F188" s="3" t="s">
        <v>13</v>
      </c>
      <c r="G188" s="8">
        <v>54.883243450000002</v>
      </c>
      <c r="H188" s="8">
        <v>55</v>
      </c>
      <c r="I188" s="8">
        <v>0.116756545</v>
      </c>
      <c r="J188" s="8">
        <v>-73.710511780000004</v>
      </c>
      <c r="K188" s="8">
        <v>-105.937157</v>
      </c>
      <c r="L188" s="8">
        <v>-45.261961589999999</v>
      </c>
      <c r="M188" s="9" t="str">
        <f>IF(A188="",M189,A188)</f>
        <v>Antigua and Barbuda</v>
      </c>
      <c r="N188" s="3" t="str">
        <f t="shared" si="5"/>
        <v>Jul-2021</v>
      </c>
    </row>
    <row r="189" spans="1:14" x14ac:dyDescent="0.3">
      <c r="A189" s="3" t="s">
        <v>22</v>
      </c>
      <c r="B189" s="3" t="s">
        <v>23</v>
      </c>
      <c r="C189" s="8">
        <v>2021</v>
      </c>
      <c r="D189" s="8">
        <v>8</v>
      </c>
      <c r="E189" s="3" t="str">
        <f t="shared" si="4"/>
        <v>August</v>
      </c>
      <c r="F189" s="3" t="s">
        <v>13</v>
      </c>
      <c r="G189" s="8">
        <v>54.986736479999998</v>
      </c>
      <c r="H189" s="8">
        <v>47</v>
      </c>
      <c r="I189" s="8">
        <v>-7.986736477</v>
      </c>
      <c r="J189" s="8">
        <v>-81.697248259999995</v>
      </c>
      <c r="K189" s="8">
        <v>-116.02077370000001</v>
      </c>
      <c r="L189" s="8">
        <v>-51.63352545</v>
      </c>
      <c r="M189" s="9" t="str">
        <f>IF(A189="",M190,A189)</f>
        <v>Antigua and Barbuda</v>
      </c>
      <c r="N189" s="3" t="str">
        <f t="shared" si="5"/>
        <v>Aug-2021</v>
      </c>
    </row>
    <row r="190" spans="1:14" x14ac:dyDescent="0.3">
      <c r="A190" s="3" t="s">
        <v>22</v>
      </c>
      <c r="B190" s="3" t="s">
        <v>23</v>
      </c>
      <c r="C190" s="8">
        <v>2021</v>
      </c>
      <c r="D190" s="8">
        <v>9</v>
      </c>
      <c r="E190" s="3" t="str">
        <f t="shared" si="4"/>
        <v>September</v>
      </c>
      <c r="F190" s="3" t="s">
        <v>13</v>
      </c>
      <c r="G190" s="8">
        <v>55.134237810000002</v>
      </c>
      <c r="H190" s="8">
        <v>104</v>
      </c>
      <c r="I190" s="8">
        <v>48.865762189999998</v>
      </c>
      <c r="J190" s="8">
        <v>-32.831486079999998</v>
      </c>
      <c r="K190" s="8">
        <v>-66.691163570000001</v>
      </c>
      <c r="L190" s="8">
        <v>-1.4534496079999999</v>
      </c>
      <c r="M190" s="9" t="str">
        <f>IF(A190="",M191,A190)</f>
        <v>Antigua and Barbuda</v>
      </c>
      <c r="N190" s="3" t="str">
        <f t="shared" si="5"/>
        <v>Sep-2021</v>
      </c>
    </row>
    <row r="191" spans="1:14" x14ac:dyDescent="0.3">
      <c r="A191" s="3" t="s">
        <v>22</v>
      </c>
      <c r="B191" s="3" t="s">
        <v>23</v>
      </c>
      <c r="C191" s="8">
        <v>2021</v>
      </c>
      <c r="D191" s="8">
        <v>10</v>
      </c>
      <c r="E191" s="3" t="str">
        <f t="shared" si="4"/>
        <v>October</v>
      </c>
      <c r="F191" s="3" t="s">
        <v>13</v>
      </c>
      <c r="G191" s="8">
        <v>55.494901390000003</v>
      </c>
      <c r="H191" s="8">
        <v>26</v>
      </c>
      <c r="I191" s="8">
        <v>-29.494901389999999</v>
      </c>
      <c r="J191" s="8">
        <v>-62.326387459999999</v>
      </c>
      <c r="K191" s="8">
        <v>-97.806432689999994</v>
      </c>
      <c r="L191" s="8">
        <v>-29.524258540000002</v>
      </c>
      <c r="M191" s="9" t="str">
        <f>IF(A191="",M192,A191)</f>
        <v>Antigua and Barbuda</v>
      </c>
      <c r="N191" s="3" t="str">
        <f t="shared" si="5"/>
        <v>Oct-2021</v>
      </c>
    </row>
    <row r="192" spans="1:14" x14ac:dyDescent="0.3">
      <c r="A192" s="3" t="s">
        <v>22</v>
      </c>
      <c r="B192" s="3" t="s">
        <v>23</v>
      </c>
      <c r="C192" s="8">
        <v>2021</v>
      </c>
      <c r="D192" s="8">
        <v>11</v>
      </c>
      <c r="E192" s="3" t="str">
        <f t="shared" si="4"/>
        <v>November</v>
      </c>
      <c r="F192" s="3" t="s">
        <v>13</v>
      </c>
      <c r="G192" s="8">
        <v>55.525056120000002</v>
      </c>
      <c r="H192" s="8">
        <v>64</v>
      </c>
      <c r="I192" s="8">
        <v>8.4749438809999997</v>
      </c>
      <c r="J192" s="8">
        <v>-53.851443580000002</v>
      </c>
      <c r="K192" s="8">
        <v>-88.850472839999995</v>
      </c>
      <c r="L192" s="8">
        <v>-21.048028689999999</v>
      </c>
      <c r="M192" s="9" t="str">
        <f>IF(A192="",M193,A192)</f>
        <v>Antigua and Barbuda</v>
      </c>
      <c r="N192" s="3" t="str">
        <f t="shared" si="5"/>
        <v>Nov-2021</v>
      </c>
    </row>
    <row r="193" spans="1:14" x14ac:dyDescent="0.3">
      <c r="A193" s="3" t="s">
        <v>22</v>
      </c>
      <c r="B193" s="3" t="s">
        <v>23</v>
      </c>
      <c r="C193" s="8">
        <v>2021</v>
      </c>
      <c r="D193" s="8">
        <v>12</v>
      </c>
      <c r="E193" s="3" t="str">
        <f t="shared" si="4"/>
        <v>December</v>
      </c>
      <c r="F193" s="3" t="s">
        <v>13</v>
      </c>
      <c r="G193" s="8">
        <v>55.61271</v>
      </c>
      <c r="H193" s="8">
        <v>39</v>
      </c>
      <c r="I193" s="8">
        <v>-16.61271</v>
      </c>
      <c r="J193" s="8">
        <v>-70.464153580000001</v>
      </c>
      <c r="K193" s="8">
        <v>-107.022651</v>
      </c>
      <c r="L193" s="8">
        <v>-35.878872229999999</v>
      </c>
      <c r="M193" s="9" t="str">
        <f>IF(A193="",M194,A193)</f>
        <v>Antigua and Barbuda</v>
      </c>
      <c r="N193" s="3" t="str">
        <f t="shared" si="5"/>
        <v>Dec-2021</v>
      </c>
    </row>
    <row r="194" spans="1:14" x14ac:dyDescent="0.3">
      <c r="A194" s="3" t="s">
        <v>24</v>
      </c>
      <c r="B194" s="3" t="s">
        <v>25</v>
      </c>
      <c r="C194" s="8">
        <v>2020</v>
      </c>
      <c r="D194" s="8">
        <v>1</v>
      </c>
      <c r="E194" s="3" t="str">
        <f t="shared" ref="E194:E257" si="6">TEXT(DATE(C194,D194,1),"MMMM")</f>
        <v>January</v>
      </c>
      <c r="F194" s="3" t="s">
        <v>13</v>
      </c>
      <c r="G194" s="8">
        <v>12989.614369999999</v>
      </c>
      <c r="H194" s="8">
        <v>12995</v>
      </c>
      <c r="I194" s="8">
        <v>4.3856344309999997</v>
      </c>
      <c r="J194" s="8">
        <v>4.3856344309999997</v>
      </c>
      <c r="K194" s="8">
        <v>-254.26770239999999</v>
      </c>
      <c r="L194" s="8">
        <v>272.92676760000001</v>
      </c>
      <c r="M194" s="9" t="str">
        <f>IF(A194="",M195,A194)</f>
        <v>Australia</v>
      </c>
      <c r="N194" s="3" t="str">
        <f t="shared" ref="N194:N257" si="7">TEXT(DATE(C194,D194,1),"MMM-YYYY")</f>
        <v>Jan-2020</v>
      </c>
    </row>
    <row r="195" spans="1:14" x14ac:dyDescent="0.3">
      <c r="A195" s="3" t="s">
        <v>24</v>
      </c>
      <c r="B195" s="3" t="s">
        <v>25</v>
      </c>
      <c r="C195" s="8">
        <v>2020</v>
      </c>
      <c r="D195" s="8">
        <v>2</v>
      </c>
      <c r="E195" s="3" t="str">
        <f t="shared" si="6"/>
        <v>February</v>
      </c>
      <c r="F195" s="3" t="s">
        <v>13</v>
      </c>
      <c r="G195" s="8">
        <v>11922.717549999999</v>
      </c>
      <c r="H195" s="8">
        <v>12489</v>
      </c>
      <c r="I195" s="8">
        <v>565.28244889999996</v>
      </c>
      <c r="J195" s="8">
        <v>569.66808330000003</v>
      </c>
      <c r="K195" s="8">
        <v>167.81143660000001</v>
      </c>
      <c r="L195" s="8">
        <v>953.0884241</v>
      </c>
      <c r="M195" s="9" t="str">
        <f>IF(A195="",M196,A195)</f>
        <v>Australia</v>
      </c>
      <c r="N195" s="3" t="str">
        <f t="shared" si="7"/>
        <v>Feb-2020</v>
      </c>
    </row>
    <row r="196" spans="1:14" x14ac:dyDescent="0.3">
      <c r="A196" s="3" t="s">
        <v>24</v>
      </c>
      <c r="B196" s="3" t="s">
        <v>25</v>
      </c>
      <c r="C196" s="8">
        <v>2020</v>
      </c>
      <c r="D196" s="8">
        <v>3</v>
      </c>
      <c r="E196" s="3" t="str">
        <f t="shared" si="6"/>
        <v>March</v>
      </c>
      <c r="F196" s="3" t="s">
        <v>13</v>
      </c>
      <c r="G196" s="8">
        <v>12986.92506</v>
      </c>
      <c r="H196" s="8">
        <v>13573</v>
      </c>
      <c r="I196" s="8">
        <v>585.07493529999999</v>
      </c>
      <c r="J196" s="8">
        <v>1154.743019</v>
      </c>
      <c r="K196" s="8">
        <v>647.37877030000004</v>
      </c>
      <c r="L196" s="8">
        <v>1685.31936</v>
      </c>
      <c r="M196" s="9" t="str">
        <f>IF(A196="",M197,A196)</f>
        <v>Australia</v>
      </c>
      <c r="N196" s="3" t="str">
        <f t="shared" si="7"/>
        <v>Mar-2020</v>
      </c>
    </row>
    <row r="197" spans="1:14" x14ac:dyDescent="0.3">
      <c r="A197" s="3" t="s">
        <v>24</v>
      </c>
      <c r="B197" s="3" t="s">
        <v>25</v>
      </c>
      <c r="C197" s="8">
        <v>2020</v>
      </c>
      <c r="D197" s="8">
        <v>4</v>
      </c>
      <c r="E197" s="3" t="str">
        <f t="shared" si="6"/>
        <v>April</v>
      </c>
      <c r="F197" s="3" t="s">
        <v>13</v>
      </c>
      <c r="G197" s="8">
        <v>13061.19788</v>
      </c>
      <c r="H197" s="8">
        <v>13301</v>
      </c>
      <c r="I197" s="8">
        <v>238.8021214</v>
      </c>
      <c r="J197" s="8">
        <v>1393.5451399999999</v>
      </c>
      <c r="K197" s="8">
        <v>739.15139820000002</v>
      </c>
      <c r="L197" s="8">
        <v>2057.3353499999998</v>
      </c>
      <c r="M197" s="9" t="str">
        <f>IF(A197="",M198,A197)</f>
        <v>Australia</v>
      </c>
      <c r="N197" s="3" t="str">
        <f t="shared" si="7"/>
        <v>Apr-2020</v>
      </c>
    </row>
    <row r="198" spans="1:14" x14ac:dyDescent="0.3">
      <c r="A198" s="3" t="s">
        <v>24</v>
      </c>
      <c r="B198" s="3" t="s">
        <v>25</v>
      </c>
      <c r="C198" s="8">
        <v>2020</v>
      </c>
      <c r="D198" s="8">
        <v>5</v>
      </c>
      <c r="E198" s="3" t="str">
        <f t="shared" si="6"/>
        <v>May</v>
      </c>
      <c r="F198" s="3" t="s">
        <v>13</v>
      </c>
      <c r="G198" s="8">
        <v>14067.051520000001</v>
      </c>
      <c r="H198" s="8">
        <v>14005</v>
      </c>
      <c r="I198" s="8">
        <v>-63.051517189999998</v>
      </c>
      <c r="J198" s="8">
        <v>1330.4936230000001</v>
      </c>
      <c r="K198" s="8">
        <v>584.27217789999997</v>
      </c>
      <c r="L198" s="8">
        <v>2065.5184210000002</v>
      </c>
      <c r="M198" s="9" t="str">
        <f>IF(A198="",M199,A198)</f>
        <v>Australia</v>
      </c>
      <c r="N198" s="3" t="str">
        <f t="shared" si="7"/>
        <v>May-2020</v>
      </c>
    </row>
    <row r="199" spans="1:14" x14ac:dyDescent="0.3">
      <c r="A199" s="3" t="s">
        <v>24</v>
      </c>
      <c r="B199" s="3" t="s">
        <v>25</v>
      </c>
      <c r="C199" s="8">
        <v>2020</v>
      </c>
      <c r="D199" s="8">
        <v>6</v>
      </c>
      <c r="E199" s="3" t="str">
        <f t="shared" si="6"/>
        <v>June</v>
      </c>
      <c r="F199" s="3" t="s">
        <v>13</v>
      </c>
      <c r="G199" s="8">
        <v>14371.99049</v>
      </c>
      <c r="H199" s="8">
        <v>13285</v>
      </c>
      <c r="I199" s="8">
        <v>-1087.990495</v>
      </c>
      <c r="J199" s="8">
        <v>242.50312819999999</v>
      </c>
      <c r="K199" s="8">
        <v>-579.36007080000002</v>
      </c>
      <c r="L199" s="8">
        <v>1078.5623720000001</v>
      </c>
      <c r="M199" s="9" t="str">
        <f>IF(A199="",M200,A199)</f>
        <v>Australia</v>
      </c>
      <c r="N199" s="3" t="str">
        <f t="shared" si="7"/>
        <v>Jun-2020</v>
      </c>
    </row>
    <row r="200" spans="1:14" x14ac:dyDescent="0.3">
      <c r="A200" s="3" t="s">
        <v>24</v>
      </c>
      <c r="B200" s="3" t="s">
        <v>25</v>
      </c>
      <c r="C200" s="8">
        <v>2020</v>
      </c>
      <c r="D200" s="8">
        <v>7</v>
      </c>
      <c r="E200" s="3" t="str">
        <f t="shared" si="6"/>
        <v>July</v>
      </c>
      <c r="F200" s="3" t="s">
        <v>13</v>
      </c>
      <c r="G200" s="8">
        <v>15491.996090000001</v>
      </c>
      <c r="H200" s="8">
        <v>14433</v>
      </c>
      <c r="I200" s="8">
        <v>-1059.9960940000001</v>
      </c>
      <c r="J200" s="8">
        <v>-817.49296609999999</v>
      </c>
      <c r="K200" s="8">
        <v>-1712.3650009999999</v>
      </c>
      <c r="L200" s="8">
        <v>101.627189</v>
      </c>
      <c r="M200" s="9" t="str">
        <f>IF(A200="",M201,A200)</f>
        <v>Australia</v>
      </c>
      <c r="N200" s="3" t="str">
        <f t="shared" si="7"/>
        <v>Jul-2020</v>
      </c>
    </row>
    <row r="201" spans="1:14" x14ac:dyDescent="0.3">
      <c r="A201" s="3" t="s">
        <v>24</v>
      </c>
      <c r="B201" s="3" t="s">
        <v>25</v>
      </c>
      <c r="C201" s="8">
        <v>2020</v>
      </c>
      <c r="D201" s="8">
        <v>8</v>
      </c>
      <c r="E201" s="3" t="str">
        <f t="shared" si="6"/>
        <v>August</v>
      </c>
      <c r="F201" s="3" t="s">
        <v>13</v>
      </c>
      <c r="G201" s="8">
        <v>15791.1014</v>
      </c>
      <c r="H201" s="8">
        <v>14902</v>
      </c>
      <c r="I201" s="8">
        <v>-890.10139749999996</v>
      </c>
      <c r="J201" s="8">
        <v>-1707.594364</v>
      </c>
      <c r="K201" s="8">
        <v>-2698.3629719999999</v>
      </c>
      <c r="L201" s="8">
        <v>-722.61351790000003</v>
      </c>
      <c r="M201" s="9" t="str">
        <f>IF(A201="",M202,A201)</f>
        <v>Australia</v>
      </c>
      <c r="N201" s="3" t="str">
        <f t="shared" si="7"/>
        <v>Aug-2020</v>
      </c>
    </row>
    <row r="202" spans="1:14" x14ac:dyDescent="0.3">
      <c r="A202" s="3" t="s">
        <v>24</v>
      </c>
      <c r="B202" s="3" t="s">
        <v>25</v>
      </c>
      <c r="C202" s="8">
        <v>2020</v>
      </c>
      <c r="D202" s="8">
        <v>9</v>
      </c>
      <c r="E202" s="3" t="str">
        <f t="shared" si="6"/>
        <v>September</v>
      </c>
      <c r="F202" s="3" t="s">
        <v>13</v>
      </c>
      <c r="G202" s="8">
        <v>14801.671340000001</v>
      </c>
      <c r="H202" s="8">
        <v>13673</v>
      </c>
      <c r="I202" s="8">
        <v>-1129.671339</v>
      </c>
      <c r="J202" s="8">
        <v>-2837.2657020000001</v>
      </c>
      <c r="K202" s="8">
        <v>-3933.8590370000002</v>
      </c>
      <c r="L202" s="8">
        <v>-1800.7112540000001</v>
      </c>
      <c r="M202" s="9" t="str">
        <f>IF(A202="",M203,A202)</f>
        <v>Australia</v>
      </c>
      <c r="N202" s="3" t="str">
        <f t="shared" si="7"/>
        <v>Sep-2020</v>
      </c>
    </row>
    <row r="203" spans="1:14" x14ac:dyDescent="0.3">
      <c r="A203" s="3" t="s">
        <v>24</v>
      </c>
      <c r="B203" s="3" t="s">
        <v>25</v>
      </c>
      <c r="C203" s="8">
        <v>2020</v>
      </c>
      <c r="D203" s="8">
        <v>10</v>
      </c>
      <c r="E203" s="3" t="str">
        <f t="shared" si="6"/>
        <v>October</v>
      </c>
      <c r="F203" s="3" t="s">
        <v>13</v>
      </c>
      <c r="G203" s="8">
        <v>14103.594499999999</v>
      </c>
      <c r="H203" s="8">
        <v>13437</v>
      </c>
      <c r="I203" s="8">
        <v>-667.59449640000003</v>
      </c>
      <c r="J203" s="8">
        <v>-3504.8601990000002</v>
      </c>
      <c r="K203" s="8">
        <v>-4666.061436</v>
      </c>
      <c r="L203" s="8">
        <v>-2413.1166969999999</v>
      </c>
      <c r="M203" s="9" t="str">
        <f>IF(A203="",M204,A203)</f>
        <v>Australia</v>
      </c>
      <c r="N203" s="3" t="str">
        <f t="shared" si="7"/>
        <v>Oct-2020</v>
      </c>
    </row>
    <row r="204" spans="1:14" x14ac:dyDescent="0.3">
      <c r="A204" s="3" t="s">
        <v>24</v>
      </c>
      <c r="B204" s="3" t="s">
        <v>25</v>
      </c>
      <c r="C204" s="8">
        <v>2020</v>
      </c>
      <c r="D204" s="8">
        <v>11</v>
      </c>
      <c r="E204" s="3" t="str">
        <f t="shared" si="6"/>
        <v>November</v>
      </c>
      <c r="F204" s="3" t="s">
        <v>13</v>
      </c>
      <c r="G204" s="8">
        <v>13110.129660000001</v>
      </c>
      <c r="H204" s="8">
        <v>13048</v>
      </c>
      <c r="I204" s="8">
        <v>-63.129658030000002</v>
      </c>
      <c r="J204" s="8">
        <v>-3567.989857</v>
      </c>
      <c r="K204" s="8">
        <v>-4796.0284979999997</v>
      </c>
      <c r="L204" s="8">
        <v>-2456.8134049999999</v>
      </c>
      <c r="M204" s="9" t="str">
        <f>IF(A204="",M205,A204)</f>
        <v>Australia</v>
      </c>
      <c r="N204" s="3" t="str">
        <f t="shared" si="7"/>
        <v>Nov-2020</v>
      </c>
    </row>
    <row r="205" spans="1:14" x14ac:dyDescent="0.3">
      <c r="A205" s="3" t="s">
        <v>24</v>
      </c>
      <c r="B205" s="3" t="s">
        <v>25</v>
      </c>
      <c r="C205" s="8">
        <v>2020</v>
      </c>
      <c r="D205" s="8">
        <v>12</v>
      </c>
      <c r="E205" s="3" t="str">
        <f t="shared" si="6"/>
        <v>December</v>
      </c>
      <c r="F205" s="3" t="s">
        <v>13</v>
      </c>
      <c r="G205" s="8">
        <v>13096.22949</v>
      </c>
      <c r="H205" s="8">
        <v>13498</v>
      </c>
      <c r="I205" s="8">
        <v>400.77050600000001</v>
      </c>
      <c r="J205" s="8">
        <v>-3167.2193510000002</v>
      </c>
      <c r="K205" s="8">
        <v>-4413.6426879999999</v>
      </c>
      <c r="L205" s="8">
        <v>-2017.9350099999999</v>
      </c>
      <c r="M205" s="9" t="str">
        <f>IF(A205="",M206,A205)</f>
        <v>Australia</v>
      </c>
      <c r="N205" s="3" t="str">
        <f t="shared" si="7"/>
        <v>Dec-2020</v>
      </c>
    </row>
    <row r="206" spans="1:14" x14ac:dyDescent="0.3">
      <c r="A206" s="3" t="s">
        <v>24</v>
      </c>
      <c r="B206" s="3" t="s">
        <v>25</v>
      </c>
      <c r="C206" s="8">
        <v>2021</v>
      </c>
      <c r="D206" s="8">
        <v>1</v>
      </c>
      <c r="E206" s="3" t="str">
        <f t="shared" si="6"/>
        <v>January</v>
      </c>
      <c r="F206" s="3" t="s">
        <v>13</v>
      </c>
      <c r="G206" s="8">
        <v>13119.08124</v>
      </c>
      <c r="H206" s="8">
        <v>13358</v>
      </c>
      <c r="I206" s="8">
        <v>238.3354258</v>
      </c>
      <c r="J206" s="8">
        <v>-2928.8839250000001</v>
      </c>
      <c r="K206" s="8">
        <v>-4209.7108490000001</v>
      </c>
      <c r="L206" s="8">
        <v>-1737.6461389999999</v>
      </c>
      <c r="M206" s="9" t="str">
        <f>IF(A206="",M207,A206)</f>
        <v>Australia</v>
      </c>
      <c r="N206" s="3" t="str">
        <f t="shared" si="7"/>
        <v>Jan-2021</v>
      </c>
    </row>
    <row r="207" spans="1:14" x14ac:dyDescent="0.3">
      <c r="A207" s="3" t="s">
        <v>24</v>
      </c>
      <c r="B207" s="3" t="s">
        <v>25</v>
      </c>
      <c r="C207" s="8">
        <v>2021</v>
      </c>
      <c r="D207" s="8">
        <v>2</v>
      </c>
      <c r="E207" s="3" t="str">
        <f t="shared" si="6"/>
        <v>February</v>
      </c>
      <c r="F207" s="3" t="s">
        <v>13</v>
      </c>
      <c r="G207" s="8">
        <v>12048.744269999999</v>
      </c>
      <c r="H207" s="8">
        <v>12022</v>
      </c>
      <c r="I207" s="8">
        <v>-27.327607029999999</v>
      </c>
      <c r="J207" s="8">
        <v>-2956.2115319999998</v>
      </c>
      <c r="K207" s="8">
        <v>-4309.0555169999998</v>
      </c>
      <c r="L207" s="8">
        <v>-1805.1554410000001</v>
      </c>
      <c r="M207" s="9" t="str">
        <f>IF(A207="",M208,A207)</f>
        <v>Australia</v>
      </c>
      <c r="N207" s="3" t="str">
        <f t="shared" si="7"/>
        <v>Feb-2021</v>
      </c>
    </row>
    <row r="208" spans="1:14" x14ac:dyDescent="0.3">
      <c r="A208" s="3" t="s">
        <v>24</v>
      </c>
      <c r="B208" s="3" t="s">
        <v>25</v>
      </c>
      <c r="C208" s="8">
        <v>2021</v>
      </c>
      <c r="D208" s="8">
        <v>3</v>
      </c>
      <c r="E208" s="3" t="str">
        <f t="shared" si="6"/>
        <v>March</v>
      </c>
      <c r="F208" s="3" t="s">
        <v>13</v>
      </c>
      <c r="G208" s="8">
        <v>13110.47754</v>
      </c>
      <c r="H208" s="8">
        <v>13644</v>
      </c>
      <c r="I208" s="8">
        <v>532.93912690000002</v>
      </c>
      <c r="J208" s="8">
        <v>-2423.2724050000002</v>
      </c>
      <c r="K208" s="8">
        <v>-3840.517049</v>
      </c>
      <c r="L208" s="8">
        <v>-1168.6660400000001</v>
      </c>
      <c r="M208" s="9" t="str">
        <f>IF(A208="",M209,A208)</f>
        <v>Australia</v>
      </c>
      <c r="N208" s="3" t="str">
        <f t="shared" si="7"/>
        <v>Mar-2021</v>
      </c>
    </row>
    <row r="209" spans="1:14" x14ac:dyDescent="0.3">
      <c r="A209" s="3" t="s">
        <v>24</v>
      </c>
      <c r="B209" s="3" t="s">
        <v>25</v>
      </c>
      <c r="C209" s="8">
        <v>2021</v>
      </c>
      <c r="D209" s="8">
        <v>4</v>
      </c>
      <c r="E209" s="3" t="str">
        <f t="shared" si="6"/>
        <v>April</v>
      </c>
      <c r="F209" s="3" t="s">
        <v>13</v>
      </c>
      <c r="G209" s="8">
        <v>13189.811040000001</v>
      </c>
      <c r="H209" s="8">
        <v>13566</v>
      </c>
      <c r="I209" s="8">
        <v>375.60562449999998</v>
      </c>
      <c r="J209" s="8">
        <v>-2047.66678</v>
      </c>
      <c r="K209" s="8">
        <v>-3486.920967</v>
      </c>
      <c r="L209" s="8">
        <v>-718.85092999999995</v>
      </c>
      <c r="M209" s="9" t="str">
        <f>IF(A209="",M210,A209)</f>
        <v>Australia</v>
      </c>
      <c r="N209" s="3" t="str">
        <f t="shared" si="7"/>
        <v>Apr-2021</v>
      </c>
    </row>
    <row r="210" spans="1:14" x14ac:dyDescent="0.3">
      <c r="A210" s="3" t="s">
        <v>24</v>
      </c>
      <c r="B210" s="3" t="s">
        <v>25</v>
      </c>
      <c r="C210" s="8">
        <v>2021</v>
      </c>
      <c r="D210" s="8">
        <v>5</v>
      </c>
      <c r="E210" s="3" t="str">
        <f t="shared" si="6"/>
        <v>May</v>
      </c>
      <c r="F210" s="3" t="s">
        <v>13</v>
      </c>
      <c r="G210" s="8">
        <v>14210.253909999999</v>
      </c>
      <c r="H210" s="8">
        <v>15032</v>
      </c>
      <c r="I210" s="8">
        <v>821.16275399999995</v>
      </c>
      <c r="J210" s="8">
        <v>-1226.5040260000001</v>
      </c>
      <c r="K210" s="8">
        <v>-2705.794089</v>
      </c>
      <c r="L210" s="8">
        <v>137.03401310000001</v>
      </c>
      <c r="M210" s="9" t="str">
        <f>IF(A210="",M211,A210)</f>
        <v>Australia</v>
      </c>
      <c r="N210" s="3" t="str">
        <f t="shared" si="7"/>
        <v>May-2021</v>
      </c>
    </row>
    <row r="211" spans="1:14" x14ac:dyDescent="0.3">
      <c r="A211" s="3" t="s">
        <v>24</v>
      </c>
      <c r="B211" s="3" t="s">
        <v>25</v>
      </c>
      <c r="C211" s="8">
        <v>2021</v>
      </c>
      <c r="D211" s="8">
        <v>6</v>
      </c>
      <c r="E211" s="3" t="str">
        <f t="shared" si="6"/>
        <v>June</v>
      </c>
      <c r="F211" s="3" t="s">
        <v>13</v>
      </c>
      <c r="G211" s="8">
        <v>14511.23819</v>
      </c>
      <c r="H211" s="8">
        <v>14900</v>
      </c>
      <c r="I211" s="8">
        <v>388.17847899999998</v>
      </c>
      <c r="J211" s="8">
        <v>-838.3255474</v>
      </c>
      <c r="K211" s="8">
        <v>-2451.4310089999999</v>
      </c>
      <c r="L211" s="8">
        <v>589.85823789999995</v>
      </c>
      <c r="M211" s="9" t="str">
        <f>IF(A211="",M212,A211)</f>
        <v>Australia</v>
      </c>
      <c r="N211" s="3" t="str">
        <f t="shared" si="7"/>
        <v>Jun-2021</v>
      </c>
    </row>
    <row r="212" spans="1:14" x14ac:dyDescent="0.3">
      <c r="A212" s="3" t="s">
        <v>24</v>
      </c>
      <c r="B212" s="3" t="s">
        <v>25</v>
      </c>
      <c r="C212" s="8">
        <v>2021</v>
      </c>
      <c r="D212" s="8">
        <v>7</v>
      </c>
      <c r="E212" s="3" t="str">
        <f t="shared" si="6"/>
        <v>July</v>
      </c>
      <c r="F212" s="3" t="s">
        <v>13</v>
      </c>
      <c r="G212" s="8">
        <v>15646.31122</v>
      </c>
      <c r="H212" s="8">
        <v>15890</v>
      </c>
      <c r="I212" s="8">
        <v>243.1054484</v>
      </c>
      <c r="J212" s="8">
        <v>-595.220099</v>
      </c>
      <c r="K212" s="8">
        <v>-2167.7864500000001</v>
      </c>
      <c r="L212" s="8">
        <v>959.48577520000003</v>
      </c>
      <c r="M212" s="9" t="str">
        <f>IF(A212="",M213,A212)</f>
        <v>Australia</v>
      </c>
      <c r="N212" s="3" t="str">
        <f t="shared" si="7"/>
        <v>Jul-2021</v>
      </c>
    </row>
    <row r="213" spans="1:14" x14ac:dyDescent="0.3">
      <c r="A213" s="3" t="s">
        <v>24</v>
      </c>
      <c r="B213" s="3" t="s">
        <v>25</v>
      </c>
      <c r="C213" s="8">
        <v>2021</v>
      </c>
      <c r="D213" s="8">
        <v>8</v>
      </c>
      <c r="E213" s="3" t="str">
        <f t="shared" si="6"/>
        <v>August</v>
      </c>
      <c r="F213" s="3" t="s">
        <v>13</v>
      </c>
      <c r="G213" s="8">
        <v>15949.805780000001</v>
      </c>
      <c r="H213" s="8">
        <v>15356</v>
      </c>
      <c r="I213" s="8">
        <v>-594.38911140000005</v>
      </c>
      <c r="J213" s="8">
        <v>-1189.6092100000001</v>
      </c>
      <c r="K213" s="8">
        <v>-2778.5866959999998</v>
      </c>
      <c r="L213" s="8">
        <v>451.17759289999998</v>
      </c>
      <c r="M213" s="9" t="str">
        <f>IF(A213="",M214,A213)</f>
        <v>Australia</v>
      </c>
      <c r="N213" s="3" t="str">
        <f t="shared" si="7"/>
        <v>Aug-2021</v>
      </c>
    </row>
    <row r="214" spans="1:14" x14ac:dyDescent="0.3">
      <c r="A214" s="3"/>
      <c r="B214" s="3" t="s">
        <v>25</v>
      </c>
      <c r="C214" s="8">
        <v>2021</v>
      </c>
      <c r="D214" s="8">
        <v>9</v>
      </c>
      <c r="E214" s="3" t="str">
        <f t="shared" si="6"/>
        <v>September</v>
      </c>
      <c r="F214" s="3" t="s">
        <v>13</v>
      </c>
      <c r="G214" s="8">
        <v>14938.90718</v>
      </c>
      <c r="H214" s="8">
        <v>14785</v>
      </c>
      <c r="I214" s="8">
        <v>-154.49051539999999</v>
      </c>
      <c r="J214" s="8">
        <v>-1344.0997259999999</v>
      </c>
      <c r="K214" s="8">
        <v>-3025.616509</v>
      </c>
      <c r="L214" s="8">
        <v>402.88823869999999</v>
      </c>
      <c r="M214" s="11" t="str">
        <f>IF(A214="",M215,A214)</f>
        <v>Australia</v>
      </c>
      <c r="N214" s="3" t="str">
        <f t="shared" si="7"/>
        <v>Sep-2021</v>
      </c>
    </row>
    <row r="215" spans="1:14" x14ac:dyDescent="0.3">
      <c r="A215" s="3" t="s">
        <v>24</v>
      </c>
      <c r="B215" s="3" t="s">
        <v>25</v>
      </c>
      <c r="C215" s="8">
        <v>2021</v>
      </c>
      <c r="D215" s="8">
        <v>10</v>
      </c>
      <c r="E215" s="3" t="str">
        <f t="shared" si="6"/>
        <v>October</v>
      </c>
      <c r="F215" s="3" t="s">
        <v>13</v>
      </c>
      <c r="G215" s="8">
        <v>14243.53038</v>
      </c>
      <c r="H215" s="8">
        <v>14958</v>
      </c>
      <c r="I215" s="8">
        <v>713.88628960000005</v>
      </c>
      <c r="J215" s="8">
        <v>-630.21343620000005</v>
      </c>
      <c r="K215" s="8">
        <v>-2345.6971720000001</v>
      </c>
      <c r="L215" s="8">
        <v>1158.879109</v>
      </c>
      <c r="M215" s="9" t="str">
        <f>IF(A215="",M216,A215)</f>
        <v>Australia</v>
      </c>
      <c r="N215" s="3" t="str">
        <f t="shared" si="7"/>
        <v>Oct-2021</v>
      </c>
    </row>
    <row r="216" spans="1:14" x14ac:dyDescent="0.3">
      <c r="A216" s="3" t="s">
        <v>24</v>
      </c>
      <c r="B216" s="3" t="s">
        <v>25</v>
      </c>
      <c r="C216" s="8">
        <v>2021</v>
      </c>
      <c r="D216" s="8">
        <v>11</v>
      </c>
      <c r="E216" s="3" t="str">
        <f t="shared" si="6"/>
        <v>November</v>
      </c>
      <c r="F216" s="3" t="s">
        <v>13</v>
      </c>
      <c r="G216" s="8">
        <v>13234.818600000001</v>
      </c>
      <c r="H216" s="8">
        <v>14020</v>
      </c>
      <c r="I216" s="8">
        <v>784.59807030000002</v>
      </c>
      <c r="J216" s="8">
        <v>154.3846341</v>
      </c>
      <c r="K216" s="8">
        <v>-1639.953186</v>
      </c>
      <c r="L216" s="8">
        <v>1975.5158719999999</v>
      </c>
      <c r="M216" s="9" t="str">
        <f>IF(A216="",M217,A216)</f>
        <v>Australia</v>
      </c>
      <c r="N216" s="3" t="str">
        <f t="shared" si="7"/>
        <v>Nov-2021</v>
      </c>
    </row>
    <row r="217" spans="1:14" x14ac:dyDescent="0.3">
      <c r="A217" s="3" t="s">
        <v>24</v>
      </c>
      <c r="B217" s="3" t="s">
        <v>25</v>
      </c>
      <c r="C217" s="8">
        <v>2021</v>
      </c>
      <c r="D217" s="8">
        <v>12</v>
      </c>
      <c r="E217" s="3" t="str">
        <f t="shared" si="6"/>
        <v>December</v>
      </c>
      <c r="F217" s="3" t="s">
        <v>13</v>
      </c>
      <c r="G217" s="8">
        <v>13231.164570000001</v>
      </c>
      <c r="H217" s="8">
        <v>14481</v>
      </c>
      <c r="I217" s="8">
        <v>1249.2520979999999</v>
      </c>
      <c r="J217" s="8">
        <v>1403.6367319999999</v>
      </c>
      <c r="K217" s="8">
        <v>-353.97821709999999</v>
      </c>
      <c r="L217" s="8">
        <v>3178.1129430000001</v>
      </c>
      <c r="M217" s="9" t="str">
        <f>IF(A217="",M218,A217)</f>
        <v>Australia</v>
      </c>
      <c r="N217" s="3" t="str">
        <f t="shared" si="7"/>
        <v>Dec-2021</v>
      </c>
    </row>
    <row r="218" spans="1:14" x14ac:dyDescent="0.3">
      <c r="A218" s="3" t="s">
        <v>26</v>
      </c>
      <c r="B218" s="3" t="s">
        <v>27</v>
      </c>
      <c r="C218" s="8">
        <v>2020</v>
      </c>
      <c r="D218" s="8">
        <v>1</v>
      </c>
      <c r="E218" s="3" t="str">
        <f t="shared" si="6"/>
        <v>January</v>
      </c>
      <c r="F218" s="3" t="s">
        <v>13</v>
      </c>
      <c r="G218" s="8">
        <v>7499.4957119999999</v>
      </c>
      <c r="H218" s="8">
        <v>7789</v>
      </c>
      <c r="I218" s="8">
        <v>289.17095460000002</v>
      </c>
      <c r="J218" s="8">
        <v>289.17095460000002</v>
      </c>
      <c r="K218" s="8">
        <v>3.5399549210000001</v>
      </c>
      <c r="L218" s="8">
        <v>603.93702870000004</v>
      </c>
      <c r="M218" s="9" t="str">
        <f>IF(A218="",M219,A218)</f>
        <v>Austria</v>
      </c>
      <c r="N218" s="3" t="str">
        <f t="shared" si="7"/>
        <v>Jan-2020</v>
      </c>
    </row>
    <row r="219" spans="1:14" x14ac:dyDescent="0.3">
      <c r="A219" s="3" t="s">
        <v>26</v>
      </c>
      <c r="B219" s="3" t="s">
        <v>27</v>
      </c>
      <c r="C219" s="8">
        <v>2020</v>
      </c>
      <c r="D219" s="8">
        <v>2</v>
      </c>
      <c r="E219" s="3" t="str">
        <f t="shared" si="6"/>
        <v>February</v>
      </c>
      <c r="F219" s="3" t="s">
        <v>13</v>
      </c>
      <c r="G219" s="8">
        <v>7581.3531979999998</v>
      </c>
      <c r="H219" s="8">
        <v>7171</v>
      </c>
      <c r="I219" s="8">
        <v>-410.68653089999998</v>
      </c>
      <c r="J219" s="8">
        <v>-121.51557630000001</v>
      </c>
      <c r="K219" s="8">
        <v>-638.06416200000001</v>
      </c>
      <c r="L219" s="8">
        <v>345.0487311</v>
      </c>
      <c r="M219" s="9" t="str">
        <f>IF(A219="",M220,A219)</f>
        <v>Austria</v>
      </c>
      <c r="N219" s="3" t="str">
        <f t="shared" si="7"/>
        <v>Feb-2020</v>
      </c>
    </row>
    <row r="220" spans="1:14" x14ac:dyDescent="0.3">
      <c r="A220" s="3" t="s">
        <v>26</v>
      </c>
      <c r="B220" s="3" t="s">
        <v>27</v>
      </c>
      <c r="C220" s="8">
        <v>2020</v>
      </c>
      <c r="D220" s="8">
        <v>3</v>
      </c>
      <c r="E220" s="3" t="str">
        <f t="shared" si="6"/>
        <v>March</v>
      </c>
      <c r="F220" s="3" t="s">
        <v>13</v>
      </c>
      <c r="G220" s="8">
        <v>7325.9641739999997</v>
      </c>
      <c r="H220" s="8">
        <v>7804</v>
      </c>
      <c r="I220" s="8">
        <v>477.70249239999998</v>
      </c>
      <c r="J220" s="8">
        <v>356.18691610000002</v>
      </c>
      <c r="K220" s="8">
        <v>-284.11118629999999</v>
      </c>
      <c r="L220" s="8">
        <v>983.48857820000001</v>
      </c>
      <c r="M220" s="9" t="str">
        <f>IF(A220="",M221,A220)</f>
        <v>Austria</v>
      </c>
      <c r="N220" s="3" t="str">
        <f t="shared" si="7"/>
        <v>Mar-2020</v>
      </c>
    </row>
    <row r="221" spans="1:14" x14ac:dyDescent="0.3">
      <c r="A221" s="3" t="s">
        <v>26</v>
      </c>
      <c r="B221" s="3" t="s">
        <v>27</v>
      </c>
      <c r="C221" s="8">
        <v>2020</v>
      </c>
      <c r="D221" s="8">
        <v>4</v>
      </c>
      <c r="E221" s="3" t="str">
        <f t="shared" si="6"/>
        <v>April</v>
      </c>
      <c r="F221" s="3" t="s">
        <v>13</v>
      </c>
      <c r="G221" s="8">
        <v>6755.3017410000002</v>
      </c>
      <c r="H221" s="8">
        <v>7207</v>
      </c>
      <c r="I221" s="8">
        <v>451.36492559999999</v>
      </c>
      <c r="J221" s="8">
        <v>807.55184180000003</v>
      </c>
      <c r="K221" s="8">
        <v>83.722852160000002</v>
      </c>
      <c r="L221" s="8">
        <v>1503.340743</v>
      </c>
      <c r="M221" s="9" t="str">
        <f>IF(A221="",M222,A221)</f>
        <v>Austria</v>
      </c>
      <c r="N221" s="3" t="str">
        <f t="shared" si="7"/>
        <v>Apr-2020</v>
      </c>
    </row>
    <row r="222" spans="1:14" x14ac:dyDescent="0.3">
      <c r="A222" s="3" t="s">
        <v>26</v>
      </c>
      <c r="B222" s="3" t="s">
        <v>27</v>
      </c>
      <c r="C222" s="8">
        <v>2020</v>
      </c>
      <c r="D222" s="8">
        <v>5</v>
      </c>
      <c r="E222" s="3" t="str">
        <f t="shared" si="6"/>
        <v>May</v>
      </c>
      <c r="F222" s="3" t="s">
        <v>13</v>
      </c>
      <c r="G222" s="8">
        <v>6370.922579</v>
      </c>
      <c r="H222" s="8">
        <v>6514</v>
      </c>
      <c r="I222" s="8">
        <v>142.74408740000001</v>
      </c>
      <c r="J222" s="8">
        <v>950.29592920000005</v>
      </c>
      <c r="K222" s="8">
        <v>167.14637260000001</v>
      </c>
      <c r="L222" s="8">
        <v>1699.0763850000001</v>
      </c>
      <c r="M222" s="9" t="str">
        <f>IF(A222="",M223,A222)</f>
        <v>Austria</v>
      </c>
      <c r="N222" s="3" t="str">
        <f t="shared" si="7"/>
        <v>May-2020</v>
      </c>
    </row>
    <row r="223" spans="1:14" x14ac:dyDescent="0.3">
      <c r="A223" s="3" t="s">
        <v>26</v>
      </c>
      <c r="B223" s="3" t="s">
        <v>27</v>
      </c>
      <c r="C223" s="8">
        <v>2020</v>
      </c>
      <c r="D223" s="8">
        <v>6</v>
      </c>
      <c r="E223" s="3" t="str">
        <f t="shared" si="6"/>
        <v>June</v>
      </c>
      <c r="F223" s="3" t="s">
        <v>13</v>
      </c>
      <c r="G223" s="8">
        <v>6233.987134</v>
      </c>
      <c r="H223" s="8">
        <v>6223</v>
      </c>
      <c r="I223" s="8">
        <v>-11.32046779</v>
      </c>
      <c r="J223" s="8">
        <v>938.97546139999997</v>
      </c>
      <c r="K223" s="8">
        <v>65.13253125</v>
      </c>
      <c r="L223" s="8">
        <v>1774.0930579999999</v>
      </c>
      <c r="M223" s="9" t="str">
        <f>IF(A223="",M224,A223)</f>
        <v>Austria</v>
      </c>
      <c r="N223" s="3" t="str">
        <f t="shared" si="7"/>
        <v>Jun-2020</v>
      </c>
    </row>
    <row r="224" spans="1:14" x14ac:dyDescent="0.3">
      <c r="A224" s="3" t="s">
        <v>26</v>
      </c>
      <c r="B224" s="3" t="s">
        <v>27</v>
      </c>
      <c r="C224" s="8">
        <v>2020</v>
      </c>
      <c r="D224" s="8">
        <v>7</v>
      </c>
      <c r="E224" s="3" t="str">
        <f t="shared" si="6"/>
        <v>July</v>
      </c>
      <c r="F224" s="3" t="s">
        <v>13</v>
      </c>
      <c r="G224" s="8">
        <v>6349.6743699999997</v>
      </c>
      <c r="H224" s="8">
        <v>6459</v>
      </c>
      <c r="I224" s="8">
        <v>108.99229680000001</v>
      </c>
      <c r="J224" s="8">
        <v>1047.967758</v>
      </c>
      <c r="K224" s="8">
        <v>121.9310191</v>
      </c>
      <c r="L224" s="8">
        <v>1932.297454</v>
      </c>
      <c r="M224" s="9" t="str">
        <f>IF(A224="",M225,A224)</f>
        <v>Austria</v>
      </c>
      <c r="N224" s="3" t="str">
        <f t="shared" si="7"/>
        <v>Jul-2020</v>
      </c>
    </row>
    <row r="225" spans="1:14" x14ac:dyDescent="0.3">
      <c r="A225" s="3" t="s">
        <v>26</v>
      </c>
      <c r="B225" s="3" t="s">
        <v>27</v>
      </c>
      <c r="C225" s="8">
        <v>2020</v>
      </c>
      <c r="D225" s="8">
        <v>8</v>
      </c>
      <c r="E225" s="3" t="str">
        <f t="shared" si="6"/>
        <v>August</v>
      </c>
      <c r="F225" s="3" t="s">
        <v>13</v>
      </c>
      <c r="G225" s="8">
        <v>6365.3462849999996</v>
      </c>
      <c r="H225" s="8">
        <v>6637</v>
      </c>
      <c r="I225" s="8">
        <v>271.3203815</v>
      </c>
      <c r="J225" s="8">
        <v>1319.2881400000001</v>
      </c>
      <c r="K225" s="8">
        <v>332.76250140000002</v>
      </c>
      <c r="L225" s="8">
        <v>2309.1800189999999</v>
      </c>
      <c r="M225" s="9" t="str">
        <f>IF(A225="",M226,A225)</f>
        <v>Austria</v>
      </c>
      <c r="N225" s="3" t="str">
        <f t="shared" si="7"/>
        <v>Aug-2020</v>
      </c>
    </row>
    <row r="226" spans="1:14" x14ac:dyDescent="0.3">
      <c r="A226" s="3" t="s">
        <v>26</v>
      </c>
      <c r="B226" s="3" t="s">
        <v>27</v>
      </c>
      <c r="C226" s="8">
        <v>2020</v>
      </c>
      <c r="D226" s="8">
        <v>9</v>
      </c>
      <c r="E226" s="3" t="str">
        <f t="shared" si="6"/>
        <v>September</v>
      </c>
      <c r="F226" s="3" t="s">
        <v>13</v>
      </c>
      <c r="G226" s="8">
        <v>6325.2642779999996</v>
      </c>
      <c r="H226" s="8">
        <v>6628</v>
      </c>
      <c r="I226" s="8">
        <v>302.40238840000001</v>
      </c>
      <c r="J226" s="8">
        <v>1621.6905280000001</v>
      </c>
      <c r="K226" s="8">
        <v>620.03165579999995</v>
      </c>
      <c r="L226" s="8">
        <v>2688.4379920000001</v>
      </c>
      <c r="M226" s="9" t="str">
        <f>IF(A226="",M227,A226)</f>
        <v>Austria</v>
      </c>
      <c r="N226" s="3" t="str">
        <f t="shared" si="7"/>
        <v>Sep-2020</v>
      </c>
    </row>
    <row r="227" spans="1:14" x14ac:dyDescent="0.3">
      <c r="A227" s="3" t="s">
        <v>26</v>
      </c>
      <c r="B227" s="3" t="s">
        <v>27</v>
      </c>
      <c r="C227" s="8">
        <v>2020</v>
      </c>
      <c r="D227" s="8">
        <v>10</v>
      </c>
      <c r="E227" s="3" t="str">
        <f t="shared" si="6"/>
        <v>October</v>
      </c>
      <c r="F227" s="3" t="s">
        <v>13</v>
      </c>
      <c r="G227" s="8">
        <v>6552.4919449999998</v>
      </c>
      <c r="H227" s="8">
        <v>7519</v>
      </c>
      <c r="I227" s="8">
        <v>966.17472139999995</v>
      </c>
      <c r="J227" s="8">
        <v>2587.8652499999998</v>
      </c>
      <c r="K227" s="8">
        <v>1578.4847689999999</v>
      </c>
      <c r="L227" s="8">
        <v>3671.048135</v>
      </c>
      <c r="M227" s="9" t="str">
        <f>IF(A227="",M228,A227)</f>
        <v>Austria</v>
      </c>
      <c r="N227" s="3" t="str">
        <f t="shared" si="7"/>
        <v>Oct-2020</v>
      </c>
    </row>
    <row r="228" spans="1:14" x14ac:dyDescent="0.3">
      <c r="A228" s="3" t="s">
        <v>26</v>
      </c>
      <c r="B228" s="3" t="s">
        <v>27</v>
      </c>
      <c r="C228" s="8">
        <v>2020</v>
      </c>
      <c r="D228" s="8">
        <v>11</v>
      </c>
      <c r="E228" s="3" t="str">
        <f t="shared" si="6"/>
        <v>November</v>
      </c>
      <c r="F228" s="3" t="s">
        <v>13</v>
      </c>
      <c r="G228" s="8">
        <v>6908.8094719999999</v>
      </c>
      <c r="H228" s="8">
        <v>9749</v>
      </c>
      <c r="I228" s="8">
        <v>2839.857195</v>
      </c>
      <c r="J228" s="8">
        <v>5427.722444</v>
      </c>
      <c r="K228" s="8">
        <v>4320.4924739999997</v>
      </c>
      <c r="L228" s="8">
        <v>6561.2101419999999</v>
      </c>
      <c r="M228" s="9" t="str">
        <f>IF(A228="",M229,A228)</f>
        <v>Austria</v>
      </c>
      <c r="N228" s="3" t="str">
        <f t="shared" si="7"/>
        <v>Nov-2020</v>
      </c>
    </row>
    <row r="229" spans="1:14" x14ac:dyDescent="0.3">
      <c r="A229" s="3" t="s">
        <v>26</v>
      </c>
      <c r="B229" s="3" t="s">
        <v>27</v>
      </c>
      <c r="C229" s="8">
        <v>2020</v>
      </c>
      <c r="D229" s="8">
        <v>12</v>
      </c>
      <c r="E229" s="3" t="str">
        <f t="shared" si="6"/>
        <v>December</v>
      </c>
      <c r="F229" s="3" t="s">
        <v>13</v>
      </c>
      <c r="G229" s="8">
        <v>7518.962133</v>
      </c>
      <c r="H229" s="8">
        <v>10179</v>
      </c>
      <c r="I229" s="8">
        <v>2659.7045330000001</v>
      </c>
      <c r="J229" s="8">
        <v>8087.4269780000004</v>
      </c>
      <c r="K229" s="8">
        <v>6897.3180039999997</v>
      </c>
      <c r="L229" s="8">
        <v>9293.6590199999991</v>
      </c>
      <c r="M229" s="9" t="str">
        <f>IF(A229="",M230,A229)</f>
        <v>Austria</v>
      </c>
      <c r="N229" s="3" t="str">
        <f t="shared" si="7"/>
        <v>Dec-2020</v>
      </c>
    </row>
    <row r="230" spans="1:14" x14ac:dyDescent="0.3">
      <c r="A230" s="3" t="s">
        <v>26</v>
      </c>
      <c r="B230" s="3" t="s">
        <v>27</v>
      </c>
      <c r="C230" s="8">
        <v>2021</v>
      </c>
      <c r="D230" s="8">
        <v>1</v>
      </c>
      <c r="E230" s="3" t="str">
        <f t="shared" si="6"/>
        <v>January</v>
      </c>
      <c r="F230" s="3" t="s">
        <v>13</v>
      </c>
      <c r="G230" s="8">
        <v>7507.2950629999996</v>
      </c>
      <c r="H230" s="8">
        <v>8707</v>
      </c>
      <c r="I230" s="8">
        <v>1199.6216039999999</v>
      </c>
      <c r="J230" s="8">
        <v>9287.0485809999991</v>
      </c>
      <c r="K230" s="8">
        <v>8070.5976620000001</v>
      </c>
      <c r="L230" s="8">
        <v>10541.780790000001</v>
      </c>
      <c r="M230" s="9" t="str">
        <f>IF(A230="",M231,A230)</f>
        <v>Austria</v>
      </c>
      <c r="N230" s="3" t="str">
        <f t="shared" si="7"/>
        <v>Jan-2021</v>
      </c>
    </row>
    <row r="231" spans="1:14" x14ac:dyDescent="0.3">
      <c r="A231" s="3" t="s">
        <v>26</v>
      </c>
      <c r="B231" s="3" t="s">
        <v>27</v>
      </c>
      <c r="C231" s="8">
        <v>2021</v>
      </c>
      <c r="D231" s="8">
        <v>2</v>
      </c>
      <c r="E231" s="3" t="str">
        <f t="shared" si="6"/>
        <v>February</v>
      </c>
      <c r="F231" s="3" t="s">
        <v>13</v>
      </c>
      <c r="G231" s="8">
        <v>7597.2697600000001</v>
      </c>
      <c r="H231" s="8">
        <v>6979</v>
      </c>
      <c r="I231" s="8">
        <v>-618.35309359999997</v>
      </c>
      <c r="J231" s="8">
        <v>8668.6954879999994</v>
      </c>
      <c r="K231" s="8">
        <v>7257.363593</v>
      </c>
      <c r="L231" s="8">
        <v>9963.608107</v>
      </c>
      <c r="M231" s="9" t="str">
        <f>IF(A231="",M232,A231)</f>
        <v>Austria</v>
      </c>
      <c r="N231" s="3" t="str">
        <f t="shared" si="7"/>
        <v>Feb-2021</v>
      </c>
    </row>
    <row r="232" spans="1:14" x14ac:dyDescent="0.3">
      <c r="A232" s="3" t="s">
        <v>26</v>
      </c>
      <c r="B232" s="3" t="s">
        <v>27</v>
      </c>
      <c r="C232" s="8">
        <v>2021</v>
      </c>
      <c r="D232" s="8">
        <v>3</v>
      </c>
      <c r="E232" s="3" t="str">
        <f t="shared" si="6"/>
        <v>March</v>
      </c>
      <c r="F232" s="3" t="s">
        <v>13</v>
      </c>
      <c r="G232" s="8">
        <v>7347.066022</v>
      </c>
      <c r="H232" s="8">
        <v>7424</v>
      </c>
      <c r="I232" s="8">
        <v>76.850645130000004</v>
      </c>
      <c r="J232" s="8">
        <v>8745.5461329999998</v>
      </c>
      <c r="K232" s="8">
        <v>7356.9476210000003</v>
      </c>
      <c r="L232" s="8">
        <v>10108.233200000001</v>
      </c>
      <c r="M232" s="9" t="str">
        <f>IF(A232="",M233,A232)</f>
        <v>Austria</v>
      </c>
      <c r="N232" s="3" t="str">
        <f t="shared" si="7"/>
        <v>Mar-2021</v>
      </c>
    </row>
    <row r="233" spans="1:14" x14ac:dyDescent="0.3">
      <c r="A233" s="3" t="s">
        <v>26</v>
      </c>
      <c r="B233" s="3" t="s">
        <v>27</v>
      </c>
      <c r="C233" s="8">
        <v>2021</v>
      </c>
      <c r="D233" s="8">
        <v>4</v>
      </c>
      <c r="E233" s="3" t="str">
        <f t="shared" si="6"/>
        <v>April</v>
      </c>
      <c r="F233" s="3" t="s">
        <v>13</v>
      </c>
      <c r="G233" s="8">
        <v>6778.0949010000004</v>
      </c>
      <c r="H233" s="8">
        <v>7264</v>
      </c>
      <c r="I233" s="8">
        <v>485.82176559999999</v>
      </c>
      <c r="J233" s="8">
        <v>9231.3678990000008</v>
      </c>
      <c r="K233" s="8">
        <v>7745.8713710000002</v>
      </c>
      <c r="L233" s="8">
        <v>10665.957909999999</v>
      </c>
      <c r="M233" s="9" t="str">
        <f>IF(A233="",M234,A233)</f>
        <v>Austria</v>
      </c>
      <c r="N233" s="3" t="str">
        <f t="shared" si="7"/>
        <v>Apr-2021</v>
      </c>
    </row>
    <row r="234" spans="1:14" x14ac:dyDescent="0.3">
      <c r="A234" s="3" t="s">
        <v>26</v>
      </c>
      <c r="B234" s="3" t="s">
        <v>27</v>
      </c>
      <c r="C234" s="8">
        <v>2021</v>
      </c>
      <c r="D234" s="8">
        <v>5</v>
      </c>
      <c r="E234" s="3" t="str">
        <f t="shared" si="6"/>
        <v>May</v>
      </c>
      <c r="F234" s="3" t="s">
        <v>13</v>
      </c>
      <c r="G234" s="8">
        <v>6388.8533109999998</v>
      </c>
      <c r="H234" s="8">
        <v>6976</v>
      </c>
      <c r="I234" s="8">
        <v>587.06335530000001</v>
      </c>
      <c r="J234" s="8">
        <v>9818.4312539999992</v>
      </c>
      <c r="K234" s="8">
        <v>8287.4648500000003</v>
      </c>
      <c r="L234" s="8">
        <v>11299.576880000001</v>
      </c>
      <c r="M234" s="9" t="str">
        <f>IF(A234="",M235,A234)</f>
        <v>Austria</v>
      </c>
      <c r="N234" s="3" t="str">
        <f t="shared" si="7"/>
        <v>May-2021</v>
      </c>
    </row>
    <row r="235" spans="1:14" x14ac:dyDescent="0.3">
      <c r="A235" s="3" t="s">
        <v>26</v>
      </c>
      <c r="B235" s="3" t="s">
        <v>27</v>
      </c>
      <c r="C235" s="8">
        <v>2021</v>
      </c>
      <c r="D235" s="8">
        <v>6</v>
      </c>
      <c r="E235" s="3" t="str">
        <f t="shared" si="6"/>
        <v>June</v>
      </c>
      <c r="F235" s="3" t="s">
        <v>13</v>
      </c>
      <c r="G235" s="8">
        <v>6236.8653420000001</v>
      </c>
      <c r="H235" s="8">
        <v>6825</v>
      </c>
      <c r="I235" s="8">
        <v>588.05132419999995</v>
      </c>
      <c r="J235" s="8">
        <v>10406.48258</v>
      </c>
      <c r="K235" s="8">
        <v>8805.5446109999993</v>
      </c>
      <c r="L235" s="8">
        <v>11929.041670000001</v>
      </c>
      <c r="M235" s="9" t="str">
        <f>IF(A235="",M236,A235)</f>
        <v>Austria</v>
      </c>
      <c r="N235" s="3" t="str">
        <f t="shared" si="7"/>
        <v>Jun-2021</v>
      </c>
    </row>
    <row r="236" spans="1:14" x14ac:dyDescent="0.3">
      <c r="A236" s="3" t="s">
        <v>26</v>
      </c>
      <c r="B236" s="3" t="s">
        <v>27</v>
      </c>
      <c r="C236" s="8">
        <v>2021</v>
      </c>
      <c r="D236" s="8">
        <v>7</v>
      </c>
      <c r="E236" s="3" t="str">
        <f t="shared" si="6"/>
        <v>July</v>
      </c>
      <c r="F236" s="3" t="s">
        <v>13</v>
      </c>
      <c r="G236" s="8">
        <v>6357.4468290000004</v>
      </c>
      <c r="H236" s="8">
        <v>6668</v>
      </c>
      <c r="I236" s="8">
        <v>310.4698381</v>
      </c>
      <c r="J236" s="8">
        <v>10716.95242</v>
      </c>
      <c r="K236" s="8">
        <v>9120.7782100000004</v>
      </c>
      <c r="L236" s="8">
        <v>12268.91468</v>
      </c>
      <c r="M236" s="9" t="str">
        <f>IF(A236="",M237,A236)</f>
        <v>Austria</v>
      </c>
      <c r="N236" s="3" t="str">
        <f t="shared" si="7"/>
        <v>Jul-2021</v>
      </c>
    </row>
    <row r="237" spans="1:14" x14ac:dyDescent="0.3">
      <c r="A237" s="3" t="s">
        <v>26</v>
      </c>
      <c r="B237" s="3" t="s">
        <v>27</v>
      </c>
      <c r="C237" s="8">
        <v>2021</v>
      </c>
      <c r="D237" s="8">
        <v>8</v>
      </c>
      <c r="E237" s="3" t="str">
        <f t="shared" si="6"/>
        <v>August</v>
      </c>
      <c r="F237" s="3" t="s">
        <v>13</v>
      </c>
      <c r="G237" s="8">
        <v>6385.2735119999998</v>
      </c>
      <c r="H237" s="8">
        <v>6923</v>
      </c>
      <c r="I237" s="8">
        <v>537.64315490000001</v>
      </c>
      <c r="J237" s="8">
        <v>11254.595569999999</v>
      </c>
      <c r="K237" s="8">
        <v>9605.6193480000002</v>
      </c>
      <c r="L237" s="8">
        <v>12952.95666</v>
      </c>
      <c r="M237" s="9" t="str">
        <f>IF(A237="",M238,A237)</f>
        <v>Austria</v>
      </c>
      <c r="N237" s="3" t="str">
        <f t="shared" si="7"/>
        <v>Aug-2021</v>
      </c>
    </row>
    <row r="238" spans="1:14" x14ac:dyDescent="0.3">
      <c r="A238" s="3" t="s">
        <v>26</v>
      </c>
      <c r="B238" s="3" t="s">
        <v>27</v>
      </c>
      <c r="C238" s="8">
        <v>2021</v>
      </c>
      <c r="D238" s="8">
        <v>9</v>
      </c>
      <c r="E238" s="3" t="str">
        <f t="shared" si="6"/>
        <v>September</v>
      </c>
      <c r="F238" s="3" t="s">
        <v>13</v>
      </c>
      <c r="G238" s="8">
        <v>6335.627324</v>
      </c>
      <c r="H238" s="8">
        <v>6843</v>
      </c>
      <c r="I238" s="8">
        <v>507.28934299999997</v>
      </c>
      <c r="J238" s="8">
        <v>11761.884910000001</v>
      </c>
      <c r="K238" s="8">
        <v>10058.79948</v>
      </c>
      <c r="L238" s="8">
        <v>13413.303830000001</v>
      </c>
      <c r="M238" s="9" t="str">
        <f>IF(A238="",M239,A238)</f>
        <v>Austria</v>
      </c>
      <c r="N238" s="3" t="str">
        <f t="shared" si="7"/>
        <v>Sep-2021</v>
      </c>
    </row>
    <row r="239" spans="1:14" x14ac:dyDescent="0.3">
      <c r="A239" s="3" t="s">
        <v>26</v>
      </c>
      <c r="B239" s="3" t="s">
        <v>27</v>
      </c>
      <c r="C239" s="8">
        <v>2021</v>
      </c>
      <c r="D239" s="8">
        <v>10</v>
      </c>
      <c r="E239" s="3" t="str">
        <f t="shared" si="6"/>
        <v>October</v>
      </c>
      <c r="F239" s="3" t="s">
        <v>13</v>
      </c>
      <c r="G239" s="8">
        <v>6575.5130429999999</v>
      </c>
      <c r="H239" s="8">
        <v>7558</v>
      </c>
      <c r="I239" s="8">
        <v>982.40362349999998</v>
      </c>
      <c r="J239" s="8">
        <v>12744.28854</v>
      </c>
      <c r="K239" s="8">
        <v>11061.79384</v>
      </c>
      <c r="L239" s="8">
        <v>14487.12715</v>
      </c>
      <c r="M239" s="9" t="str">
        <f>IF(A239="",M240,A239)</f>
        <v>Austria</v>
      </c>
      <c r="N239" s="3" t="str">
        <f t="shared" si="7"/>
        <v>Oct-2021</v>
      </c>
    </row>
    <row r="240" spans="1:14" x14ac:dyDescent="0.3">
      <c r="A240" s="3" t="s">
        <v>26</v>
      </c>
      <c r="B240" s="3" t="s">
        <v>27</v>
      </c>
      <c r="C240" s="8">
        <v>2021</v>
      </c>
      <c r="D240" s="8">
        <v>11</v>
      </c>
      <c r="E240" s="3" t="str">
        <f t="shared" si="6"/>
        <v>November</v>
      </c>
      <c r="F240" s="3" t="s">
        <v>13</v>
      </c>
      <c r="G240" s="8">
        <v>6942.7258419999998</v>
      </c>
      <c r="H240" s="8">
        <v>8887</v>
      </c>
      <c r="I240" s="8">
        <v>1944.1908249999999</v>
      </c>
      <c r="J240" s="8">
        <v>14688.479359999999</v>
      </c>
      <c r="K240" s="8">
        <v>12910.957640000001</v>
      </c>
      <c r="L240" s="8">
        <v>16448.53631</v>
      </c>
      <c r="M240" s="9" t="str">
        <f>IF(A240="",M241,A240)</f>
        <v>Austria</v>
      </c>
      <c r="N240" s="3" t="str">
        <f t="shared" si="7"/>
        <v>Nov-2021</v>
      </c>
    </row>
    <row r="241" spans="1:14" x14ac:dyDescent="0.3">
      <c r="A241" s="3" t="s">
        <v>26</v>
      </c>
      <c r="B241" s="3" t="s">
        <v>27</v>
      </c>
      <c r="C241" s="8">
        <v>2021</v>
      </c>
      <c r="D241" s="8">
        <v>12</v>
      </c>
      <c r="E241" s="3" t="str">
        <f t="shared" si="6"/>
        <v>December</v>
      </c>
      <c r="F241" s="3" t="s">
        <v>13</v>
      </c>
      <c r="G241" s="8">
        <v>7524.8881369999999</v>
      </c>
      <c r="H241" s="8">
        <v>8810</v>
      </c>
      <c r="I241" s="8">
        <v>1285.0285289999999</v>
      </c>
      <c r="J241" s="8">
        <v>15973.507890000001</v>
      </c>
      <c r="K241" s="8">
        <v>14130.94543</v>
      </c>
      <c r="L241" s="8">
        <v>17798.042799999999</v>
      </c>
      <c r="M241" s="9" t="str">
        <f>IF(A241="",M242,A241)</f>
        <v>Austria</v>
      </c>
      <c r="N241" s="3" t="str">
        <f t="shared" si="7"/>
        <v>Dec-2021</v>
      </c>
    </row>
    <row r="242" spans="1:14" x14ac:dyDescent="0.3">
      <c r="A242" s="3" t="s">
        <v>28</v>
      </c>
      <c r="B242" s="3" t="s">
        <v>29</v>
      </c>
      <c r="C242" s="8">
        <v>2020</v>
      </c>
      <c r="D242" s="8">
        <v>1</v>
      </c>
      <c r="E242" s="3" t="str">
        <f t="shared" si="6"/>
        <v>January</v>
      </c>
      <c r="F242" s="3" t="s">
        <v>13</v>
      </c>
      <c r="G242" s="8">
        <v>5778.9634610000003</v>
      </c>
      <c r="H242" s="8">
        <v>5811</v>
      </c>
      <c r="I242" s="8">
        <v>-681.10965090000002</v>
      </c>
      <c r="J242" s="8">
        <v>-681.10965090000002</v>
      </c>
      <c r="K242" s="8">
        <v>-957.42141460000005</v>
      </c>
      <c r="L242" s="8">
        <v>-426.4468061</v>
      </c>
      <c r="M242" s="9" t="str">
        <f>IF(A242="",M243,A242)</f>
        <v>Azerbaijan</v>
      </c>
      <c r="N242" s="3" t="str">
        <f t="shared" si="7"/>
        <v>Jan-2020</v>
      </c>
    </row>
    <row r="243" spans="1:14" x14ac:dyDescent="0.3">
      <c r="A243" s="3" t="s">
        <v>28</v>
      </c>
      <c r="B243" s="3" t="s">
        <v>29</v>
      </c>
      <c r="C243" s="8">
        <v>2020</v>
      </c>
      <c r="D243" s="8">
        <v>2</v>
      </c>
      <c r="E243" s="3" t="str">
        <f t="shared" si="6"/>
        <v>February</v>
      </c>
      <c r="F243" s="3" t="s">
        <v>13</v>
      </c>
      <c r="G243" s="8">
        <v>5544.7749219999996</v>
      </c>
      <c r="H243" s="8">
        <v>5656</v>
      </c>
      <c r="I243" s="8">
        <v>-601.92111269999998</v>
      </c>
      <c r="J243" s="8">
        <v>-1283.0307640000001</v>
      </c>
      <c r="K243" s="8">
        <v>-1684.8784000000001</v>
      </c>
      <c r="L243" s="8">
        <v>-866.85902569999996</v>
      </c>
      <c r="M243" s="9" t="str">
        <f>IF(A243="",M244,A243)</f>
        <v>Azerbaijan</v>
      </c>
      <c r="N243" s="3" t="str">
        <f t="shared" si="7"/>
        <v>Feb-2020</v>
      </c>
    </row>
    <row r="244" spans="1:14" x14ac:dyDescent="0.3">
      <c r="A244" s="3" t="s">
        <v>28</v>
      </c>
      <c r="B244" s="3" t="s">
        <v>29</v>
      </c>
      <c r="C244" s="8">
        <v>2020</v>
      </c>
      <c r="D244" s="8">
        <v>3</v>
      </c>
      <c r="E244" s="3" t="str">
        <f t="shared" si="6"/>
        <v>March</v>
      </c>
      <c r="F244" s="3" t="s">
        <v>13</v>
      </c>
      <c r="G244" s="8">
        <v>5336.4347829999997</v>
      </c>
      <c r="H244" s="8">
        <v>6502</v>
      </c>
      <c r="I244" s="8">
        <v>452.4190266</v>
      </c>
      <c r="J244" s="8">
        <v>-830.61173699999995</v>
      </c>
      <c r="K244" s="8">
        <v>-1365.9761189999999</v>
      </c>
      <c r="L244" s="8">
        <v>-308.50220680000001</v>
      </c>
      <c r="M244" s="9" t="str">
        <f>IF(A244="",M245,A244)</f>
        <v>Azerbaijan</v>
      </c>
      <c r="N244" s="3" t="str">
        <f t="shared" si="7"/>
        <v>Mar-2020</v>
      </c>
    </row>
    <row r="245" spans="1:14" x14ac:dyDescent="0.3">
      <c r="A245" s="3" t="s">
        <v>28</v>
      </c>
      <c r="B245" s="3" t="s">
        <v>29</v>
      </c>
      <c r="C245" s="8">
        <v>2020</v>
      </c>
      <c r="D245" s="8">
        <v>4</v>
      </c>
      <c r="E245" s="3" t="str">
        <f t="shared" si="6"/>
        <v>April</v>
      </c>
      <c r="F245" s="3" t="s">
        <v>13</v>
      </c>
      <c r="G245" s="8">
        <v>5845.5646180000003</v>
      </c>
      <c r="H245" s="8">
        <v>5064</v>
      </c>
      <c r="I245" s="8">
        <v>-1494.710808</v>
      </c>
      <c r="J245" s="8">
        <v>-2325.322545</v>
      </c>
      <c r="K245" s="8">
        <v>-2905.9701230000001</v>
      </c>
      <c r="L245" s="8">
        <v>-1720.3431849999999</v>
      </c>
      <c r="M245" s="9" t="str">
        <f>IF(A245="",M246,A245)</f>
        <v>Azerbaijan</v>
      </c>
      <c r="N245" s="3" t="str">
        <f t="shared" si="7"/>
        <v>Apr-2020</v>
      </c>
    </row>
    <row r="246" spans="1:14" x14ac:dyDescent="0.3">
      <c r="A246" s="3" t="s">
        <v>28</v>
      </c>
      <c r="B246" s="3" t="s">
        <v>29</v>
      </c>
      <c r="C246" s="8">
        <v>2020</v>
      </c>
      <c r="D246" s="8">
        <v>5</v>
      </c>
      <c r="E246" s="3" t="str">
        <f t="shared" si="6"/>
        <v>May</v>
      </c>
      <c r="F246" s="3" t="s">
        <v>13</v>
      </c>
      <c r="G246" s="8">
        <v>5363.5767459999997</v>
      </c>
      <c r="H246" s="8">
        <v>4820</v>
      </c>
      <c r="I246" s="8">
        <v>-1256.722937</v>
      </c>
      <c r="J246" s="8">
        <v>-3582.045482</v>
      </c>
      <c r="K246" s="8">
        <v>-4251.348739</v>
      </c>
      <c r="L246" s="8">
        <v>-2849.8454149999998</v>
      </c>
      <c r="M246" s="9" t="str">
        <f>IF(A246="",M247,A246)</f>
        <v>Azerbaijan</v>
      </c>
      <c r="N246" s="3" t="str">
        <f t="shared" si="7"/>
        <v>May-2020</v>
      </c>
    </row>
    <row r="247" spans="1:14" x14ac:dyDescent="0.3">
      <c r="A247" s="3" t="s">
        <v>28</v>
      </c>
      <c r="B247" s="3" t="s">
        <v>29</v>
      </c>
      <c r="C247" s="8">
        <v>2020</v>
      </c>
      <c r="D247" s="8">
        <v>6</v>
      </c>
      <c r="E247" s="3" t="str">
        <f t="shared" si="6"/>
        <v>June</v>
      </c>
      <c r="F247" s="3" t="s">
        <v>13</v>
      </c>
      <c r="G247" s="8">
        <v>4852.3685320000004</v>
      </c>
      <c r="H247" s="8">
        <v>6963</v>
      </c>
      <c r="I247" s="8">
        <v>1397.4852780000001</v>
      </c>
      <c r="J247" s="8">
        <v>-2184.5602050000002</v>
      </c>
      <c r="K247" s="8">
        <v>-2911.2441739999999</v>
      </c>
      <c r="L247" s="8">
        <v>-1420.9098469999999</v>
      </c>
      <c r="M247" s="9" t="str">
        <f>IF(A247="",M248,A247)</f>
        <v>Azerbaijan</v>
      </c>
      <c r="N247" s="3" t="str">
        <f t="shared" si="7"/>
        <v>Jun-2020</v>
      </c>
    </row>
    <row r="248" spans="1:14" x14ac:dyDescent="0.3">
      <c r="A248" s="3" t="s">
        <v>28</v>
      </c>
      <c r="B248" s="3" t="s">
        <v>29</v>
      </c>
      <c r="C248" s="8">
        <v>2020</v>
      </c>
      <c r="D248" s="8">
        <v>7</v>
      </c>
      <c r="E248" s="3" t="str">
        <f t="shared" si="6"/>
        <v>July</v>
      </c>
      <c r="F248" s="3" t="s">
        <v>13</v>
      </c>
      <c r="G248" s="8">
        <v>5483.7636270000003</v>
      </c>
      <c r="H248" s="8">
        <v>7196</v>
      </c>
      <c r="I248" s="8">
        <v>999.09018279999998</v>
      </c>
      <c r="J248" s="8">
        <v>-1185.470022</v>
      </c>
      <c r="K248" s="8">
        <v>-1954.0490520000001</v>
      </c>
      <c r="L248" s="8">
        <v>-399.3967227</v>
      </c>
      <c r="M248" s="9" t="str">
        <f>IF(A248="",M249,A248)</f>
        <v>Azerbaijan</v>
      </c>
      <c r="N248" s="3" t="str">
        <f t="shared" si="7"/>
        <v>Jul-2020</v>
      </c>
    </row>
    <row r="249" spans="1:14" x14ac:dyDescent="0.3">
      <c r="A249" s="3" t="s">
        <v>28</v>
      </c>
      <c r="B249" s="3" t="s">
        <v>29</v>
      </c>
      <c r="C249" s="8">
        <v>2020</v>
      </c>
      <c r="D249" s="8">
        <v>8</v>
      </c>
      <c r="E249" s="3" t="str">
        <f t="shared" si="6"/>
        <v>August</v>
      </c>
      <c r="F249" s="3" t="s">
        <v>13</v>
      </c>
      <c r="G249" s="8">
        <v>5201.335231</v>
      </c>
      <c r="H249" s="8">
        <v>5668</v>
      </c>
      <c r="I249" s="8">
        <v>-246.48142110000001</v>
      </c>
      <c r="J249" s="8">
        <v>-1431.9514429999999</v>
      </c>
      <c r="K249" s="8">
        <v>-2304.4175660000001</v>
      </c>
      <c r="L249" s="8">
        <v>-568.24220490000005</v>
      </c>
      <c r="M249" s="9" t="str">
        <f>IF(A249="",M250,A249)</f>
        <v>Azerbaijan</v>
      </c>
      <c r="N249" s="3" t="str">
        <f t="shared" si="7"/>
        <v>Aug-2020</v>
      </c>
    </row>
    <row r="250" spans="1:14" x14ac:dyDescent="0.3">
      <c r="A250" s="3" t="s">
        <v>28</v>
      </c>
      <c r="B250" s="3" t="s">
        <v>29</v>
      </c>
      <c r="C250" s="8">
        <v>2020</v>
      </c>
      <c r="D250" s="8">
        <v>9</v>
      </c>
      <c r="E250" s="3" t="str">
        <f t="shared" si="6"/>
        <v>September</v>
      </c>
      <c r="F250" s="3" t="s">
        <v>13</v>
      </c>
      <c r="G250" s="8">
        <v>4707.1876339999999</v>
      </c>
      <c r="H250" s="8">
        <v>5074</v>
      </c>
      <c r="I250" s="8">
        <v>-346.33382449999999</v>
      </c>
      <c r="J250" s="8">
        <v>-1778.285267</v>
      </c>
      <c r="K250" s="8">
        <v>-2667.7683919999999</v>
      </c>
      <c r="L250" s="8">
        <v>-901.45117289999996</v>
      </c>
      <c r="M250" s="9" t="str">
        <f>IF(A250="",M251,A250)</f>
        <v>Azerbaijan</v>
      </c>
      <c r="N250" s="3" t="str">
        <f t="shared" si="7"/>
        <v>Sep-2020</v>
      </c>
    </row>
    <row r="251" spans="1:14" x14ac:dyDescent="0.3">
      <c r="A251" s="3" t="s">
        <v>28</v>
      </c>
      <c r="B251" s="3" t="s">
        <v>29</v>
      </c>
      <c r="C251" s="8">
        <v>2020</v>
      </c>
      <c r="D251" s="8">
        <v>10</v>
      </c>
      <c r="E251" s="3" t="str">
        <f t="shared" si="6"/>
        <v>October</v>
      </c>
      <c r="F251" s="3" t="s">
        <v>13</v>
      </c>
      <c r="G251" s="8">
        <v>5074.172826</v>
      </c>
      <c r="H251" s="8">
        <v>6482</v>
      </c>
      <c r="I251" s="8">
        <v>694.6809839</v>
      </c>
      <c r="J251" s="8">
        <v>-1083.6042829999999</v>
      </c>
      <c r="K251" s="8">
        <v>-2024.5890670000001</v>
      </c>
      <c r="L251" s="8">
        <v>-222.35690940000001</v>
      </c>
      <c r="M251" s="9" t="str">
        <f>IF(A251="",M252,A251)</f>
        <v>Azerbaijan</v>
      </c>
      <c r="N251" s="3" t="str">
        <f t="shared" si="7"/>
        <v>Oct-2020</v>
      </c>
    </row>
    <row r="252" spans="1:14" x14ac:dyDescent="0.3">
      <c r="A252" s="3" t="s">
        <v>28</v>
      </c>
      <c r="B252" s="3" t="s">
        <v>29</v>
      </c>
      <c r="C252" s="8">
        <v>2020</v>
      </c>
      <c r="D252" s="8">
        <v>11</v>
      </c>
      <c r="E252" s="3" t="str">
        <f t="shared" si="6"/>
        <v>November</v>
      </c>
      <c r="F252" s="3" t="s">
        <v>13</v>
      </c>
      <c r="G252" s="8">
        <v>5326.6391839999997</v>
      </c>
      <c r="H252" s="8">
        <v>9405</v>
      </c>
      <c r="I252" s="8">
        <v>3365.214626</v>
      </c>
      <c r="J252" s="8">
        <v>2281.6103429999998</v>
      </c>
      <c r="K252" s="8">
        <v>1284.402053</v>
      </c>
      <c r="L252" s="8">
        <v>3250.7538559999998</v>
      </c>
      <c r="M252" s="9" t="str">
        <f>IF(A252="",M253,A252)</f>
        <v>Azerbaijan</v>
      </c>
      <c r="N252" s="3" t="str">
        <f t="shared" si="7"/>
        <v>Nov-2020</v>
      </c>
    </row>
    <row r="253" spans="1:14" x14ac:dyDescent="0.3">
      <c r="A253" s="3" t="s">
        <v>28</v>
      </c>
      <c r="B253" s="3" t="s">
        <v>29</v>
      </c>
      <c r="C253" s="8">
        <v>2020</v>
      </c>
      <c r="D253" s="8">
        <v>12</v>
      </c>
      <c r="E253" s="3" t="str">
        <f t="shared" si="6"/>
        <v>December</v>
      </c>
      <c r="F253" s="3" t="s">
        <v>13</v>
      </c>
      <c r="G253" s="8">
        <v>5807.3099840000004</v>
      </c>
      <c r="H253" s="8">
        <v>16278</v>
      </c>
      <c r="I253" s="8">
        <v>9757.5438250000007</v>
      </c>
      <c r="J253" s="8">
        <v>12039.15417</v>
      </c>
      <c r="K253" s="8">
        <v>11038.594160000001</v>
      </c>
      <c r="L253" s="8">
        <v>13016.35391</v>
      </c>
      <c r="M253" s="9" t="str">
        <f>IF(A253="",M254,A253)</f>
        <v>Azerbaijan</v>
      </c>
      <c r="N253" s="3" t="str">
        <f t="shared" si="7"/>
        <v>Dec-2020</v>
      </c>
    </row>
    <row r="254" spans="1:14" x14ac:dyDescent="0.3">
      <c r="A254" s="3" t="s">
        <v>28</v>
      </c>
      <c r="B254" s="3" t="s">
        <v>29</v>
      </c>
      <c r="C254" s="8">
        <v>2021</v>
      </c>
      <c r="D254" s="8">
        <v>1</v>
      </c>
      <c r="E254" s="3" t="str">
        <f t="shared" si="6"/>
        <v>January</v>
      </c>
      <c r="F254" s="3" t="s">
        <v>13</v>
      </c>
      <c r="G254" s="8">
        <v>5811.1320919999998</v>
      </c>
      <c r="H254" s="8">
        <v>8949</v>
      </c>
      <c r="I254" s="8">
        <v>3133.4709680000001</v>
      </c>
      <c r="J254" s="8">
        <v>15172.62514</v>
      </c>
      <c r="K254" s="8">
        <v>14127.04516</v>
      </c>
      <c r="L254" s="8">
        <v>16248.19356</v>
      </c>
      <c r="M254" s="9" t="str">
        <f>IF(A254="",M255,A254)</f>
        <v>Azerbaijan</v>
      </c>
      <c r="N254" s="3" t="str">
        <f t="shared" si="7"/>
        <v>Jan-2021</v>
      </c>
    </row>
    <row r="255" spans="1:14" x14ac:dyDescent="0.3">
      <c r="A255" s="3" t="s">
        <v>28</v>
      </c>
      <c r="B255" s="3" t="s">
        <v>29</v>
      </c>
      <c r="C255" s="8">
        <v>2021</v>
      </c>
      <c r="D255" s="8">
        <v>2</v>
      </c>
      <c r="E255" s="3" t="str">
        <f t="shared" si="6"/>
        <v>February</v>
      </c>
      <c r="F255" s="3" t="s">
        <v>13</v>
      </c>
      <c r="G255" s="8">
        <v>5580.4013299999997</v>
      </c>
      <c r="H255" s="8">
        <v>6023</v>
      </c>
      <c r="I255" s="8">
        <v>438.20173030000001</v>
      </c>
      <c r="J255" s="8">
        <v>15610.826870000001</v>
      </c>
      <c r="K255" s="8">
        <v>14536.777609999999</v>
      </c>
      <c r="L255" s="8">
        <v>16717.195210000002</v>
      </c>
      <c r="M255" s="9" t="str">
        <f>IF(A255="",M256,A255)</f>
        <v>Azerbaijan</v>
      </c>
      <c r="N255" s="3" t="str">
        <f t="shared" si="7"/>
        <v>Feb-2021</v>
      </c>
    </row>
    <row r="256" spans="1:14" x14ac:dyDescent="0.3">
      <c r="A256" s="3" t="s">
        <v>28</v>
      </c>
      <c r="B256" s="3" t="s">
        <v>29</v>
      </c>
      <c r="C256" s="8">
        <v>2021</v>
      </c>
      <c r="D256" s="8">
        <v>3</v>
      </c>
      <c r="E256" s="3" t="str">
        <f t="shared" si="6"/>
        <v>March</v>
      </c>
      <c r="F256" s="3" t="s">
        <v>13</v>
      </c>
      <c r="G256" s="8">
        <v>5373.3004110000002</v>
      </c>
      <c r="H256" s="8">
        <v>6372</v>
      </c>
      <c r="I256" s="8">
        <v>994.30264910000005</v>
      </c>
      <c r="J256" s="8">
        <v>16605.129519999999</v>
      </c>
      <c r="K256" s="8">
        <v>15455.035889999999</v>
      </c>
      <c r="L256" s="8">
        <v>17789.389029999998</v>
      </c>
      <c r="M256" s="9" t="str">
        <f>IF(A256="",M257,A256)</f>
        <v>Azerbaijan</v>
      </c>
      <c r="N256" s="3" t="str">
        <f t="shared" si="7"/>
        <v>Mar-2021</v>
      </c>
    </row>
    <row r="257" spans="1:14" x14ac:dyDescent="0.3">
      <c r="A257" s="3" t="s">
        <v>28</v>
      </c>
      <c r="B257" s="3" t="s">
        <v>29</v>
      </c>
      <c r="C257" s="8">
        <v>2021</v>
      </c>
      <c r="D257" s="8">
        <v>4</v>
      </c>
      <c r="E257" s="3" t="str">
        <f t="shared" si="6"/>
        <v>April</v>
      </c>
      <c r="F257" s="3" t="s">
        <v>13</v>
      </c>
      <c r="G257" s="8">
        <v>5860.9668659999998</v>
      </c>
      <c r="H257" s="8">
        <v>8307</v>
      </c>
      <c r="I257" s="8">
        <v>2441.636195</v>
      </c>
      <c r="J257" s="8">
        <v>19046.76571</v>
      </c>
      <c r="K257" s="8">
        <v>17885.454269999998</v>
      </c>
      <c r="L257" s="8">
        <v>20300.841349999999</v>
      </c>
      <c r="M257" s="9" t="str">
        <f>IF(A257="",M258,A257)</f>
        <v>Azerbaijan</v>
      </c>
      <c r="N257" s="3" t="str">
        <f t="shared" si="7"/>
        <v>Apr-2021</v>
      </c>
    </row>
    <row r="258" spans="1:14" x14ac:dyDescent="0.3">
      <c r="A258" s="3" t="s">
        <v>28</v>
      </c>
      <c r="B258" s="3" t="s">
        <v>29</v>
      </c>
      <c r="C258" s="8">
        <v>2021</v>
      </c>
      <c r="D258" s="8">
        <v>5</v>
      </c>
      <c r="E258" s="3" t="str">
        <f t="shared" ref="E258:E321" si="8">TEXT(DATE(C258,D258,1),"MMMM")</f>
        <v>May</v>
      </c>
      <c r="F258" s="3" t="s">
        <v>13</v>
      </c>
      <c r="G258" s="8">
        <v>5386.4053359999998</v>
      </c>
      <c r="H258" s="8">
        <v>6101</v>
      </c>
      <c r="I258" s="8">
        <v>710.19772420000004</v>
      </c>
      <c r="J258" s="8">
        <v>19756.96343</v>
      </c>
      <c r="K258" s="8">
        <v>18438.54091</v>
      </c>
      <c r="L258" s="8">
        <v>21044.392970000001</v>
      </c>
      <c r="M258" s="9" t="str">
        <f>IF(A258="",M259,A258)</f>
        <v>Azerbaijan</v>
      </c>
      <c r="N258" s="3" t="str">
        <f t="shared" ref="N258:N321" si="9">TEXT(DATE(C258,D258,1),"MMM-YYYY")</f>
        <v>May-2021</v>
      </c>
    </row>
    <row r="259" spans="1:14" x14ac:dyDescent="0.3">
      <c r="A259" s="3" t="s">
        <v>28</v>
      </c>
      <c r="B259" s="3" t="s">
        <v>29</v>
      </c>
      <c r="C259" s="8">
        <v>2021</v>
      </c>
      <c r="D259" s="8">
        <v>6</v>
      </c>
      <c r="E259" s="3" t="str">
        <f t="shared" si="8"/>
        <v>June</v>
      </c>
      <c r="F259" s="3" t="s">
        <v>13</v>
      </c>
      <c r="G259" s="8">
        <v>4887.3973070000002</v>
      </c>
      <c r="H259" s="8">
        <v>5835</v>
      </c>
      <c r="I259" s="8">
        <v>943.20575340000005</v>
      </c>
      <c r="J259" s="8">
        <v>20700.169190000001</v>
      </c>
      <c r="K259" s="8">
        <v>19387.317739999999</v>
      </c>
      <c r="L259" s="8">
        <v>22031.90468</v>
      </c>
      <c r="M259" s="9" t="str">
        <f>IF(A259="",M260,A259)</f>
        <v>Azerbaijan</v>
      </c>
      <c r="N259" s="3" t="str">
        <f t="shared" si="9"/>
        <v>Jun-2021</v>
      </c>
    </row>
    <row r="260" spans="1:14" x14ac:dyDescent="0.3">
      <c r="A260" s="3" t="s">
        <v>28</v>
      </c>
      <c r="B260" s="3" t="s">
        <v>29</v>
      </c>
      <c r="C260" s="8">
        <v>2021</v>
      </c>
      <c r="D260" s="8">
        <v>7</v>
      </c>
      <c r="E260" s="3" t="str">
        <f t="shared" si="8"/>
        <v>July</v>
      </c>
      <c r="F260" s="3" t="s">
        <v>13</v>
      </c>
      <c r="G260" s="8">
        <v>5500.7637860000004</v>
      </c>
      <c r="H260" s="8">
        <v>5710</v>
      </c>
      <c r="I260" s="8">
        <v>204.83927399999999</v>
      </c>
      <c r="J260" s="8">
        <v>20905.008460000001</v>
      </c>
      <c r="K260" s="8">
        <v>19550.912810000002</v>
      </c>
      <c r="L260" s="8">
        <v>22243.385760000001</v>
      </c>
      <c r="M260" s="9" t="str">
        <f>IF(A260="",M261,A260)</f>
        <v>Azerbaijan</v>
      </c>
      <c r="N260" s="3" t="str">
        <f t="shared" si="9"/>
        <v>Jul-2021</v>
      </c>
    </row>
    <row r="261" spans="1:14" x14ac:dyDescent="0.3">
      <c r="A261" s="3" t="s">
        <v>28</v>
      </c>
      <c r="B261" s="3" t="s">
        <v>29</v>
      </c>
      <c r="C261" s="8">
        <v>2021</v>
      </c>
      <c r="D261" s="8">
        <v>8</v>
      </c>
      <c r="E261" s="3" t="str">
        <f t="shared" si="8"/>
        <v>August</v>
      </c>
      <c r="F261" s="3" t="s">
        <v>13</v>
      </c>
      <c r="G261" s="8">
        <v>5237.4933209999999</v>
      </c>
      <c r="H261" s="8">
        <v>7295</v>
      </c>
      <c r="I261" s="8">
        <v>2053.109739</v>
      </c>
      <c r="J261" s="8">
        <v>22958.118200000001</v>
      </c>
      <c r="K261" s="8">
        <v>21595.122940000001</v>
      </c>
      <c r="L261" s="8">
        <v>24297.964049999999</v>
      </c>
      <c r="M261" s="9" t="str">
        <f>IF(A261="",M262,A261)</f>
        <v>Azerbaijan</v>
      </c>
      <c r="N261" s="3" t="str">
        <f t="shared" si="9"/>
        <v>Aug-2021</v>
      </c>
    </row>
    <row r="262" spans="1:14" x14ac:dyDescent="0.3">
      <c r="A262" s="3" t="s">
        <v>28</v>
      </c>
      <c r="B262" s="3" t="s">
        <v>29</v>
      </c>
      <c r="C262" s="8">
        <v>2021</v>
      </c>
      <c r="D262" s="8">
        <v>9</v>
      </c>
      <c r="E262" s="3" t="str">
        <f t="shared" si="8"/>
        <v>September</v>
      </c>
      <c r="F262" s="3" t="s">
        <v>13</v>
      </c>
      <c r="G262" s="8">
        <v>4733.5732619999999</v>
      </c>
      <c r="H262" s="8">
        <v>8464</v>
      </c>
      <c r="I262" s="8">
        <v>3726.029798</v>
      </c>
      <c r="J262" s="8">
        <v>26684.148000000001</v>
      </c>
      <c r="K262" s="8">
        <v>25304.10873</v>
      </c>
      <c r="L262" s="8">
        <v>28117.44022</v>
      </c>
      <c r="M262" s="9" t="str">
        <f>IF(A262="",M263,A262)</f>
        <v>Azerbaijan</v>
      </c>
      <c r="N262" s="3" t="str">
        <f t="shared" si="9"/>
        <v>Sep-2021</v>
      </c>
    </row>
    <row r="263" spans="1:14" x14ac:dyDescent="0.3">
      <c r="A263" s="3" t="s">
        <v>28</v>
      </c>
      <c r="B263" s="3" t="s">
        <v>29</v>
      </c>
      <c r="C263" s="8">
        <v>2021</v>
      </c>
      <c r="D263" s="8">
        <v>10</v>
      </c>
      <c r="E263" s="3" t="str">
        <f t="shared" si="8"/>
        <v>October</v>
      </c>
      <c r="F263" s="3" t="s">
        <v>13</v>
      </c>
      <c r="G263" s="8">
        <v>5089.8243419999999</v>
      </c>
      <c r="H263" s="8">
        <v>6711</v>
      </c>
      <c r="I263" s="8">
        <v>1616.7787189999999</v>
      </c>
      <c r="J263" s="8">
        <v>28300.926719999999</v>
      </c>
      <c r="K263" s="8">
        <v>26909.05646</v>
      </c>
      <c r="L263" s="8">
        <v>29805.240119999999</v>
      </c>
      <c r="M263" s="9" t="str">
        <f>IF(A263="",M264,A263)</f>
        <v>Azerbaijan</v>
      </c>
      <c r="N263" s="3" t="str">
        <f t="shared" si="9"/>
        <v>Oct-2021</v>
      </c>
    </row>
    <row r="264" spans="1:14" x14ac:dyDescent="0.3">
      <c r="A264" s="3" t="s">
        <v>28</v>
      </c>
      <c r="B264" s="3" t="s">
        <v>29</v>
      </c>
      <c r="C264" s="8">
        <v>2021</v>
      </c>
      <c r="D264" s="8">
        <v>11</v>
      </c>
      <c r="E264" s="3" t="str">
        <f t="shared" si="8"/>
        <v>November</v>
      </c>
      <c r="F264" s="3" t="s">
        <v>13</v>
      </c>
      <c r="G264" s="8">
        <v>5366.1090039999999</v>
      </c>
      <c r="H264" s="8">
        <v>8543</v>
      </c>
      <c r="I264" s="8">
        <v>3172.494056</v>
      </c>
      <c r="J264" s="8">
        <v>31473.420770000001</v>
      </c>
      <c r="K264" s="8">
        <v>30020.713830000001</v>
      </c>
      <c r="L264" s="8">
        <v>32959.033889999999</v>
      </c>
      <c r="M264" s="9" t="str">
        <f>IF(A264="",M265,A264)</f>
        <v>Azerbaijan</v>
      </c>
      <c r="N264" s="3" t="str">
        <f t="shared" si="9"/>
        <v>Nov-2021</v>
      </c>
    </row>
    <row r="265" spans="1:14" x14ac:dyDescent="0.3">
      <c r="A265" s="3" t="s">
        <v>28</v>
      </c>
      <c r="B265" s="3" t="s">
        <v>29</v>
      </c>
      <c r="C265" s="8">
        <v>2021</v>
      </c>
      <c r="D265" s="8">
        <v>12</v>
      </c>
      <c r="E265" s="3" t="str">
        <f t="shared" si="8"/>
        <v>December</v>
      </c>
      <c r="F265" s="3" t="s">
        <v>13</v>
      </c>
      <c r="G265" s="8">
        <v>5837.2827820000002</v>
      </c>
      <c r="H265" s="8">
        <v>7989</v>
      </c>
      <c r="I265" s="8">
        <v>2147.3202780000001</v>
      </c>
      <c r="J265" s="8">
        <v>33620.741049999997</v>
      </c>
      <c r="K265" s="8">
        <v>32121.53441</v>
      </c>
      <c r="L265" s="8">
        <v>35239.699919999999</v>
      </c>
      <c r="M265" s="9" t="str">
        <f>IF(A265="",M266,A265)</f>
        <v>Azerbaijan</v>
      </c>
      <c r="N265" s="3" t="str">
        <f t="shared" si="9"/>
        <v>Dec-2021</v>
      </c>
    </row>
    <row r="266" spans="1:14" x14ac:dyDescent="0.3">
      <c r="A266" s="3" t="s">
        <v>30</v>
      </c>
      <c r="B266" s="3" t="s">
        <v>31</v>
      </c>
      <c r="C266" s="8">
        <v>2020</v>
      </c>
      <c r="D266" s="8">
        <v>1</v>
      </c>
      <c r="E266" s="3" t="str">
        <f t="shared" si="8"/>
        <v>January</v>
      </c>
      <c r="F266" s="3" t="s">
        <v>8</v>
      </c>
      <c r="G266" s="8">
        <v>6436.3734590000004</v>
      </c>
      <c r="H266" s="8">
        <v>6620.6540000000005</v>
      </c>
      <c r="I266" s="8">
        <v>184.28054090000001</v>
      </c>
      <c r="J266" s="8">
        <v>184.28054090000001</v>
      </c>
      <c r="K266" s="8">
        <v>-1514.9774440000001</v>
      </c>
      <c r="L266" s="8">
        <v>2194.967705</v>
      </c>
      <c r="M266" s="9" t="str">
        <f>IF(A266="",M267,A266)</f>
        <v>Burundi</v>
      </c>
      <c r="N266" s="3" t="str">
        <f t="shared" si="9"/>
        <v>Jan-2020</v>
      </c>
    </row>
    <row r="267" spans="1:14" x14ac:dyDescent="0.3">
      <c r="A267" s="3" t="s">
        <v>30</v>
      </c>
      <c r="B267" s="3" t="s">
        <v>31</v>
      </c>
      <c r="C267" s="8">
        <v>2020</v>
      </c>
      <c r="D267" s="8">
        <v>2</v>
      </c>
      <c r="E267" s="3" t="str">
        <f t="shared" si="8"/>
        <v>February</v>
      </c>
      <c r="F267" s="3" t="s">
        <v>8</v>
      </c>
      <c r="G267" s="8">
        <v>6456.1145429999997</v>
      </c>
      <c r="H267" s="8">
        <v>6403.8779999999997</v>
      </c>
      <c r="I267" s="8">
        <v>-52.236542649999997</v>
      </c>
      <c r="J267" s="8">
        <v>132.0439983</v>
      </c>
      <c r="K267" s="8">
        <v>-2152.1567279999999</v>
      </c>
      <c r="L267" s="8">
        <v>2819.8834109999998</v>
      </c>
      <c r="M267" s="9" t="str">
        <f>IF(A267="",M268,A267)</f>
        <v>Burundi</v>
      </c>
      <c r="N267" s="3" t="str">
        <f t="shared" si="9"/>
        <v>Feb-2020</v>
      </c>
    </row>
    <row r="268" spans="1:14" x14ac:dyDescent="0.3">
      <c r="A268" s="3" t="s">
        <v>30</v>
      </c>
      <c r="B268" s="3" t="s">
        <v>31</v>
      </c>
      <c r="C268" s="8">
        <v>2020</v>
      </c>
      <c r="D268" s="8">
        <v>3</v>
      </c>
      <c r="E268" s="3" t="str">
        <f t="shared" si="8"/>
        <v>March</v>
      </c>
      <c r="F268" s="3" t="s">
        <v>8</v>
      </c>
      <c r="G268" s="8">
        <v>6445.3151950000001</v>
      </c>
      <c r="H268" s="8">
        <v>6410.0029999999997</v>
      </c>
      <c r="I268" s="8">
        <v>-35.312194529999999</v>
      </c>
      <c r="J268" s="8">
        <v>96.731803720000002</v>
      </c>
      <c r="K268" s="8">
        <v>-2766.5149070000002</v>
      </c>
      <c r="L268" s="8">
        <v>3369.9438260000002</v>
      </c>
      <c r="M268" s="9" t="str">
        <f>IF(A268="",M269,A268)</f>
        <v>Burundi</v>
      </c>
      <c r="N268" s="3" t="str">
        <f t="shared" si="9"/>
        <v>Mar-2020</v>
      </c>
    </row>
    <row r="269" spans="1:14" x14ac:dyDescent="0.3">
      <c r="A269" s="3" t="s">
        <v>30</v>
      </c>
      <c r="B269" s="3" t="s">
        <v>31</v>
      </c>
      <c r="C269" s="8">
        <v>2020</v>
      </c>
      <c r="D269" s="8">
        <v>4</v>
      </c>
      <c r="E269" s="3" t="str">
        <f t="shared" si="8"/>
        <v>April</v>
      </c>
      <c r="F269" s="3" t="s">
        <v>8</v>
      </c>
      <c r="G269" s="8">
        <v>6464.31149</v>
      </c>
      <c r="H269" s="8">
        <v>6377.3450000000003</v>
      </c>
      <c r="I269" s="8">
        <v>-86.966490480000004</v>
      </c>
      <c r="J269" s="8">
        <v>9.7653132399999993</v>
      </c>
      <c r="K269" s="8">
        <v>-3382.634149</v>
      </c>
      <c r="L269" s="8">
        <v>3640.8996120000002</v>
      </c>
      <c r="M269" s="9" t="str">
        <f>IF(A269="",M270,A269)</f>
        <v>Burundi</v>
      </c>
      <c r="N269" s="3" t="str">
        <f t="shared" si="9"/>
        <v>Apr-2020</v>
      </c>
    </row>
    <row r="270" spans="1:14" x14ac:dyDescent="0.3">
      <c r="A270" s="3" t="s">
        <v>30</v>
      </c>
      <c r="B270" s="3" t="s">
        <v>31</v>
      </c>
      <c r="C270" s="8">
        <v>2020</v>
      </c>
      <c r="D270" s="8">
        <v>5</v>
      </c>
      <c r="E270" s="3" t="str">
        <f t="shared" si="8"/>
        <v>May</v>
      </c>
      <c r="F270" s="3" t="s">
        <v>8</v>
      </c>
      <c r="G270" s="8">
        <v>6435.7193630000002</v>
      </c>
      <c r="H270" s="8">
        <v>6329.3950000000004</v>
      </c>
      <c r="I270" s="8">
        <v>-106.3243629</v>
      </c>
      <c r="J270" s="8">
        <v>-96.559049650000006</v>
      </c>
      <c r="K270" s="8">
        <v>-3742.218777</v>
      </c>
      <c r="L270" s="8">
        <v>3825.0798570000002</v>
      </c>
      <c r="M270" s="9" t="str">
        <f>IF(A270="",M271,A270)</f>
        <v>Burundi</v>
      </c>
      <c r="N270" s="3" t="str">
        <f t="shared" si="9"/>
        <v>May-2020</v>
      </c>
    </row>
    <row r="271" spans="1:14" x14ac:dyDescent="0.3">
      <c r="A271" s="3" t="s">
        <v>30</v>
      </c>
      <c r="B271" s="3" t="s">
        <v>31</v>
      </c>
      <c r="C271" s="8">
        <v>2020</v>
      </c>
      <c r="D271" s="8">
        <v>6</v>
      </c>
      <c r="E271" s="3" t="str">
        <f t="shared" si="8"/>
        <v>June</v>
      </c>
      <c r="F271" s="3" t="s">
        <v>8</v>
      </c>
      <c r="G271" s="8">
        <v>6457.8250479999997</v>
      </c>
      <c r="H271" s="8">
        <v>6263.45</v>
      </c>
      <c r="I271" s="8">
        <v>-194.3750484</v>
      </c>
      <c r="J271" s="8">
        <v>-290.93409800000001</v>
      </c>
      <c r="K271" s="8">
        <v>-4404.3864869999998</v>
      </c>
      <c r="L271" s="8">
        <v>4078.2852680000001</v>
      </c>
      <c r="M271" s="9" t="str">
        <f>IF(A271="",M272,A271)</f>
        <v>Burundi</v>
      </c>
      <c r="N271" s="3" t="str">
        <f t="shared" si="9"/>
        <v>Jun-2020</v>
      </c>
    </row>
    <row r="272" spans="1:14" x14ac:dyDescent="0.3">
      <c r="A272" s="3" t="s">
        <v>30</v>
      </c>
      <c r="B272" s="3" t="s">
        <v>31</v>
      </c>
      <c r="C272" s="8">
        <v>2020</v>
      </c>
      <c r="D272" s="8">
        <v>7</v>
      </c>
      <c r="E272" s="3" t="str">
        <f t="shared" si="8"/>
        <v>July</v>
      </c>
      <c r="F272" s="3" t="s">
        <v>8</v>
      </c>
      <c r="G272" s="8">
        <v>6454.4132970000001</v>
      </c>
      <c r="H272" s="8">
        <v>6194.3630000000003</v>
      </c>
      <c r="I272" s="8">
        <v>-260.05029710000002</v>
      </c>
      <c r="J272" s="8">
        <v>-550.98439510000003</v>
      </c>
      <c r="K272" s="8">
        <v>-4854.5829469999999</v>
      </c>
      <c r="L272" s="8">
        <v>4243.5207309999996</v>
      </c>
      <c r="M272" s="9" t="str">
        <f>IF(A272="",M273,A272)</f>
        <v>Burundi</v>
      </c>
      <c r="N272" s="3" t="str">
        <f t="shared" si="9"/>
        <v>Jul-2020</v>
      </c>
    </row>
    <row r="273" spans="1:14" x14ac:dyDescent="0.3">
      <c r="A273" s="3" t="s">
        <v>30</v>
      </c>
      <c r="B273" s="3" t="s">
        <v>31</v>
      </c>
      <c r="C273" s="8">
        <v>2020</v>
      </c>
      <c r="D273" s="8">
        <v>8</v>
      </c>
      <c r="E273" s="3" t="str">
        <f t="shared" si="8"/>
        <v>August</v>
      </c>
      <c r="F273" s="3" t="s">
        <v>8</v>
      </c>
      <c r="G273" s="8">
        <v>6427.2630499999996</v>
      </c>
      <c r="H273" s="8">
        <v>6369.1890000000003</v>
      </c>
      <c r="I273" s="8">
        <v>-58.074050389999996</v>
      </c>
      <c r="J273" s="8">
        <v>-609.05844549999995</v>
      </c>
      <c r="K273" s="8">
        <v>-5104.4527330000001</v>
      </c>
      <c r="L273" s="8">
        <v>4391.6272520000002</v>
      </c>
      <c r="M273" s="9" t="str">
        <f>IF(A273="",M274,A273)</f>
        <v>Burundi</v>
      </c>
      <c r="N273" s="3" t="str">
        <f t="shared" si="9"/>
        <v>Aug-2020</v>
      </c>
    </row>
    <row r="274" spans="1:14" x14ac:dyDescent="0.3">
      <c r="A274" s="3" t="s">
        <v>30</v>
      </c>
      <c r="B274" s="3" t="s">
        <v>31</v>
      </c>
      <c r="C274" s="8">
        <v>2020</v>
      </c>
      <c r="D274" s="8">
        <v>9</v>
      </c>
      <c r="E274" s="3" t="str">
        <f t="shared" si="8"/>
        <v>September</v>
      </c>
      <c r="F274" s="3" t="s">
        <v>8</v>
      </c>
      <c r="G274" s="8">
        <v>6385.2437620000001</v>
      </c>
      <c r="H274" s="8">
        <v>6433.1909999999998</v>
      </c>
      <c r="I274" s="8">
        <v>47.947238079999998</v>
      </c>
      <c r="J274" s="8">
        <v>-561.11120740000001</v>
      </c>
      <c r="K274" s="8">
        <v>-5453.9919060000002</v>
      </c>
      <c r="L274" s="8">
        <v>4848.4805610000003</v>
      </c>
      <c r="M274" s="9" t="str">
        <f>IF(A274="",M275,A274)</f>
        <v>Burundi</v>
      </c>
      <c r="N274" s="3" t="str">
        <f t="shared" si="9"/>
        <v>Sep-2020</v>
      </c>
    </row>
    <row r="275" spans="1:14" x14ac:dyDescent="0.3">
      <c r="A275" s="3" t="s">
        <v>30</v>
      </c>
      <c r="B275" s="3" t="s">
        <v>31</v>
      </c>
      <c r="C275" s="8">
        <v>2020</v>
      </c>
      <c r="D275" s="8">
        <v>10</v>
      </c>
      <c r="E275" s="3" t="str">
        <f t="shared" si="8"/>
        <v>October</v>
      </c>
      <c r="F275" s="3" t="s">
        <v>8</v>
      </c>
      <c r="G275" s="8">
        <v>6386.1397280000001</v>
      </c>
      <c r="H275" s="8">
        <v>6405.2089999999998</v>
      </c>
      <c r="I275" s="8">
        <v>19.06927245</v>
      </c>
      <c r="J275" s="8">
        <v>-542.04193499999997</v>
      </c>
      <c r="K275" s="8">
        <v>-5763.2164640000001</v>
      </c>
      <c r="L275" s="8">
        <v>5171.8699900000001</v>
      </c>
      <c r="M275" s="9" t="str">
        <f>IF(A275="",M276,A275)</f>
        <v>Burundi</v>
      </c>
      <c r="N275" s="3" t="str">
        <f t="shared" si="9"/>
        <v>Oct-2020</v>
      </c>
    </row>
    <row r="276" spans="1:14" x14ac:dyDescent="0.3">
      <c r="A276" s="3" t="s">
        <v>30</v>
      </c>
      <c r="B276" s="3" t="s">
        <v>31</v>
      </c>
      <c r="C276" s="8">
        <v>2020</v>
      </c>
      <c r="D276" s="8">
        <v>11</v>
      </c>
      <c r="E276" s="3" t="str">
        <f t="shared" si="8"/>
        <v>November</v>
      </c>
      <c r="F276" s="3" t="s">
        <v>8</v>
      </c>
      <c r="G276" s="8">
        <v>6438.2339549999997</v>
      </c>
      <c r="H276" s="8">
        <v>6548.1530000000002</v>
      </c>
      <c r="I276" s="8">
        <v>109.919045</v>
      </c>
      <c r="J276" s="8">
        <v>-432.12288999999998</v>
      </c>
      <c r="K276" s="8">
        <v>-6027.9748239999999</v>
      </c>
      <c r="L276" s="8">
        <v>5813.7641510000003</v>
      </c>
      <c r="M276" s="9" t="str">
        <f>IF(A276="",M277,A276)</f>
        <v>Burundi</v>
      </c>
      <c r="N276" s="3" t="str">
        <f t="shared" si="9"/>
        <v>Nov-2020</v>
      </c>
    </row>
    <row r="277" spans="1:14" x14ac:dyDescent="0.3">
      <c r="A277" s="3" t="s">
        <v>30</v>
      </c>
      <c r="B277" s="3" t="s">
        <v>31</v>
      </c>
      <c r="C277" s="8">
        <v>2020</v>
      </c>
      <c r="D277" s="8">
        <v>12</v>
      </c>
      <c r="E277" s="3" t="str">
        <f t="shared" si="8"/>
        <v>December</v>
      </c>
      <c r="F277" s="3" t="s">
        <v>8</v>
      </c>
      <c r="G277" s="8">
        <v>6427.1669039999997</v>
      </c>
      <c r="H277" s="8">
        <v>6586.598</v>
      </c>
      <c r="I277" s="8">
        <v>159.4310964</v>
      </c>
      <c r="J277" s="8">
        <v>-272.69179359999998</v>
      </c>
      <c r="K277" s="8">
        <v>-5898.4388520000002</v>
      </c>
      <c r="L277" s="8">
        <v>6027.8349850000004</v>
      </c>
      <c r="M277" s="9" t="str">
        <f>IF(A277="",M278,A277)</f>
        <v>Burundi</v>
      </c>
      <c r="N277" s="3" t="str">
        <f t="shared" si="9"/>
        <v>Dec-2020</v>
      </c>
    </row>
    <row r="278" spans="1:14" x14ac:dyDescent="0.3">
      <c r="A278" s="3" t="s">
        <v>30</v>
      </c>
      <c r="B278" s="3" t="s">
        <v>31</v>
      </c>
      <c r="C278" s="8">
        <v>2021</v>
      </c>
      <c r="D278" s="8">
        <v>1</v>
      </c>
      <c r="E278" s="3" t="str">
        <f t="shared" si="8"/>
        <v>January</v>
      </c>
      <c r="F278" s="3" t="s">
        <v>8</v>
      </c>
      <c r="G278" s="8">
        <v>6468.7629020000004</v>
      </c>
      <c r="H278" s="8">
        <v>6689.7640000000001</v>
      </c>
      <c r="I278" s="8">
        <v>221.00109789999999</v>
      </c>
      <c r="J278" s="8">
        <v>-51.690695730000002</v>
      </c>
      <c r="K278" s="8">
        <v>-5992.1840979999997</v>
      </c>
      <c r="L278" s="8">
        <v>6649.8868739999998</v>
      </c>
      <c r="M278" s="9" t="str">
        <f>IF(A278="",M279,A278)</f>
        <v>Burundi</v>
      </c>
      <c r="N278" s="3" t="str">
        <f t="shared" si="9"/>
        <v>Jan-2021</v>
      </c>
    </row>
    <row r="279" spans="1:14" x14ac:dyDescent="0.3">
      <c r="A279" s="3" t="s">
        <v>30</v>
      </c>
      <c r="B279" s="3" t="s">
        <v>31</v>
      </c>
      <c r="C279" s="8">
        <v>2021</v>
      </c>
      <c r="D279" s="8">
        <v>2</v>
      </c>
      <c r="E279" s="3" t="str">
        <f t="shared" si="8"/>
        <v>February</v>
      </c>
      <c r="F279" s="3" t="s">
        <v>8</v>
      </c>
      <c r="G279" s="8">
        <v>6503.251808</v>
      </c>
      <c r="H279" s="8">
        <v>6835.1289999999999</v>
      </c>
      <c r="I279" s="8">
        <v>331.87719170000003</v>
      </c>
      <c r="J279" s="8">
        <v>280.18649599999998</v>
      </c>
      <c r="K279" s="8">
        <v>-5876.560845</v>
      </c>
      <c r="L279" s="8">
        <v>7279.4897250000004</v>
      </c>
      <c r="M279" s="9" t="str">
        <f>IF(A279="",M280,A279)</f>
        <v>Burundi</v>
      </c>
      <c r="N279" s="3" t="str">
        <f t="shared" si="9"/>
        <v>Feb-2021</v>
      </c>
    </row>
    <row r="280" spans="1:14" x14ac:dyDescent="0.3">
      <c r="A280" s="3" t="s">
        <v>30</v>
      </c>
      <c r="B280" s="3" t="s">
        <v>31</v>
      </c>
      <c r="C280" s="8">
        <v>2021</v>
      </c>
      <c r="D280" s="8">
        <v>3</v>
      </c>
      <c r="E280" s="3" t="str">
        <f t="shared" si="8"/>
        <v>March</v>
      </c>
      <c r="F280" s="3" t="s">
        <v>8</v>
      </c>
      <c r="G280" s="8">
        <v>6486.7143029999997</v>
      </c>
      <c r="H280" s="8">
        <v>6945.2359999999999</v>
      </c>
      <c r="I280" s="8">
        <v>458.52169750000002</v>
      </c>
      <c r="J280" s="8">
        <v>738.70819340000003</v>
      </c>
      <c r="K280" s="8">
        <v>-5663.430394</v>
      </c>
      <c r="L280" s="8">
        <v>8410.0724360000004</v>
      </c>
      <c r="M280" s="9" t="str">
        <f>IF(A280="",M281,A280)</f>
        <v>Burundi</v>
      </c>
      <c r="N280" s="3" t="str">
        <f t="shared" si="9"/>
        <v>Mar-2021</v>
      </c>
    </row>
    <row r="281" spans="1:14" x14ac:dyDescent="0.3">
      <c r="A281" s="3" t="s">
        <v>30</v>
      </c>
      <c r="B281" s="3" t="s">
        <v>31</v>
      </c>
      <c r="C281" s="8">
        <v>2021</v>
      </c>
      <c r="D281" s="8">
        <v>4</v>
      </c>
      <c r="E281" s="3" t="str">
        <f t="shared" si="8"/>
        <v>April</v>
      </c>
      <c r="F281" s="3" t="s">
        <v>8</v>
      </c>
      <c r="G281" s="8">
        <v>6509.0285729999996</v>
      </c>
      <c r="H281" s="8">
        <v>6741.491</v>
      </c>
      <c r="I281" s="8">
        <v>232.4624268</v>
      </c>
      <c r="J281" s="8">
        <v>971.17062020000003</v>
      </c>
      <c r="K281" s="8">
        <v>-5844.1122459999997</v>
      </c>
      <c r="L281" s="8">
        <v>8679.784259</v>
      </c>
      <c r="M281" s="9" t="str">
        <f>IF(A281="",M282,A281)</f>
        <v>Burundi</v>
      </c>
      <c r="N281" s="3" t="str">
        <f t="shared" si="9"/>
        <v>Apr-2021</v>
      </c>
    </row>
    <row r="282" spans="1:14" x14ac:dyDescent="0.3">
      <c r="A282" s="3" t="s">
        <v>30</v>
      </c>
      <c r="B282" s="3" t="s">
        <v>31</v>
      </c>
      <c r="C282" s="8">
        <v>2021</v>
      </c>
      <c r="D282" s="8">
        <v>5</v>
      </c>
      <c r="E282" s="3" t="str">
        <f t="shared" si="8"/>
        <v>May</v>
      </c>
      <c r="F282" s="3" t="s">
        <v>8</v>
      </c>
      <c r="G282" s="8">
        <v>6488.9791610000002</v>
      </c>
      <c r="H282" s="8">
        <v>6740.2259999999997</v>
      </c>
      <c r="I282" s="8">
        <v>251.2468389</v>
      </c>
      <c r="J282" s="8">
        <v>1222.417459</v>
      </c>
      <c r="K282" s="8">
        <v>-5991.5211369999997</v>
      </c>
      <c r="L282" s="8">
        <v>9267.6634890000005</v>
      </c>
      <c r="M282" s="9" t="str">
        <f>IF(A282="",M283,A282)</f>
        <v>Burundi</v>
      </c>
      <c r="N282" s="3" t="str">
        <f t="shared" si="9"/>
        <v>May-2021</v>
      </c>
    </row>
    <row r="283" spans="1:14" x14ac:dyDescent="0.3">
      <c r="A283" s="3" t="s">
        <v>30</v>
      </c>
      <c r="B283" s="3" t="s">
        <v>31</v>
      </c>
      <c r="C283" s="8">
        <v>2021</v>
      </c>
      <c r="D283" s="8">
        <v>6</v>
      </c>
      <c r="E283" s="3" t="str">
        <f t="shared" si="8"/>
        <v>June</v>
      </c>
      <c r="F283" s="3" t="s">
        <v>8</v>
      </c>
      <c r="G283" s="8">
        <v>6500.498004</v>
      </c>
      <c r="H283" s="8">
        <v>6970.1350000000002</v>
      </c>
      <c r="I283" s="8">
        <v>469.6369962</v>
      </c>
      <c r="J283" s="8">
        <v>1692.054455</v>
      </c>
      <c r="K283" s="8">
        <v>-5783.0212110000002</v>
      </c>
      <c r="L283" s="8">
        <v>10070.27759</v>
      </c>
      <c r="M283" s="9" t="str">
        <f>IF(A283="",M284,A283)</f>
        <v>Burundi</v>
      </c>
      <c r="N283" s="3" t="str">
        <f t="shared" si="9"/>
        <v>Jun-2021</v>
      </c>
    </row>
    <row r="284" spans="1:14" x14ac:dyDescent="0.3">
      <c r="A284" s="3" t="s">
        <v>30</v>
      </c>
      <c r="B284" s="3" t="s">
        <v>31</v>
      </c>
      <c r="C284" s="8">
        <v>2021</v>
      </c>
      <c r="D284" s="8">
        <v>7</v>
      </c>
      <c r="E284" s="3" t="str">
        <f t="shared" si="8"/>
        <v>July</v>
      </c>
      <c r="F284" s="3" t="s">
        <v>8</v>
      </c>
      <c r="G284" s="8">
        <v>6494.3221020000001</v>
      </c>
      <c r="H284" s="8">
        <v>6982.8090000000002</v>
      </c>
      <c r="I284" s="8">
        <v>488.48689780000001</v>
      </c>
      <c r="J284" s="8">
        <v>2180.5413530000001</v>
      </c>
      <c r="K284" s="8">
        <v>-5618.7478940000001</v>
      </c>
      <c r="L284" s="8">
        <v>10416.58037</v>
      </c>
      <c r="M284" s="9" t="str">
        <f>IF(A284="",M285,A284)</f>
        <v>Burundi</v>
      </c>
      <c r="N284" s="3" t="str">
        <f t="shared" si="9"/>
        <v>Jul-2021</v>
      </c>
    </row>
    <row r="285" spans="1:14" x14ac:dyDescent="0.3">
      <c r="A285" s="3" t="s">
        <v>30</v>
      </c>
      <c r="B285" s="3" t="s">
        <v>31</v>
      </c>
      <c r="C285" s="8">
        <v>2021</v>
      </c>
      <c r="D285" s="8">
        <v>8</v>
      </c>
      <c r="E285" s="3" t="str">
        <f t="shared" si="8"/>
        <v>August</v>
      </c>
      <c r="F285" s="3" t="s">
        <v>8</v>
      </c>
      <c r="G285" s="8">
        <v>6455.1534469999997</v>
      </c>
      <c r="H285" s="8">
        <v>6723.03</v>
      </c>
      <c r="I285" s="8">
        <v>267.87655330000001</v>
      </c>
      <c r="J285" s="8">
        <v>2448.4179060000001</v>
      </c>
      <c r="K285" s="8">
        <v>-5595.6807010000002</v>
      </c>
      <c r="L285" s="8">
        <v>10953.848480000001</v>
      </c>
      <c r="M285" s="9" t="str">
        <f>IF(A285="",M286,A285)</f>
        <v>Burundi</v>
      </c>
      <c r="N285" s="3" t="str">
        <f t="shared" si="9"/>
        <v>Aug-2021</v>
      </c>
    </row>
    <row r="286" spans="1:14" x14ac:dyDescent="0.3">
      <c r="A286" s="3" t="s">
        <v>30</v>
      </c>
      <c r="B286" s="3" t="s">
        <v>31</v>
      </c>
      <c r="C286" s="8">
        <v>2021</v>
      </c>
      <c r="D286" s="8">
        <v>9</v>
      </c>
      <c r="E286" s="3" t="str">
        <f t="shared" si="8"/>
        <v>September</v>
      </c>
      <c r="F286" s="3" t="s">
        <v>8</v>
      </c>
      <c r="G286" s="8">
        <v>6430.1370909999996</v>
      </c>
      <c r="H286" s="8">
        <v>6613.2219999999998</v>
      </c>
      <c r="I286" s="8">
        <v>183.08490879999999</v>
      </c>
      <c r="J286" s="8">
        <v>2631.5028149999998</v>
      </c>
      <c r="K286" s="8">
        <v>-5537.3278890000001</v>
      </c>
      <c r="L286" s="8">
        <v>11355.528899999999</v>
      </c>
      <c r="M286" s="9" t="str">
        <f>IF(A286="",M287,A286)</f>
        <v>Burundi</v>
      </c>
      <c r="N286" s="3" t="str">
        <f t="shared" si="9"/>
        <v>Sep-2021</v>
      </c>
    </row>
    <row r="287" spans="1:14" x14ac:dyDescent="0.3">
      <c r="A287" s="3" t="s">
        <v>30</v>
      </c>
      <c r="B287" s="3" t="s">
        <v>31</v>
      </c>
      <c r="C287" s="8">
        <v>2021</v>
      </c>
      <c r="D287" s="8">
        <v>10</v>
      </c>
      <c r="E287" s="3" t="str">
        <f t="shared" si="8"/>
        <v>October</v>
      </c>
      <c r="F287" s="3" t="s">
        <v>8</v>
      </c>
      <c r="G287" s="8">
        <v>6428.9970030000004</v>
      </c>
      <c r="H287" s="8">
        <v>6469.7809999999999</v>
      </c>
      <c r="I287" s="8">
        <v>40.783997470000003</v>
      </c>
      <c r="J287" s="8">
        <v>2672.2868130000002</v>
      </c>
      <c r="K287" s="8">
        <v>-5834.5353139999997</v>
      </c>
      <c r="L287" s="8">
        <v>11830.510389999999</v>
      </c>
      <c r="M287" s="9" t="str">
        <f>IF(A287="",M288,A287)</f>
        <v>Burundi</v>
      </c>
      <c r="N287" s="3" t="str">
        <f t="shared" si="9"/>
        <v>Oct-2021</v>
      </c>
    </row>
    <row r="288" spans="1:14" x14ac:dyDescent="0.3">
      <c r="A288" s="3" t="s">
        <v>30</v>
      </c>
      <c r="B288" s="3" t="s">
        <v>31</v>
      </c>
      <c r="C288" s="8">
        <v>2021</v>
      </c>
      <c r="D288" s="8">
        <v>11</v>
      </c>
      <c r="E288" s="3" t="str">
        <f t="shared" si="8"/>
        <v>November</v>
      </c>
      <c r="F288" s="3" t="s">
        <v>8</v>
      </c>
      <c r="G288" s="8">
        <v>6469.6397630000001</v>
      </c>
      <c r="H288" s="8">
        <v>6546.1310000000003</v>
      </c>
      <c r="I288" s="8">
        <v>76.491236819999997</v>
      </c>
      <c r="J288" s="8">
        <v>2748.778049</v>
      </c>
      <c r="K288" s="8">
        <v>-6002.9050669999997</v>
      </c>
      <c r="L288" s="8">
        <v>12254.79019</v>
      </c>
      <c r="M288" s="9" t="str">
        <f>IF(A288="",M289,A288)</f>
        <v>Burundi</v>
      </c>
      <c r="N288" s="3" t="str">
        <f t="shared" si="9"/>
        <v>Nov-2021</v>
      </c>
    </row>
    <row r="289" spans="1:14" x14ac:dyDescent="0.3">
      <c r="A289" s="3" t="s">
        <v>30</v>
      </c>
      <c r="B289" s="3" t="s">
        <v>31</v>
      </c>
      <c r="C289" s="8">
        <v>2021</v>
      </c>
      <c r="D289" s="8">
        <v>12</v>
      </c>
      <c r="E289" s="3" t="str">
        <f t="shared" si="8"/>
        <v>December</v>
      </c>
      <c r="F289" s="3" t="s">
        <v>8</v>
      </c>
      <c r="G289" s="8">
        <v>6469.1533550000004</v>
      </c>
      <c r="H289" s="8">
        <v>6706.1270000000004</v>
      </c>
      <c r="I289" s="8">
        <v>236.97364469999999</v>
      </c>
      <c r="J289" s="8">
        <v>2985.751694</v>
      </c>
      <c r="K289" s="8">
        <v>-6092.5172519999996</v>
      </c>
      <c r="L289" s="8">
        <v>12457.06308</v>
      </c>
      <c r="M289" s="9" t="str">
        <f>IF(A289="",M290,A289)</f>
        <v>Burundi</v>
      </c>
      <c r="N289" s="3" t="str">
        <f t="shared" si="9"/>
        <v>Dec-2021</v>
      </c>
    </row>
    <row r="290" spans="1:14" x14ac:dyDescent="0.3">
      <c r="A290" s="3" t="s">
        <v>32</v>
      </c>
      <c r="B290" s="3" t="s">
        <v>33</v>
      </c>
      <c r="C290" s="8">
        <v>2020</v>
      </c>
      <c r="D290" s="8">
        <v>1</v>
      </c>
      <c r="E290" s="3" t="str">
        <f t="shared" si="8"/>
        <v>January</v>
      </c>
      <c r="F290" s="3" t="s">
        <v>13</v>
      </c>
      <c r="G290" s="8">
        <v>10026.282649999999</v>
      </c>
      <c r="H290" s="8">
        <v>10185</v>
      </c>
      <c r="I290" s="8">
        <v>31.717347539999999</v>
      </c>
      <c r="J290" s="8">
        <v>31.717347539999999</v>
      </c>
      <c r="K290" s="8">
        <v>-355.09271180000002</v>
      </c>
      <c r="L290" s="8">
        <v>422.92189109999998</v>
      </c>
      <c r="M290" s="9" t="str">
        <f>IF(A290="",M291,A290)</f>
        <v>Belgium</v>
      </c>
      <c r="N290" s="3" t="str">
        <f t="shared" si="9"/>
        <v>Jan-2020</v>
      </c>
    </row>
    <row r="291" spans="1:14" x14ac:dyDescent="0.3">
      <c r="A291" s="3" t="s">
        <v>32</v>
      </c>
      <c r="B291" s="3" t="s">
        <v>33</v>
      </c>
      <c r="C291" s="8">
        <v>2020</v>
      </c>
      <c r="D291" s="8">
        <v>2</v>
      </c>
      <c r="E291" s="3" t="str">
        <f t="shared" si="8"/>
        <v>February</v>
      </c>
      <c r="F291" s="3" t="s">
        <v>13</v>
      </c>
      <c r="G291" s="8">
        <v>10277.76828</v>
      </c>
      <c r="H291" s="8">
        <v>9378</v>
      </c>
      <c r="I291" s="8">
        <v>-1026.7682769999999</v>
      </c>
      <c r="J291" s="8">
        <v>-995.050929</v>
      </c>
      <c r="K291" s="8">
        <v>-1623.3705219999999</v>
      </c>
      <c r="L291" s="8">
        <v>-359.58101340000002</v>
      </c>
      <c r="M291" s="9" t="str">
        <f>IF(A291="",M292,A291)</f>
        <v>Belgium</v>
      </c>
      <c r="N291" s="3" t="str">
        <f t="shared" si="9"/>
        <v>Feb-2020</v>
      </c>
    </row>
    <row r="292" spans="1:14" x14ac:dyDescent="0.3">
      <c r="A292" s="3" t="s">
        <v>32</v>
      </c>
      <c r="B292" s="3" t="s">
        <v>33</v>
      </c>
      <c r="C292" s="8">
        <v>2020</v>
      </c>
      <c r="D292" s="8">
        <v>3</v>
      </c>
      <c r="E292" s="3" t="str">
        <f t="shared" si="8"/>
        <v>March</v>
      </c>
      <c r="F292" s="3" t="s">
        <v>13</v>
      </c>
      <c r="G292" s="8">
        <v>10038.967199999999</v>
      </c>
      <c r="H292" s="8">
        <v>11668</v>
      </c>
      <c r="I292" s="8">
        <v>1502.0328019999999</v>
      </c>
      <c r="J292" s="8">
        <v>506.98187350000001</v>
      </c>
      <c r="K292" s="8">
        <v>-234.63676330000001</v>
      </c>
      <c r="L292" s="8">
        <v>1324.8423419999999</v>
      </c>
      <c r="M292" s="9" t="str">
        <f>IF(A292="",M293,A292)</f>
        <v>Belgium</v>
      </c>
      <c r="N292" s="3" t="str">
        <f t="shared" si="9"/>
        <v>Mar-2020</v>
      </c>
    </row>
    <row r="293" spans="1:14" x14ac:dyDescent="0.3">
      <c r="A293" s="3" t="s">
        <v>32</v>
      </c>
      <c r="B293" s="3" t="s">
        <v>33</v>
      </c>
      <c r="C293" s="8">
        <v>2020</v>
      </c>
      <c r="D293" s="8">
        <v>4</v>
      </c>
      <c r="E293" s="3" t="str">
        <f t="shared" si="8"/>
        <v>April</v>
      </c>
      <c r="F293" s="3" t="s">
        <v>13</v>
      </c>
      <c r="G293" s="8">
        <v>9109.9805930000002</v>
      </c>
      <c r="H293" s="8">
        <v>15294</v>
      </c>
      <c r="I293" s="8">
        <v>6057.0194069999998</v>
      </c>
      <c r="J293" s="8">
        <v>6564.0012800000004</v>
      </c>
      <c r="K293" s="8">
        <v>5669.5290910000003</v>
      </c>
      <c r="L293" s="8">
        <v>7493.0592159999997</v>
      </c>
      <c r="M293" s="9" t="str">
        <f>IF(A293="",M294,A293)</f>
        <v>Belgium</v>
      </c>
      <c r="N293" s="3" t="str">
        <f t="shared" si="9"/>
        <v>Apr-2020</v>
      </c>
    </row>
    <row r="294" spans="1:14" x14ac:dyDescent="0.3">
      <c r="A294" s="3" t="s">
        <v>32</v>
      </c>
      <c r="B294" s="3" t="s">
        <v>33</v>
      </c>
      <c r="C294" s="8">
        <v>2020</v>
      </c>
      <c r="D294" s="8">
        <v>5</v>
      </c>
      <c r="E294" s="3" t="str">
        <f t="shared" si="8"/>
        <v>May</v>
      </c>
      <c r="F294" s="3" t="s">
        <v>13</v>
      </c>
      <c r="G294" s="8">
        <v>8590.7525449999994</v>
      </c>
      <c r="H294" s="8">
        <v>9538</v>
      </c>
      <c r="I294" s="8">
        <v>820.24745480000001</v>
      </c>
      <c r="J294" s="8">
        <v>7384.2487350000001</v>
      </c>
      <c r="K294" s="8">
        <v>6403.2666310000004</v>
      </c>
      <c r="L294" s="8">
        <v>8374.5545750000001</v>
      </c>
      <c r="M294" s="9" t="str">
        <f>IF(A294="",M295,A294)</f>
        <v>Belgium</v>
      </c>
      <c r="N294" s="3" t="str">
        <f t="shared" si="9"/>
        <v>May-2020</v>
      </c>
    </row>
    <row r="295" spans="1:14" x14ac:dyDescent="0.3">
      <c r="A295" s="3" t="s">
        <v>32</v>
      </c>
      <c r="B295" s="3" t="s">
        <v>33</v>
      </c>
      <c r="C295" s="8">
        <v>2020</v>
      </c>
      <c r="D295" s="8">
        <v>6</v>
      </c>
      <c r="E295" s="3" t="str">
        <f t="shared" si="8"/>
        <v>June</v>
      </c>
      <c r="F295" s="3" t="s">
        <v>13</v>
      </c>
      <c r="G295" s="8">
        <v>8277.5232730000007</v>
      </c>
      <c r="H295" s="8">
        <v>7993</v>
      </c>
      <c r="I295" s="8">
        <v>-411.52327320000001</v>
      </c>
      <c r="J295" s="8">
        <v>6972.7254620000003</v>
      </c>
      <c r="K295" s="8">
        <v>5929.7342589999998</v>
      </c>
      <c r="L295" s="8">
        <v>8061.6126889999996</v>
      </c>
      <c r="M295" s="9" t="str">
        <f>IF(A295="",M296,A295)</f>
        <v>Belgium</v>
      </c>
      <c r="N295" s="3" t="str">
        <f t="shared" si="9"/>
        <v>Jun-2020</v>
      </c>
    </row>
    <row r="296" spans="1:14" x14ac:dyDescent="0.3">
      <c r="A296" s="3" t="s">
        <v>32</v>
      </c>
      <c r="B296" s="3" t="s">
        <v>33</v>
      </c>
      <c r="C296" s="8">
        <v>2020</v>
      </c>
      <c r="D296" s="8">
        <v>7</v>
      </c>
      <c r="E296" s="3" t="str">
        <f t="shared" si="8"/>
        <v>July</v>
      </c>
      <c r="F296" s="3" t="s">
        <v>13</v>
      </c>
      <c r="G296" s="8">
        <v>8362.1562219999996</v>
      </c>
      <c r="H296" s="8">
        <v>8005</v>
      </c>
      <c r="I296" s="8">
        <v>-484.15622230000002</v>
      </c>
      <c r="J296" s="8">
        <v>6488.5692399999998</v>
      </c>
      <c r="K296" s="8">
        <v>5360.9534789999998</v>
      </c>
      <c r="L296" s="8">
        <v>7606.7054609999996</v>
      </c>
      <c r="M296" s="9" t="str">
        <f>IF(A296="",M297,A296)</f>
        <v>Belgium</v>
      </c>
      <c r="N296" s="3" t="str">
        <f t="shared" si="9"/>
        <v>Jul-2020</v>
      </c>
    </row>
    <row r="297" spans="1:14" x14ac:dyDescent="0.3">
      <c r="A297" s="3" t="s">
        <v>32</v>
      </c>
      <c r="B297" s="3" t="s">
        <v>33</v>
      </c>
      <c r="C297" s="8">
        <v>2020</v>
      </c>
      <c r="D297" s="8">
        <v>8</v>
      </c>
      <c r="E297" s="3" t="str">
        <f t="shared" si="8"/>
        <v>August</v>
      </c>
      <c r="F297" s="3" t="s">
        <v>13</v>
      </c>
      <c r="G297" s="8">
        <v>8238.3324379999995</v>
      </c>
      <c r="H297" s="8">
        <v>9848</v>
      </c>
      <c r="I297" s="8">
        <v>1482.6675620000001</v>
      </c>
      <c r="J297" s="8">
        <v>7971.2368020000004</v>
      </c>
      <c r="K297" s="8">
        <v>6783.520563</v>
      </c>
      <c r="L297" s="8">
        <v>9144.1782970000004</v>
      </c>
      <c r="M297" s="9" t="str">
        <f>IF(A297="",M298,A297)</f>
        <v>Belgium</v>
      </c>
      <c r="N297" s="3" t="str">
        <f t="shared" si="9"/>
        <v>Aug-2020</v>
      </c>
    </row>
    <row r="298" spans="1:14" x14ac:dyDescent="0.3">
      <c r="A298" s="3" t="s">
        <v>32</v>
      </c>
      <c r="B298" s="3" t="s">
        <v>33</v>
      </c>
      <c r="C298" s="8">
        <v>2020</v>
      </c>
      <c r="D298" s="8">
        <v>9</v>
      </c>
      <c r="E298" s="3" t="str">
        <f t="shared" si="8"/>
        <v>September</v>
      </c>
      <c r="F298" s="3" t="s">
        <v>13</v>
      </c>
      <c r="G298" s="8">
        <v>8169.1520410000003</v>
      </c>
      <c r="H298" s="8">
        <v>8189</v>
      </c>
      <c r="I298" s="8">
        <v>-107.1520407</v>
      </c>
      <c r="J298" s="8">
        <v>7864.0847610000001</v>
      </c>
      <c r="K298" s="8">
        <v>6593.6490009999998</v>
      </c>
      <c r="L298" s="8">
        <v>9133.7820179999999</v>
      </c>
      <c r="M298" s="9" t="str">
        <f>IF(A298="",M299,A298)</f>
        <v>Belgium</v>
      </c>
      <c r="N298" s="3" t="str">
        <f t="shared" si="9"/>
        <v>Sep-2020</v>
      </c>
    </row>
    <row r="299" spans="1:14" x14ac:dyDescent="0.3">
      <c r="A299" s="3" t="s">
        <v>32</v>
      </c>
      <c r="B299" s="3" t="s">
        <v>33</v>
      </c>
      <c r="C299" s="8">
        <v>2020</v>
      </c>
      <c r="D299" s="8">
        <v>10</v>
      </c>
      <c r="E299" s="3" t="str">
        <f t="shared" si="8"/>
        <v>October</v>
      </c>
      <c r="F299" s="3" t="s">
        <v>13</v>
      </c>
      <c r="G299" s="8">
        <v>8538.468766</v>
      </c>
      <c r="H299" s="8">
        <v>10756</v>
      </c>
      <c r="I299" s="8">
        <v>2090.531234</v>
      </c>
      <c r="J299" s="8">
        <v>9954.6159950000001</v>
      </c>
      <c r="K299" s="8">
        <v>8621.2377329999999</v>
      </c>
      <c r="L299" s="8">
        <v>11329.40171</v>
      </c>
      <c r="M299" s="9" t="str">
        <f>IF(A299="",M300,A299)</f>
        <v>Belgium</v>
      </c>
      <c r="N299" s="3" t="str">
        <f t="shared" si="9"/>
        <v>Oct-2020</v>
      </c>
    </row>
    <row r="300" spans="1:14" x14ac:dyDescent="0.3">
      <c r="A300" s="3" t="s">
        <v>32</v>
      </c>
      <c r="B300" s="3" t="s">
        <v>33</v>
      </c>
      <c r="C300" s="8">
        <v>2020</v>
      </c>
      <c r="D300" s="8">
        <v>11</v>
      </c>
      <c r="E300" s="3" t="str">
        <f t="shared" si="8"/>
        <v>November</v>
      </c>
      <c r="F300" s="3" t="s">
        <v>13</v>
      </c>
      <c r="G300" s="8">
        <v>9045.3990400000002</v>
      </c>
      <c r="H300" s="8">
        <v>14048</v>
      </c>
      <c r="I300" s="8">
        <v>4875.6009599999998</v>
      </c>
      <c r="J300" s="8">
        <v>14830.21696</v>
      </c>
      <c r="K300" s="8">
        <v>13417.75835</v>
      </c>
      <c r="L300" s="8">
        <v>16219.59029</v>
      </c>
      <c r="M300" s="9" t="str">
        <f>IF(A300="",M301,A300)</f>
        <v>Belgium</v>
      </c>
      <c r="N300" s="3" t="str">
        <f t="shared" si="9"/>
        <v>Nov-2020</v>
      </c>
    </row>
    <row r="301" spans="1:14" x14ac:dyDescent="0.3">
      <c r="A301" s="3" t="s">
        <v>32</v>
      </c>
      <c r="B301" s="3" t="s">
        <v>33</v>
      </c>
      <c r="C301" s="8">
        <v>2020</v>
      </c>
      <c r="D301" s="8">
        <v>12</v>
      </c>
      <c r="E301" s="3" t="str">
        <f t="shared" si="8"/>
        <v>December</v>
      </c>
      <c r="F301" s="3" t="s">
        <v>13</v>
      </c>
      <c r="G301" s="8">
        <v>10008.986269999999</v>
      </c>
      <c r="H301" s="8">
        <v>11846</v>
      </c>
      <c r="I301" s="8">
        <v>1710.013725</v>
      </c>
      <c r="J301" s="8">
        <v>16540.230680000001</v>
      </c>
      <c r="K301" s="8">
        <v>15003.62328</v>
      </c>
      <c r="L301" s="8">
        <v>17961.786169999999</v>
      </c>
      <c r="M301" s="9" t="str">
        <f>IF(A301="",M302,A301)</f>
        <v>Belgium</v>
      </c>
      <c r="N301" s="3" t="str">
        <f t="shared" si="9"/>
        <v>Dec-2020</v>
      </c>
    </row>
    <row r="302" spans="1:14" x14ac:dyDescent="0.3">
      <c r="A302" s="3" t="s">
        <v>32</v>
      </c>
      <c r="B302" s="3" t="s">
        <v>33</v>
      </c>
      <c r="C302" s="8">
        <v>2021</v>
      </c>
      <c r="D302" s="8">
        <v>1</v>
      </c>
      <c r="E302" s="3" t="str">
        <f t="shared" si="8"/>
        <v>January</v>
      </c>
      <c r="F302" s="3" t="s">
        <v>13</v>
      </c>
      <c r="G302" s="8">
        <v>10003.407859999999</v>
      </c>
      <c r="H302" s="8">
        <v>10775</v>
      </c>
      <c r="I302" s="8">
        <v>767.84214320000001</v>
      </c>
      <c r="J302" s="8">
        <v>17308.072820000001</v>
      </c>
      <c r="K302" s="8">
        <v>15761.05156</v>
      </c>
      <c r="L302" s="8">
        <v>18902.331569999998</v>
      </c>
      <c r="M302" s="9" t="str">
        <f>IF(A302="",M303,A302)</f>
        <v>Belgium</v>
      </c>
      <c r="N302" s="3" t="str">
        <f t="shared" si="9"/>
        <v>Jan-2021</v>
      </c>
    </row>
    <row r="303" spans="1:14" x14ac:dyDescent="0.3">
      <c r="A303" s="3" t="s">
        <v>32</v>
      </c>
      <c r="B303" s="3" t="s">
        <v>33</v>
      </c>
      <c r="C303" s="8">
        <v>2021</v>
      </c>
      <c r="D303" s="8">
        <v>2</v>
      </c>
      <c r="E303" s="3" t="str">
        <f t="shared" si="8"/>
        <v>February</v>
      </c>
      <c r="F303" s="3" t="s">
        <v>13</v>
      </c>
      <c r="G303" s="8">
        <v>10265.61175</v>
      </c>
      <c r="H303" s="8">
        <v>8952</v>
      </c>
      <c r="I303" s="8">
        <v>-1317.36175</v>
      </c>
      <c r="J303" s="8">
        <v>15990.711069999999</v>
      </c>
      <c r="K303" s="8">
        <v>14395.38903</v>
      </c>
      <c r="L303" s="8">
        <v>17653.412219999998</v>
      </c>
      <c r="M303" s="9" t="str">
        <f>IF(A303="",M304,A303)</f>
        <v>Belgium</v>
      </c>
      <c r="N303" s="3" t="str">
        <f t="shared" si="9"/>
        <v>Feb-2021</v>
      </c>
    </row>
    <row r="304" spans="1:14" x14ac:dyDescent="0.3">
      <c r="A304" s="3" t="s">
        <v>32</v>
      </c>
      <c r="B304" s="3" t="s">
        <v>33</v>
      </c>
      <c r="C304" s="8">
        <v>2021</v>
      </c>
      <c r="D304" s="8">
        <v>3</v>
      </c>
      <c r="E304" s="3" t="str">
        <f t="shared" si="8"/>
        <v>March</v>
      </c>
      <c r="F304" s="3" t="s">
        <v>13</v>
      </c>
      <c r="G304" s="8">
        <v>10010.018819999999</v>
      </c>
      <c r="H304" s="8">
        <v>9336</v>
      </c>
      <c r="I304" s="8">
        <v>-677.76882290000003</v>
      </c>
      <c r="J304" s="8">
        <v>15312.94225</v>
      </c>
      <c r="K304" s="8">
        <v>13624.81518</v>
      </c>
      <c r="L304" s="8">
        <v>16981.413209999999</v>
      </c>
      <c r="M304" s="9" t="str">
        <f>IF(A304="",M305,A304)</f>
        <v>Belgium</v>
      </c>
      <c r="N304" s="3" t="str">
        <f t="shared" si="9"/>
        <v>Mar-2021</v>
      </c>
    </row>
    <row r="305" spans="1:14" x14ac:dyDescent="0.3">
      <c r="A305" s="3" t="s">
        <v>32</v>
      </c>
      <c r="B305" s="3" t="s">
        <v>33</v>
      </c>
      <c r="C305" s="8">
        <v>2021</v>
      </c>
      <c r="D305" s="8">
        <v>4</v>
      </c>
      <c r="E305" s="3" t="str">
        <f t="shared" si="8"/>
        <v>April</v>
      </c>
      <c r="F305" s="3" t="s">
        <v>13</v>
      </c>
      <c r="G305" s="8">
        <v>9090.8275319999993</v>
      </c>
      <c r="H305" s="8">
        <v>9420</v>
      </c>
      <c r="I305" s="8">
        <v>325.42246799999998</v>
      </c>
      <c r="J305" s="8">
        <v>15638.36472</v>
      </c>
      <c r="K305" s="8">
        <v>13961.306140000001</v>
      </c>
      <c r="L305" s="8">
        <v>17367.61159</v>
      </c>
      <c r="M305" s="9" t="str">
        <f>IF(A305="",M306,A305)</f>
        <v>Belgium</v>
      </c>
      <c r="N305" s="3" t="str">
        <f t="shared" si="9"/>
        <v>Apr-2021</v>
      </c>
    </row>
    <row r="306" spans="1:14" x14ac:dyDescent="0.3">
      <c r="A306" s="3" t="s">
        <v>32</v>
      </c>
      <c r="B306" s="3" t="s">
        <v>33</v>
      </c>
      <c r="C306" s="8">
        <v>2021</v>
      </c>
      <c r="D306" s="8">
        <v>5</v>
      </c>
      <c r="E306" s="3" t="str">
        <f t="shared" si="8"/>
        <v>May</v>
      </c>
      <c r="F306" s="3" t="s">
        <v>13</v>
      </c>
      <c r="G306" s="8">
        <v>8559.2427189999999</v>
      </c>
      <c r="H306" s="8">
        <v>9262</v>
      </c>
      <c r="I306" s="8">
        <v>699.00728100000003</v>
      </c>
      <c r="J306" s="8">
        <v>16337.371999999999</v>
      </c>
      <c r="K306" s="8">
        <v>14552.220300000001</v>
      </c>
      <c r="L306" s="8">
        <v>18116.717830000001</v>
      </c>
      <c r="M306" s="9" t="str">
        <f>IF(A306="",M307,A306)</f>
        <v>Belgium</v>
      </c>
      <c r="N306" s="3" t="str">
        <f t="shared" si="9"/>
        <v>May-2021</v>
      </c>
    </row>
    <row r="307" spans="1:14" x14ac:dyDescent="0.3">
      <c r="A307" s="3" t="s">
        <v>32</v>
      </c>
      <c r="B307" s="3" t="s">
        <v>33</v>
      </c>
      <c r="C307" s="8">
        <v>2021</v>
      </c>
      <c r="D307" s="8">
        <v>6</v>
      </c>
      <c r="E307" s="3" t="str">
        <f t="shared" si="8"/>
        <v>June</v>
      </c>
      <c r="F307" s="3" t="s">
        <v>13</v>
      </c>
      <c r="G307" s="8">
        <v>8264.7936300000001</v>
      </c>
      <c r="H307" s="8">
        <v>8156</v>
      </c>
      <c r="I307" s="8">
        <v>-112.5436304</v>
      </c>
      <c r="J307" s="8">
        <v>16224.828369999999</v>
      </c>
      <c r="K307" s="8">
        <v>14376.093629999999</v>
      </c>
      <c r="L307" s="8">
        <v>18023.74929</v>
      </c>
      <c r="M307" s="9" t="str">
        <f>IF(A307="",M308,A307)</f>
        <v>Belgium</v>
      </c>
      <c r="N307" s="3" t="str">
        <f t="shared" si="9"/>
        <v>Jun-2021</v>
      </c>
    </row>
    <row r="308" spans="1:14" x14ac:dyDescent="0.3">
      <c r="A308" s="3" t="s">
        <v>32</v>
      </c>
      <c r="B308" s="3" t="s">
        <v>33</v>
      </c>
      <c r="C308" s="8">
        <v>2021</v>
      </c>
      <c r="D308" s="8">
        <v>7</v>
      </c>
      <c r="E308" s="3" t="str">
        <f t="shared" si="8"/>
        <v>July</v>
      </c>
      <c r="F308" s="3" t="s">
        <v>13</v>
      </c>
      <c r="G308" s="8">
        <v>8332.8960189999998</v>
      </c>
      <c r="H308" s="8">
        <v>8456</v>
      </c>
      <c r="I308" s="8">
        <v>119.3539806</v>
      </c>
      <c r="J308" s="8">
        <v>16344.182349999999</v>
      </c>
      <c r="K308" s="8">
        <v>14446.03917</v>
      </c>
      <c r="L308" s="8">
        <v>18234.129290000001</v>
      </c>
      <c r="M308" s="9" t="str">
        <f>IF(A308="",M309,A308)</f>
        <v>Belgium</v>
      </c>
      <c r="N308" s="3" t="str">
        <f t="shared" si="9"/>
        <v>Jul-2021</v>
      </c>
    </row>
    <row r="309" spans="1:14" x14ac:dyDescent="0.3">
      <c r="A309" s="3" t="s">
        <v>32</v>
      </c>
      <c r="B309" s="3" t="s">
        <v>33</v>
      </c>
      <c r="C309" s="8">
        <v>2021</v>
      </c>
      <c r="D309" s="8">
        <v>8</v>
      </c>
      <c r="E309" s="3" t="str">
        <f t="shared" si="8"/>
        <v>August</v>
      </c>
      <c r="F309" s="3" t="s">
        <v>13</v>
      </c>
      <c r="G309" s="8">
        <v>8231.1139839999996</v>
      </c>
      <c r="H309" s="8">
        <v>8296</v>
      </c>
      <c r="I309" s="8">
        <v>61.136016210000001</v>
      </c>
      <c r="J309" s="8">
        <v>16405.318370000001</v>
      </c>
      <c r="K309" s="8">
        <v>14389.8593</v>
      </c>
      <c r="L309" s="8">
        <v>18330.501769999999</v>
      </c>
      <c r="M309" s="9" t="str">
        <f>IF(A309="",M310,A309)</f>
        <v>Belgium</v>
      </c>
      <c r="N309" s="3" t="str">
        <f t="shared" si="9"/>
        <v>Aug-2021</v>
      </c>
    </row>
    <row r="310" spans="1:14" x14ac:dyDescent="0.3">
      <c r="A310" s="3" t="s">
        <v>32</v>
      </c>
      <c r="B310" s="3" t="s">
        <v>33</v>
      </c>
      <c r="C310" s="8">
        <v>2021</v>
      </c>
      <c r="D310" s="8">
        <v>9</v>
      </c>
      <c r="E310" s="3" t="str">
        <f t="shared" si="8"/>
        <v>September</v>
      </c>
      <c r="F310" s="3" t="s">
        <v>13</v>
      </c>
      <c r="G310" s="8">
        <v>8158.1911499999997</v>
      </c>
      <c r="H310" s="8">
        <v>8296</v>
      </c>
      <c r="I310" s="8">
        <v>134.05885040000001</v>
      </c>
      <c r="J310" s="8">
        <v>16539.377219999998</v>
      </c>
      <c r="K310" s="8">
        <v>14611.15452</v>
      </c>
      <c r="L310" s="8">
        <v>18607.447919999999</v>
      </c>
      <c r="M310" s="9" t="str">
        <f>IF(A310="",M311,A310)</f>
        <v>Belgium</v>
      </c>
      <c r="N310" s="3" t="str">
        <f t="shared" si="9"/>
        <v>Sep-2021</v>
      </c>
    </row>
    <row r="311" spans="1:14" x14ac:dyDescent="0.3">
      <c r="A311" s="3" t="s">
        <v>32</v>
      </c>
      <c r="B311" s="3" t="s">
        <v>33</v>
      </c>
      <c r="C311" s="8">
        <v>2021</v>
      </c>
      <c r="D311" s="8">
        <v>10</v>
      </c>
      <c r="E311" s="3" t="str">
        <f t="shared" si="8"/>
        <v>October</v>
      </c>
      <c r="F311" s="3" t="s">
        <v>13</v>
      </c>
      <c r="G311" s="8">
        <v>8529.8199019999993</v>
      </c>
      <c r="H311" s="8">
        <v>9768</v>
      </c>
      <c r="I311" s="8">
        <v>1234.430098</v>
      </c>
      <c r="J311" s="8">
        <v>17773.80731</v>
      </c>
      <c r="K311" s="8">
        <v>15783.50633</v>
      </c>
      <c r="L311" s="8">
        <v>19902.318940000001</v>
      </c>
      <c r="M311" s="9" t="str">
        <f>IF(A311="",M312,A311)</f>
        <v>Belgium</v>
      </c>
      <c r="N311" s="3" t="str">
        <f t="shared" si="9"/>
        <v>Oct-2021</v>
      </c>
    </row>
    <row r="312" spans="1:14" x14ac:dyDescent="0.3">
      <c r="A312" s="3" t="s">
        <v>32</v>
      </c>
      <c r="B312" s="3" t="s">
        <v>33</v>
      </c>
      <c r="C312" s="8">
        <v>2021</v>
      </c>
      <c r="D312" s="8">
        <v>11</v>
      </c>
      <c r="E312" s="3" t="str">
        <f t="shared" si="8"/>
        <v>November</v>
      </c>
      <c r="F312" s="3" t="s">
        <v>13</v>
      </c>
      <c r="G312" s="8">
        <v>9037.4129599999997</v>
      </c>
      <c r="H312" s="8">
        <v>10319</v>
      </c>
      <c r="I312" s="8">
        <v>1277.8370399999999</v>
      </c>
      <c r="J312" s="8">
        <v>19051.644349999999</v>
      </c>
      <c r="K312" s="8">
        <v>16963.32144</v>
      </c>
      <c r="L312" s="8">
        <v>21170.841850000001</v>
      </c>
      <c r="M312" s="9" t="str">
        <f>IF(A312="",M313,A312)</f>
        <v>Belgium</v>
      </c>
      <c r="N312" s="3" t="str">
        <f t="shared" si="9"/>
        <v>Nov-2021</v>
      </c>
    </row>
    <row r="313" spans="1:14" x14ac:dyDescent="0.3">
      <c r="A313" s="3" t="s">
        <v>32</v>
      </c>
      <c r="B313" s="3" t="s">
        <v>33</v>
      </c>
      <c r="C313" s="8">
        <v>2021</v>
      </c>
      <c r="D313" s="8">
        <v>12</v>
      </c>
      <c r="E313" s="3" t="str">
        <f t="shared" si="8"/>
        <v>December</v>
      </c>
      <c r="F313" s="3" t="s">
        <v>13</v>
      </c>
      <c r="G313" s="8">
        <v>9980.2990530000006</v>
      </c>
      <c r="H313" s="8">
        <v>11267</v>
      </c>
      <c r="I313" s="8">
        <v>1282.950947</v>
      </c>
      <c r="J313" s="8">
        <v>20334.595300000001</v>
      </c>
      <c r="K313" s="8">
        <v>18183.96428</v>
      </c>
      <c r="L313" s="8">
        <v>22583.0311</v>
      </c>
      <c r="M313" s="9" t="str">
        <f>IF(A313="",M314,A313)</f>
        <v>Belgium</v>
      </c>
      <c r="N313" s="3" t="str">
        <f t="shared" si="9"/>
        <v>Dec-2021</v>
      </c>
    </row>
    <row r="314" spans="1:14" x14ac:dyDescent="0.3">
      <c r="A314" s="3" t="s">
        <v>34</v>
      </c>
      <c r="B314" s="3" t="s">
        <v>35</v>
      </c>
      <c r="C314" s="8">
        <v>2020</v>
      </c>
      <c r="D314" s="8">
        <v>1</v>
      </c>
      <c r="E314" s="3" t="str">
        <f t="shared" si="8"/>
        <v>January</v>
      </c>
      <c r="F314" s="3" t="s">
        <v>8</v>
      </c>
      <c r="G314" s="8">
        <v>7884.693741</v>
      </c>
      <c r="H314" s="8">
        <v>8180.6540000000005</v>
      </c>
      <c r="I314" s="8">
        <v>295.96025859999997</v>
      </c>
      <c r="J314" s="8">
        <v>295.96025859999997</v>
      </c>
      <c r="K314" s="8">
        <v>-1714.011342</v>
      </c>
      <c r="L314" s="8">
        <v>2736.1348950000001</v>
      </c>
      <c r="M314" s="9" t="str">
        <f>IF(A314="",M315,A314)</f>
        <v>Benin</v>
      </c>
      <c r="N314" s="3" t="str">
        <f t="shared" si="9"/>
        <v>Jan-2020</v>
      </c>
    </row>
    <row r="315" spans="1:14" x14ac:dyDescent="0.3">
      <c r="A315" s="3" t="s">
        <v>34</v>
      </c>
      <c r="B315" s="3" t="s">
        <v>35</v>
      </c>
      <c r="C315" s="8">
        <v>2020</v>
      </c>
      <c r="D315" s="8">
        <v>2</v>
      </c>
      <c r="E315" s="3" t="str">
        <f t="shared" si="8"/>
        <v>February</v>
      </c>
      <c r="F315" s="3" t="s">
        <v>8</v>
      </c>
      <c r="G315" s="8">
        <v>7772.6384889999999</v>
      </c>
      <c r="H315" s="8">
        <v>7877.277</v>
      </c>
      <c r="I315" s="8">
        <v>104.63851150000001</v>
      </c>
      <c r="J315" s="8">
        <v>400.59877010000002</v>
      </c>
      <c r="K315" s="8">
        <v>-2630.125826</v>
      </c>
      <c r="L315" s="8">
        <v>3782.4723920000001</v>
      </c>
      <c r="M315" s="9" t="str">
        <f>IF(A315="",M316,A315)</f>
        <v>Benin</v>
      </c>
      <c r="N315" s="3" t="str">
        <f t="shared" si="9"/>
        <v>Feb-2020</v>
      </c>
    </row>
    <row r="316" spans="1:14" x14ac:dyDescent="0.3">
      <c r="A316" s="3" t="s">
        <v>34</v>
      </c>
      <c r="B316" s="3" t="s">
        <v>35</v>
      </c>
      <c r="C316" s="8">
        <v>2020</v>
      </c>
      <c r="D316" s="8">
        <v>3</v>
      </c>
      <c r="E316" s="3" t="str">
        <f t="shared" si="8"/>
        <v>March</v>
      </c>
      <c r="F316" s="3" t="s">
        <v>8</v>
      </c>
      <c r="G316" s="8">
        <v>7670.5016089999999</v>
      </c>
      <c r="H316" s="8">
        <v>7541.2809999999999</v>
      </c>
      <c r="I316" s="8">
        <v>-129.22060909999999</v>
      </c>
      <c r="J316" s="8">
        <v>271.37816099999998</v>
      </c>
      <c r="K316" s="8">
        <v>-3414.7540039999999</v>
      </c>
      <c r="L316" s="8">
        <v>4344.0504430000001</v>
      </c>
      <c r="M316" s="9" t="str">
        <f>IF(A316="",M317,A316)</f>
        <v>Benin</v>
      </c>
      <c r="N316" s="3" t="str">
        <f t="shared" si="9"/>
        <v>Mar-2020</v>
      </c>
    </row>
    <row r="317" spans="1:14" x14ac:dyDescent="0.3">
      <c r="A317" s="3" t="s">
        <v>34</v>
      </c>
      <c r="B317" s="3" t="s">
        <v>35</v>
      </c>
      <c r="C317" s="8">
        <v>2020</v>
      </c>
      <c r="D317" s="8">
        <v>4</v>
      </c>
      <c r="E317" s="3" t="str">
        <f t="shared" si="8"/>
        <v>April</v>
      </c>
      <c r="F317" s="3" t="s">
        <v>8</v>
      </c>
      <c r="G317" s="8">
        <v>7687.0538180000003</v>
      </c>
      <c r="H317" s="8">
        <v>7212.2340000000004</v>
      </c>
      <c r="I317" s="8">
        <v>-474.81981780000001</v>
      </c>
      <c r="J317" s="8">
        <v>-203.4416568</v>
      </c>
      <c r="K317" s="8">
        <v>-4318.9945019999996</v>
      </c>
      <c r="L317" s="8">
        <v>4313.9274850000002</v>
      </c>
      <c r="M317" s="9" t="str">
        <f>IF(A317="",M318,A317)</f>
        <v>Benin</v>
      </c>
      <c r="N317" s="3" t="str">
        <f t="shared" si="9"/>
        <v>Apr-2020</v>
      </c>
    </row>
    <row r="318" spans="1:14" x14ac:dyDescent="0.3">
      <c r="A318" s="3" t="s">
        <v>34</v>
      </c>
      <c r="B318" s="3" t="s">
        <v>35</v>
      </c>
      <c r="C318" s="8">
        <v>2020</v>
      </c>
      <c r="D318" s="8">
        <v>5</v>
      </c>
      <c r="E318" s="3" t="str">
        <f t="shared" si="8"/>
        <v>May</v>
      </c>
      <c r="F318" s="3" t="s">
        <v>8</v>
      </c>
      <c r="G318" s="8">
        <v>7747.3805869999997</v>
      </c>
      <c r="H318" s="8">
        <v>7613.26</v>
      </c>
      <c r="I318" s="8">
        <v>-134.12058690000001</v>
      </c>
      <c r="J318" s="8">
        <v>-337.56224359999999</v>
      </c>
      <c r="K318" s="8">
        <v>-4921.6909779999996</v>
      </c>
      <c r="L318" s="8">
        <v>4574.0405860000001</v>
      </c>
      <c r="M318" s="9" t="str">
        <f>IF(A318="",M319,A318)</f>
        <v>Benin</v>
      </c>
      <c r="N318" s="3" t="str">
        <f t="shared" si="9"/>
        <v>May-2020</v>
      </c>
    </row>
    <row r="319" spans="1:14" x14ac:dyDescent="0.3">
      <c r="A319" s="3" t="s">
        <v>34</v>
      </c>
      <c r="B319" s="3" t="s">
        <v>35</v>
      </c>
      <c r="C319" s="8">
        <v>2020</v>
      </c>
      <c r="D319" s="8">
        <v>6</v>
      </c>
      <c r="E319" s="3" t="str">
        <f t="shared" si="8"/>
        <v>June</v>
      </c>
      <c r="F319" s="3" t="s">
        <v>8</v>
      </c>
      <c r="G319" s="8">
        <v>7834.2005150000005</v>
      </c>
      <c r="H319" s="8">
        <v>8181.0829999999996</v>
      </c>
      <c r="I319" s="8">
        <v>346.88248529999998</v>
      </c>
      <c r="J319" s="8">
        <v>9.3202417050000008</v>
      </c>
      <c r="K319" s="8">
        <v>-5127.0297870000004</v>
      </c>
      <c r="L319" s="8">
        <v>5456.7210260000002</v>
      </c>
      <c r="M319" s="9" t="str">
        <f>IF(A319="",M320,A319)</f>
        <v>Benin</v>
      </c>
      <c r="N319" s="3" t="str">
        <f t="shared" si="9"/>
        <v>Jun-2020</v>
      </c>
    </row>
    <row r="320" spans="1:14" x14ac:dyDescent="0.3">
      <c r="A320" s="3" t="s">
        <v>34</v>
      </c>
      <c r="B320" s="3" t="s">
        <v>35</v>
      </c>
      <c r="C320" s="8">
        <v>2020</v>
      </c>
      <c r="D320" s="8">
        <v>7</v>
      </c>
      <c r="E320" s="3" t="str">
        <f t="shared" si="8"/>
        <v>July</v>
      </c>
      <c r="F320" s="3" t="s">
        <v>8</v>
      </c>
      <c r="G320" s="8">
        <v>7925.6420740000003</v>
      </c>
      <c r="H320" s="8">
        <v>8256.9860000000008</v>
      </c>
      <c r="I320" s="8">
        <v>331.3439257</v>
      </c>
      <c r="J320" s="8">
        <v>340.6641674</v>
      </c>
      <c r="K320" s="8">
        <v>-5365.0836339999996</v>
      </c>
      <c r="L320" s="8">
        <v>6176.8884440000002</v>
      </c>
      <c r="M320" s="9" t="str">
        <f>IF(A320="",M321,A320)</f>
        <v>Benin</v>
      </c>
      <c r="N320" s="3" t="str">
        <f t="shared" si="9"/>
        <v>Jul-2020</v>
      </c>
    </row>
    <row r="321" spans="1:14" x14ac:dyDescent="0.3">
      <c r="A321" s="3" t="s">
        <v>34</v>
      </c>
      <c r="B321" s="3" t="s">
        <v>35</v>
      </c>
      <c r="C321" s="8">
        <v>2020</v>
      </c>
      <c r="D321" s="8">
        <v>8</v>
      </c>
      <c r="E321" s="3" t="str">
        <f t="shared" si="8"/>
        <v>August</v>
      </c>
      <c r="F321" s="3" t="s">
        <v>8</v>
      </c>
      <c r="G321" s="8">
        <v>7959.8581899999999</v>
      </c>
      <c r="H321" s="8">
        <v>8147.8689999999997</v>
      </c>
      <c r="I321" s="8">
        <v>188.01080999999999</v>
      </c>
      <c r="J321" s="8">
        <v>528.67497749999995</v>
      </c>
      <c r="K321" s="8">
        <v>-5670.3525129999998</v>
      </c>
      <c r="L321" s="8">
        <v>6732.9819770000004</v>
      </c>
      <c r="M321" s="9" t="str">
        <f>IF(A321="",M322,A321)</f>
        <v>Benin</v>
      </c>
      <c r="N321" s="3" t="str">
        <f t="shared" si="9"/>
        <v>Aug-2020</v>
      </c>
    </row>
    <row r="322" spans="1:14" x14ac:dyDescent="0.3">
      <c r="A322" s="3" t="s">
        <v>34</v>
      </c>
      <c r="B322" s="3" t="s">
        <v>35</v>
      </c>
      <c r="C322" s="8">
        <v>2020</v>
      </c>
      <c r="D322" s="8">
        <v>9</v>
      </c>
      <c r="E322" s="3" t="str">
        <f t="shared" ref="E322:E385" si="10">TEXT(DATE(C322,D322,1),"MMMM")</f>
        <v>September</v>
      </c>
      <c r="F322" s="3" t="s">
        <v>8</v>
      </c>
      <c r="G322" s="8">
        <v>7936.905589</v>
      </c>
      <c r="H322" s="8">
        <v>8033.317</v>
      </c>
      <c r="I322" s="8">
        <v>96.411410750000002</v>
      </c>
      <c r="J322" s="8">
        <v>625.08638819999999</v>
      </c>
      <c r="K322" s="8">
        <v>-5834.5195949999998</v>
      </c>
      <c r="L322" s="8">
        <v>7153.9718999999996</v>
      </c>
      <c r="M322" s="9" t="str">
        <f>IF(A322="",M323,A322)</f>
        <v>Benin</v>
      </c>
      <c r="N322" s="3" t="str">
        <f t="shared" ref="N322:N385" si="11">TEXT(DATE(C322,D322,1),"MMM-YYYY")</f>
        <v>Sep-2020</v>
      </c>
    </row>
    <row r="323" spans="1:14" x14ac:dyDescent="0.3">
      <c r="A323" s="3" t="s">
        <v>34</v>
      </c>
      <c r="B323" s="3" t="s">
        <v>35</v>
      </c>
      <c r="C323" s="8">
        <v>2020</v>
      </c>
      <c r="D323" s="8">
        <v>10</v>
      </c>
      <c r="E323" s="3" t="str">
        <f t="shared" si="10"/>
        <v>October</v>
      </c>
      <c r="F323" s="3" t="s">
        <v>8</v>
      </c>
      <c r="G323" s="8">
        <v>7877.6620999999996</v>
      </c>
      <c r="H323" s="8">
        <v>7719.1440000000002</v>
      </c>
      <c r="I323" s="8">
        <v>-158.51809950000001</v>
      </c>
      <c r="J323" s="8">
        <v>466.56828869999998</v>
      </c>
      <c r="K323" s="8">
        <v>-6254.3667729999997</v>
      </c>
      <c r="L323" s="8">
        <v>7251.9901669999999</v>
      </c>
      <c r="M323" s="9" t="str">
        <f>IF(A323="",M324,A323)</f>
        <v>Benin</v>
      </c>
      <c r="N323" s="3" t="str">
        <f t="shared" si="11"/>
        <v>Oct-2020</v>
      </c>
    </row>
    <row r="324" spans="1:14" x14ac:dyDescent="0.3">
      <c r="A324" s="3" t="s">
        <v>34</v>
      </c>
      <c r="B324" s="3" t="s">
        <v>35</v>
      </c>
      <c r="C324" s="8">
        <v>2020</v>
      </c>
      <c r="D324" s="8">
        <v>11</v>
      </c>
      <c r="E324" s="3" t="str">
        <f t="shared" si="10"/>
        <v>November</v>
      </c>
      <c r="F324" s="3" t="s">
        <v>8</v>
      </c>
      <c r="G324" s="8">
        <v>7843.0242120000003</v>
      </c>
      <c r="H324" s="8">
        <v>7673.835</v>
      </c>
      <c r="I324" s="8">
        <v>-169.1892124</v>
      </c>
      <c r="J324" s="8">
        <v>297.37907630000001</v>
      </c>
      <c r="K324" s="8">
        <v>-6725.5384080000003</v>
      </c>
      <c r="L324" s="8">
        <v>7571.6175720000001</v>
      </c>
      <c r="M324" s="9" t="str">
        <f>IF(A324="",M325,A324)</f>
        <v>Benin</v>
      </c>
      <c r="N324" s="3" t="str">
        <f t="shared" si="11"/>
        <v>Nov-2020</v>
      </c>
    </row>
    <row r="325" spans="1:14" x14ac:dyDescent="0.3">
      <c r="A325" s="3" t="s">
        <v>34</v>
      </c>
      <c r="B325" s="3" t="s">
        <v>35</v>
      </c>
      <c r="C325" s="8">
        <v>2020</v>
      </c>
      <c r="D325" s="8">
        <v>12</v>
      </c>
      <c r="E325" s="3" t="str">
        <f t="shared" si="10"/>
        <v>December</v>
      </c>
      <c r="F325" s="3" t="s">
        <v>8</v>
      </c>
      <c r="G325" s="8">
        <v>7844.6583639999999</v>
      </c>
      <c r="H325" s="8">
        <v>7731.7259999999997</v>
      </c>
      <c r="I325" s="8">
        <v>-112.93236419999999</v>
      </c>
      <c r="J325" s="8">
        <v>184.44671199999999</v>
      </c>
      <c r="K325" s="8">
        <v>-7755.9326389999997</v>
      </c>
      <c r="L325" s="8">
        <v>7387.5280089999997</v>
      </c>
      <c r="M325" s="9" t="str">
        <f>IF(A325="",M326,A325)</f>
        <v>Benin</v>
      </c>
      <c r="N325" s="3" t="str">
        <f t="shared" si="11"/>
        <v>Dec-2020</v>
      </c>
    </row>
    <row r="326" spans="1:14" x14ac:dyDescent="0.3">
      <c r="A326" s="3" t="s">
        <v>34</v>
      </c>
      <c r="B326" s="3" t="s">
        <v>35</v>
      </c>
      <c r="C326" s="8">
        <v>2021</v>
      </c>
      <c r="D326" s="8">
        <v>1</v>
      </c>
      <c r="E326" s="3" t="str">
        <f t="shared" si="10"/>
        <v>January</v>
      </c>
      <c r="F326" s="3" t="s">
        <v>8</v>
      </c>
      <c r="G326" s="8">
        <v>7921.8516380000001</v>
      </c>
      <c r="H326" s="8">
        <v>8257.98</v>
      </c>
      <c r="I326" s="8">
        <v>336.12836220000003</v>
      </c>
      <c r="J326" s="8">
        <v>520.57507420000002</v>
      </c>
      <c r="K326" s="8">
        <v>-7673.2445989999997</v>
      </c>
      <c r="L326" s="8">
        <v>8298.1080120000006</v>
      </c>
      <c r="M326" s="9" t="str">
        <f>IF(A326="",M327,A326)</f>
        <v>Benin</v>
      </c>
      <c r="N326" s="3" t="str">
        <f t="shared" si="11"/>
        <v>Jan-2021</v>
      </c>
    </row>
    <row r="327" spans="1:14" x14ac:dyDescent="0.3">
      <c r="A327" s="3" t="s">
        <v>34</v>
      </c>
      <c r="B327" s="3" t="s">
        <v>35</v>
      </c>
      <c r="C327" s="8">
        <v>2021</v>
      </c>
      <c r="D327" s="8">
        <v>2</v>
      </c>
      <c r="E327" s="3" t="str">
        <f t="shared" si="10"/>
        <v>February</v>
      </c>
      <c r="F327" s="3" t="s">
        <v>8</v>
      </c>
      <c r="G327" s="8">
        <v>7805.0526060000002</v>
      </c>
      <c r="H327" s="8">
        <v>8546.86</v>
      </c>
      <c r="I327" s="8">
        <v>741.80739440000002</v>
      </c>
      <c r="J327" s="8">
        <v>1262.3824689999999</v>
      </c>
      <c r="K327" s="8">
        <v>-7102.104934</v>
      </c>
      <c r="L327" s="8">
        <v>9290.4282590000003</v>
      </c>
      <c r="M327" s="9" t="str">
        <f>IF(A327="",M328,A327)</f>
        <v>Benin</v>
      </c>
      <c r="N327" s="3" t="str">
        <f t="shared" si="11"/>
        <v>Feb-2021</v>
      </c>
    </row>
    <row r="328" spans="1:14" x14ac:dyDescent="0.3">
      <c r="A328" s="3" t="s">
        <v>34</v>
      </c>
      <c r="B328" s="3" t="s">
        <v>35</v>
      </c>
      <c r="C328" s="8">
        <v>2021</v>
      </c>
      <c r="D328" s="8">
        <v>3</v>
      </c>
      <c r="E328" s="3" t="str">
        <f t="shared" si="10"/>
        <v>March</v>
      </c>
      <c r="F328" s="3" t="s">
        <v>8</v>
      </c>
      <c r="G328" s="8">
        <v>7701.9731689999999</v>
      </c>
      <c r="H328" s="8">
        <v>8547.1880000000001</v>
      </c>
      <c r="I328" s="8">
        <v>845.21483109999997</v>
      </c>
      <c r="J328" s="8">
        <v>2107.5972999999999</v>
      </c>
      <c r="K328" s="8">
        <v>-6587.0660310000003</v>
      </c>
      <c r="L328" s="8">
        <v>10303.19478</v>
      </c>
      <c r="M328" s="9" t="str">
        <f>IF(A328="",M329,A328)</f>
        <v>Benin</v>
      </c>
      <c r="N328" s="3" t="str">
        <f t="shared" si="11"/>
        <v>Mar-2021</v>
      </c>
    </row>
    <row r="329" spans="1:14" x14ac:dyDescent="0.3">
      <c r="A329" s="3" t="s">
        <v>34</v>
      </c>
      <c r="B329" s="3" t="s">
        <v>35</v>
      </c>
      <c r="C329" s="8">
        <v>2021</v>
      </c>
      <c r="D329" s="8">
        <v>4</v>
      </c>
      <c r="E329" s="3" t="str">
        <f t="shared" si="10"/>
        <v>April</v>
      </c>
      <c r="F329" s="3" t="s">
        <v>8</v>
      </c>
      <c r="G329" s="8">
        <v>7719.9343509999999</v>
      </c>
      <c r="H329" s="8">
        <v>8090.75</v>
      </c>
      <c r="I329" s="8">
        <v>370.81564880000002</v>
      </c>
      <c r="J329" s="8">
        <v>2478.412949</v>
      </c>
      <c r="K329" s="8">
        <v>-6572.21029</v>
      </c>
      <c r="L329" s="8">
        <v>10843.13049</v>
      </c>
      <c r="M329" s="9" t="str">
        <f>IF(A329="",M330,A329)</f>
        <v>Benin</v>
      </c>
      <c r="N329" s="3" t="str">
        <f t="shared" si="11"/>
        <v>Apr-2021</v>
      </c>
    </row>
    <row r="330" spans="1:14" x14ac:dyDescent="0.3">
      <c r="A330" s="3" t="s">
        <v>34</v>
      </c>
      <c r="B330" s="3" t="s">
        <v>35</v>
      </c>
      <c r="C330" s="8">
        <v>2021</v>
      </c>
      <c r="D330" s="8">
        <v>5</v>
      </c>
      <c r="E330" s="3" t="str">
        <f t="shared" si="10"/>
        <v>May</v>
      </c>
      <c r="F330" s="3" t="s">
        <v>8</v>
      </c>
      <c r="G330" s="8">
        <v>7781.817395</v>
      </c>
      <c r="H330" s="8">
        <v>8119.5640000000003</v>
      </c>
      <c r="I330" s="8">
        <v>337.74660490000002</v>
      </c>
      <c r="J330" s="8">
        <v>2816.159553</v>
      </c>
      <c r="K330" s="8">
        <v>-6332.2254110000003</v>
      </c>
      <c r="L330" s="8">
        <v>11552.691999999999</v>
      </c>
      <c r="M330" s="9" t="str">
        <f>IF(A330="",M331,A330)</f>
        <v>Benin</v>
      </c>
      <c r="N330" s="3" t="str">
        <f t="shared" si="11"/>
        <v>May-2021</v>
      </c>
    </row>
    <row r="331" spans="1:14" x14ac:dyDescent="0.3">
      <c r="A331" s="3" t="s">
        <v>34</v>
      </c>
      <c r="B331" s="3" t="s">
        <v>35</v>
      </c>
      <c r="C331" s="8">
        <v>2021</v>
      </c>
      <c r="D331" s="8">
        <v>6</v>
      </c>
      <c r="E331" s="3" t="str">
        <f t="shared" si="10"/>
        <v>June</v>
      </c>
      <c r="F331" s="3" t="s">
        <v>8</v>
      </c>
      <c r="G331" s="8">
        <v>7866.4532559999998</v>
      </c>
      <c r="H331" s="8">
        <v>8173.9089999999997</v>
      </c>
      <c r="I331" s="8">
        <v>307.45574379999999</v>
      </c>
      <c r="J331" s="8">
        <v>3123.6152969999998</v>
      </c>
      <c r="K331" s="8">
        <v>-6665.626773</v>
      </c>
      <c r="L331" s="8">
        <v>12119.831609999999</v>
      </c>
      <c r="M331" s="9" t="str">
        <f>IF(A331="",M332,A331)</f>
        <v>Benin</v>
      </c>
      <c r="N331" s="3" t="str">
        <f t="shared" si="11"/>
        <v>Jun-2021</v>
      </c>
    </row>
    <row r="332" spans="1:14" x14ac:dyDescent="0.3">
      <c r="A332" s="3" t="s">
        <v>34</v>
      </c>
      <c r="B332" s="3" t="s">
        <v>35</v>
      </c>
      <c r="C332" s="8">
        <v>2021</v>
      </c>
      <c r="D332" s="8">
        <v>7</v>
      </c>
      <c r="E332" s="3" t="str">
        <f t="shared" si="10"/>
        <v>July</v>
      </c>
      <c r="F332" s="3" t="s">
        <v>8</v>
      </c>
      <c r="G332" s="8">
        <v>7962.5249789999998</v>
      </c>
      <c r="H332" s="8">
        <v>8335.4590000000007</v>
      </c>
      <c r="I332" s="8">
        <v>372.93402099999997</v>
      </c>
      <c r="J332" s="8">
        <v>3496.5493179999999</v>
      </c>
      <c r="K332" s="8">
        <v>-6135.4140049999996</v>
      </c>
      <c r="L332" s="8">
        <v>13135.176170000001</v>
      </c>
      <c r="M332" s="9" t="str">
        <f>IF(A332="",M333,A332)</f>
        <v>Benin</v>
      </c>
      <c r="N332" s="3" t="str">
        <f t="shared" si="11"/>
        <v>Jul-2021</v>
      </c>
    </row>
    <row r="333" spans="1:14" x14ac:dyDescent="0.3">
      <c r="A333" s="3" t="s">
        <v>34</v>
      </c>
      <c r="B333" s="3" t="s">
        <v>35</v>
      </c>
      <c r="C333" s="8">
        <v>2021</v>
      </c>
      <c r="D333" s="8">
        <v>8</v>
      </c>
      <c r="E333" s="3" t="str">
        <f t="shared" si="10"/>
        <v>August</v>
      </c>
      <c r="F333" s="3" t="s">
        <v>8</v>
      </c>
      <c r="G333" s="8">
        <v>7996.9358410000004</v>
      </c>
      <c r="H333" s="8">
        <v>8349.5370000000003</v>
      </c>
      <c r="I333" s="8">
        <v>352.60115939999997</v>
      </c>
      <c r="J333" s="8">
        <v>3849.150478</v>
      </c>
      <c r="K333" s="8">
        <v>-6057.5245059999997</v>
      </c>
      <c r="L333" s="8">
        <v>13438.12801</v>
      </c>
      <c r="M333" s="9" t="str">
        <f>IF(A333="",M334,A333)</f>
        <v>Benin</v>
      </c>
      <c r="N333" s="3" t="str">
        <f t="shared" si="11"/>
        <v>Aug-2021</v>
      </c>
    </row>
    <row r="334" spans="1:14" x14ac:dyDescent="0.3">
      <c r="A334" s="3" t="s">
        <v>34</v>
      </c>
      <c r="B334" s="3" t="s">
        <v>35</v>
      </c>
      <c r="C334" s="8">
        <v>2021</v>
      </c>
      <c r="D334" s="8">
        <v>9</v>
      </c>
      <c r="E334" s="3" t="str">
        <f t="shared" si="10"/>
        <v>September</v>
      </c>
      <c r="F334" s="3" t="s">
        <v>8</v>
      </c>
      <c r="G334" s="8">
        <v>7973.2177499999998</v>
      </c>
      <c r="H334" s="8">
        <v>8084.23</v>
      </c>
      <c r="I334" s="8">
        <v>111.0122497</v>
      </c>
      <c r="J334" s="8">
        <v>3960.1627269999999</v>
      </c>
      <c r="K334" s="8">
        <v>-6388.9543530000001</v>
      </c>
      <c r="L334" s="8">
        <v>13743.91632</v>
      </c>
      <c r="M334" s="9" t="str">
        <f>IF(A334="",M335,A334)</f>
        <v>Benin</v>
      </c>
      <c r="N334" s="3" t="str">
        <f t="shared" si="11"/>
        <v>Sep-2021</v>
      </c>
    </row>
    <row r="335" spans="1:14" x14ac:dyDescent="0.3">
      <c r="A335" s="3" t="s">
        <v>34</v>
      </c>
      <c r="B335" s="3" t="s">
        <v>35</v>
      </c>
      <c r="C335" s="8">
        <v>2021</v>
      </c>
      <c r="D335" s="8">
        <v>10</v>
      </c>
      <c r="E335" s="3" t="str">
        <f t="shared" si="10"/>
        <v>October</v>
      </c>
      <c r="F335" s="3" t="s">
        <v>8</v>
      </c>
      <c r="G335" s="8">
        <v>7908.5463790000003</v>
      </c>
      <c r="H335" s="8">
        <v>7736.3379999999997</v>
      </c>
      <c r="I335" s="8">
        <v>-172.2083792</v>
      </c>
      <c r="J335" s="8">
        <v>3787.9543480000002</v>
      </c>
      <c r="K335" s="8">
        <v>-6941.2641370000001</v>
      </c>
      <c r="L335" s="8">
        <v>14303.057150000001</v>
      </c>
      <c r="M335" s="9" t="str">
        <f>IF(A335="",M336,A335)</f>
        <v>Benin</v>
      </c>
      <c r="N335" s="3" t="str">
        <f t="shared" si="11"/>
        <v>Oct-2021</v>
      </c>
    </row>
    <row r="336" spans="1:14" x14ac:dyDescent="0.3">
      <c r="A336" s="3" t="s">
        <v>34</v>
      </c>
      <c r="B336" s="3" t="s">
        <v>35</v>
      </c>
      <c r="C336" s="8">
        <v>2021</v>
      </c>
      <c r="D336" s="8">
        <v>11</v>
      </c>
      <c r="E336" s="3" t="str">
        <f t="shared" si="10"/>
        <v>November</v>
      </c>
      <c r="F336" s="3" t="s">
        <v>8</v>
      </c>
      <c r="G336" s="8">
        <v>7876.4620569999997</v>
      </c>
      <c r="H336" s="8">
        <v>7776.66</v>
      </c>
      <c r="I336" s="8">
        <v>-99.802057309999995</v>
      </c>
      <c r="J336" s="8">
        <v>3688.1522909999999</v>
      </c>
      <c r="K336" s="8">
        <v>-7413.2302419999996</v>
      </c>
      <c r="L336" s="8">
        <v>14647.221649999999</v>
      </c>
      <c r="M336" s="9" t="str">
        <f>IF(A336="",M337,A336)</f>
        <v>Benin</v>
      </c>
      <c r="N336" s="3" t="str">
        <f t="shared" si="11"/>
        <v>Nov-2021</v>
      </c>
    </row>
    <row r="337" spans="1:14" x14ac:dyDescent="0.3">
      <c r="A337" s="3" t="s">
        <v>34</v>
      </c>
      <c r="B337" s="3" t="s">
        <v>35</v>
      </c>
      <c r="C337" s="8">
        <v>2021</v>
      </c>
      <c r="D337" s="8">
        <v>12</v>
      </c>
      <c r="E337" s="3" t="str">
        <f t="shared" si="10"/>
        <v>December</v>
      </c>
      <c r="F337" s="3" t="s">
        <v>8</v>
      </c>
      <c r="G337" s="8">
        <v>7878.2404999999999</v>
      </c>
      <c r="H337" s="8">
        <v>8140.3710000000001</v>
      </c>
      <c r="I337" s="8">
        <v>262.13049949999998</v>
      </c>
      <c r="J337" s="8">
        <v>3950.2827900000002</v>
      </c>
      <c r="K337" s="8">
        <v>-7301.799548</v>
      </c>
      <c r="L337" s="8">
        <v>15246.02592</v>
      </c>
      <c r="M337" s="9" t="str">
        <f>IF(A337="",M338,A337)</f>
        <v>Benin</v>
      </c>
      <c r="N337" s="3" t="str">
        <f t="shared" si="11"/>
        <v>Dec-2021</v>
      </c>
    </row>
    <row r="338" spans="1:14" x14ac:dyDescent="0.3">
      <c r="A338" s="3" t="s">
        <v>36</v>
      </c>
      <c r="B338" s="3" t="s">
        <v>37</v>
      </c>
      <c r="C338" s="8">
        <v>2020</v>
      </c>
      <c r="D338" s="8">
        <v>1</v>
      </c>
      <c r="E338" s="3" t="str">
        <f t="shared" si="10"/>
        <v>January</v>
      </c>
      <c r="F338" s="3" t="s">
        <v>8</v>
      </c>
      <c r="G338" s="8">
        <v>12931.719590000001</v>
      </c>
      <c r="H338" s="8">
        <v>13369.544</v>
      </c>
      <c r="I338" s="8">
        <v>437.82441210000002</v>
      </c>
      <c r="J338" s="8">
        <v>437.82441210000002</v>
      </c>
      <c r="K338" s="8">
        <v>-2756.2912409999999</v>
      </c>
      <c r="L338" s="8">
        <v>4375.929513</v>
      </c>
      <c r="M338" s="9" t="str">
        <f>IF(A338="",M339,A338)</f>
        <v>Burkina Faso</v>
      </c>
      <c r="N338" s="3" t="str">
        <f t="shared" si="11"/>
        <v>Jan-2020</v>
      </c>
    </row>
    <row r="339" spans="1:14" x14ac:dyDescent="0.3">
      <c r="A339" s="3" t="s">
        <v>36</v>
      </c>
      <c r="B339" s="3" t="s">
        <v>37</v>
      </c>
      <c r="C339" s="8">
        <v>2020</v>
      </c>
      <c r="D339" s="8">
        <v>2</v>
      </c>
      <c r="E339" s="3" t="str">
        <f t="shared" si="10"/>
        <v>February</v>
      </c>
      <c r="F339" s="3" t="s">
        <v>8</v>
      </c>
      <c r="G339" s="8">
        <v>12716.75431</v>
      </c>
      <c r="H339" s="8">
        <v>12819.884</v>
      </c>
      <c r="I339" s="8">
        <v>103.1296885</v>
      </c>
      <c r="J339" s="8">
        <v>540.95410049999998</v>
      </c>
      <c r="K339" s="8">
        <v>-4111.4628940000002</v>
      </c>
      <c r="L339" s="8">
        <v>6128.2090410000001</v>
      </c>
      <c r="M339" s="9" t="str">
        <f>IF(A339="",M340,A339)</f>
        <v>Burkina Faso</v>
      </c>
      <c r="N339" s="3" t="str">
        <f t="shared" si="11"/>
        <v>Feb-2020</v>
      </c>
    </row>
    <row r="340" spans="1:14" x14ac:dyDescent="0.3">
      <c r="A340" s="3" t="s">
        <v>36</v>
      </c>
      <c r="B340" s="3" t="s">
        <v>37</v>
      </c>
      <c r="C340" s="8">
        <v>2020</v>
      </c>
      <c r="D340" s="8">
        <v>3</v>
      </c>
      <c r="E340" s="3" t="str">
        <f t="shared" si="10"/>
        <v>March</v>
      </c>
      <c r="F340" s="3" t="s">
        <v>8</v>
      </c>
      <c r="G340" s="8">
        <v>12384.973169999999</v>
      </c>
      <c r="H340" s="8">
        <v>12144.465</v>
      </c>
      <c r="I340" s="8">
        <v>-240.50817119999999</v>
      </c>
      <c r="J340" s="8">
        <v>300.44592940000001</v>
      </c>
      <c r="K340" s="8">
        <v>-5403.9539999999997</v>
      </c>
      <c r="L340" s="8">
        <v>6315.9248930000003</v>
      </c>
      <c r="M340" s="9" t="str">
        <f>IF(A340="",M341,A340)</f>
        <v>Burkina Faso</v>
      </c>
      <c r="N340" s="3" t="str">
        <f t="shared" si="11"/>
        <v>Mar-2020</v>
      </c>
    </row>
    <row r="341" spans="1:14" x14ac:dyDescent="0.3">
      <c r="A341" s="3" t="s">
        <v>36</v>
      </c>
      <c r="B341" s="3" t="s">
        <v>37</v>
      </c>
      <c r="C341" s="8">
        <v>2020</v>
      </c>
      <c r="D341" s="8">
        <v>4</v>
      </c>
      <c r="E341" s="3" t="str">
        <f t="shared" si="10"/>
        <v>April</v>
      </c>
      <c r="F341" s="3" t="s">
        <v>8</v>
      </c>
      <c r="G341" s="8">
        <v>12293.90367</v>
      </c>
      <c r="H341" s="8">
        <v>11930.246999999999</v>
      </c>
      <c r="I341" s="8">
        <v>-363.65667139999999</v>
      </c>
      <c r="J341" s="8">
        <v>-63.21074205</v>
      </c>
      <c r="K341" s="8">
        <v>-6912.1638510000002</v>
      </c>
      <c r="L341" s="8">
        <v>7441.6457689999997</v>
      </c>
      <c r="M341" s="9" t="str">
        <f>IF(A341="",M342,A341)</f>
        <v>Burkina Faso</v>
      </c>
      <c r="N341" s="3" t="str">
        <f t="shared" si="11"/>
        <v>Apr-2020</v>
      </c>
    </row>
    <row r="342" spans="1:14" x14ac:dyDescent="0.3">
      <c r="A342" s="3" t="s">
        <v>36</v>
      </c>
      <c r="B342" s="3" t="s">
        <v>37</v>
      </c>
      <c r="C342" s="8">
        <v>2020</v>
      </c>
      <c r="D342" s="8">
        <v>5</v>
      </c>
      <c r="E342" s="3" t="str">
        <f t="shared" si="10"/>
        <v>May</v>
      </c>
      <c r="F342" s="3" t="s">
        <v>8</v>
      </c>
      <c r="G342" s="8">
        <v>12368.369409999999</v>
      </c>
      <c r="H342" s="8">
        <v>12581.528</v>
      </c>
      <c r="I342" s="8">
        <v>213.1585911</v>
      </c>
      <c r="J342" s="8">
        <v>149.94784899999999</v>
      </c>
      <c r="K342" s="8">
        <v>-7792.6041459999997</v>
      </c>
      <c r="L342" s="8">
        <v>8314.8211219999994</v>
      </c>
      <c r="M342" s="9" t="str">
        <f>IF(A342="",M343,A342)</f>
        <v>Burkina Faso</v>
      </c>
      <c r="N342" s="3" t="str">
        <f t="shared" si="11"/>
        <v>May-2020</v>
      </c>
    </row>
    <row r="343" spans="1:14" x14ac:dyDescent="0.3">
      <c r="A343" s="3" t="s">
        <v>36</v>
      </c>
      <c r="B343" s="3" t="s">
        <v>37</v>
      </c>
      <c r="C343" s="8">
        <v>2020</v>
      </c>
      <c r="D343" s="8">
        <v>6</v>
      </c>
      <c r="E343" s="3" t="str">
        <f t="shared" si="10"/>
        <v>June</v>
      </c>
      <c r="F343" s="3" t="s">
        <v>8</v>
      </c>
      <c r="G343" s="8">
        <v>12561.551810000001</v>
      </c>
      <c r="H343" s="8">
        <v>12841.876</v>
      </c>
      <c r="I343" s="8">
        <v>280.32418510000002</v>
      </c>
      <c r="J343" s="8">
        <v>430.27203409999998</v>
      </c>
      <c r="K343" s="8">
        <v>-7772.069915</v>
      </c>
      <c r="L343" s="8">
        <v>9600.2086220000001</v>
      </c>
      <c r="M343" s="9" t="str">
        <f>IF(A343="",M344,A343)</f>
        <v>Burkina Faso</v>
      </c>
      <c r="N343" s="3" t="str">
        <f t="shared" si="11"/>
        <v>Jun-2020</v>
      </c>
    </row>
    <row r="344" spans="1:14" x14ac:dyDescent="0.3">
      <c r="A344" s="3" t="s">
        <v>36</v>
      </c>
      <c r="B344" s="3" t="s">
        <v>37</v>
      </c>
      <c r="C344" s="8">
        <v>2020</v>
      </c>
      <c r="D344" s="8">
        <v>7</v>
      </c>
      <c r="E344" s="3" t="str">
        <f t="shared" si="10"/>
        <v>July</v>
      </c>
      <c r="F344" s="3" t="s">
        <v>8</v>
      </c>
      <c r="G344" s="8">
        <v>12746.97993</v>
      </c>
      <c r="H344" s="8">
        <v>12939.397999999999</v>
      </c>
      <c r="I344" s="8">
        <v>192.41806930000001</v>
      </c>
      <c r="J344" s="8">
        <v>622.6901034</v>
      </c>
      <c r="K344" s="8">
        <v>-8824.5374680000004</v>
      </c>
      <c r="L344" s="8">
        <v>11058.823630000001</v>
      </c>
      <c r="M344" s="9" t="str">
        <f>IF(A344="",M345,A344)</f>
        <v>Burkina Faso</v>
      </c>
      <c r="N344" s="3" t="str">
        <f t="shared" si="11"/>
        <v>Jul-2020</v>
      </c>
    </row>
    <row r="345" spans="1:14" x14ac:dyDescent="0.3">
      <c r="A345" s="3" t="s">
        <v>36</v>
      </c>
      <c r="B345" s="3" t="s">
        <v>37</v>
      </c>
      <c r="C345" s="8">
        <v>2020</v>
      </c>
      <c r="D345" s="8">
        <v>8</v>
      </c>
      <c r="E345" s="3" t="str">
        <f t="shared" si="10"/>
        <v>August</v>
      </c>
      <c r="F345" s="3" t="s">
        <v>8</v>
      </c>
      <c r="G345" s="8">
        <v>12862.193929999999</v>
      </c>
      <c r="H345" s="8">
        <v>13104.091</v>
      </c>
      <c r="I345" s="8">
        <v>241.89706609999999</v>
      </c>
      <c r="J345" s="8">
        <v>864.58716949999996</v>
      </c>
      <c r="K345" s="8">
        <v>-9311.5225840000003</v>
      </c>
      <c r="L345" s="8">
        <v>11404.45457</v>
      </c>
      <c r="M345" s="9" t="str">
        <f>IF(A345="",M346,A345)</f>
        <v>Burkina Faso</v>
      </c>
      <c r="N345" s="3" t="str">
        <f t="shared" si="11"/>
        <v>Aug-2020</v>
      </c>
    </row>
    <row r="346" spans="1:14" x14ac:dyDescent="0.3">
      <c r="A346" s="3" t="s">
        <v>36</v>
      </c>
      <c r="B346" s="3" t="s">
        <v>37</v>
      </c>
      <c r="C346" s="8">
        <v>2020</v>
      </c>
      <c r="D346" s="8">
        <v>9</v>
      </c>
      <c r="E346" s="3" t="str">
        <f t="shared" si="10"/>
        <v>September</v>
      </c>
      <c r="F346" s="3" t="s">
        <v>8</v>
      </c>
      <c r="G346" s="8">
        <v>12812.374540000001</v>
      </c>
      <c r="H346" s="8">
        <v>13036.08</v>
      </c>
      <c r="I346" s="8">
        <v>223.7054631</v>
      </c>
      <c r="J346" s="8">
        <v>1088.292633</v>
      </c>
      <c r="K346" s="8">
        <v>-9349.1642240000001</v>
      </c>
      <c r="L346" s="8">
        <v>12150.085779999999</v>
      </c>
      <c r="M346" s="9" t="str">
        <f>IF(A346="",M347,A346)</f>
        <v>Burkina Faso</v>
      </c>
      <c r="N346" s="3" t="str">
        <f t="shared" si="11"/>
        <v>Sep-2020</v>
      </c>
    </row>
    <row r="347" spans="1:14" x14ac:dyDescent="0.3">
      <c r="A347" s="3" t="s">
        <v>36</v>
      </c>
      <c r="B347" s="3" t="s">
        <v>37</v>
      </c>
      <c r="C347" s="8">
        <v>2020</v>
      </c>
      <c r="D347" s="8">
        <v>10</v>
      </c>
      <c r="E347" s="3" t="str">
        <f t="shared" si="10"/>
        <v>October</v>
      </c>
      <c r="F347" s="3" t="s">
        <v>8</v>
      </c>
      <c r="G347" s="8">
        <v>12702.66152</v>
      </c>
      <c r="H347" s="8">
        <v>12651.304</v>
      </c>
      <c r="I347" s="8">
        <v>-51.35751578</v>
      </c>
      <c r="J347" s="8">
        <v>1036.935117</v>
      </c>
      <c r="K347" s="8">
        <v>-9562.9578290000009</v>
      </c>
      <c r="L347" s="8">
        <v>12610.356400000001</v>
      </c>
      <c r="M347" s="9" t="str">
        <f>IF(A347="",M348,A347)</f>
        <v>Burkina Faso</v>
      </c>
      <c r="N347" s="3" t="str">
        <f t="shared" si="11"/>
        <v>Oct-2020</v>
      </c>
    </row>
    <row r="348" spans="1:14" x14ac:dyDescent="0.3">
      <c r="A348" s="3" t="s">
        <v>36</v>
      </c>
      <c r="B348" s="3" t="s">
        <v>37</v>
      </c>
      <c r="C348" s="8">
        <v>2020</v>
      </c>
      <c r="D348" s="8">
        <v>11</v>
      </c>
      <c r="E348" s="3" t="str">
        <f t="shared" si="10"/>
        <v>November</v>
      </c>
      <c r="F348" s="3" t="s">
        <v>8</v>
      </c>
      <c r="G348" s="8">
        <v>12753.14256</v>
      </c>
      <c r="H348" s="8">
        <v>12474.03</v>
      </c>
      <c r="I348" s="8">
        <v>-279.11255729999999</v>
      </c>
      <c r="J348" s="8">
        <v>757.82255950000001</v>
      </c>
      <c r="K348" s="8">
        <v>-10923.59222</v>
      </c>
      <c r="L348" s="8">
        <v>13311.548930000001</v>
      </c>
      <c r="M348" s="9" t="str">
        <f>IF(A348="",M349,A348)</f>
        <v>Burkina Faso</v>
      </c>
      <c r="N348" s="3" t="str">
        <f t="shared" si="11"/>
        <v>Nov-2020</v>
      </c>
    </row>
    <row r="349" spans="1:14" x14ac:dyDescent="0.3">
      <c r="A349" s="3" t="s">
        <v>36</v>
      </c>
      <c r="B349" s="3" t="s">
        <v>37</v>
      </c>
      <c r="C349" s="8">
        <v>2020</v>
      </c>
      <c r="D349" s="8">
        <v>12</v>
      </c>
      <c r="E349" s="3" t="str">
        <f t="shared" si="10"/>
        <v>December</v>
      </c>
      <c r="F349" s="3" t="s">
        <v>8</v>
      </c>
      <c r="G349" s="8">
        <v>12763.2089</v>
      </c>
      <c r="H349" s="8">
        <v>12917.099</v>
      </c>
      <c r="I349" s="8">
        <v>153.89009540000001</v>
      </c>
      <c r="J349" s="8">
        <v>911.71265489999996</v>
      </c>
      <c r="K349" s="8">
        <v>-11151.28314</v>
      </c>
      <c r="L349" s="8">
        <v>14421.791800000001</v>
      </c>
      <c r="M349" s="9" t="str">
        <f>IF(A349="",M350,A349)</f>
        <v>Burkina Faso</v>
      </c>
      <c r="N349" s="3" t="str">
        <f t="shared" si="11"/>
        <v>Dec-2020</v>
      </c>
    </row>
    <row r="350" spans="1:14" x14ac:dyDescent="0.3">
      <c r="A350" s="3" t="s">
        <v>36</v>
      </c>
      <c r="B350" s="3" t="s">
        <v>37</v>
      </c>
      <c r="C350" s="8">
        <v>2021</v>
      </c>
      <c r="D350" s="8">
        <v>1</v>
      </c>
      <c r="E350" s="3" t="str">
        <f t="shared" si="10"/>
        <v>January</v>
      </c>
      <c r="F350" s="3" t="s">
        <v>8</v>
      </c>
      <c r="G350" s="8">
        <v>12933.54484</v>
      </c>
      <c r="H350" s="8">
        <v>13767.026</v>
      </c>
      <c r="I350" s="8">
        <v>833.48116370000002</v>
      </c>
      <c r="J350" s="8">
        <v>1745.1938190000001</v>
      </c>
      <c r="K350" s="8">
        <v>-10300.68125</v>
      </c>
      <c r="L350" s="8">
        <v>16119.04624</v>
      </c>
      <c r="M350" s="9" t="str">
        <f>IF(A350="",M351,A350)</f>
        <v>Burkina Faso</v>
      </c>
      <c r="N350" s="3" t="str">
        <f t="shared" si="11"/>
        <v>Jan-2021</v>
      </c>
    </row>
    <row r="351" spans="1:14" x14ac:dyDescent="0.3">
      <c r="A351" s="3" t="s">
        <v>36</v>
      </c>
      <c r="B351" s="3" t="s">
        <v>37</v>
      </c>
      <c r="C351" s="8">
        <v>2021</v>
      </c>
      <c r="D351" s="8">
        <v>2</v>
      </c>
      <c r="E351" s="3" t="str">
        <f t="shared" si="10"/>
        <v>February</v>
      </c>
      <c r="F351" s="3" t="s">
        <v>8</v>
      </c>
      <c r="G351" s="8">
        <v>12723.48785</v>
      </c>
      <c r="H351" s="8">
        <v>14065.941999999999</v>
      </c>
      <c r="I351" s="8">
        <v>1342.454154</v>
      </c>
      <c r="J351" s="8">
        <v>3087.6479730000001</v>
      </c>
      <c r="K351" s="8">
        <v>-9840.9217960000005</v>
      </c>
      <c r="L351" s="8">
        <v>17437.821070000002</v>
      </c>
      <c r="M351" s="9" t="str">
        <f>IF(A351="",M352,A351)</f>
        <v>Burkina Faso</v>
      </c>
      <c r="N351" s="3" t="str">
        <f t="shared" si="11"/>
        <v>Feb-2021</v>
      </c>
    </row>
    <row r="352" spans="1:14" x14ac:dyDescent="0.3">
      <c r="A352" s="3" t="s">
        <v>36</v>
      </c>
      <c r="B352" s="3" t="s">
        <v>37</v>
      </c>
      <c r="C352" s="8">
        <v>2021</v>
      </c>
      <c r="D352" s="8">
        <v>3</v>
      </c>
      <c r="E352" s="3" t="str">
        <f t="shared" si="10"/>
        <v>March</v>
      </c>
      <c r="F352" s="3" t="s">
        <v>8</v>
      </c>
      <c r="G352" s="8">
        <v>12384.034610000001</v>
      </c>
      <c r="H352" s="8">
        <v>13404.936</v>
      </c>
      <c r="I352" s="8">
        <v>1020.901391</v>
      </c>
      <c r="J352" s="8">
        <v>4108.5493640000004</v>
      </c>
      <c r="K352" s="8">
        <v>-9357.768188</v>
      </c>
      <c r="L352" s="8">
        <v>18896.385419999999</v>
      </c>
      <c r="M352" s="9" t="str">
        <f>IF(A352="",M353,A352)</f>
        <v>Burkina Faso</v>
      </c>
      <c r="N352" s="3" t="str">
        <f t="shared" si="11"/>
        <v>Mar-2021</v>
      </c>
    </row>
    <row r="353" spans="1:14" x14ac:dyDescent="0.3">
      <c r="A353" s="3" t="s">
        <v>36</v>
      </c>
      <c r="B353" s="3" t="s">
        <v>37</v>
      </c>
      <c r="C353" s="8">
        <v>2021</v>
      </c>
      <c r="D353" s="8">
        <v>4</v>
      </c>
      <c r="E353" s="3" t="str">
        <f t="shared" si="10"/>
        <v>April</v>
      </c>
      <c r="F353" s="3" t="s">
        <v>8</v>
      </c>
      <c r="G353" s="8">
        <v>12298.20048</v>
      </c>
      <c r="H353" s="8">
        <v>13026.989</v>
      </c>
      <c r="I353" s="8">
        <v>728.78851550000002</v>
      </c>
      <c r="J353" s="8">
        <v>4837.3378789999997</v>
      </c>
      <c r="K353" s="8">
        <v>-9238.0198029999992</v>
      </c>
      <c r="L353" s="8">
        <v>19999.81295</v>
      </c>
      <c r="M353" s="9" t="str">
        <f>IF(A353="",M354,A353)</f>
        <v>Burkina Faso</v>
      </c>
      <c r="N353" s="3" t="str">
        <f t="shared" si="11"/>
        <v>Apr-2021</v>
      </c>
    </row>
    <row r="354" spans="1:14" x14ac:dyDescent="0.3">
      <c r="A354" s="3" t="s">
        <v>36</v>
      </c>
      <c r="B354" s="3" t="s">
        <v>37</v>
      </c>
      <c r="C354" s="8">
        <v>2021</v>
      </c>
      <c r="D354" s="8">
        <v>5</v>
      </c>
      <c r="E354" s="3" t="str">
        <f t="shared" si="10"/>
        <v>May</v>
      </c>
      <c r="F354" s="3" t="s">
        <v>8</v>
      </c>
      <c r="G354" s="8">
        <v>12378.228779999999</v>
      </c>
      <c r="H354" s="8">
        <v>13184.384</v>
      </c>
      <c r="I354" s="8">
        <v>806.15521879999994</v>
      </c>
      <c r="J354" s="8">
        <v>5643.4930979999999</v>
      </c>
      <c r="K354" s="8">
        <v>-9127.8440559999999</v>
      </c>
      <c r="L354" s="8">
        <v>20867.01311</v>
      </c>
      <c r="M354" s="9" t="str">
        <f>IF(A354="",M355,A354)</f>
        <v>Burkina Faso</v>
      </c>
      <c r="N354" s="3" t="str">
        <f t="shared" si="11"/>
        <v>May-2021</v>
      </c>
    </row>
    <row r="355" spans="1:14" x14ac:dyDescent="0.3">
      <c r="A355" s="3" t="s">
        <v>36</v>
      </c>
      <c r="B355" s="3" t="s">
        <v>37</v>
      </c>
      <c r="C355" s="8">
        <v>2021</v>
      </c>
      <c r="D355" s="8">
        <v>6</v>
      </c>
      <c r="E355" s="3" t="str">
        <f t="shared" si="10"/>
        <v>June</v>
      </c>
      <c r="F355" s="3" t="s">
        <v>8</v>
      </c>
      <c r="G355" s="8">
        <v>12567.13113</v>
      </c>
      <c r="H355" s="8">
        <v>13354.147000000001</v>
      </c>
      <c r="I355" s="8">
        <v>787.0158735</v>
      </c>
      <c r="J355" s="8">
        <v>6430.5089710000002</v>
      </c>
      <c r="K355" s="8">
        <v>-8445.2276610000008</v>
      </c>
      <c r="L355" s="8">
        <v>22186.438099999999</v>
      </c>
      <c r="M355" s="9" t="str">
        <f>IF(A355="",M356,A355)</f>
        <v>Burkina Faso</v>
      </c>
      <c r="N355" s="3" t="str">
        <f t="shared" si="11"/>
        <v>Jun-2021</v>
      </c>
    </row>
    <row r="356" spans="1:14" x14ac:dyDescent="0.3">
      <c r="A356" s="3" t="s">
        <v>36</v>
      </c>
      <c r="B356" s="3" t="s">
        <v>37</v>
      </c>
      <c r="C356" s="8">
        <v>2021</v>
      </c>
      <c r="D356" s="8">
        <v>7</v>
      </c>
      <c r="E356" s="3" t="str">
        <f t="shared" si="10"/>
        <v>July</v>
      </c>
      <c r="F356" s="3" t="s">
        <v>8</v>
      </c>
      <c r="G356" s="8">
        <v>12751.71631</v>
      </c>
      <c r="H356" s="8">
        <v>13590.914000000001</v>
      </c>
      <c r="I356" s="8">
        <v>839.19768929999998</v>
      </c>
      <c r="J356" s="8">
        <v>7269.7066610000002</v>
      </c>
      <c r="K356" s="8">
        <v>-7977.753659</v>
      </c>
      <c r="L356" s="8">
        <v>23502.286960000001</v>
      </c>
      <c r="M356" s="9" t="str">
        <f>IF(A356="",M357,A356)</f>
        <v>Burkina Faso</v>
      </c>
      <c r="N356" s="3" t="str">
        <f t="shared" si="11"/>
        <v>Jul-2021</v>
      </c>
    </row>
    <row r="357" spans="1:14" x14ac:dyDescent="0.3">
      <c r="A357" s="3" t="s">
        <v>36</v>
      </c>
      <c r="B357" s="3" t="s">
        <v>37</v>
      </c>
      <c r="C357" s="8">
        <v>2021</v>
      </c>
      <c r="D357" s="8">
        <v>8</v>
      </c>
      <c r="E357" s="3" t="str">
        <f t="shared" si="10"/>
        <v>August</v>
      </c>
      <c r="F357" s="3" t="s">
        <v>8</v>
      </c>
      <c r="G357" s="8">
        <v>12858.718129999999</v>
      </c>
      <c r="H357" s="8">
        <v>13282.681</v>
      </c>
      <c r="I357" s="8">
        <v>423.962872</v>
      </c>
      <c r="J357" s="8">
        <v>7693.6695330000002</v>
      </c>
      <c r="K357" s="8">
        <v>-8404.7213350000002</v>
      </c>
      <c r="L357" s="8">
        <v>24630.77346</v>
      </c>
      <c r="M357" s="9" t="str">
        <f>IF(A357="",M358,A357)</f>
        <v>Burkina Faso</v>
      </c>
      <c r="N357" s="3" t="str">
        <f t="shared" si="11"/>
        <v>Aug-2021</v>
      </c>
    </row>
    <row r="358" spans="1:14" x14ac:dyDescent="0.3">
      <c r="A358" s="3" t="s">
        <v>36</v>
      </c>
      <c r="B358" s="3" t="s">
        <v>37</v>
      </c>
      <c r="C358" s="8">
        <v>2021</v>
      </c>
      <c r="D358" s="8">
        <v>9</v>
      </c>
      <c r="E358" s="3" t="str">
        <f t="shared" si="10"/>
        <v>September</v>
      </c>
      <c r="F358" s="3" t="s">
        <v>8</v>
      </c>
      <c r="G358" s="8">
        <v>12813.55089</v>
      </c>
      <c r="H358" s="8">
        <v>13181.905000000001</v>
      </c>
      <c r="I358" s="8">
        <v>368.35411290000002</v>
      </c>
      <c r="J358" s="8">
        <v>8062.0236459999996</v>
      </c>
      <c r="K358" s="8">
        <v>-8556.9147690000009</v>
      </c>
      <c r="L358" s="8">
        <v>25811.0465</v>
      </c>
      <c r="M358" s="9" t="str">
        <f>IF(A358="",M359,A358)</f>
        <v>Burkina Faso</v>
      </c>
      <c r="N358" s="3" t="str">
        <f t="shared" si="11"/>
        <v>Sep-2021</v>
      </c>
    </row>
    <row r="359" spans="1:14" x14ac:dyDescent="0.3">
      <c r="A359" s="3" t="s">
        <v>36</v>
      </c>
      <c r="B359" s="3" t="s">
        <v>37</v>
      </c>
      <c r="C359" s="8">
        <v>2021</v>
      </c>
      <c r="D359" s="8">
        <v>10</v>
      </c>
      <c r="E359" s="3" t="str">
        <f t="shared" si="10"/>
        <v>October</v>
      </c>
      <c r="F359" s="3" t="s">
        <v>8</v>
      </c>
      <c r="G359" s="8">
        <v>12706.15164</v>
      </c>
      <c r="H359" s="8">
        <v>12905.696</v>
      </c>
      <c r="I359" s="8">
        <v>199.54436179999999</v>
      </c>
      <c r="J359" s="8">
        <v>8261.5680069999999</v>
      </c>
      <c r="K359" s="8">
        <v>-8954.7809089999992</v>
      </c>
      <c r="L359" s="8">
        <v>26803.330610000001</v>
      </c>
      <c r="M359" s="9" t="str">
        <f>IF(A359="",M360,A359)</f>
        <v>Burkina Faso</v>
      </c>
      <c r="N359" s="3" t="str">
        <f t="shared" si="11"/>
        <v>Oct-2021</v>
      </c>
    </row>
    <row r="360" spans="1:14" x14ac:dyDescent="0.3">
      <c r="A360" s="3" t="s">
        <v>36</v>
      </c>
      <c r="B360" s="3" t="s">
        <v>37</v>
      </c>
      <c r="C360" s="8">
        <v>2021</v>
      </c>
      <c r="D360" s="8">
        <v>11</v>
      </c>
      <c r="E360" s="3" t="str">
        <f t="shared" si="10"/>
        <v>November</v>
      </c>
      <c r="F360" s="3" t="s">
        <v>8</v>
      </c>
      <c r="G360" s="8">
        <v>12758.613090000001</v>
      </c>
      <c r="H360" s="8">
        <v>12993.107</v>
      </c>
      <c r="I360" s="8">
        <v>234.4939091</v>
      </c>
      <c r="J360" s="8">
        <v>8496.0619170000009</v>
      </c>
      <c r="K360" s="8">
        <v>-9014.7242869999991</v>
      </c>
      <c r="L360" s="8">
        <v>26721.0694</v>
      </c>
      <c r="M360" s="9" t="str">
        <f>IF(A360="",M361,A360)</f>
        <v>Burkina Faso</v>
      </c>
      <c r="N360" s="3" t="str">
        <f t="shared" si="11"/>
        <v>Nov-2021</v>
      </c>
    </row>
    <row r="361" spans="1:14" x14ac:dyDescent="0.3">
      <c r="A361" s="3" t="s">
        <v>36</v>
      </c>
      <c r="B361" s="3" t="s">
        <v>37</v>
      </c>
      <c r="C361" s="8">
        <v>2021</v>
      </c>
      <c r="D361" s="8">
        <v>12</v>
      </c>
      <c r="E361" s="3" t="str">
        <f t="shared" si="10"/>
        <v>December</v>
      </c>
      <c r="F361" s="3" t="s">
        <v>8</v>
      </c>
      <c r="G361" s="8">
        <v>12768.55006</v>
      </c>
      <c r="H361" s="8">
        <v>13212.675999999999</v>
      </c>
      <c r="I361" s="8">
        <v>444.12593959999998</v>
      </c>
      <c r="J361" s="8">
        <v>8940.1878560000005</v>
      </c>
      <c r="K361" s="8">
        <v>-9245.4778399999996</v>
      </c>
      <c r="L361" s="8">
        <v>27575.194520000001</v>
      </c>
      <c r="M361" s="9" t="str">
        <f>IF(A361="",M362,A361)</f>
        <v>Burkina Faso</v>
      </c>
      <c r="N361" s="3" t="str">
        <f t="shared" si="11"/>
        <v>Dec-2021</v>
      </c>
    </row>
    <row r="362" spans="1:14" x14ac:dyDescent="0.3">
      <c r="A362" s="3" t="s">
        <v>38</v>
      </c>
      <c r="B362" s="3" t="s">
        <v>39</v>
      </c>
      <c r="C362" s="8">
        <v>2020</v>
      </c>
      <c r="D362" s="8">
        <v>1</v>
      </c>
      <c r="E362" s="3" t="str">
        <f t="shared" si="10"/>
        <v>January</v>
      </c>
      <c r="F362" s="3" t="s">
        <v>8</v>
      </c>
      <c r="G362" s="8">
        <v>70785.184479999996</v>
      </c>
      <c r="H362" s="8">
        <v>71245.259000000005</v>
      </c>
      <c r="I362" s="8">
        <v>460.07452019999999</v>
      </c>
      <c r="J362" s="8">
        <v>460.07452019999999</v>
      </c>
      <c r="K362" s="8">
        <v>-16679.95624</v>
      </c>
      <c r="L362" s="8">
        <v>20592.630840000002</v>
      </c>
      <c r="M362" s="9" t="str">
        <f>IF(A362="",M363,A362)</f>
        <v>Bangladesh</v>
      </c>
      <c r="N362" s="3" t="str">
        <f t="shared" si="11"/>
        <v>Jan-2020</v>
      </c>
    </row>
    <row r="363" spans="1:14" x14ac:dyDescent="0.3">
      <c r="A363" s="3" t="s">
        <v>38</v>
      </c>
      <c r="B363" s="3" t="s">
        <v>39</v>
      </c>
      <c r="C363" s="8">
        <v>2020</v>
      </c>
      <c r="D363" s="8">
        <v>2</v>
      </c>
      <c r="E363" s="3" t="str">
        <f t="shared" si="10"/>
        <v>February</v>
      </c>
      <c r="F363" s="3" t="s">
        <v>8</v>
      </c>
      <c r="G363" s="8">
        <v>69388.070290000003</v>
      </c>
      <c r="H363" s="8">
        <v>67933.854000000007</v>
      </c>
      <c r="I363" s="8">
        <v>-1454.216291</v>
      </c>
      <c r="J363" s="8">
        <v>-994.14177070000005</v>
      </c>
      <c r="K363" s="8">
        <v>-25712.40869</v>
      </c>
      <c r="L363" s="8">
        <v>28759.470880000001</v>
      </c>
      <c r="M363" s="9" t="str">
        <f>IF(A363="",M364,A363)</f>
        <v>Bangladesh</v>
      </c>
      <c r="N363" s="3" t="str">
        <f t="shared" si="11"/>
        <v>Feb-2020</v>
      </c>
    </row>
    <row r="364" spans="1:14" x14ac:dyDescent="0.3">
      <c r="A364" s="3" t="s">
        <v>38</v>
      </c>
      <c r="B364" s="3" t="s">
        <v>39</v>
      </c>
      <c r="C364" s="8">
        <v>2020</v>
      </c>
      <c r="D364" s="8">
        <v>3</v>
      </c>
      <c r="E364" s="3" t="str">
        <f t="shared" si="10"/>
        <v>March</v>
      </c>
      <c r="F364" s="3" t="s">
        <v>8</v>
      </c>
      <c r="G364" s="8">
        <v>67651.782210000005</v>
      </c>
      <c r="H364" s="8">
        <v>64758.142</v>
      </c>
      <c r="I364" s="8">
        <v>-2893.64021</v>
      </c>
      <c r="J364" s="8">
        <v>-3887.7819810000001</v>
      </c>
      <c r="K364" s="8">
        <v>-34773.477359999997</v>
      </c>
      <c r="L364" s="8">
        <v>30873.438569999998</v>
      </c>
      <c r="M364" s="9" t="str">
        <f>IF(A364="",M365,A364)</f>
        <v>Bangladesh</v>
      </c>
      <c r="N364" s="3" t="str">
        <f t="shared" si="11"/>
        <v>Mar-2020</v>
      </c>
    </row>
    <row r="365" spans="1:14" x14ac:dyDescent="0.3">
      <c r="A365" s="3" t="s">
        <v>38</v>
      </c>
      <c r="B365" s="3" t="s">
        <v>39</v>
      </c>
      <c r="C365" s="8">
        <v>2020</v>
      </c>
      <c r="D365" s="8">
        <v>4</v>
      </c>
      <c r="E365" s="3" t="str">
        <f t="shared" si="10"/>
        <v>April</v>
      </c>
      <c r="F365" s="3" t="s">
        <v>8</v>
      </c>
      <c r="G365" s="8">
        <v>66689.945980000004</v>
      </c>
      <c r="H365" s="8">
        <v>63925.487999999998</v>
      </c>
      <c r="I365" s="8">
        <v>-2764.4579840000001</v>
      </c>
      <c r="J365" s="8">
        <v>-6652.2399640000003</v>
      </c>
      <c r="K365" s="8">
        <v>-41098.807959999998</v>
      </c>
      <c r="L365" s="8">
        <v>34675.251080000002</v>
      </c>
      <c r="M365" s="9" t="str">
        <f>IF(A365="",M366,A365)</f>
        <v>Bangladesh</v>
      </c>
      <c r="N365" s="3" t="str">
        <f t="shared" si="11"/>
        <v>Apr-2020</v>
      </c>
    </row>
    <row r="366" spans="1:14" x14ac:dyDescent="0.3">
      <c r="A366" s="3" t="s">
        <v>38</v>
      </c>
      <c r="B366" s="3" t="s">
        <v>39</v>
      </c>
      <c r="C366" s="8">
        <v>2020</v>
      </c>
      <c r="D366" s="8">
        <v>5</v>
      </c>
      <c r="E366" s="3" t="str">
        <f t="shared" si="10"/>
        <v>May</v>
      </c>
      <c r="F366" s="3" t="s">
        <v>8</v>
      </c>
      <c r="G366" s="8">
        <v>66429.553360000005</v>
      </c>
      <c r="H366" s="8">
        <v>70726.459000000003</v>
      </c>
      <c r="I366" s="8">
        <v>4296.9056430000001</v>
      </c>
      <c r="J366" s="8">
        <v>-2355.3343220000002</v>
      </c>
      <c r="K366" s="8">
        <v>-42919.615790000003</v>
      </c>
      <c r="L366" s="8">
        <v>41821.618439999998</v>
      </c>
      <c r="M366" s="9" t="str">
        <f>IF(A366="",M367,A366)</f>
        <v>Bangladesh</v>
      </c>
      <c r="N366" s="3" t="str">
        <f t="shared" si="11"/>
        <v>May-2020</v>
      </c>
    </row>
    <row r="367" spans="1:14" x14ac:dyDescent="0.3">
      <c r="A367" s="3" t="s">
        <v>38</v>
      </c>
      <c r="B367" s="3" t="s">
        <v>39</v>
      </c>
      <c r="C367" s="8">
        <v>2020</v>
      </c>
      <c r="D367" s="8">
        <v>6</v>
      </c>
      <c r="E367" s="3" t="str">
        <f t="shared" si="10"/>
        <v>June</v>
      </c>
      <c r="F367" s="3" t="s">
        <v>8</v>
      </c>
      <c r="G367" s="8">
        <v>66067.899789999996</v>
      </c>
      <c r="H367" s="8">
        <v>78767.510999999999</v>
      </c>
      <c r="I367" s="8">
        <v>12699.611209999999</v>
      </c>
      <c r="J367" s="8">
        <v>10344.276879999999</v>
      </c>
      <c r="K367" s="8">
        <v>-33927.126510000002</v>
      </c>
      <c r="L367" s="8">
        <v>58239.19702</v>
      </c>
      <c r="M367" s="9" t="str">
        <f>IF(A367="",M368,A367)</f>
        <v>Bangladesh</v>
      </c>
      <c r="N367" s="3" t="str">
        <f t="shared" si="11"/>
        <v>Jun-2020</v>
      </c>
    </row>
    <row r="368" spans="1:14" x14ac:dyDescent="0.3">
      <c r="A368" s="3" t="s">
        <v>38</v>
      </c>
      <c r="B368" s="3" t="s">
        <v>39</v>
      </c>
      <c r="C368" s="8">
        <v>2020</v>
      </c>
      <c r="D368" s="8">
        <v>7</v>
      </c>
      <c r="E368" s="3" t="str">
        <f t="shared" si="10"/>
        <v>July</v>
      </c>
      <c r="F368" s="3" t="s">
        <v>8</v>
      </c>
      <c r="G368" s="8">
        <v>66097.333750000005</v>
      </c>
      <c r="H368" s="8">
        <v>81169.42</v>
      </c>
      <c r="I368" s="8">
        <v>15072.08625</v>
      </c>
      <c r="J368" s="8">
        <v>25416.363140000001</v>
      </c>
      <c r="K368" s="8">
        <v>-24726.38249</v>
      </c>
      <c r="L368" s="8">
        <v>81611.199739999996</v>
      </c>
      <c r="M368" s="9" t="str">
        <f>IF(A368="",M369,A368)</f>
        <v>Bangladesh</v>
      </c>
      <c r="N368" s="3" t="str">
        <f t="shared" si="11"/>
        <v>Jul-2020</v>
      </c>
    </row>
    <row r="369" spans="1:14" x14ac:dyDescent="0.3">
      <c r="A369" s="3" t="s">
        <v>38</v>
      </c>
      <c r="B369" s="3" t="s">
        <v>39</v>
      </c>
      <c r="C369" s="8">
        <v>2020</v>
      </c>
      <c r="D369" s="8">
        <v>8</v>
      </c>
      <c r="E369" s="3" t="str">
        <f t="shared" si="10"/>
        <v>August</v>
      </c>
      <c r="F369" s="3" t="s">
        <v>8</v>
      </c>
      <c r="G369" s="8">
        <v>65982.189769999997</v>
      </c>
      <c r="H369" s="8">
        <v>79695.149999999994</v>
      </c>
      <c r="I369" s="8">
        <v>13712.960230000001</v>
      </c>
      <c r="J369" s="8">
        <v>39129.323369999998</v>
      </c>
      <c r="K369" s="8">
        <v>-16914.687989999999</v>
      </c>
      <c r="L369" s="8">
        <v>99904.729139999996</v>
      </c>
      <c r="M369" s="9" t="str">
        <f>IF(A369="",M370,A369)</f>
        <v>Bangladesh</v>
      </c>
      <c r="N369" s="3" t="str">
        <f t="shared" si="11"/>
        <v>Aug-2020</v>
      </c>
    </row>
    <row r="370" spans="1:14" x14ac:dyDescent="0.3">
      <c r="A370" s="3" t="s">
        <v>38</v>
      </c>
      <c r="B370" s="3" t="s">
        <v>39</v>
      </c>
      <c r="C370" s="8">
        <v>2020</v>
      </c>
      <c r="D370" s="8">
        <v>9</v>
      </c>
      <c r="E370" s="3" t="str">
        <f t="shared" si="10"/>
        <v>September</v>
      </c>
      <c r="F370" s="3" t="s">
        <v>8</v>
      </c>
      <c r="G370" s="8">
        <v>65951.982529999994</v>
      </c>
      <c r="H370" s="8">
        <v>74354.247000000003</v>
      </c>
      <c r="I370" s="8">
        <v>8402.2644729999993</v>
      </c>
      <c r="J370" s="8">
        <v>47531.58784</v>
      </c>
      <c r="K370" s="8">
        <v>-9179.2653580000006</v>
      </c>
      <c r="L370" s="8">
        <v>109544.1946</v>
      </c>
      <c r="M370" s="9" t="str">
        <f>IF(A370="",M371,A370)</f>
        <v>Bangladesh</v>
      </c>
      <c r="N370" s="3" t="str">
        <f t="shared" si="11"/>
        <v>Sep-2020</v>
      </c>
    </row>
    <row r="371" spans="1:14" x14ac:dyDescent="0.3">
      <c r="A371" s="3" t="s">
        <v>38</v>
      </c>
      <c r="B371" s="3" t="s">
        <v>39</v>
      </c>
      <c r="C371" s="8">
        <v>2020</v>
      </c>
      <c r="D371" s="8">
        <v>10</v>
      </c>
      <c r="E371" s="3" t="str">
        <f t="shared" si="10"/>
        <v>October</v>
      </c>
      <c r="F371" s="3" t="s">
        <v>8</v>
      </c>
      <c r="G371" s="8">
        <v>66286.329310000001</v>
      </c>
      <c r="H371" s="8">
        <v>71422.099000000002</v>
      </c>
      <c r="I371" s="8">
        <v>5135.7696880000003</v>
      </c>
      <c r="J371" s="8">
        <v>52667.357530000001</v>
      </c>
      <c r="K371" s="8">
        <v>-9919.9516870000007</v>
      </c>
      <c r="L371" s="8">
        <v>117542.5194</v>
      </c>
      <c r="M371" s="9" t="str">
        <f>IF(A371="",M372,A371)</f>
        <v>Bangladesh</v>
      </c>
      <c r="N371" s="3" t="str">
        <f t="shared" si="11"/>
        <v>Oct-2020</v>
      </c>
    </row>
    <row r="372" spans="1:14" x14ac:dyDescent="0.3">
      <c r="A372" s="3" t="s">
        <v>38</v>
      </c>
      <c r="B372" s="3" t="s">
        <v>39</v>
      </c>
      <c r="C372" s="8">
        <v>2020</v>
      </c>
      <c r="D372" s="8">
        <v>11</v>
      </c>
      <c r="E372" s="3" t="str">
        <f t="shared" si="10"/>
        <v>November</v>
      </c>
      <c r="F372" s="3" t="s">
        <v>8</v>
      </c>
      <c r="G372" s="8">
        <v>68138.287960000001</v>
      </c>
      <c r="H372" s="8">
        <v>73980.025999999998</v>
      </c>
      <c r="I372" s="8">
        <v>5841.7380380000004</v>
      </c>
      <c r="J372" s="8">
        <v>58509.095569999998</v>
      </c>
      <c r="K372" s="8">
        <v>-8260.7218310000007</v>
      </c>
      <c r="L372" s="8">
        <v>124228.3164</v>
      </c>
      <c r="M372" s="9" t="str">
        <f>IF(A372="",M373,A372)</f>
        <v>Bangladesh</v>
      </c>
      <c r="N372" s="3" t="str">
        <f t="shared" si="11"/>
        <v>Nov-2020</v>
      </c>
    </row>
    <row r="373" spans="1:14" x14ac:dyDescent="0.3">
      <c r="A373" s="3" t="s">
        <v>38</v>
      </c>
      <c r="B373" s="3" t="s">
        <v>39</v>
      </c>
      <c r="C373" s="8">
        <v>2020</v>
      </c>
      <c r="D373" s="8">
        <v>12</v>
      </c>
      <c r="E373" s="3" t="str">
        <f t="shared" si="10"/>
        <v>December</v>
      </c>
      <c r="F373" s="3" t="s">
        <v>8</v>
      </c>
      <c r="G373" s="8">
        <v>70136.000759999995</v>
      </c>
      <c r="H373" s="8">
        <v>76049.122000000003</v>
      </c>
      <c r="I373" s="8">
        <v>5913.1212439999999</v>
      </c>
      <c r="J373" s="8">
        <v>64422.216809999998</v>
      </c>
      <c r="K373" s="8">
        <v>-1376.667416</v>
      </c>
      <c r="L373" s="8">
        <v>135675.0006</v>
      </c>
      <c r="M373" s="9" t="str">
        <f>IF(A373="",M374,A373)</f>
        <v>Bangladesh</v>
      </c>
      <c r="N373" s="3" t="str">
        <f t="shared" si="11"/>
        <v>Dec-2020</v>
      </c>
    </row>
    <row r="374" spans="1:14" x14ac:dyDescent="0.3">
      <c r="A374" s="3" t="s">
        <v>38</v>
      </c>
      <c r="B374" s="3" t="s">
        <v>39</v>
      </c>
      <c r="C374" s="8">
        <v>2021</v>
      </c>
      <c r="D374" s="8">
        <v>1</v>
      </c>
      <c r="E374" s="3" t="str">
        <f t="shared" si="10"/>
        <v>January</v>
      </c>
      <c r="F374" s="3" t="s">
        <v>8</v>
      </c>
      <c r="G374" s="8">
        <v>72078.049650000001</v>
      </c>
      <c r="H374" s="8">
        <v>74974.149999999994</v>
      </c>
      <c r="I374" s="8">
        <v>2896.1003519999999</v>
      </c>
      <c r="J374" s="8">
        <v>67318.317169999995</v>
      </c>
      <c r="K374" s="8">
        <v>-7199.0241800000003</v>
      </c>
      <c r="L374" s="8">
        <v>143842.95989999999</v>
      </c>
      <c r="M374" s="9" t="str">
        <f>IF(A374="",M375,A374)</f>
        <v>Bangladesh</v>
      </c>
      <c r="N374" s="3" t="str">
        <f t="shared" si="11"/>
        <v>Jan-2021</v>
      </c>
    </row>
    <row r="375" spans="1:14" x14ac:dyDescent="0.3">
      <c r="A375" s="3" t="s">
        <v>38</v>
      </c>
      <c r="B375" s="3" t="s">
        <v>39</v>
      </c>
      <c r="C375" s="8">
        <v>2021</v>
      </c>
      <c r="D375" s="8">
        <v>2</v>
      </c>
      <c r="E375" s="3" t="str">
        <f t="shared" si="10"/>
        <v>February</v>
      </c>
      <c r="F375" s="3" t="s">
        <v>8</v>
      </c>
      <c r="G375" s="8">
        <v>70533.078370000003</v>
      </c>
      <c r="H375" s="8">
        <v>70155.8</v>
      </c>
      <c r="I375" s="8">
        <v>-377.27837099999999</v>
      </c>
      <c r="J375" s="8">
        <v>66941.038799999995</v>
      </c>
      <c r="K375" s="8">
        <v>-10986.576730000001</v>
      </c>
      <c r="L375" s="8">
        <v>150056.21170000001</v>
      </c>
      <c r="M375" s="9" t="str">
        <f>IF(A375="",M376,A375)</f>
        <v>Bangladesh</v>
      </c>
      <c r="N375" s="3" t="str">
        <f t="shared" si="11"/>
        <v>Feb-2021</v>
      </c>
    </row>
    <row r="376" spans="1:14" x14ac:dyDescent="0.3">
      <c r="A376" s="3" t="s">
        <v>38</v>
      </c>
      <c r="B376" s="3" t="s">
        <v>39</v>
      </c>
      <c r="C376" s="8">
        <v>2021</v>
      </c>
      <c r="D376" s="8">
        <v>3</v>
      </c>
      <c r="E376" s="3" t="str">
        <f t="shared" si="10"/>
        <v>March</v>
      </c>
      <c r="F376" s="3" t="s">
        <v>8</v>
      </c>
      <c r="G376" s="8">
        <v>68900.782789999997</v>
      </c>
      <c r="H376" s="8">
        <v>71265.596000000005</v>
      </c>
      <c r="I376" s="8">
        <v>2364.8132110000001</v>
      </c>
      <c r="J376" s="8">
        <v>69305.852010000002</v>
      </c>
      <c r="K376" s="8">
        <v>-9037.5128659999991</v>
      </c>
      <c r="L376" s="8">
        <v>150790.28279999999</v>
      </c>
      <c r="M376" s="9" t="str">
        <f>IF(A376="",M377,A376)</f>
        <v>Bangladesh</v>
      </c>
      <c r="N376" s="3" t="str">
        <f t="shared" si="11"/>
        <v>Mar-2021</v>
      </c>
    </row>
    <row r="377" spans="1:14" x14ac:dyDescent="0.3">
      <c r="A377" s="3" t="s">
        <v>38</v>
      </c>
      <c r="B377" s="3" t="s">
        <v>39</v>
      </c>
      <c r="C377" s="8">
        <v>2021</v>
      </c>
      <c r="D377" s="8">
        <v>4</v>
      </c>
      <c r="E377" s="3" t="str">
        <f t="shared" si="10"/>
        <v>April</v>
      </c>
      <c r="F377" s="3" t="s">
        <v>8</v>
      </c>
      <c r="G377" s="8">
        <v>67922.917220000003</v>
      </c>
      <c r="H377" s="8">
        <v>79578.990999999995</v>
      </c>
      <c r="I377" s="8">
        <v>11656.073780000001</v>
      </c>
      <c r="J377" s="8">
        <v>80961.925789999994</v>
      </c>
      <c r="K377" s="8">
        <v>-1760.5372970000001</v>
      </c>
      <c r="L377" s="8">
        <v>167575.15890000001</v>
      </c>
      <c r="M377" s="9" t="str">
        <f>IF(A377="",M378,A377)</f>
        <v>Bangladesh</v>
      </c>
      <c r="N377" s="3" t="str">
        <f t="shared" si="11"/>
        <v>Apr-2021</v>
      </c>
    </row>
    <row r="378" spans="1:14" x14ac:dyDescent="0.3">
      <c r="A378" s="3" t="s">
        <v>38</v>
      </c>
      <c r="B378" s="3" t="s">
        <v>39</v>
      </c>
      <c r="C378" s="8">
        <v>2021</v>
      </c>
      <c r="D378" s="8">
        <v>5</v>
      </c>
      <c r="E378" s="3" t="str">
        <f t="shared" si="10"/>
        <v>May</v>
      </c>
      <c r="F378" s="3" t="s">
        <v>8</v>
      </c>
      <c r="G378" s="8">
        <v>67602.718829999998</v>
      </c>
      <c r="H378" s="8">
        <v>72773.415999999997</v>
      </c>
      <c r="I378" s="8">
        <v>5170.6971750000002</v>
      </c>
      <c r="J378" s="8">
        <v>86132.622969999997</v>
      </c>
      <c r="K378" s="8">
        <v>810.3532917</v>
      </c>
      <c r="L378" s="8">
        <v>173791.38459999999</v>
      </c>
      <c r="M378" s="9" t="str">
        <f>IF(A378="",M379,A378)</f>
        <v>Bangladesh</v>
      </c>
      <c r="N378" s="3" t="str">
        <f t="shared" si="11"/>
        <v>May-2021</v>
      </c>
    </row>
    <row r="379" spans="1:14" x14ac:dyDescent="0.3">
      <c r="A379" s="3" t="s">
        <v>38</v>
      </c>
      <c r="B379" s="3" t="s">
        <v>39</v>
      </c>
      <c r="C379" s="8">
        <v>2021</v>
      </c>
      <c r="D379" s="8">
        <v>6</v>
      </c>
      <c r="E379" s="3" t="str">
        <f t="shared" si="10"/>
        <v>June</v>
      </c>
      <c r="F379" s="3" t="s">
        <v>8</v>
      </c>
      <c r="G379" s="8">
        <v>67224.533240000004</v>
      </c>
      <c r="H379" s="8">
        <v>77609.468999999997</v>
      </c>
      <c r="I379" s="8">
        <v>10384.93576</v>
      </c>
      <c r="J379" s="8">
        <v>96517.558730000004</v>
      </c>
      <c r="K379" s="8">
        <v>10061.8541</v>
      </c>
      <c r="L379" s="8">
        <v>190301.32500000001</v>
      </c>
      <c r="M379" s="9" t="str">
        <f>IF(A379="",M380,A379)</f>
        <v>Bangladesh</v>
      </c>
      <c r="N379" s="3" t="str">
        <f t="shared" si="11"/>
        <v>Jun-2021</v>
      </c>
    </row>
    <row r="380" spans="1:14" x14ac:dyDescent="0.3">
      <c r="A380" s="3" t="s">
        <v>38</v>
      </c>
      <c r="B380" s="3" t="s">
        <v>39</v>
      </c>
      <c r="C380" s="8">
        <v>2021</v>
      </c>
      <c r="D380" s="8">
        <v>7</v>
      </c>
      <c r="E380" s="3" t="str">
        <f t="shared" si="10"/>
        <v>July</v>
      </c>
      <c r="F380" s="3" t="s">
        <v>8</v>
      </c>
      <c r="G380" s="8">
        <v>67212.157040000006</v>
      </c>
      <c r="H380" s="8">
        <v>91087.107999999993</v>
      </c>
      <c r="I380" s="8">
        <v>23874.950959999998</v>
      </c>
      <c r="J380" s="8">
        <v>120392.5097</v>
      </c>
      <c r="K380" s="8">
        <v>35149.826589999997</v>
      </c>
      <c r="L380" s="8">
        <v>214940.93609999999</v>
      </c>
      <c r="M380" s="9" t="str">
        <f>IF(A380="",M381,A380)</f>
        <v>Bangladesh</v>
      </c>
      <c r="N380" s="3" t="str">
        <f t="shared" si="11"/>
        <v>Jul-2021</v>
      </c>
    </row>
    <row r="381" spans="1:14" x14ac:dyDescent="0.3">
      <c r="A381" s="3" t="s">
        <v>38</v>
      </c>
      <c r="B381" s="3" t="s">
        <v>39</v>
      </c>
      <c r="C381" s="8">
        <v>2021</v>
      </c>
      <c r="D381" s="8">
        <v>8</v>
      </c>
      <c r="E381" s="3" t="str">
        <f t="shared" si="10"/>
        <v>August</v>
      </c>
      <c r="F381" s="3" t="s">
        <v>8</v>
      </c>
      <c r="G381" s="8">
        <v>67185.96127</v>
      </c>
      <c r="H381" s="8">
        <v>89114.334000000003</v>
      </c>
      <c r="I381" s="8">
        <v>21928.372729999999</v>
      </c>
      <c r="J381" s="8">
        <v>142320.8824</v>
      </c>
      <c r="K381" s="8">
        <v>54814.55876</v>
      </c>
      <c r="L381" s="8">
        <v>242183.65900000001</v>
      </c>
      <c r="M381" s="9" t="str">
        <f>IF(A381="",M382,A381)</f>
        <v>Bangladesh</v>
      </c>
      <c r="N381" s="3" t="str">
        <f t="shared" si="11"/>
        <v>Aug-2021</v>
      </c>
    </row>
    <row r="382" spans="1:14" x14ac:dyDescent="0.3">
      <c r="A382" s="3" t="s">
        <v>38</v>
      </c>
      <c r="B382" s="3" t="s">
        <v>39</v>
      </c>
      <c r="C382" s="8">
        <v>2021</v>
      </c>
      <c r="D382" s="8">
        <v>9</v>
      </c>
      <c r="E382" s="3" t="str">
        <f t="shared" si="10"/>
        <v>September</v>
      </c>
      <c r="F382" s="3" t="s">
        <v>8</v>
      </c>
      <c r="G382" s="8">
        <v>67118.842669999998</v>
      </c>
      <c r="H382" s="8">
        <v>75025.413</v>
      </c>
      <c r="I382" s="8">
        <v>7906.5703290000001</v>
      </c>
      <c r="J382" s="8">
        <v>150227.45269999999</v>
      </c>
      <c r="K382" s="8">
        <v>55579.680039999999</v>
      </c>
      <c r="L382" s="8">
        <v>251824.5349</v>
      </c>
      <c r="M382" s="9" t="str">
        <f>IF(A382="",M383,A382)</f>
        <v>Bangladesh</v>
      </c>
      <c r="N382" s="3" t="str">
        <f t="shared" si="11"/>
        <v>Sep-2021</v>
      </c>
    </row>
    <row r="383" spans="1:14" x14ac:dyDescent="0.3">
      <c r="A383" s="3" t="s">
        <v>38</v>
      </c>
      <c r="B383" s="3" t="s">
        <v>39</v>
      </c>
      <c r="C383" s="8">
        <v>2021</v>
      </c>
      <c r="D383" s="8">
        <v>10</v>
      </c>
      <c r="E383" s="3" t="str">
        <f t="shared" si="10"/>
        <v>October</v>
      </c>
      <c r="F383" s="3" t="s">
        <v>8</v>
      </c>
      <c r="G383" s="8">
        <v>67394.030740000002</v>
      </c>
      <c r="H383" s="8">
        <v>70333.092000000004</v>
      </c>
      <c r="I383" s="8">
        <v>2939.061256</v>
      </c>
      <c r="J383" s="8">
        <v>153166.514</v>
      </c>
      <c r="K383" s="8">
        <v>60355.7673</v>
      </c>
      <c r="L383" s="8">
        <v>252951.16320000001</v>
      </c>
      <c r="M383" s="9" t="str">
        <f>IF(A383="",M384,A383)</f>
        <v>Bangladesh</v>
      </c>
      <c r="N383" s="3" t="str">
        <f t="shared" si="11"/>
        <v>Oct-2021</v>
      </c>
    </row>
    <row r="384" spans="1:14" x14ac:dyDescent="0.3">
      <c r="A384" s="3" t="s">
        <v>38</v>
      </c>
      <c r="B384" s="3" t="s">
        <v>39</v>
      </c>
      <c r="C384" s="8">
        <v>2021</v>
      </c>
      <c r="D384" s="8">
        <v>11</v>
      </c>
      <c r="E384" s="3" t="str">
        <f t="shared" si="10"/>
        <v>November</v>
      </c>
      <c r="F384" s="3" t="s">
        <v>8</v>
      </c>
      <c r="G384" s="8">
        <v>69378.099359999993</v>
      </c>
      <c r="H384" s="8">
        <v>72701.493000000002</v>
      </c>
      <c r="I384" s="8">
        <v>3323.3936429999999</v>
      </c>
      <c r="J384" s="8">
        <v>156489.90760000001</v>
      </c>
      <c r="K384" s="8">
        <v>59771.19889</v>
      </c>
      <c r="L384" s="8">
        <v>259295.62669999999</v>
      </c>
      <c r="M384" s="9" t="str">
        <f>IF(A384="",M385,A384)</f>
        <v>Bangladesh</v>
      </c>
      <c r="N384" s="3" t="str">
        <f t="shared" si="11"/>
        <v>Nov-2021</v>
      </c>
    </row>
    <row r="385" spans="1:14" x14ac:dyDescent="0.3">
      <c r="A385" s="3" t="s">
        <v>38</v>
      </c>
      <c r="B385" s="3" t="s">
        <v>39</v>
      </c>
      <c r="C385" s="8">
        <v>2021</v>
      </c>
      <c r="D385" s="8">
        <v>12</v>
      </c>
      <c r="E385" s="3" t="str">
        <f t="shared" si="10"/>
        <v>December</v>
      </c>
      <c r="F385" s="3" t="s">
        <v>8</v>
      </c>
      <c r="G385" s="8">
        <v>71335.8851</v>
      </c>
      <c r="H385" s="8">
        <v>75595.145999999993</v>
      </c>
      <c r="I385" s="8">
        <v>4259.2609009999996</v>
      </c>
      <c r="J385" s="8">
        <v>160749.1685</v>
      </c>
      <c r="K385" s="8">
        <v>64005.901400000002</v>
      </c>
      <c r="L385" s="8">
        <v>268077.10139999999</v>
      </c>
      <c r="M385" s="9" t="str">
        <f>IF(A385="",M386,A385)</f>
        <v>Bangladesh</v>
      </c>
      <c r="N385" s="3" t="str">
        <f t="shared" si="11"/>
        <v>Dec-2021</v>
      </c>
    </row>
    <row r="386" spans="1:14" x14ac:dyDescent="0.3">
      <c r="A386" s="3" t="s">
        <v>40</v>
      </c>
      <c r="B386" s="3" t="s">
        <v>41</v>
      </c>
      <c r="C386" s="8">
        <v>2020</v>
      </c>
      <c r="D386" s="8">
        <v>1</v>
      </c>
      <c r="E386" s="3" t="str">
        <f t="shared" ref="E386:E449" si="12">TEXT(DATE(C386,D386,1),"MMMM")</f>
        <v>January</v>
      </c>
      <c r="F386" s="3" t="s">
        <v>13</v>
      </c>
      <c r="G386" s="8">
        <v>10151.49583</v>
      </c>
      <c r="H386" s="8">
        <v>10107</v>
      </c>
      <c r="I386" s="8">
        <v>-44.49583063</v>
      </c>
      <c r="J386" s="8">
        <v>-44.49583063</v>
      </c>
      <c r="K386" s="8">
        <v>-476.01768800000002</v>
      </c>
      <c r="L386" s="8">
        <v>403.2850325</v>
      </c>
      <c r="M386" s="9" t="str">
        <f>IF(A386="",M387,A386)</f>
        <v>Bulgaria</v>
      </c>
      <c r="N386" s="3" t="str">
        <f t="shared" ref="N386:N449" si="13">TEXT(DATE(C386,D386,1),"MMM-YYYY")</f>
        <v>Jan-2020</v>
      </c>
    </row>
    <row r="387" spans="1:14" x14ac:dyDescent="0.3">
      <c r="A387" s="3" t="s">
        <v>40</v>
      </c>
      <c r="B387" s="3" t="s">
        <v>41</v>
      </c>
      <c r="C387" s="8">
        <v>2020</v>
      </c>
      <c r="D387" s="8">
        <v>2</v>
      </c>
      <c r="E387" s="3" t="str">
        <f t="shared" si="12"/>
        <v>February</v>
      </c>
      <c r="F387" s="3" t="s">
        <v>13</v>
      </c>
      <c r="G387" s="8">
        <v>9558.4828649999999</v>
      </c>
      <c r="H387" s="8">
        <v>9389</v>
      </c>
      <c r="I387" s="8">
        <v>-169.4828646</v>
      </c>
      <c r="J387" s="8">
        <v>-213.9786953</v>
      </c>
      <c r="K387" s="8">
        <v>-864.35351119999996</v>
      </c>
      <c r="L387" s="8">
        <v>454.99132129999998</v>
      </c>
      <c r="M387" s="9" t="str">
        <f>IF(A387="",M388,A387)</f>
        <v>Bulgaria</v>
      </c>
      <c r="N387" s="3" t="str">
        <f t="shared" si="13"/>
        <v>Feb-2020</v>
      </c>
    </row>
    <row r="388" spans="1:14" x14ac:dyDescent="0.3">
      <c r="A388" s="3" t="s">
        <v>40</v>
      </c>
      <c r="B388" s="3" t="s">
        <v>41</v>
      </c>
      <c r="C388" s="8">
        <v>2020</v>
      </c>
      <c r="D388" s="8">
        <v>3</v>
      </c>
      <c r="E388" s="3" t="str">
        <f t="shared" si="12"/>
        <v>March</v>
      </c>
      <c r="F388" s="3" t="s">
        <v>13</v>
      </c>
      <c r="G388" s="8">
        <v>9360.8415910000003</v>
      </c>
      <c r="H388" s="8">
        <v>9145</v>
      </c>
      <c r="I388" s="8">
        <v>-215.84159080000001</v>
      </c>
      <c r="J388" s="8">
        <v>-429.82028600000001</v>
      </c>
      <c r="K388" s="8">
        <v>-1235.9212190000001</v>
      </c>
      <c r="L388" s="8">
        <v>378.3830547</v>
      </c>
      <c r="M388" s="9" t="str">
        <f>IF(A388="",M389,A388)</f>
        <v>Bulgaria</v>
      </c>
      <c r="N388" s="3" t="str">
        <f t="shared" si="13"/>
        <v>Mar-2020</v>
      </c>
    </row>
    <row r="389" spans="1:14" x14ac:dyDescent="0.3">
      <c r="A389" s="3" t="s">
        <v>40</v>
      </c>
      <c r="B389" s="3" t="s">
        <v>41</v>
      </c>
      <c r="C389" s="8">
        <v>2020</v>
      </c>
      <c r="D389" s="8">
        <v>4</v>
      </c>
      <c r="E389" s="3" t="str">
        <f t="shared" si="12"/>
        <v>April</v>
      </c>
      <c r="F389" s="3" t="s">
        <v>13</v>
      </c>
      <c r="G389" s="8">
        <v>8869.1141100000004</v>
      </c>
      <c r="H389" s="8">
        <v>8573</v>
      </c>
      <c r="I389" s="8">
        <v>-296.11411020000003</v>
      </c>
      <c r="J389" s="8">
        <v>-725.9343963</v>
      </c>
      <c r="K389" s="8">
        <v>-1672.89456</v>
      </c>
      <c r="L389" s="8">
        <v>272.71161139999998</v>
      </c>
      <c r="M389" s="9" t="str">
        <f>IF(A389="",M390,A389)</f>
        <v>Bulgaria</v>
      </c>
      <c r="N389" s="3" t="str">
        <f t="shared" si="13"/>
        <v>Apr-2020</v>
      </c>
    </row>
    <row r="390" spans="1:14" x14ac:dyDescent="0.3">
      <c r="A390" s="3" t="s">
        <v>40</v>
      </c>
      <c r="B390" s="3" t="s">
        <v>41</v>
      </c>
      <c r="C390" s="8">
        <v>2020</v>
      </c>
      <c r="D390" s="8">
        <v>5</v>
      </c>
      <c r="E390" s="3" t="str">
        <f t="shared" si="12"/>
        <v>May</v>
      </c>
      <c r="F390" s="3" t="s">
        <v>13</v>
      </c>
      <c r="G390" s="8">
        <v>8561.2383900000004</v>
      </c>
      <c r="H390" s="8">
        <v>8507</v>
      </c>
      <c r="I390" s="8">
        <v>-54.238390209999999</v>
      </c>
      <c r="J390" s="8">
        <v>-780.17278650000003</v>
      </c>
      <c r="K390" s="8">
        <v>-1799.962137</v>
      </c>
      <c r="L390" s="8">
        <v>368.19397989999999</v>
      </c>
      <c r="M390" s="9" t="str">
        <f>IF(A390="",M391,A390)</f>
        <v>Bulgaria</v>
      </c>
      <c r="N390" s="3" t="str">
        <f t="shared" si="13"/>
        <v>May-2020</v>
      </c>
    </row>
    <row r="391" spans="1:14" x14ac:dyDescent="0.3">
      <c r="A391" s="3" t="s">
        <v>40</v>
      </c>
      <c r="B391" s="3" t="s">
        <v>41</v>
      </c>
      <c r="C391" s="8">
        <v>2020</v>
      </c>
      <c r="D391" s="8">
        <v>6</v>
      </c>
      <c r="E391" s="3" t="str">
        <f t="shared" si="12"/>
        <v>June</v>
      </c>
      <c r="F391" s="3" t="s">
        <v>13</v>
      </c>
      <c r="G391" s="8">
        <v>8295.3701779999992</v>
      </c>
      <c r="H391" s="8">
        <v>8318</v>
      </c>
      <c r="I391" s="8">
        <v>22.629821539999998</v>
      </c>
      <c r="J391" s="8">
        <v>-757.54296490000002</v>
      </c>
      <c r="K391" s="8">
        <v>-1946.661161</v>
      </c>
      <c r="L391" s="8">
        <v>501.99986510000002</v>
      </c>
      <c r="M391" s="9" t="str">
        <f>IF(A391="",M392,A391)</f>
        <v>Bulgaria</v>
      </c>
      <c r="N391" s="3" t="str">
        <f t="shared" si="13"/>
        <v>Jun-2020</v>
      </c>
    </row>
    <row r="392" spans="1:14" x14ac:dyDescent="0.3">
      <c r="A392" s="3" t="s">
        <v>40</v>
      </c>
      <c r="B392" s="3" t="s">
        <v>41</v>
      </c>
      <c r="C392" s="8">
        <v>2020</v>
      </c>
      <c r="D392" s="8">
        <v>7</v>
      </c>
      <c r="E392" s="3" t="str">
        <f t="shared" si="12"/>
        <v>July</v>
      </c>
      <c r="F392" s="3" t="s">
        <v>13</v>
      </c>
      <c r="G392" s="8">
        <v>8335.8994810000004</v>
      </c>
      <c r="H392" s="8">
        <v>8947</v>
      </c>
      <c r="I392" s="8">
        <v>611.10051920000001</v>
      </c>
      <c r="J392" s="8">
        <v>-146.44244570000001</v>
      </c>
      <c r="K392" s="8">
        <v>-1397.5971</v>
      </c>
      <c r="L392" s="8">
        <v>1138.1289939999999</v>
      </c>
      <c r="M392" s="9" t="str">
        <f>IF(A392="",M393,A392)</f>
        <v>Bulgaria</v>
      </c>
      <c r="N392" s="3" t="str">
        <f t="shared" si="13"/>
        <v>Jul-2020</v>
      </c>
    </row>
    <row r="393" spans="1:14" x14ac:dyDescent="0.3">
      <c r="A393" s="3" t="s">
        <v>40</v>
      </c>
      <c r="B393" s="3" t="s">
        <v>41</v>
      </c>
      <c r="C393" s="8">
        <v>2020</v>
      </c>
      <c r="D393" s="8">
        <v>8</v>
      </c>
      <c r="E393" s="3" t="str">
        <f t="shared" si="12"/>
        <v>August</v>
      </c>
      <c r="F393" s="3" t="s">
        <v>13</v>
      </c>
      <c r="G393" s="8">
        <v>8099.3131100000001</v>
      </c>
      <c r="H393" s="8">
        <v>8777</v>
      </c>
      <c r="I393" s="8">
        <v>677.68688989999998</v>
      </c>
      <c r="J393" s="8">
        <v>531.24444410000001</v>
      </c>
      <c r="K393" s="8">
        <v>-813.17270029999997</v>
      </c>
      <c r="L393" s="8">
        <v>1927.351768</v>
      </c>
      <c r="M393" s="9" t="str">
        <f>IF(A393="",M394,A393)</f>
        <v>Bulgaria</v>
      </c>
      <c r="N393" s="3" t="str">
        <f t="shared" si="13"/>
        <v>Aug-2020</v>
      </c>
    </row>
    <row r="394" spans="1:14" x14ac:dyDescent="0.3">
      <c r="A394" s="3" t="s">
        <v>40</v>
      </c>
      <c r="B394" s="3" t="s">
        <v>41</v>
      </c>
      <c r="C394" s="8">
        <v>2020</v>
      </c>
      <c r="D394" s="8">
        <v>9</v>
      </c>
      <c r="E394" s="3" t="str">
        <f t="shared" si="12"/>
        <v>September</v>
      </c>
      <c r="F394" s="3" t="s">
        <v>13</v>
      </c>
      <c r="G394" s="8">
        <v>7848.4868539999998</v>
      </c>
      <c r="H394" s="8">
        <v>8124</v>
      </c>
      <c r="I394" s="8">
        <v>275.51314630000002</v>
      </c>
      <c r="J394" s="8">
        <v>806.75759040000003</v>
      </c>
      <c r="K394" s="8">
        <v>-650.63039240000001</v>
      </c>
      <c r="L394" s="8">
        <v>2200.6238410000001</v>
      </c>
      <c r="M394" s="9" t="str">
        <f>IF(A394="",M395,A394)</f>
        <v>Bulgaria</v>
      </c>
      <c r="N394" s="3" t="str">
        <f t="shared" si="13"/>
        <v>Sep-2020</v>
      </c>
    </row>
    <row r="395" spans="1:14" x14ac:dyDescent="0.3">
      <c r="A395" s="3" t="s">
        <v>40</v>
      </c>
      <c r="B395" s="3" t="s">
        <v>41</v>
      </c>
      <c r="C395" s="8">
        <v>2020</v>
      </c>
      <c r="D395" s="8">
        <v>10</v>
      </c>
      <c r="E395" s="3" t="str">
        <f t="shared" si="12"/>
        <v>October</v>
      </c>
      <c r="F395" s="3" t="s">
        <v>13</v>
      </c>
      <c r="G395" s="8">
        <v>8564.5033469999998</v>
      </c>
      <c r="H395" s="8">
        <v>10090</v>
      </c>
      <c r="I395" s="8">
        <v>1525.4966529999999</v>
      </c>
      <c r="J395" s="8">
        <v>2332.2542429999999</v>
      </c>
      <c r="K395" s="8">
        <v>815.68815810000001</v>
      </c>
      <c r="L395" s="8">
        <v>3771.9062899999999</v>
      </c>
      <c r="M395" s="9" t="str">
        <f>IF(A395="",M396,A395)</f>
        <v>Bulgaria</v>
      </c>
      <c r="N395" s="3" t="str">
        <f t="shared" si="13"/>
        <v>Oct-2020</v>
      </c>
    </row>
    <row r="396" spans="1:14" x14ac:dyDescent="0.3">
      <c r="A396" s="3" t="s">
        <v>40</v>
      </c>
      <c r="B396" s="3" t="s">
        <v>41</v>
      </c>
      <c r="C396" s="8">
        <v>2020</v>
      </c>
      <c r="D396" s="8">
        <v>11</v>
      </c>
      <c r="E396" s="3" t="str">
        <f t="shared" si="12"/>
        <v>November</v>
      </c>
      <c r="F396" s="3" t="s">
        <v>13</v>
      </c>
      <c r="G396" s="8">
        <v>9151.6350719999991</v>
      </c>
      <c r="H396" s="8">
        <v>17399</v>
      </c>
      <c r="I396" s="8">
        <v>8247.3649280000009</v>
      </c>
      <c r="J396" s="8">
        <v>10579.61917</v>
      </c>
      <c r="K396" s="8">
        <v>9019.0794910000004</v>
      </c>
      <c r="L396" s="8">
        <v>12137.564560000001</v>
      </c>
      <c r="M396" s="9" t="str">
        <f>IF(A396="",M397,A396)</f>
        <v>Bulgaria</v>
      </c>
      <c r="N396" s="3" t="str">
        <f t="shared" si="13"/>
        <v>Nov-2020</v>
      </c>
    </row>
    <row r="397" spans="1:14" x14ac:dyDescent="0.3">
      <c r="A397" s="3" t="s">
        <v>40</v>
      </c>
      <c r="B397" s="3" t="s">
        <v>41</v>
      </c>
      <c r="C397" s="8">
        <v>2020</v>
      </c>
      <c r="D397" s="8">
        <v>12</v>
      </c>
      <c r="E397" s="3" t="str">
        <f t="shared" si="12"/>
        <v>December</v>
      </c>
      <c r="F397" s="3" t="s">
        <v>13</v>
      </c>
      <c r="G397" s="8">
        <v>10102.566940000001</v>
      </c>
      <c r="H397" s="8">
        <v>17327</v>
      </c>
      <c r="I397" s="8">
        <v>7224.4330550000004</v>
      </c>
      <c r="J397" s="8">
        <v>17804.052230000001</v>
      </c>
      <c r="K397" s="8">
        <v>16162.67749</v>
      </c>
      <c r="L397" s="8">
        <v>19435.92067</v>
      </c>
      <c r="M397" s="9" t="str">
        <f>IF(A397="",M398,A397)</f>
        <v>Bulgaria</v>
      </c>
      <c r="N397" s="3" t="str">
        <f t="shared" si="13"/>
        <v>Dec-2020</v>
      </c>
    </row>
    <row r="398" spans="1:14" x14ac:dyDescent="0.3">
      <c r="A398" s="3" t="s">
        <v>40</v>
      </c>
      <c r="B398" s="3" t="s">
        <v>41</v>
      </c>
      <c r="C398" s="8">
        <v>2021</v>
      </c>
      <c r="D398" s="8">
        <v>1</v>
      </c>
      <c r="E398" s="3" t="str">
        <f t="shared" si="12"/>
        <v>January</v>
      </c>
      <c r="F398" s="3" t="s">
        <v>13</v>
      </c>
      <c r="G398" s="8">
        <v>10088.03739</v>
      </c>
      <c r="H398" s="8">
        <v>11378</v>
      </c>
      <c r="I398" s="8">
        <v>1286.2959390000001</v>
      </c>
      <c r="J398" s="8">
        <v>19090.348170000001</v>
      </c>
      <c r="K398" s="8">
        <v>17332.023160000001</v>
      </c>
      <c r="L398" s="8">
        <v>20802.027170000001</v>
      </c>
      <c r="M398" s="9" t="str">
        <f>IF(A398="",M399,A398)</f>
        <v>Bulgaria</v>
      </c>
      <c r="N398" s="3" t="str">
        <f t="shared" si="13"/>
        <v>Jan-2021</v>
      </c>
    </row>
    <row r="399" spans="1:14" x14ac:dyDescent="0.3">
      <c r="A399" s="3" t="s">
        <v>40</v>
      </c>
      <c r="B399" s="3" t="s">
        <v>41</v>
      </c>
      <c r="C399" s="8">
        <v>2021</v>
      </c>
      <c r="D399" s="8">
        <v>2</v>
      </c>
      <c r="E399" s="3" t="str">
        <f t="shared" si="12"/>
        <v>February</v>
      </c>
      <c r="F399" s="3" t="s">
        <v>13</v>
      </c>
      <c r="G399" s="8">
        <v>9515.5463469999995</v>
      </c>
      <c r="H399" s="8">
        <v>9842</v>
      </c>
      <c r="I399" s="8">
        <v>322.7869862</v>
      </c>
      <c r="J399" s="8">
        <v>19413.135149999998</v>
      </c>
      <c r="K399" s="8">
        <v>17574.290540000002</v>
      </c>
      <c r="L399" s="8">
        <v>21324.310280000002</v>
      </c>
      <c r="M399" s="9" t="str">
        <f>IF(A399="",M400,A399)</f>
        <v>Bulgaria</v>
      </c>
      <c r="N399" s="3" t="str">
        <f t="shared" si="13"/>
        <v>Feb-2021</v>
      </c>
    </row>
    <row r="400" spans="1:14" x14ac:dyDescent="0.3">
      <c r="A400" s="3" t="s">
        <v>40</v>
      </c>
      <c r="B400" s="3" t="s">
        <v>41</v>
      </c>
      <c r="C400" s="8">
        <v>2021</v>
      </c>
      <c r="D400" s="8">
        <v>3</v>
      </c>
      <c r="E400" s="3" t="str">
        <f t="shared" si="12"/>
        <v>March</v>
      </c>
      <c r="F400" s="3" t="s">
        <v>13</v>
      </c>
      <c r="G400" s="8">
        <v>9322.5580790000004</v>
      </c>
      <c r="H400" s="8">
        <v>14585</v>
      </c>
      <c r="I400" s="8">
        <v>5258.7752549999996</v>
      </c>
      <c r="J400" s="8">
        <v>24671.91041</v>
      </c>
      <c r="K400" s="8">
        <v>22766.0733</v>
      </c>
      <c r="L400" s="8">
        <v>26635.851419999999</v>
      </c>
      <c r="M400" s="9" t="str">
        <f>IF(A400="",M401,A400)</f>
        <v>Bulgaria</v>
      </c>
      <c r="N400" s="3" t="str">
        <f t="shared" si="13"/>
        <v>Mar-2021</v>
      </c>
    </row>
    <row r="401" spans="1:14" x14ac:dyDescent="0.3">
      <c r="A401" s="3" t="s">
        <v>40</v>
      </c>
      <c r="B401" s="3" t="s">
        <v>41</v>
      </c>
      <c r="C401" s="8">
        <v>2021</v>
      </c>
      <c r="D401" s="8">
        <v>4</v>
      </c>
      <c r="E401" s="3" t="str">
        <f t="shared" si="12"/>
        <v>April</v>
      </c>
      <c r="F401" s="3" t="s">
        <v>13</v>
      </c>
      <c r="G401" s="8">
        <v>8795.7660940000005</v>
      </c>
      <c r="H401" s="8">
        <v>15515</v>
      </c>
      <c r="I401" s="8">
        <v>6715.567239</v>
      </c>
      <c r="J401" s="8">
        <v>31387.477650000001</v>
      </c>
      <c r="K401" s="8">
        <v>29366.263589999999</v>
      </c>
      <c r="L401" s="8">
        <v>33399.627209999999</v>
      </c>
      <c r="M401" s="9" t="str">
        <f>IF(A401="",M402,A401)</f>
        <v>Bulgaria</v>
      </c>
      <c r="N401" s="3" t="str">
        <f t="shared" si="13"/>
        <v>Apr-2021</v>
      </c>
    </row>
    <row r="402" spans="1:14" x14ac:dyDescent="0.3">
      <c r="A402" s="3" t="s">
        <v>40</v>
      </c>
      <c r="B402" s="3" t="s">
        <v>41</v>
      </c>
      <c r="C402" s="8">
        <v>2021</v>
      </c>
      <c r="D402" s="8">
        <v>5</v>
      </c>
      <c r="E402" s="3" t="str">
        <f t="shared" si="12"/>
        <v>May</v>
      </c>
      <c r="F402" s="3" t="s">
        <v>13</v>
      </c>
      <c r="G402" s="8">
        <v>8516.1809389999999</v>
      </c>
      <c r="H402" s="8">
        <v>11096</v>
      </c>
      <c r="I402" s="8">
        <v>2576.1523940000002</v>
      </c>
      <c r="J402" s="8">
        <v>33963.630039999996</v>
      </c>
      <c r="K402" s="8">
        <v>31932.303019999999</v>
      </c>
      <c r="L402" s="8">
        <v>36085.719980000002</v>
      </c>
      <c r="M402" s="9" t="str">
        <f>IF(A402="",M403,A402)</f>
        <v>Bulgaria</v>
      </c>
      <c r="N402" s="3" t="str">
        <f t="shared" si="13"/>
        <v>May-2021</v>
      </c>
    </row>
    <row r="403" spans="1:14" x14ac:dyDescent="0.3">
      <c r="A403" s="3" t="s">
        <v>40</v>
      </c>
      <c r="B403" s="3" t="s">
        <v>41</v>
      </c>
      <c r="C403" s="8">
        <v>2021</v>
      </c>
      <c r="D403" s="8">
        <v>6</v>
      </c>
      <c r="E403" s="3" t="str">
        <f t="shared" si="12"/>
        <v>June</v>
      </c>
      <c r="F403" s="3" t="s">
        <v>13</v>
      </c>
      <c r="G403" s="8">
        <v>8244.6782550000007</v>
      </c>
      <c r="H403" s="8">
        <v>9090</v>
      </c>
      <c r="I403" s="8">
        <v>841.65507860000002</v>
      </c>
      <c r="J403" s="8">
        <v>34805.28512</v>
      </c>
      <c r="K403" s="8">
        <v>32646.19067</v>
      </c>
      <c r="L403" s="8">
        <v>37019.586450000003</v>
      </c>
      <c r="M403" s="9" t="str">
        <f>IF(A403="",M404,A403)</f>
        <v>Bulgaria</v>
      </c>
      <c r="N403" s="3" t="str">
        <f t="shared" si="13"/>
        <v>Jun-2021</v>
      </c>
    </row>
    <row r="404" spans="1:14" x14ac:dyDescent="0.3">
      <c r="A404" s="3" t="s">
        <v>40</v>
      </c>
      <c r="B404" s="3" t="s">
        <v>41</v>
      </c>
      <c r="C404" s="8">
        <v>2021</v>
      </c>
      <c r="D404" s="8">
        <v>7</v>
      </c>
      <c r="E404" s="3" t="str">
        <f t="shared" si="12"/>
        <v>July</v>
      </c>
      <c r="F404" s="3" t="s">
        <v>13</v>
      </c>
      <c r="G404" s="8">
        <v>8287.4726439999995</v>
      </c>
      <c r="H404" s="8">
        <v>9152</v>
      </c>
      <c r="I404" s="8">
        <v>860.86068890000001</v>
      </c>
      <c r="J404" s="8">
        <v>35666.145810000002</v>
      </c>
      <c r="K404" s="8">
        <v>33555.35583</v>
      </c>
      <c r="L404" s="8">
        <v>37863.50965</v>
      </c>
      <c r="M404" s="9" t="str">
        <f>IF(A404="",M405,A404)</f>
        <v>Bulgaria</v>
      </c>
      <c r="N404" s="3" t="str">
        <f t="shared" si="13"/>
        <v>Jul-2021</v>
      </c>
    </row>
    <row r="405" spans="1:14" x14ac:dyDescent="0.3">
      <c r="A405" s="3" t="s">
        <v>40</v>
      </c>
      <c r="B405" s="3" t="s">
        <v>41</v>
      </c>
      <c r="C405" s="8">
        <v>2021</v>
      </c>
      <c r="D405" s="8">
        <v>8</v>
      </c>
      <c r="E405" s="3" t="str">
        <f t="shared" si="12"/>
        <v>August</v>
      </c>
      <c r="F405" s="3" t="s">
        <v>13</v>
      </c>
      <c r="G405" s="8">
        <v>8044.6125910000001</v>
      </c>
      <c r="H405" s="8">
        <v>9927</v>
      </c>
      <c r="I405" s="8">
        <v>1878.7207430000001</v>
      </c>
      <c r="J405" s="8">
        <v>37544.866549999999</v>
      </c>
      <c r="K405" s="8">
        <v>35359.224020000001</v>
      </c>
      <c r="L405" s="8">
        <v>39825.260179999997</v>
      </c>
      <c r="M405" s="9" t="str">
        <f>IF(A405="",M406,A405)</f>
        <v>Bulgaria</v>
      </c>
      <c r="N405" s="3" t="str">
        <f t="shared" si="13"/>
        <v>Aug-2021</v>
      </c>
    </row>
    <row r="406" spans="1:14" x14ac:dyDescent="0.3">
      <c r="A406" s="3" t="s">
        <v>40</v>
      </c>
      <c r="B406" s="3" t="s">
        <v>41</v>
      </c>
      <c r="C406" s="8">
        <v>2021</v>
      </c>
      <c r="D406" s="8">
        <v>9</v>
      </c>
      <c r="E406" s="3" t="str">
        <f t="shared" si="12"/>
        <v>September</v>
      </c>
      <c r="F406" s="3" t="s">
        <v>13</v>
      </c>
      <c r="G406" s="8">
        <v>7820.5924580000001</v>
      </c>
      <c r="H406" s="8">
        <v>11729</v>
      </c>
      <c r="I406" s="8">
        <v>3904.740875</v>
      </c>
      <c r="J406" s="8">
        <v>41449.60742</v>
      </c>
      <c r="K406" s="8">
        <v>39182.300260000004</v>
      </c>
      <c r="L406" s="8">
        <v>43728.032740000002</v>
      </c>
      <c r="M406" s="9" t="str">
        <f>IF(A406="",M407,A406)</f>
        <v>Bulgaria</v>
      </c>
      <c r="N406" s="3" t="str">
        <f t="shared" si="13"/>
        <v>Sep-2021</v>
      </c>
    </row>
    <row r="407" spans="1:14" x14ac:dyDescent="0.3">
      <c r="A407" s="3" t="s">
        <v>40</v>
      </c>
      <c r="B407" s="3" t="s">
        <v>41</v>
      </c>
      <c r="C407" s="8">
        <v>2021</v>
      </c>
      <c r="D407" s="8">
        <v>10</v>
      </c>
      <c r="E407" s="3" t="str">
        <f t="shared" si="12"/>
        <v>October</v>
      </c>
      <c r="F407" s="3" t="s">
        <v>13</v>
      </c>
      <c r="G407" s="8">
        <v>8502.6221910000004</v>
      </c>
      <c r="H407" s="8">
        <v>15584</v>
      </c>
      <c r="I407" s="8">
        <v>7077.7111420000001</v>
      </c>
      <c r="J407" s="8">
        <v>48527.318570000003</v>
      </c>
      <c r="K407" s="8">
        <v>46269.838739999999</v>
      </c>
      <c r="L407" s="8">
        <v>50900.625630000002</v>
      </c>
      <c r="M407" s="9" t="str">
        <f>IF(A407="",M408,A407)</f>
        <v>Bulgaria</v>
      </c>
      <c r="N407" s="3" t="str">
        <f t="shared" si="13"/>
        <v>Oct-2021</v>
      </c>
    </row>
    <row r="408" spans="1:14" x14ac:dyDescent="0.3">
      <c r="A408" s="3" t="s">
        <v>40</v>
      </c>
      <c r="B408" s="3" t="s">
        <v>41</v>
      </c>
      <c r="C408" s="8">
        <v>2021</v>
      </c>
      <c r="D408" s="8">
        <v>11</v>
      </c>
      <c r="E408" s="3" t="str">
        <f t="shared" si="12"/>
        <v>November</v>
      </c>
      <c r="F408" s="3" t="s">
        <v>13</v>
      </c>
      <c r="G408" s="8">
        <v>9121.1815189999998</v>
      </c>
      <c r="H408" s="8">
        <v>16904</v>
      </c>
      <c r="I408" s="8">
        <v>7779.1518139999998</v>
      </c>
      <c r="J408" s="8">
        <v>56306.470379999999</v>
      </c>
      <c r="K408" s="8">
        <v>53921.916389999999</v>
      </c>
      <c r="L408" s="8">
        <v>58751.954030000001</v>
      </c>
      <c r="M408" s="9" t="str">
        <f>IF(A408="",M409,A408)</f>
        <v>Bulgaria</v>
      </c>
      <c r="N408" s="3" t="str">
        <f t="shared" si="13"/>
        <v>Nov-2021</v>
      </c>
    </row>
    <row r="409" spans="1:14" x14ac:dyDescent="0.3">
      <c r="A409" s="3" t="s">
        <v>40</v>
      </c>
      <c r="B409" s="3" t="s">
        <v>41</v>
      </c>
      <c r="C409" s="8">
        <v>2021</v>
      </c>
      <c r="D409" s="8">
        <v>12</v>
      </c>
      <c r="E409" s="3" t="str">
        <f t="shared" si="12"/>
        <v>December</v>
      </c>
      <c r="F409" s="3" t="s">
        <v>13</v>
      </c>
      <c r="G409" s="8">
        <v>10021.3287</v>
      </c>
      <c r="H409" s="8">
        <v>14238</v>
      </c>
      <c r="I409" s="8">
        <v>4213.0046320000001</v>
      </c>
      <c r="J409" s="8">
        <v>60519.475010000002</v>
      </c>
      <c r="K409" s="8">
        <v>58096.175029999999</v>
      </c>
      <c r="L409" s="8">
        <v>63033.353089999997</v>
      </c>
      <c r="M409" s="9" t="str">
        <f>IF(A409="",M410,A409)</f>
        <v>Bulgaria</v>
      </c>
      <c r="N409" s="3" t="str">
        <f t="shared" si="13"/>
        <v>Dec-2021</v>
      </c>
    </row>
    <row r="410" spans="1:14" x14ac:dyDescent="0.3">
      <c r="A410" s="3" t="s">
        <v>42</v>
      </c>
      <c r="B410" s="3" t="s">
        <v>43</v>
      </c>
      <c r="C410" s="8">
        <v>2020</v>
      </c>
      <c r="D410" s="8">
        <v>1</v>
      </c>
      <c r="E410" s="3" t="str">
        <f t="shared" si="12"/>
        <v>January</v>
      </c>
      <c r="F410" s="3" t="s">
        <v>8</v>
      </c>
      <c r="G410" s="8">
        <v>447.87857430000003</v>
      </c>
      <c r="H410" s="8">
        <v>460.68200000000002</v>
      </c>
      <c r="I410" s="8">
        <v>12.80342572</v>
      </c>
      <c r="J410" s="8">
        <v>12.80342572</v>
      </c>
      <c r="K410" s="8">
        <v>-111.003817</v>
      </c>
      <c r="L410" s="8">
        <v>164.7770811</v>
      </c>
      <c r="M410" s="9" t="str">
        <f>IF(A410="",M411,A410)</f>
        <v>Bahrain</v>
      </c>
      <c r="N410" s="3" t="str">
        <f t="shared" si="13"/>
        <v>Jan-2020</v>
      </c>
    </row>
    <row r="411" spans="1:14" x14ac:dyDescent="0.3">
      <c r="A411" s="3" t="s">
        <v>42</v>
      </c>
      <c r="B411" s="3" t="s">
        <v>43</v>
      </c>
      <c r="C411" s="8">
        <v>2020</v>
      </c>
      <c r="D411" s="8">
        <v>2</v>
      </c>
      <c r="E411" s="3" t="str">
        <f t="shared" si="12"/>
        <v>February</v>
      </c>
      <c r="F411" s="3" t="s">
        <v>8</v>
      </c>
      <c r="G411" s="8">
        <v>438.70435179999998</v>
      </c>
      <c r="H411" s="8">
        <v>432.17099999999999</v>
      </c>
      <c r="I411" s="8">
        <v>-6.5333517560000001</v>
      </c>
      <c r="J411" s="8">
        <v>6.2700739629999998</v>
      </c>
      <c r="K411" s="8">
        <v>-163.99359620000001</v>
      </c>
      <c r="L411" s="8">
        <v>203.21688180000001</v>
      </c>
      <c r="M411" s="9" t="str">
        <f>IF(A411="",M412,A411)</f>
        <v>Bahrain</v>
      </c>
      <c r="N411" s="3" t="str">
        <f t="shared" si="13"/>
        <v>Feb-2020</v>
      </c>
    </row>
    <row r="412" spans="1:14" x14ac:dyDescent="0.3">
      <c r="A412" s="3" t="s">
        <v>42</v>
      </c>
      <c r="B412" s="3" t="s">
        <v>43</v>
      </c>
      <c r="C412" s="8">
        <v>2020</v>
      </c>
      <c r="D412" s="8">
        <v>3</v>
      </c>
      <c r="E412" s="3" t="str">
        <f t="shared" si="12"/>
        <v>March</v>
      </c>
      <c r="F412" s="3" t="s">
        <v>8</v>
      </c>
      <c r="G412" s="8">
        <v>431.8117307</v>
      </c>
      <c r="H412" s="8">
        <v>437.79199999999997</v>
      </c>
      <c r="I412" s="8">
        <v>5.9802693280000003</v>
      </c>
      <c r="J412" s="8">
        <v>12.25034329</v>
      </c>
      <c r="K412" s="8">
        <v>-201.64337570000001</v>
      </c>
      <c r="L412" s="8">
        <v>254.2285254</v>
      </c>
      <c r="M412" s="9" t="str">
        <f>IF(A412="",M413,A412)</f>
        <v>Bahrain</v>
      </c>
      <c r="N412" s="3" t="str">
        <f t="shared" si="13"/>
        <v>Mar-2020</v>
      </c>
    </row>
    <row r="413" spans="1:14" x14ac:dyDescent="0.3">
      <c r="A413" s="3" t="s">
        <v>42</v>
      </c>
      <c r="B413" s="3" t="s">
        <v>43</v>
      </c>
      <c r="C413" s="8">
        <v>2020</v>
      </c>
      <c r="D413" s="8">
        <v>4</v>
      </c>
      <c r="E413" s="3" t="str">
        <f t="shared" si="12"/>
        <v>April</v>
      </c>
      <c r="F413" s="3" t="s">
        <v>8</v>
      </c>
      <c r="G413" s="8">
        <v>418.2171601</v>
      </c>
      <c r="H413" s="8">
        <v>427.21899999999999</v>
      </c>
      <c r="I413" s="8">
        <v>9.0018398980000001</v>
      </c>
      <c r="J413" s="8">
        <v>21.25218319</v>
      </c>
      <c r="K413" s="8">
        <v>-237.13904959999999</v>
      </c>
      <c r="L413" s="8">
        <v>301.86641040000001</v>
      </c>
      <c r="M413" s="9" t="str">
        <f>IF(A413="",M414,A413)</f>
        <v>Bahrain</v>
      </c>
      <c r="N413" s="3" t="str">
        <f t="shared" si="13"/>
        <v>Apr-2020</v>
      </c>
    </row>
    <row r="414" spans="1:14" x14ac:dyDescent="0.3">
      <c r="A414" s="3" t="s">
        <v>42</v>
      </c>
      <c r="B414" s="3" t="s">
        <v>43</v>
      </c>
      <c r="C414" s="8">
        <v>2020</v>
      </c>
      <c r="D414" s="8">
        <v>5</v>
      </c>
      <c r="E414" s="3" t="str">
        <f t="shared" si="12"/>
        <v>May</v>
      </c>
      <c r="F414" s="3" t="s">
        <v>8</v>
      </c>
      <c r="G414" s="8">
        <v>401.77919000000003</v>
      </c>
      <c r="H414" s="8">
        <v>459.99900000000002</v>
      </c>
      <c r="I414" s="8">
        <v>58.219809959999999</v>
      </c>
      <c r="J414" s="8">
        <v>79.471993150000003</v>
      </c>
      <c r="K414" s="8">
        <v>-204.21697080000001</v>
      </c>
      <c r="L414" s="8">
        <v>382.58555339999998</v>
      </c>
      <c r="M414" s="9" t="str">
        <f>IF(A414="",M415,A414)</f>
        <v>Bahrain</v>
      </c>
      <c r="N414" s="3" t="str">
        <f t="shared" si="13"/>
        <v>May-2020</v>
      </c>
    </row>
    <row r="415" spans="1:14" x14ac:dyDescent="0.3">
      <c r="A415" s="3" t="s">
        <v>42</v>
      </c>
      <c r="B415" s="3" t="s">
        <v>43</v>
      </c>
      <c r="C415" s="8">
        <v>2020</v>
      </c>
      <c r="D415" s="8">
        <v>6</v>
      </c>
      <c r="E415" s="3" t="str">
        <f t="shared" si="12"/>
        <v>June</v>
      </c>
      <c r="F415" s="3" t="s">
        <v>8</v>
      </c>
      <c r="G415" s="8">
        <v>392.2805189</v>
      </c>
      <c r="H415" s="8">
        <v>547.81700000000001</v>
      </c>
      <c r="I415" s="8">
        <v>155.5364811</v>
      </c>
      <c r="J415" s="8">
        <v>235.00847419999999</v>
      </c>
      <c r="K415" s="8">
        <v>-97.379878869999999</v>
      </c>
      <c r="L415" s="8">
        <v>589.44537909999997</v>
      </c>
      <c r="M415" s="9" t="str">
        <f>IF(A415="",M416,A415)</f>
        <v>Bahrain</v>
      </c>
      <c r="N415" s="3" t="str">
        <f t="shared" si="13"/>
        <v>Jun-2020</v>
      </c>
    </row>
    <row r="416" spans="1:14" x14ac:dyDescent="0.3">
      <c r="A416" s="3" t="s">
        <v>42</v>
      </c>
      <c r="B416" s="3" t="s">
        <v>43</v>
      </c>
      <c r="C416" s="8">
        <v>2020</v>
      </c>
      <c r="D416" s="8">
        <v>7</v>
      </c>
      <c r="E416" s="3" t="str">
        <f t="shared" si="12"/>
        <v>July</v>
      </c>
      <c r="F416" s="3" t="s">
        <v>8</v>
      </c>
      <c r="G416" s="8">
        <v>389.10365009999998</v>
      </c>
      <c r="H416" s="8">
        <v>546.80399999999997</v>
      </c>
      <c r="I416" s="8">
        <v>157.70034989999999</v>
      </c>
      <c r="J416" s="8">
        <v>392.70882410000002</v>
      </c>
      <c r="K416" s="8">
        <v>21.685884089999998</v>
      </c>
      <c r="L416" s="8">
        <v>784.35958800000003</v>
      </c>
      <c r="M416" s="9" t="str">
        <f>IF(A416="",M417,A416)</f>
        <v>Bahrain</v>
      </c>
      <c r="N416" s="3" t="str">
        <f t="shared" si="13"/>
        <v>Jul-2020</v>
      </c>
    </row>
    <row r="417" spans="1:14" x14ac:dyDescent="0.3">
      <c r="A417" s="3" t="s">
        <v>42</v>
      </c>
      <c r="B417" s="3" t="s">
        <v>43</v>
      </c>
      <c r="C417" s="8">
        <v>2020</v>
      </c>
      <c r="D417" s="8">
        <v>8</v>
      </c>
      <c r="E417" s="3" t="str">
        <f t="shared" si="12"/>
        <v>August</v>
      </c>
      <c r="F417" s="3" t="s">
        <v>8</v>
      </c>
      <c r="G417" s="8">
        <v>390.59125640000002</v>
      </c>
      <c r="H417" s="8">
        <v>498.62</v>
      </c>
      <c r="I417" s="8">
        <v>108.0287436</v>
      </c>
      <c r="J417" s="8">
        <v>500.7375677</v>
      </c>
      <c r="K417" s="8">
        <v>101.6472962</v>
      </c>
      <c r="L417" s="8">
        <v>922.90248229999997</v>
      </c>
      <c r="M417" s="9" t="str">
        <f>IF(A417="",M418,A417)</f>
        <v>Bahrain</v>
      </c>
      <c r="N417" s="3" t="str">
        <f t="shared" si="13"/>
        <v>Aug-2020</v>
      </c>
    </row>
    <row r="418" spans="1:14" x14ac:dyDescent="0.3">
      <c r="A418" s="3" t="s">
        <v>42</v>
      </c>
      <c r="B418" s="3" t="s">
        <v>43</v>
      </c>
      <c r="C418" s="8">
        <v>2020</v>
      </c>
      <c r="D418" s="8">
        <v>9</v>
      </c>
      <c r="E418" s="3" t="str">
        <f t="shared" si="12"/>
        <v>September</v>
      </c>
      <c r="F418" s="3" t="s">
        <v>8</v>
      </c>
      <c r="G418" s="8">
        <v>398.71791680000001</v>
      </c>
      <c r="H418" s="8">
        <v>474.73599999999999</v>
      </c>
      <c r="I418" s="8">
        <v>76.018083200000007</v>
      </c>
      <c r="J418" s="8">
        <v>576.75565089999998</v>
      </c>
      <c r="K418" s="8">
        <v>157.86063849999999</v>
      </c>
      <c r="L418" s="8">
        <v>1021.507956</v>
      </c>
      <c r="M418" s="9" t="str">
        <f>IF(A418="",M419,A418)</f>
        <v>Bahrain</v>
      </c>
      <c r="N418" s="3" t="str">
        <f t="shared" si="13"/>
        <v>Sep-2020</v>
      </c>
    </row>
    <row r="419" spans="1:14" x14ac:dyDescent="0.3">
      <c r="A419" s="3" t="s">
        <v>42</v>
      </c>
      <c r="B419" s="3" t="s">
        <v>43</v>
      </c>
      <c r="C419" s="8">
        <v>2020</v>
      </c>
      <c r="D419" s="8">
        <v>10</v>
      </c>
      <c r="E419" s="3" t="str">
        <f t="shared" si="12"/>
        <v>October</v>
      </c>
      <c r="F419" s="3" t="s">
        <v>8</v>
      </c>
      <c r="G419" s="8">
        <v>414.8247902</v>
      </c>
      <c r="H419" s="8">
        <v>467.68200000000002</v>
      </c>
      <c r="I419" s="8">
        <v>52.857209789999999</v>
      </c>
      <c r="J419" s="8">
        <v>629.61286070000006</v>
      </c>
      <c r="K419" s="8">
        <v>176.69233829999999</v>
      </c>
      <c r="L419" s="8">
        <v>1092.761906</v>
      </c>
      <c r="M419" s="9" t="str">
        <f>IF(A419="",M420,A419)</f>
        <v>Bahrain</v>
      </c>
      <c r="N419" s="3" t="str">
        <f t="shared" si="13"/>
        <v>Oct-2020</v>
      </c>
    </row>
    <row r="420" spans="1:14" x14ac:dyDescent="0.3">
      <c r="A420" s="3" t="s">
        <v>42</v>
      </c>
      <c r="B420" s="3" t="s">
        <v>43</v>
      </c>
      <c r="C420" s="8">
        <v>2020</v>
      </c>
      <c r="D420" s="8">
        <v>11</v>
      </c>
      <c r="E420" s="3" t="str">
        <f t="shared" si="12"/>
        <v>November</v>
      </c>
      <c r="F420" s="3" t="s">
        <v>8</v>
      </c>
      <c r="G420" s="8">
        <v>426.69998989999999</v>
      </c>
      <c r="H420" s="8">
        <v>444.435</v>
      </c>
      <c r="I420" s="8">
        <v>17.735010079999999</v>
      </c>
      <c r="J420" s="8">
        <v>647.34787080000001</v>
      </c>
      <c r="K420" s="8">
        <v>156.05317529999999</v>
      </c>
      <c r="L420" s="8">
        <v>1106.613711</v>
      </c>
      <c r="M420" s="9" t="str">
        <f>IF(A420="",M421,A420)</f>
        <v>Bahrain</v>
      </c>
      <c r="N420" s="3" t="str">
        <f t="shared" si="13"/>
        <v>Nov-2020</v>
      </c>
    </row>
    <row r="421" spans="1:14" x14ac:dyDescent="0.3">
      <c r="A421" s="3" t="s">
        <v>42</v>
      </c>
      <c r="B421" s="3" t="s">
        <v>43</v>
      </c>
      <c r="C421" s="8">
        <v>2020</v>
      </c>
      <c r="D421" s="8">
        <v>12</v>
      </c>
      <c r="E421" s="3" t="str">
        <f t="shared" si="12"/>
        <v>December</v>
      </c>
      <c r="F421" s="3" t="s">
        <v>8</v>
      </c>
      <c r="G421" s="8">
        <v>442.038454</v>
      </c>
      <c r="H421" s="8">
        <v>449.66699999999997</v>
      </c>
      <c r="I421" s="8">
        <v>7.6285460240000003</v>
      </c>
      <c r="J421" s="8">
        <v>654.97641680000004</v>
      </c>
      <c r="K421" s="8">
        <v>152.20026910000001</v>
      </c>
      <c r="L421" s="8">
        <v>1128.0446890000001</v>
      </c>
      <c r="M421" s="9" t="str">
        <f>IF(A421="",M422,A421)</f>
        <v>Bahrain</v>
      </c>
      <c r="N421" s="3" t="str">
        <f t="shared" si="13"/>
        <v>Dec-2020</v>
      </c>
    </row>
    <row r="422" spans="1:14" x14ac:dyDescent="0.3">
      <c r="A422" s="3" t="s">
        <v>42</v>
      </c>
      <c r="B422" s="3" t="s">
        <v>43</v>
      </c>
      <c r="C422" s="8">
        <v>2021</v>
      </c>
      <c r="D422" s="8">
        <v>1</v>
      </c>
      <c r="E422" s="3" t="str">
        <f t="shared" si="12"/>
        <v>January</v>
      </c>
      <c r="F422" s="3" t="s">
        <v>8</v>
      </c>
      <c r="G422" s="8">
        <v>482.18117050000001</v>
      </c>
      <c r="H422" s="8">
        <v>497.12200000000001</v>
      </c>
      <c r="I422" s="8">
        <v>14.94082948</v>
      </c>
      <c r="J422" s="8">
        <v>669.91724629999999</v>
      </c>
      <c r="K422" s="8">
        <v>146.7677463</v>
      </c>
      <c r="L422" s="8">
        <v>1171.095145</v>
      </c>
      <c r="M422" s="9" t="str">
        <f>IF(A422="",M423,A422)</f>
        <v>Bahrain</v>
      </c>
      <c r="N422" s="3" t="str">
        <f t="shared" si="13"/>
        <v>Jan-2021</v>
      </c>
    </row>
    <row r="423" spans="1:14" x14ac:dyDescent="0.3">
      <c r="A423" s="3" t="s">
        <v>42</v>
      </c>
      <c r="B423" s="3" t="s">
        <v>43</v>
      </c>
      <c r="C423" s="8">
        <v>2021</v>
      </c>
      <c r="D423" s="8">
        <v>2</v>
      </c>
      <c r="E423" s="3" t="str">
        <f t="shared" si="12"/>
        <v>February</v>
      </c>
      <c r="F423" s="3" t="s">
        <v>8</v>
      </c>
      <c r="G423" s="8">
        <v>472.21519769999998</v>
      </c>
      <c r="H423" s="8">
        <v>516.27200000000005</v>
      </c>
      <c r="I423" s="8">
        <v>44.056802269999999</v>
      </c>
      <c r="J423" s="8">
        <v>713.97404849999998</v>
      </c>
      <c r="K423" s="8">
        <v>181.67759140000001</v>
      </c>
      <c r="L423" s="8">
        <v>1236.7537589999999</v>
      </c>
      <c r="M423" s="9" t="str">
        <f>IF(A423="",M424,A423)</f>
        <v>Bahrain</v>
      </c>
      <c r="N423" s="3" t="str">
        <f t="shared" si="13"/>
        <v>Feb-2021</v>
      </c>
    </row>
    <row r="424" spans="1:14" x14ac:dyDescent="0.3">
      <c r="A424" s="3" t="s">
        <v>42</v>
      </c>
      <c r="B424" s="3" t="s">
        <v>43</v>
      </c>
      <c r="C424" s="8">
        <v>2021</v>
      </c>
      <c r="D424" s="8">
        <v>3</v>
      </c>
      <c r="E424" s="3" t="str">
        <f t="shared" si="12"/>
        <v>March</v>
      </c>
      <c r="F424" s="3" t="s">
        <v>8</v>
      </c>
      <c r="G424" s="8">
        <v>464.95776819999998</v>
      </c>
      <c r="H424" s="8">
        <v>531.60299999999995</v>
      </c>
      <c r="I424" s="8">
        <v>66.645231780000003</v>
      </c>
      <c r="J424" s="8">
        <v>780.61928030000001</v>
      </c>
      <c r="K424" s="8">
        <v>225.5888764</v>
      </c>
      <c r="L424" s="8">
        <v>1347.6595110000001</v>
      </c>
      <c r="M424" s="9" t="str">
        <f>IF(A424="",M425,A424)</f>
        <v>Bahrain</v>
      </c>
      <c r="N424" s="3" t="str">
        <f t="shared" si="13"/>
        <v>Mar-2021</v>
      </c>
    </row>
    <row r="425" spans="1:14" x14ac:dyDescent="0.3">
      <c r="A425" s="3" t="s">
        <v>42</v>
      </c>
      <c r="B425" s="3" t="s">
        <v>43</v>
      </c>
      <c r="C425" s="8">
        <v>2021</v>
      </c>
      <c r="D425" s="8">
        <v>4</v>
      </c>
      <c r="E425" s="3" t="str">
        <f t="shared" si="12"/>
        <v>April</v>
      </c>
      <c r="F425" s="3" t="s">
        <v>8</v>
      </c>
      <c r="G425" s="8">
        <v>449.3092896</v>
      </c>
      <c r="H425" s="8">
        <v>563.452</v>
      </c>
      <c r="I425" s="8">
        <v>114.1427104</v>
      </c>
      <c r="J425" s="8">
        <v>894.76199069999996</v>
      </c>
      <c r="K425" s="8">
        <v>348.76258130000002</v>
      </c>
      <c r="L425" s="8">
        <v>1482.0168410000001</v>
      </c>
      <c r="M425" s="9" t="str">
        <f>IF(A425="",M426,A425)</f>
        <v>Bahrain</v>
      </c>
      <c r="N425" s="3" t="str">
        <f t="shared" si="13"/>
        <v>Apr-2021</v>
      </c>
    </row>
    <row r="426" spans="1:14" x14ac:dyDescent="0.3">
      <c r="A426" s="3" t="s">
        <v>42</v>
      </c>
      <c r="B426" s="3" t="s">
        <v>43</v>
      </c>
      <c r="C426" s="8">
        <v>2021</v>
      </c>
      <c r="D426" s="8">
        <v>5</v>
      </c>
      <c r="E426" s="3" t="str">
        <f t="shared" si="12"/>
        <v>May</v>
      </c>
      <c r="F426" s="3" t="s">
        <v>8</v>
      </c>
      <c r="G426" s="8">
        <v>432.94379880000002</v>
      </c>
      <c r="H426" s="8">
        <v>652.58000000000004</v>
      </c>
      <c r="I426" s="8">
        <v>219.63620119999999</v>
      </c>
      <c r="J426" s="8">
        <v>1114.3981920000001</v>
      </c>
      <c r="K426" s="8">
        <v>527.59112259999995</v>
      </c>
      <c r="L426" s="8">
        <v>1740.6126509999999</v>
      </c>
      <c r="M426" s="9" t="str">
        <f>IF(A426="",M427,A426)</f>
        <v>Bahrain</v>
      </c>
      <c r="N426" s="3" t="str">
        <f t="shared" si="13"/>
        <v>May-2021</v>
      </c>
    </row>
    <row r="427" spans="1:14" x14ac:dyDescent="0.3">
      <c r="A427" s="3" t="s">
        <v>42</v>
      </c>
      <c r="B427" s="3" t="s">
        <v>43</v>
      </c>
      <c r="C427" s="8">
        <v>2021</v>
      </c>
      <c r="D427" s="8">
        <v>6</v>
      </c>
      <c r="E427" s="3" t="str">
        <f t="shared" si="12"/>
        <v>June</v>
      </c>
      <c r="F427" s="3" t="s">
        <v>8</v>
      </c>
      <c r="G427" s="8">
        <v>422.5411345</v>
      </c>
      <c r="H427" s="8">
        <v>690.745</v>
      </c>
      <c r="I427" s="8">
        <v>268.20386550000001</v>
      </c>
      <c r="J427" s="8">
        <v>1382.6020570000001</v>
      </c>
      <c r="K427" s="8">
        <v>754.52906840000003</v>
      </c>
      <c r="L427" s="8">
        <v>2046.6623729999999</v>
      </c>
      <c r="M427" s="9" t="str">
        <f>IF(A427="",M428,A427)</f>
        <v>Bahrain</v>
      </c>
      <c r="N427" s="3" t="str">
        <f t="shared" si="13"/>
        <v>Jun-2021</v>
      </c>
    </row>
    <row r="428" spans="1:14" x14ac:dyDescent="0.3">
      <c r="A428" s="3" t="s">
        <v>42</v>
      </c>
      <c r="B428" s="3" t="s">
        <v>43</v>
      </c>
      <c r="C428" s="8">
        <v>2021</v>
      </c>
      <c r="D428" s="8">
        <v>7</v>
      </c>
      <c r="E428" s="3" t="str">
        <f t="shared" si="12"/>
        <v>July</v>
      </c>
      <c r="F428" s="3" t="s">
        <v>8</v>
      </c>
      <c r="G428" s="8">
        <v>419.38492170000001</v>
      </c>
      <c r="H428" s="8">
        <v>538.61099999999999</v>
      </c>
      <c r="I428" s="8">
        <v>119.2260783</v>
      </c>
      <c r="J428" s="8">
        <v>1501.8281360000001</v>
      </c>
      <c r="K428" s="8">
        <v>872.96097440000005</v>
      </c>
      <c r="L428" s="8">
        <v>2178.4556029999999</v>
      </c>
      <c r="M428" s="9" t="str">
        <f>IF(A428="",M429,A428)</f>
        <v>Bahrain</v>
      </c>
      <c r="N428" s="3" t="str">
        <f t="shared" si="13"/>
        <v>Jul-2021</v>
      </c>
    </row>
    <row r="429" spans="1:14" x14ac:dyDescent="0.3">
      <c r="A429" s="3" t="s">
        <v>42</v>
      </c>
      <c r="B429" s="3" t="s">
        <v>43</v>
      </c>
      <c r="C429" s="8">
        <v>2021</v>
      </c>
      <c r="D429" s="8">
        <v>8</v>
      </c>
      <c r="E429" s="3" t="str">
        <f t="shared" si="12"/>
        <v>August</v>
      </c>
      <c r="F429" s="3" t="s">
        <v>8</v>
      </c>
      <c r="G429" s="8">
        <v>421.7508042</v>
      </c>
      <c r="H429" s="8">
        <v>479.322</v>
      </c>
      <c r="I429" s="8">
        <v>57.571195840000001</v>
      </c>
      <c r="J429" s="8">
        <v>1559.399332</v>
      </c>
      <c r="K429" s="8">
        <v>906.13012939999999</v>
      </c>
      <c r="L429" s="8">
        <v>2242.490886</v>
      </c>
      <c r="M429" s="9" t="str">
        <f>IF(A429="",M430,A429)</f>
        <v>Bahrain</v>
      </c>
      <c r="N429" s="3" t="str">
        <f t="shared" si="13"/>
        <v>Aug-2021</v>
      </c>
    </row>
    <row r="430" spans="1:14" x14ac:dyDescent="0.3">
      <c r="A430" s="3" t="s">
        <v>42</v>
      </c>
      <c r="B430" s="3" t="s">
        <v>43</v>
      </c>
      <c r="C430" s="8">
        <v>2021</v>
      </c>
      <c r="D430" s="8">
        <v>9</v>
      </c>
      <c r="E430" s="3" t="str">
        <f t="shared" si="12"/>
        <v>September</v>
      </c>
      <c r="F430" s="3" t="s">
        <v>8</v>
      </c>
      <c r="G430" s="8">
        <v>430.01119410000001</v>
      </c>
      <c r="H430" s="8">
        <v>474.29700000000003</v>
      </c>
      <c r="I430" s="8">
        <v>44.285805949999997</v>
      </c>
      <c r="J430" s="8">
        <v>1603.6851380000001</v>
      </c>
      <c r="K430" s="8">
        <v>925.27521630000001</v>
      </c>
      <c r="L430" s="8">
        <v>2313.512999</v>
      </c>
      <c r="M430" s="9" t="str">
        <f>IF(A430="",M431,A430)</f>
        <v>Bahrain</v>
      </c>
      <c r="N430" s="3" t="str">
        <f t="shared" si="13"/>
        <v>Sep-2021</v>
      </c>
    </row>
    <row r="431" spans="1:14" x14ac:dyDescent="0.3">
      <c r="A431" s="3" t="s">
        <v>42</v>
      </c>
      <c r="B431" s="3" t="s">
        <v>43</v>
      </c>
      <c r="C431" s="8">
        <v>2021</v>
      </c>
      <c r="D431" s="8">
        <v>10</v>
      </c>
      <c r="E431" s="3" t="str">
        <f t="shared" si="12"/>
        <v>October</v>
      </c>
      <c r="F431" s="3" t="s">
        <v>8</v>
      </c>
      <c r="G431" s="8">
        <v>447.2823009</v>
      </c>
      <c r="H431" s="8">
        <v>482.04300000000001</v>
      </c>
      <c r="I431" s="8">
        <v>34.760699150000001</v>
      </c>
      <c r="J431" s="8">
        <v>1638.445837</v>
      </c>
      <c r="K431" s="8">
        <v>897.88636029999998</v>
      </c>
      <c r="L431" s="8">
        <v>2365.19866</v>
      </c>
      <c r="M431" s="9" t="str">
        <f>IF(A431="",M432,A431)</f>
        <v>Bahrain</v>
      </c>
      <c r="N431" s="3" t="str">
        <f t="shared" si="13"/>
        <v>Oct-2021</v>
      </c>
    </row>
    <row r="432" spans="1:14" x14ac:dyDescent="0.3">
      <c r="A432" s="3" t="s">
        <v>42</v>
      </c>
      <c r="B432" s="3" t="s">
        <v>43</v>
      </c>
      <c r="C432" s="8">
        <v>2021</v>
      </c>
      <c r="D432" s="8">
        <v>11</v>
      </c>
      <c r="E432" s="3" t="str">
        <f t="shared" si="12"/>
        <v>November</v>
      </c>
      <c r="F432" s="3" t="s">
        <v>8</v>
      </c>
      <c r="G432" s="8">
        <v>460.28347289999999</v>
      </c>
      <c r="H432" s="8">
        <v>487.00700000000001</v>
      </c>
      <c r="I432" s="8">
        <v>26.723527069999999</v>
      </c>
      <c r="J432" s="8">
        <v>1665.1693640000001</v>
      </c>
      <c r="K432" s="8">
        <v>890.09678780000002</v>
      </c>
      <c r="L432" s="8">
        <v>2413.7725380000002</v>
      </c>
      <c r="M432" s="9" t="str">
        <f>IF(A432="",M433,A432)</f>
        <v>Bahrain</v>
      </c>
      <c r="N432" s="3" t="str">
        <f t="shared" si="13"/>
        <v>Nov-2021</v>
      </c>
    </row>
    <row r="433" spans="1:14" x14ac:dyDescent="0.3">
      <c r="A433" s="3" t="s">
        <v>42</v>
      </c>
      <c r="B433" s="3" t="s">
        <v>43</v>
      </c>
      <c r="C433" s="8">
        <v>2021</v>
      </c>
      <c r="D433" s="8">
        <v>12</v>
      </c>
      <c r="E433" s="3" t="str">
        <f t="shared" si="12"/>
        <v>December</v>
      </c>
      <c r="F433" s="3" t="s">
        <v>8</v>
      </c>
      <c r="G433" s="8">
        <v>475.68159910000003</v>
      </c>
      <c r="H433" s="8">
        <v>511.21300000000002</v>
      </c>
      <c r="I433" s="8">
        <v>35.531400939999997</v>
      </c>
      <c r="J433" s="8">
        <v>1700.700765</v>
      </c>
      <c r="K433" s="8">
        <v>951.7849172</v>
      </c>
      <c r="L433" s="8">
        <v>2475.0734859999998</v>
      </c>
      <c r="M433" s="9" t="str">
        <f>IF(A433="",M434,A433)</f>
        <v>Bahrain</v>
      </c>
      <c r="N433" s="3" t="str">
        <f t="shared" si="13"/>
        <v>Dec-2021</v>
      </c>
    </row>
    <row r="434" spans="1:14" x14ac:dyDescent="0.3">
      <c r="A434" s="3" t="s">
        <v>44</v>
      </c>
      <c r="B434" s="3" t="s">
        <v>45</v>
      </c>
      <c r="C434" s="8">
        <v>2020</v>
      </c>
      <c r="D434" s="8">
        <v>1</v>
      </c>
      <c r="E434" s="3" t="str">
        <f t="shared" si="12"/>
        <v>January</v>
      </c>
      <c r="F434" s="3" t="s">
        <v>13</v>
      </c>
      <c r="G434" s="8">
        <v>252.8706717</v>
      </c>
      <c r="H434" s="8">
        <v>282</v>
      </c>
      <c r="I434" s="8">
        <v>28.751330360000001</v>
      </c>
      <c r="J434" s="8">
        <v>28.751330360000001</v>
      </c>
      <c r="K434" s="8">
        <v>16.16511418</v>
      </c>
      <c r="L434" s="8">
        <v>40.614860739999997</v>
      </c>
      <c r="M434" s="9" t="str">
        <f>IF(A434="",M435,A434)</f>
        <v>Bahamas</v>
      </c>
      <c r="N434" s="3" t="str">
        <f t="shared" si="13"/>
        <v>Jan-2020</v>
      </c>
    </row>
    <row r="435" spans="1:14" x14ac:dyDescent="0.3">
      <c r="A435" s="3" t="s">
        <v>44</v>
      </c>
      <c r="B435" s="3" t="s">
        <v>45</v>
      </c>
      <c r="C435" s="8">
        <v>2020</v>
      </c>
      <c r="D435" s="8">
        <v>2</v>
      </c>
      <c r="E435" s="3" t="str">
        <f t="shared" si="12"/>
        <v>February</v>
      </c>
      <c r="F435" s="3" t="s">
        <v>13</v>
      </c>
      <c r="G435" s="8">
        <v>253.62037129999999</v>
      </c>
      <c r="H435" s="8">
        <v>242</v>
      </c>
      <c r="I435" s="8">
        <v>-11.99836928</v>
      </c>
      <c r="J435" s="8">
        <v>16.752961079999999</v>
      </c>
      <c r="K435" s="8">
        <v>4.6975505000000001E-2</v>
      </c>
      <c r="L435" s="8">
        <v>34.24594029</v>
      </c>
      <c r="M435" s="9" t="str">
        <f>IF(A435="",M436,A435)</f>
        <v>Bahamas</v>
      </c>
      <c r="N435" s="3" t="str">
        <f t="shared" si="13"/>
        <v>Feb-2020</v>
      </c>
    </row>
    <row r="436" spans="1:14" x14ac:dyDescent="0.3">
      <c r="A436" s="3" t="s">
        <v>44</v>
      </c>
      <c r="B436" s="3" t="s">
        <v>45</v>
      </c>
      <c r="C436" s="8">
        <v>2020</v>
      </c>
      <c r="D436" s="8">
        <v>3</v>
      </c>
      <c r="E436" s="3" t="str">
        <f t="shared" si="12"/>
        <v>March</v>
      </c>
      <c r="F436" s="3" t="s">
        <v>13</v>
      </c>
      <c r="G436" s="8">
        <v>254.3316576</v>
      </c>
      <c r="H436" s="8">
        <v>251</v>
      </c>
      <c r="I436" s="8">
        <v>-3.7096555640000002</v>
      </c>
      <c r="J436" s="8">
        <v>13.043305520000001</v>
      </c>
      <c r="K436" s="8">
        <v>-9.0733938910000003</v>
      </c>
      <c r="L436" s="8">
        <v>34.36130635</v>
      </c>
      <c r="M436" s="9" t="str">
        <f>IF(A436="",M437,A436)</f>
        <v>Bahamas</v>
      </c>
      <c r="N436" s="3" t="str">
        <f t="shared" si="13"/>
        <v>Mar-2020</v>
      </c>
    </row>
    <row r="437" spans="1:14" x14ac:dyDescent="0.3">
      <c r="A437" s="3" t="s">
        <v>44</v>
      </c>
      <c r="B437" s="3" t="s">
        <v>45</v>
      </c>
      <c r="C437" s="8">
        <v>2020</v>
      </c>
      <c r="D437" s="8">
        <v>4</v>
      </c>
      <c r="E437" s="3" t="str">
        <f t="shared" si="12"/>
        <v>April</v>
      </c>
      <c r="F437" s="3" t="s">
        <v>13</v>
      </c>
      <c r="G437" s="8">
        <v>255.2494763</v>
      </c>
      <c r="H437" s="8">
        <v>247</v>
      </c>
      <c r="I437" s="8">
        <v>-8.6274742399999997</v>
      </c>
      <c r="J437" s="8">
        <v>4.4158312769999997</v>
      </c>
      <c r="K437" s="8">
        <v>-18.94382263</v>
      </c>
      <c r="L437" s="8">
        <v>28.85360983</v>
      </c>
      <c r="M437" s="9" t="str">
        <f>IF(A437="",M438,A437)</f>
        <v>Bahamas</v>
      </c>
      <c r="N437" s="3" t="str">
        <f t="shared" si="13"/>
        <v>Apr-2020</v>
      </c>
    </row>
    <row r="438" spans="1:14" x14ac:dyDescent="0.3">
      <c r="A438" s="3" t="s">
        <v>44</v>
      </c>
      <c r="B438" s="3" t="s">
        <v>45</v>
      </c>
      <c r="C438" s="8">
        <v>2020</v>
      </c>
      <c r="D438" s="8">
        <v>5</v>
      </c>
      <c r="E438" s="3" t="str">
        <f t="shared" si="12"/>
        <v>May</v>
      </c>
      <c r="F438" s="3" t="s">
        <v>13</v>
      </c>
      <c r="G438" s="8">
        <v>255.78316290000001</v>
      </c>
      <c r="H438" s="8">
        <v>223</v>
      </c>
      <c r="I438" s="8">
        <v>-33.161160870000003</v>
      </c>
      <c r="J438" s="8">
        <v>-28.745329590000001</v>
      </c>
      <c r="K438" s="8">
        <v>-56.820008610000002</v>
      </c>
      <c r="L438" s="8">
        <v>-0.99254667799999996</v>
      </c>
      <c r="M438" s="9" t="str">
        <f>IF(A438="",M439,A438)</f>
        <v>Bahamas</v>
      </c>
      <c r="N438" s="3" t="str">
        <f t="shared" si="13"/>
        <v>May-2020</v>
      </c>
    </row>
    <row r="439" spans="1:14" x14ac:dyDescent="0.3">
      <c r="A439" s="3" t="s">
        <v>44</v>
      </c>
      <c r="B439" s="3" t="s">
        <v>45</v>
      </c>
      <c r="C439" s="8">
        <v>2020</v>
      </c>
      <c r="D439" s="8">
        <v>6</v>
      </c>
      <c r="E439" s="3" t="str">
        <f t="shared" si="12"/>
        <v>June</v>
      </c>
      <c r="F439" s="3" t="s">
        <v>13</v>
      </c>
      <c r="G439" s="8">
        <v>256.60944410000002</v>
      </c>
      <c r="H439" s="8">
        <v>226</v>
      </c>
      <c r="I439" s="8">
        <v>-30.987442049999999</v>
      </c>
      <c r="J439" s="8">
        <v>-59.732771640000003</v>
      </c>
      <c r="K439" s="8">
        <v>-88.641072059999999</v>
      </c>
      <c r="L439" s="8">
        <v>-28.106045089999999</v>
      </c>
      <c r="M439" s="9" t="str">
        <f>IF(A439="",M440,A439)</f>
        <v>Bahamas</v>
      </c>
      <c r="N439" s="3" t="str">
        <f t="shared" si="13"/>
        <v>Jun-2020</v>
      </c>
    </row>
    <row r="440" spans="1:14" x14ac:dyDescent="0.3">
      <c r="A440" s="3" t="s">
        <v>44</v>
      </c>
      <c r="B440" s="3" t="s">
        <v>45</v>
      </c>
      <c r="C440" s="8">
        <v>2020</v>
      </c>
      <c r="D440" s="8">
        <v>7</v>
      </c>
      <c r="E440" s="3" t="str">
        <f t="shared" si="12"/>
        <v>July</v>
      </c>
      <c r="F440" s="3" t="s">
        <v>13</v>
      </c>
      <c r="G440" s="8">
        <v>257.45916899999997</v>
      </c>
      <c r="H440" s="8">
        <v>298</v>
      </c>
      <c r="I440" s="8">
        <v>40.162832999999999</v>
      </c>
      <c r="J440" s="8">
        <v>-19.569938629999999</v>
      </c>
      <c r="K440" s="8">
        <v>-52.367956569999997</v>
      </c>
      <c r="L440" s="8">
        <v>13.316372700000001</v>
      </c>
      <c r="M440" s="9" t="str">
        <f>IF(A440="",M441,A440)</f>
        <v>Bahamas</v>
      </c>
      <c r="N440" s="3" t="str">
        <f t="shared" si="13"/>
        <v>Jul-2020</v>
      </c>
    </row>
    <row r="441" spans="1:14" x14ac:dyDescent="0.3">
      <c r="A441" s="3" t="s">
        <v>44</v>
      </c>
      <c r="B441" s="3" t="s">
        <v>45</v>
      </c>
      <c r="C441" s="8">
        <v>2020</v>
      </c>
      <c r="D441" s="8">
        <v>8</v>
      </c>
      <c r="E441" s="3" t="str">
        <f t="shared" si="12"/>
        <v>August</v>
      </c>
      <c r="F441" s="3" t="s">
        <v>13</v>
      </c>
      <c r="G441" s="8">
        <v>258.14108779999998</v>
      </c>
      <c r="H441" s="8">
        <v>370</v>
      </c>
      <c r="I441" s="8">
        <v>111.4809142</v>
      </c>
      <c r="J441" s="8">
        <v>91.910975550000003</v>
      </c>
      <c r="K441" s="8">
        <v>55.840762099999999</v>
      </c>
      <c r="L441" s="8">
        <v>128.576019</v>
      </c>
      <c r="M441" s="9" t="str">
        <f>IF(A441="",M442,A441)</f>
        <v>Bahamas</v>
      </c>
      <c r="N441" s="3" t="str">
        <f t="shared" si="13"/>
        <v>Aug-2020</v>
      </c>
    </row>
    <row r="442" spans="1:14" x14ac:dyDescent="0.3">
      <c r="A442" s="3" t="s">
        <v>44</v>
      </c>
      <c r="B442" s="3" t="s">
        <v>45</v>
      </c>
      <c r="C442" s="8">
        <v>2020</v>
      </c>
      <c r="D442" s="8">
        <v>9</v>
      </c>
      <c r="E442" s="3" t="str">
        <f t="shared" si="12"/>
        <v>September</v>
      </c>
      <c r="F442" s="3" t="s">
        <v>13</v>
      </c>
      <c r="G442" s="8">
        <v>258.84895660000001</v>
      </c>
      <c r="H442" s="8">
        <v>353</v>
      </c>
      <c r="I442" s="8">
        <v>93.773045409999995</v>
      </c>
      <c r="J442" s="8">
        <v>185.684021</v>
      </c>
      <c r="K442" s="8">
        <v>147.22532240000001</v>
      </c>
      <c r="L442" s="8">
        <v>224.6459979</v>
      </c>
      <c r="M442" s="9" t="str">
        <f>IF(A442="",M443,A442)</f>
        <v>Bahamas</v>
      </c>
      <c r="N442" s="3" t="str">
        <f t="shared" si="13"/>
        <v>Sep-2020</v>
      </c>
    </row>
    <row r="443" spans="1:14" x14ac:dyDescent="0.3">
      <c r="A443" s="3" t="s">
        <v>44</v>
      </c>
      <c r="B443" s="3" t="s">
        <v>45</v>
      </c>
      <c r="C443" s="8">
        <v>2020</v>
      </c>
      <c r="D443" s="8">
        <v>10</v>
      </c>
      <c r="E443" s="3" t="str">
        <f t="shared" si="12"/>
        <v>October</v>
      </c>
      <c r="F443" s="3" t="s">
        <v>13</v>
      </c>
      <c r="G443" s="8">
        <v>259.8492622</v>
      </c>
      <c r="H443" s="8">
        <v>360</v>
      </c>
      <c r="I443" s="8">
        <v>99.772739869999995</v>
      </c>
      <c r="J443" s="8">
        <v>285.45676079999998</v>
      </c>
      <c r="K443" s="8">
        <v>243.60988829999999</v>
      </c>
      <c r="L443" s="8">
        <v>328.49770949999998</v>
      </c>
      <c r="M443" s="9" t="str">
        <f>IF(A443="",M444,A443)</f>
        <v>Bahamas</v>
      </c>
      <c r="N443" s="3" t="str">
        <f t="shared" si="13"/>
        <v>Oct-2020</v>
      </c>
    </row>
    <row r="444" spans="1:14" x14ac:dyDescent="0.3">
      <c r="A444" s="3" t="s">
        <v>44</v>
      </c>
      <c r="B444" s="3" t="s">
        <v>45</v>
      </c>
      <c r="C444" s="8">
        <v>2020</v>
      </c>
      <c r="D444" s="8">
        <v>11</v>
      </c>
      <c r="E444" s="3" t="str">
        <f t="shared" si="12"/>
        <v>November</v>
      </c>
      <c r="F444" s="3" t="s">
        <v>13</v>
      </c>
      <c r="G444" s="8">
        <v>260.90801809999999</v>
      </c>
      <c r="H444" s="8">
        <v>293</v>
      </c>
      <c r="I444" s="8">
        <v>31.713983949999999</v>
      </c>
      <c r="J444" s="8">
        <v>317.17074480000002</v>
      </c>
      <c r="K444" s="8">
        <v>273.75569760000002</v>
      </c>
      <c r="L444" s="8">
        <v>359.53187830000002</v>
      </c>
      <c r="M444" s="9" t="str">
        <f>IF(A444="",M445,A444)</f>
        <v>Bahamas</v>
      </c>
      <c r="N444" s="3" t="str">
        <f t="shared" si="13"/>
        <v>Nov-2020</v>
      </c>
    </row>
    <row r="445" spans="1:14" x14ac:dyDescent="0.3">
      <c r="A445" s="3" t="s">
        <v>44</v>
      </c>
      <c r="B445" s="3" t="s">
        <v>45</v>
      </c>
      <c r="C445" s="8">
        <v>2020</v>
      </c>
      <c r="D445" s="8">
        <v>12</v>
      </c>
      <c r="E445" s="3" t="str">
        <f t="shared" si="12"/>
        <v>December</v>
      </c>
      <c r="F445" s="3" t="s">
        <v>13</v>
      </c>
      <c r="G445" s="8">
        <v>261.5162234</v>
      </c>
      <c r="H445" s="8">
        <v>268</v>
      </c>
      <c r="I445" s="8">
        <v>6.1057786610000004</v>
      </c>
      <c r="J445" s="8">
        <v>323.27652339999997</v>
      </c>
      <c r="K445" s="8">
        <v>276.81731930000001</v>
      </c>
      <c r="L445" s="8">
        <v>369.80287529999998</v>
      </c>
      <c r="M445" s="9" t="str">
        <f>IF(A445="",M446,A445)</f>
        <v>Bahamas</v>
      </c>
      <c r="N445" s="3" t="str">
        <f t="shared" si="13"/>
        <v>Dec-2020</v>
      </c>
    </row>
    <row r="446" spans="1:14" x14ac:dyDescent="0.3">
      <c r="A446" s="3" t="s">
        <v>44</v>
      </c>
      <c r="B446" s="3" t="s">
        <v>45</v>
      </c>
      <c r="C446" s="8">
        <v>2021</v>
      </c>
      <c r="D446" s="8">
        <v>1</v>
      </c>
      <c r="E446" s="3" t="str">
        <f t="shared" si="12"/>
        <v>January</v>
      </c>
      <c r="F446" s="3" t="s">
        <v>13</v>
      </c>
      <c r="G446" s="8">
        <v>262.72949210000002</v>
      </c>
      <c r="H446" s="8">
        <v>265</v>
      </c>
      <c r="I446" s="8">
        <v>2.1760084050000001</v>
      </c>
      <c r="J446" s="8">
        <v>325.4525319</v>
      </c>
      <c r="K446" s="8">
        <v>276.87449079999999</v>
      </c>
      <c r="L446" s="8">
        <v>373.09581270000001</v>
      </c>
      <c r="M446" s="9" t="str">
        <f>IF(A446="",M447,A446)</f>
        <v>Bahamas</v>
      </c>
      <c r="N446" s="3" t="str">
        <f t="shared" si="13"/>
        <v>Jan-2021</v>
      </c>
    </row>
    <row r="447" spans="1:14" x14ac:dyDescent="0.3">
      <c r="A447" s="3" t="s">
        <v>44</v>
      </c>
      <c r="B447" s="3" t="s">
        <v>45</v>
      </c>
      <c r="C447" s="8">
        <v>2021</v>
      </c>
      <c r="D447" s="8">
        <v>2</v>
      </c>
      <c r="E447" s="3" t="str">
        <f t="shared" si="12"/>
        <v>February</v>
      </c>
      <c r="F447" s="3" t="s">
        <v>13</v>
      </c>
      <c r="G447" s="8">
        <v>263.26320229999999</v>
      </c>
      <c r="H447" s="8">
        <v>248</v>
      </c>
      <c r="I447" s="8">
        <v>-15.35770175</v>
      </c>
      <c r="J447" s="8">
        <v>310.09483010000002</v>
      </c>
      <c r="K447" s="8">
        <v>256.60878969999999</v>
      </c>
      <c r="L447" s="8">
        <v>362.28806500000002</v>
      </c>
      <c r="M447" s="9" t="str">
        <f>IF(A447="",M448,A447)</f>
        <v>Bahamas</v>
      </c>
      <c r="N447" s="3" t="str">
        <f t="shared" si="13"/>
        <v>Feb-2021</v>
      </c>
    </row>
    <row r="448" spans="1:14" x14ac:dyDescent="0.3">
      <c r="A448" s="3" t="s">
        <v>44</v>
      </c>
      <c r="B448" s="3" t="s">
        <v>45</v>
      </c>
      <c r="C448" s="8">
        <v>2021</v>
      </c>
      <c r="D448" s="8">
        <v>3</v>
      </c>
      <c r="E448" s="3" t="str">
        <f t="shared" si="12"/>
        <v>March</v>
      </c>
      <c r="F448" s="3" t="s">
        <v>13</v>
      </c>
      <c r="G448" s="8">
        <v>264.00321380000003</v>
      </c>
      <c r="H448" s="8">
        <v>271</v>
      </c>
      <c r="I448" s="8">
        <v>6.9022867190000001</v>
      </c>
      <c r="J448" s="8">
        <v>316.99711680000001</v>
      </c>
      <c r="K448" s="8">
        <v>262.33167959999997</v>
      </c>
      <c r="L448" s="8">
        <v>370.51908200000003</v>
      </c>
      <c r="M448" s="9" t="str">
        <f>IF(A448="",M449,A448)</f>
        <v>Bahamas</v>
      </c>
      <c r="N448" s="3" t="str">
        <f t="shared" si="13"/>
        <v>Mar-2021</v>
      </c>
    </row>
    <row r="449" spans="1:14" x14ac:dyDescent="0.3">
      <c r="A449" s="3" t="s">
        <v>44</v>
      </c>
      <c r="B449" s="3" t="s">
        <v>45</v>
      </c>
      <c r="C449" s="8">
        <v>2021</v>
      </c>
      <c r="D449" s="8">
        <v>4</v>
      </c>
      <c r="E449" s="3" t="str">
        <f t="shared" si="12"/>
        <v>April</v>
      </c>
      <c r="F449" s="3" t="s">
        <v>13</v>
      </c>
      <c r="G449" s="8">
        <v>264.68167019999999</v>
      </c>
      <c r="H449" s="8">
        <v>266</v>
      </c>
      <c r="I449" s="8">
        <v>1.2238303159999999</v>
      </c>
      <c r="J449" s="8">
        <v>318.22094709999999</v>
      </c>
      <c r="K449" s="8">
        <v>263.3607399</v>
      </c>
      <c r="L449" s="8">
        <v>373.96473209999999</v>
      </c>
      <c r="M449" s="9" t="str">
        <f>IF(A449="",M450,A449)</f>
        <v>Bahamas</v>
      </c>
      <c r="N449" s="3" t="str">
        <f t="shared" si="13"/>
        <v>Apr-2021</v>
      </c>
    </row>
    <row r="450" spans="1:14" x14ac:dyDescent="0.3">
      <c r="A450" s="3" t="s">
        <v>44</v>
      </c>
      <c r="B450" s="3" t="s">
        <v>45</v>
      </c>
      <c r="C450" s="8">
        <v>2021</v>
      </c>
      <c r="D450" s="8">
        <v>5</v>
      </c>
      <c r="E450" s="3" t="str">
        <f t="shared" ref="E450:E513" si="14">TEXT(DATE(C450,D450,1),"MMMM")</f>
        <v>May</v>
      </c>
      <c r="F450" s="3" t="s">
        <v>13</v>
      </c>
      <c r="G450" s="8">
        <v>265.74238459999998</v>
      </c>
      <c r="H450" s="8">
        <v>265</v>
      </c>
      <c r="I450" s="8">
        <v>-0.83688406699999995</v>
      </c>
      <c r="J450" s="8">
        <v>317.38406309999999</v>
      </c>
      <c r="K450" s="8">
        <v>259.69050850000002</v>
      </c>
      <c r="L450" s="8">
        <v>376.44891150000001</v>
      </c>
      <c r="M450" s="9" t="str">
        <f>IF(A450="",M451,A450)</f>
        <v>Bahamas</v>
      </c>
      <c r="N450" s="3" t="str">
        <f t="shared" ref="N450:N513" si="15">TEXT(DATE(C450,D450,1),"MMM-YYYY")</f>
        <v>May-2021</v>
      </c>
    </row>
    <row r="451" spans="1:14" x14ac:dyDescent="0.3">
      <c r="A451" s="3" t="s">
        <v>44</v>
      </c>
      <c r="B451" s="3" t="s">
        <v>45</v>
      </c>
      <c r="C451" s="8">
        <v>2021</v>
      </c>
      <c r="D451" s="8">
        <v>6</v>
      </c>
      <c r="E451" s="3" t="str">
        <f t="shared" si="14"/>
        <v>June</v>
      </c>
      <c r="F451" s="3" t="s">
        <v>13</v>
      </c>
      <c r="G451" s="8">
        <v>266.60210540000003</v>
      </c>
      <c r="H451" s="8">
        <v>264</v>
      </c>
      <c r="I451" s="8">
        <v>-2.6966048819999999</v>
      </c>
      <c r="J451" s="8">
        <v>314.68745819999998</v>
      </c>
      <c r="K451" s="8">
        <v>254.1710587</v>
      </c>
      <c r="L451" s="8">
        <v>375.9394102</v>
      </c>
      <c r="M451" s="9" t="str">
        <f>IF(A451="",M452,A451)</f>
        <v>Bahamas</v>
      </c>
      <c r="N451" s="3" t="str">
        <f t="shared" si="15"/>
        <v>Jun-2021</v>
      </c>
    </row>
    <row r="452" spans="1:14" x14ac:dyDescent="0.3">
      <c r="A452" s="3" t="s">
        <v>44</v>
      </c>
      <c r="B452" s="3" t="s">
        <v>45</v>
      </c>
      <c r="C452" s="8">
        <v>2021</v>
      </c>
      <c r="D452" s="8">
        <v>7</v>
      </c>
      <c r="E452" s="3" t="str">
        <f t="shared" si="14"/>
        <v>July</v>
      </c>
      <c r="F452" s="3" t="s">
        <v>13</v>
      </c>
      <c r="G452" s="8">
        <v>266.86116709999999</v>
      </c>
      <c r="H452" s="8">
        <v>379</v>
      </c>
      <c r="I452" s="8">
        <v>112.0443334</v>
      </c>
      <c r="J452" s="8">
        <v>426.73179160000001</v>
      </c>
      <c r="K452" s="8">
        <v>362.5593642</v>
      </c>
      <c r="L452" s="8">
        <v>492.39747340000002</v>
      </c>
      <c r="M452" s="9" t="str">
        <f>IF(A452="",M453,A452)</f>
        <v>Bahamas</v>
      </c>
      <c r="N452" s="3" t="str">
        <f t="shared" si="15"/>
        <v>Jul-2021</v>
      </c>
    </row>
    <row r="453" spans="1:14" x14ac:dyDescent="0.3">
      <c r="A453" s="3" t="s">
        <v>44</v>
      </c>
      <c r="B453" s="3" t="s">
        <v>45</v>
      </c>
      <c r="C453" s="8">
        <v>2021</v>
      </c>
      <c r="D453" s="8">
        <v>8</v>
      </c>
      <c r="E453" s="3" t="str">
        <f t="shared" si="14"/>
        <v>August</v>
      </c>
      <c r="F453" s="3" t="s">
        <v>13</v>
      </c>
      <c r="G453" s="8">
        <v>267.80382630000003</v>
      </c>
      <c r="H453" s="8">
        <v>595</v>
      </c>
      <c r="I453" s="8">
        <v>327.10167419999999</v>
      </c>
      <c r="J453" s="8">
        <v>753.8334658</v>
      </c>
      <c r="K453" s="8">
        <v>685.5087072</v>
      </c>
      <c r="L453" s="8">
        <v>823.32055860000003</v>
      </c>
      <c r="M453" s="9" t="str">
        <f>IF(A453="",M454,A453)</f>
        <v>Bahamas</v>
      </c>
      <c r="N453" s="3" t="str">
        <f t="shared" si="15"/>
        <v>Aug-2021</v>
      </c>
    </row>
    <row r="454" spans="1:14" x14ac:dyDescent="0.3">
      <c r="A454" s="3" t="s">
        <v>44</v>
      </c>
      <c r="B454" s="3" t="s">
        <v>45</v>
      </c>
      <c r="C454" s="8">
        <v>2021</v>
      </c>
      <c r="D454" s="8">
        <v>9</v>
      </c>
      <c r="E454" s="3" t="str">
        <f t="shared" si="14"/>
        <v>September</v>
      </c>
      <c r="F454" s="3" t="s">
        <v>13</v>
      </c>
      <c r="G454" s="8">
        <v>269.11219390000002</v>
      </c>
      <c r="H454" s="8">
        <v>553</v>
      </c>
      <c r="I454" s="8">
        <v>283.79330659999999</v>
      </c>
      <c r="J454" s="8">
        <v>1037.6267720000001</v>
      </c>
      <c r="K454" s="8">
        <v>965.66115060000004</v>
      </c>
      <c r="L454" s="8">
        <v>1107.8585559999999</v>
      </c>
      <c r="M454" s="9" t="str">
        <f>IF(A454="",M455,A454)</f>
        <v>Bahamas</v>
      </c>
      <c r="N454" s="3" t="str">
        <f t="shared" si="15"/>
        <v>Sep-2021</v>
      </c>
    </row>
    <row r="455" spans="1:14" x14ac:dyDescent="0.3">
      <c r="A455" s="3" t="s">
        <v>44</v>
      </c>
      <c r="B455" s="3" t="s">
        <v>45</v>
      </c>
      <c r="C455" s="8">
        <v>2021</v>
      </c>
      <c r="D455" s="8">
        <v>10</v>
      </c>
      <c r="E455" s="3" t="str">
        <f t="shared" si="14"/>
        <v>October</v>
      </c>
      <c r="F455" s="3" t="s">
        <v>13</v>
      </c>
      <c r="G455" s="8">
        <v>269.25185149999999</v>
      </c>
      <c r="H455" s="8">
        <v>450</v>
      </c>
      <c r="I455" s="8">
        <v>180.653649</v>
      </c>
      <c r="J455" s="8">
        <v>1218.2804209999999</v>
      </c>
      <c r="K455" s="8">
        <v>1145.915968</v>
      </c>
      <c r="L455" s="8">
        <v>1293.5332619999999</v>
      </c>
      <c r="M455" s="9" t="str">
        <f>IF(A455="",M456,A455)</f>
        <v>Bahamas</v>
      </c>
      <c r="N455" s="3" t="str">
        <f t="shared" si="15"/>
        <v>Oct-2021</v>
      </c>
    </row>
    <row r="456" spans="1:14" x14ac:dyDescent="0.3">
      <c r="A456" s="3" t="s">
        <v>44</v>
      </c>
      <c r="B456" s="3" t="s">
        <v>45</v>
      </c>
      <c r="C456" s="8">
        <v>2021</v>
      </c>
      <c r="D456" s="8">
        <v>11</v>
      </c>
      <c r="E456" s="3" t="str">
        <f t="shared" si="14"/>
        <v>November</v>
      </c>
      <c r="F456" s="3" t="s">
        <v>13</v>
      </c>
      <c r="G456" s="8">
        <v>270.34317379999999</v>
      </c>
      <c r="H456" s="8">
        <v>272</v>
      </c>
      <c r="I456" s="8">
        <v>1.562326704</v>
      </c>
      <c r="J456" s="8">
        <v>1219.842748</v>
      </c>
      <c r="K456" s="8">
        <v>1143.317004</v>
      </c>
      <c r="L456" s="8">
        <v>1295.976478</v>
      </c>
      <c r="M456" s="9" t="str">
        <f>IF(A456="",M457,A456)</f>
        <v>Bahamas</v>
      </c>
      <c r="N456" s="3" t="str">
        <f t="shared" si="15"/>
        <v>Nov-2021</v>
      </c>
    </row>
    <row r="457" spans="1:14" x14ac:dyDescent="0.3">
      <c r="A457" s="3" t="s">
        <v>44</v>
      </c>
      <c r="B457" s="3" t="s">
        <v>45</v>
      </c>
      <c r="C457" s="8">
        <v>2021</v>
      </c>
      <c r="D457" s="8">
        <v>12</v>
      </c>
      <c r="E457" s="3" t="str">
        <f t="shared" si="14"/>
        <v>December</v>
      </c>
      <c r="F457" s="3" t="s">
        <v>13</v>
      </c>
      <c r="G457" s="8">
        <v>271.64065870000002</v>
      </c>
      <c r="H457" s="8">
        <v>306</v>
      </c>
      <c r="I457" s="8">
        <v>34.264841830000002</v>
      </c>
      <c r="J457" s="8">
        <v>1254.1075900000001</v>
      </c>
      <c r="K457" s="8">
        <v>1178.23604</v>
      </c>
      <c r="L457" s="8">
        <v>1334.1306569999999</v>
      </c>
      <c r="M457" s="9" t="str">
        <f>IF(A457="",M458,A457)</f>
        <v>Bahamas</v>
      </c>
      <c r="N457" s="3" t="str">
        <f t="shared" si="15"/>
        <v>Dec-2021</v>
      </c>
    </row>
    <row r="458" spans="1:14" x14ac:dyDescent="0.3">
      <c r="A458" s="3" t="s">
        <v>46</v>
      </c>
      <c r="B458" s="3" t="s">
        <v>47</v>
      </c>
      <c r="C458" s="8">
        <v>2020</v>
      </c>
      <c r="D458" s="8">
        <v>1</v>
      </c>
      <c r="E458" s="3" t="str">
        <f t="shared" si="14"/>
        <v>January</v>
      </c>
      <c r="F458" s="3" t="s">
        <v>13</v>
      </c>
      <c r="G458" s="8">
        <v>3202.3240139999998</v>
      </c>
      <c r="H458" s="8">
        <v>2800</v>
      </c>
      <c r="I458" s="8">
        <v>-402.32401440000001</v>
      </c>
      <c r="J458" s="8">
        <v>-402.32401440000001</v>
      </c>
      <c r="K458" s="8">
        <v>-534.03057409999997</v>
      </c>
      <c r="L458" s="8">
        <v>-272.75940639999999</v>
      </c>
      <c r="M458" s="9" t="str">
        <f>IF(A458="",M459,A458)</f>
        <v>Bosnia and Herzegovina</v>
      </c>
      <c r="N458" s="3" t="str">
        <f t="shared" si="15"/>
        <v>Jan-2020</v>
      </c>
    </row>
    <row r="459" spans="1:14" x14ac:dyDescent="0.3">
      <c r="A459" s="3" t="s">
        <v>46</v>
      </c>
      <c r="B459" s="3" t="s">
        <v>47</v>
      </c>
      <c r="C459" s="8">
        <v>2020</v>
      </c>
      <c r="D459" s="8">
        <v>2</v>
      </c>
      <c r="E459" s="3" t="str">
        <f t="shared" si="14"/>
        <v>February</v>
      </c>
      <c r="F459" s="3" t="s">
        <v>13</v>
      </c>
      <c r="G459" s="8">
        <v>3286.0064699999998</v>
      </c>
      <c r="H459" s="8">
        <v>3203</v>
      </c>
      <c r="I459" s="8">
        <v>-83.006470320000005</v>
      </c>
      <c r="J459" s="8">
        <v>-485.3304847</v>
      </c>
      <c r="K459" s="8">
        <v>-690.69567119999999</v>
      </c>
      <c r="L459" s="8">
        <v>-288.83838509999998</v>
      </c>
      <c r="M459" s="9" t="str">
        <f>IF(A459="",M460,A459)</f>
        <v>Bosnia and Herzegovina</v>
      </c>
      <c r="N459" s="3" t="str">
        <f t="shared" si="15"/>
        <v>Feb-2020</v>
      </c>
    </row>
    <row r="460" spans="1:14" x14ac:dyDescent="0.3">
      <c r="A460" s="3" t="s">
        <v>46</v>
      </c>
      <c r="B460" s="3" t="s">
        <v>47</v>
      </c>
      <c r="C460" s="8">
        <v>2020</v>
      </c>
      <c r="D460" s="8">
        <v>3</v>
      </c>
      <c r="E460" s="3" t="str">
        <f t="shared" si="14"/>
        <v>March</v>
      </c>
      <c r="F460" s="3" t="s">
        <v>13</v>
      </c>
      <c r="G460" s="8">
        <v>3241.6573170000001</v>
      </c>
      <c r="H460" s="8">
        <v>2970</v>
      </c>
      <c r="I460" s="8">
        <v>-271.65731699999998</v>
      </c>
      <c r="J460" s="8">
        <v>-756.98780180000006</v>
      </c>
      <c r="K460" s="8">
        <v>-1009.402726</v>
      </c>
      <c r="L460" s="8">
        <v>-529.40564429999995</v>
      </c>
      <c r="M460" s="9" t="str">
        <f>IF(A460="",M461,A460)</f>
        <v>Bosnia and Herzegovina</v>
      </c>
      <c r="N460" s="3" t="str">
        <f t="shared" si="15"/>
        <v>Mar-2020</v>
      </c>
    </row>
    <row r="461" spans="1:14" x14ac:dyDescent="0.3">
      <c r="A461" s="3" t="s">
        <v>46</v>
      </c>
      <c r="B461" s="3" t="s">
        <v>47</v>
      </c>
      <c r="C461" s="8">
        <v>2020</v>
      </c>
      <c r="D461" s="8">
        <v>4</v>
      </c>
      <c r="E461" s="3" t="str">
        <f t="shared" si="14"/>
        <v>April</v>
      </c>
      <c r="F461" s="3" t="s">
        <v>13</v>
      </c>
      <c r="G461" s="8">
        <v>3085.0405139999998</v>
      </c>
      <c r="H461" s="8">
        <v>3207</v>
      </c>
      <c r="I461" s="8">
        <v>121.959486</v>
      </c>
      <c r="J461" s="8">
        <v>-635.02831579999997</v>
      </c>
      <c r="K461" s="8">
        <v>-927.3507366</v>
      </c>
      <c r="L461" s="8">
        <v>-352.28416040000002</v>
      </c>
      <c r="M461" s="9" t="str">
        <f>IF(A461="",M462,A461)</f>
        <v>Bosnia and Herzegovina</v>
      </c>
      <c r="N461" s="3" t="str">
        <f t="shared" si="15"/>
        <v>Apr-2020</v>
      </c>
    </row>
    <row r="462" spans="1:14" x14ac:dyDescent="0.3">
      <c r="A462" s="3" t="s">
        <v>46</v>
      </c>
      <c r="B462" s="3" t="s">
        <v>47</v>
      </c>
      <c r="C462" s="8">
        <v>2020</v>
      </c>
      <c r="D462" s="8">
        <v>5</v>
      </c>
      <c r="E462" s="3" t="str">
        <f t="shared" si="14"/>
        <v>May</v>
      </c>
      <c r="F462" s="3" t="s">
        <v>13</v>
      </c>
      <c r="G462" s="8">
        <v>2940.4255929999999</v>
      </c>
      <c r="H462" s="8">
        <v>2938</v>
      </c>
      <c r="I462" s="8">
        <v>-2.4255926520000002</v>
      </c>
      <c r="J462" s="8">
        <v>-637.45390850000001</v>
      </c>
      <c r="K462" s="8">
        <v>-960.79035910000005</v>
      </c>
      <c r="L462" s="8">
        <v>-319.18455230000001</v>
      </c>
      <c r="M462" s="9" t="str">
        <f>IF(A462="",M463,A462)</f>
        <v>Bosnia and Herzegovina</v>
      </c>
      <c r="N462" s="3" t="str">
        <f t="shared" si="15"/>
        <v>May-2020</v>
      </c>
    </row>
    <row r="463" spans="1:14" x14ac:dyDescent="0.3">
      <c r="A463" s="3" t="s">
        <v>46</v>
      </c>
      <c r="B463" s="3" t="s">
        <v>47</v>
      </c>
      <c r="C463" s="8">
        <v>2020</v>
      </c>
      <c r="D463" s="8">
        <v>6</v>
      </c>
      <c r="E463" s="3" t="str">
        <f t="shared" si="14"/>
        <v>June</v>
      </c>
      <c r="F463" s="3" t="s">
        <v>13</v>
      </c>
      <c r="G463" s="8">
        <v>2819.5316389999998</v>
      </c>
      <c r="H463" s="8">
        <v>2953</v>
      </c>
      <c r="I463" s="8">
        <v>133.46836099999999</v>
      </c>
      <c r="J463" s="8">
        <v>-503.9855475</v>
      </c>
      <c r="K463" s="8">
        <v>-856.49937680000005</v>
      </c>
      <c r="L463" s="8">
        <v>-172.31239310000001</v>
      </c>
      <c r="M463" s="9" t="str">
        <f>IF(A463="",M464,A463)</f>
        <v>Bosnia and Herzegovina</v>
      </c>
      <c r="N463" s="3" t="str">
        <f t="shared" si="15"/>
        <v>Jun-2020</v>
      </c>
    </row>
    <row r="464" spans="1:14" x14ac:dyDescent="0.3">
      <c r="A464" s="3" t="s">
        <v>46</v>
      </c>
      <c r="B464" s="3" t="s">
        <v>47</v>
      </c>
      <c r="C464" s="8">
        <v>2020</v>
      </c>
      <c r="D464" s="8">
        <v>7</v>
      </c>
      <c r="E464" s="3" t="str">
        <f t="shared" si="14"/>
        <v>July</v>
      </c>
      <c r="F464" s="3" t="s">
        <v>13</v>
      </c>
      <c r="G464" s="8">
        <v>2778.0659890000002</v>
      </c>
      <c r="H464" s="8">
        <v>3066</v>
      </c>
      <c r="I464" s="8">
        <v>287.93401060000002</v>
      </c>
      <c r="J464" s="8">
        <v>-216.0515369</v>
      </c>
      <c r="K464" s="8">
        <v>-606.55026090000001</v>
      </c>
      <c r="L464" s="8">
        <v>162.64362790000001</v>
      </c>
      <c r="M464" s="9" t="str">
        <f>IF(A464="",M465,A464)</f>
        <v>Bosnia and Herzegovina</v>
      </c>
      <c r="N464" s="3" t="str">
        <f t="shared" si="15"/>
        <v>Jul-2020</v>
      </c>
    </row>
    <row r="465" spans="1:14" x14ac:dyDescent="0.3">
      <c r="A465" s="3" t="s">
        <v>46</v>
      </c>
      <c r="B465" s="3" t="s">
        <v>47</v>
      </c>
      <c r="C465" s="8">
        <v>2020</v>
      </c>
      <c r="D465" s="8">
        <v>8</v>
      </c>
      <c r="E465" s="3" t="str">
        <f t="shared" si="14"/>
        <v>August</v>
      </c>
      <c r="F465" s="3" t="s">
        <v>13</v>
      </c>
      <c r="G465" s="8">
        <v>2771.8660850000001</v>
      </c>
      <c r="H465" s="8">
        <v>3329</v>
      </c>
      <c r="I465" s="8">
        <v>557.13391490000004</v>
      </c>
      <c r="J465" s="8">
        <v>341.08237800000001</v>
      </c>
      <c r="K465" s="8">
        <v>-62.401911660000003</v>
      </c>
      <c r="L465" s="8">
        <v>733.62842520000004</v>
      </c>
      <c r="M465" s="9" t="str">
        <f>IF(A465="",M466,A465)</f>
        <v>Bosnia and Herzegovina</v>
      </c>
      <c r="N465" s="3" t="str">
        <f t="shared" si="15"/>
        <v>Aug-2020</v>
      </c>
    </row>
    <row r="466" spans="1:14" x14ac:dyDescent="0.3">
      <c r="A466" s="3" t="s">
        <v>46</v>
      </c>
      <c r="B466" s="3" t="s">
        <v>47</v>
      </c>
      <c r="C466" s="8">
        <v>2020</v>
      </c>
      <c r="D466" s="8">
        <v>9</v>
      </c>
      <c r="E466" s="3" t="str">
        <f t="shared" si="14"/>
        <v>September</v>
      </c>
      <c r="F466" s="3" t="s">
        <v>13</v>
      </c>
      <c r="G466" s="8">
        <v>2795.9041109999998</v>
      </c>
      <c r="H466" s="8">
        <v>3459</v>
      </c>
      <c r="I466" s="8">
        <v>663.09588889999998</v>
      </c>
      <c r="J466" s="8">
        <v>1004.178267</v>
      </c>
      <c r="K466" s="8">
        <v>569.60570670000004</v>
      </c>
      <c r="L466" s="8">
        <v>1407.3085169999999</v>
      </c>
      <c r="M466" s="9" t="str">
        <f>IF(A466="",M467,A466)</f>
        <v>Bosnia and Herzegovina</v>
      </c>
      <c r="N466" s="3" t="str">
        <f t="shared" si="15"/>
        <v>Sep-2020</v>
      </c>
    </row>
    <row r="467" spans="1:14" x14ac:dyDescent="0.3">
      <c r="A467" s="3" t="s">
        <v>46</v>
      </c>
      <c r="B467" s="3" t="s">
        <v>47</v>
      </c>
      <c r="C467" s="8">
        <v>2020</v>
      </c>
      <c r="D467" s="8">
        <v>10</v>
      </c>
      <c r="E467" s="3" t="str">
        <f t="shared" si="14"/>
        <v>October</v>
      </c>
      <c r="F467" s="3" t="s">
        <v>13</v>
      </c>
      <c r="G467" s="8">
        <v>2892.573202</v>
      </c>
      <c r="H467" s="8">
        <v>3506</v>
      </c>
      <c r="I467" s="8">
        <v>613.42679810000004</v>
      </c>
      <c r="J467" s="8">
        <v>1617.605065</v>
      </c>
      <c r="K467" s="8">
        <v>1146.9703999999999</v>
      </c>
      <c r="L467" s="8">
        <v>2052.5605620000001</v>
      </c>
      <c r="M467" s="9" t="str">
        <f>IF(A467="",M468,A467)</f>
        <v>Bosnia and Herzegovina</v>
      </c>
      <c r="N467" s="3" t="str">
        <f t="shared" si="15"/>
        <v>Oct-2020</v>
      </c>
    </row>
    <row r="468" spans="1:14" x14ac:dyDescent="0.3">
      <c r="A468" s="3" t="s">
        <v>46</v>
      </c>
      <c r="B468" s="3" t="s">
        <v>47</v>
      </c>
      <c r="C468" s="8">
        <v>2020</v>
      </c>
      <c r="D468" s="8">
        <v>11</v>
      </c>
      <c r="E468" s="3" t="str">
        <f t="shared" si="14"/>
        <v>November</v>
      </c>
      <c r="F468" s="3" t="s">
        <v>13</v>
      </c>
      <c r="G468" s="8">
        <v>3021.718468</v>
      </c>
      <c r="H468" s="8">
        <v>5410</v>
      </c>
      <c r="I468" s="8">
        <v>2388.281532</v>
      </c>
      <c r="J468" s="8">
        <v>4005.8865970000002</v>
      </c>
      <c r="K468" s="8">
        <v>3546.1334830000001</v>
      </c>
      <c r="L468" s="8">
        <v>4467.2085719999995</v>
      </c>
      <c r="M468" s="9" t="str">
        <f>IF(A468="",M469,A468)</f>
        <v>Bosnia and Herzegovina</v>
      </c>
      <c r="N468" s="3" t="str">
        <f t="shared" si="15"/>
        <v>Nov-2020</v>
      </c>
    </row>
    <row r="469" spans="1:14" x14ac:dyDescent="0.3">
      <c r="A469" s="3" t="s">
        <v>46</v>
      </c>
      <c r="B469" s="3" t="s">
        <v>47</v>
      </c>
      <c r="C469" s="8">
        <v>2020</v>
      </c>
      <c r="D469" s="8">
        <v>12</v>
      </c>
      <c r="E469" s="3" t="str">
        <f t="shared" si="14"/>
        <v>December</v>
      </c>
      <c r="F469" s="3" t="s">
        <v>13</v>
      </c>
      <c r="G469" s="8">
        <v>3175.0429250000002</v>
      </c>
      <c r="H469" s="8">
        <v>5962</v>
      </c>
      <c r="I469" s="8">
        <v>2786.9570749999998</v>
      </c>
      <c r="J469" s="8">
        <v>6792.843672</v>
      </c>
      <c r="K469" s="8">
        <v>6308.1448350000001</v>
      </c>
      <c r="L469" s="8">
        <v>7262.0531920000003</v>
      </c>
      <c r="M469" s="9" t="str">
        <f>IF(A469="",M470,A469)</f>
        <v>Bosnia and Herzegovina</v>
      </c>
      <c r="N469" s="3" t="str">
        <f t="shared" si="15"/>
        <v>Dec-2020</v>
      </c>
    </row>
    <row r="470" spans="1:14" x14ac:dyDescent="0.3">
      <c r="A470" s="3" t="s">
        <v>46</v>
      </c>
      <c r="B470" s="3" t="s">
        <v>47</v>
      </c>
      <c r="C470" s="8">
        <v>2021</v>
      </c>
      <c r="D470" s="8">
        <v>1</v>
      </c>
      <c r="E470" s="3" t="str">
        <f t="shared" si="14"/>
        <v>January</v>
      </c>
      <c r="F470" s="3" t="s">
        <v>13</v>
      </c>
      <c r="G470" s="8">
        <v>3175.5933960000002</v>
      </c>
      <c r="H470" s="8">
        <v>3452</v>
      </c>
      <c r="I470" s="8">
        <v>276.40660350000002</v>
      </c>
      <c r="J470" s="8">
        <v>7069.2502759999998</v>
      </c>
      <c r="K470" s="8">
        <v>6561.7652710000002</v>
      </c>
      <c r="L470" s="8">
        <v>7558.4926290000003</v>
      </c>
      <c r="M470" s="9" t="str">
        <f>IF(A470="",M471,A470)</f>
        <v>Bosnia and Herzegovina</v>
      </c>
      <c r="N470" s="3" t="str">
        <f t="shared" si="15"/>
        <v>Jan-2021</v>
      </c>
    </row>
    <row r="471" spans="1:14" x14ac:dyDescent="0.3">
      <c r="A471" s="3" t="s">
        <v>46</v>
      </c>
      <c r="B471" s="3" t="s">
        <v>47</v>
      </c>
      <c r="C471" s="8">
        <v>2021</v>
      </c>
      <c r="D471" s="8">
        <v>2</v>
      </c>
      <c r="E471" s="3" t="str">
        <f t="shared" si="14"/>
        <v>February</v>
      </c>
      <c r="F471" s="3" t="s">
        <v>13</v>
      </c>
      <c r="G471" s="8">
        <v>3262.4372800000001</v>
      </c>
      <c r="H471" s="8">
        <v>3454</v>
      </c>
      <c r="I471" s="8">
        <v>191.56271989999999</v>
      </c>
      <c r="J471" s="8">
        <v>7260.8129959999997</v>
      </c>
      <c r="K471" s="8">
        <v>6742.297337</v>
      </c>
      <c r="L471" s="8">
        <v>7767.5540339999998</v>
      </c>
      <c r="M471" s="9" t="str">
        <f>IF(A471="",M472,A471)</f>
        <v>Bosnia and Herzegovina</v>
      </c>
      <c r="N471" s="3" t="str">
        <f t="shared" si="15"/>
        <v>Feb-2021</v>
      </c>
    </row>
    <row r="472" spans="1:14" x14ac:dyDescent="0.3">
      <c r="A472" s="3" t="s">
        <v>46</v>
      </c>
      <c r="B472" s="3" t="s">
        <v>47</v>
      </c>
      <c r="C472" s="8">
        <v>2021</v>
      </c>
      <c r="D472" s="8">
        <v>3</v>
      </c>
      <c r="E472" s="3" t="str">
        <f t="shared" si="14"/>
        <v>March</v>
      </c>
      <c r="F472" s="3" t="s">
        <v>13</v>
      </c>
      <c r="G472" s="8">
        <v>3213.6279500000001</v>
      </c>
      <c r="H472" s="8">
        <v>4787</v>
      </c>
      <c r="I472" s="8">
        <v>1573.3720499999999</v>
      </c>
      <c r="J472" s="8">
        <v>8834.1850460000005</v>
      </c>
      <c r="K472" s="8">
        <v>8258.6319579999999</v>
      </c>
      <c r="L472" s="8">
        <v>9395.1395990000001</v>
      </c>
      <c r="M472" s="9" t="str">
        <f>IF(A472="",M473,A472)</f>
        <v>Bosnia and Herzegovina</v>
      </c>
      <c r="N472" s="3" t="str">
        <f t="shared" si="15"/>
        <v>Mar-2021</v>
      </c>
    </row>
    <row r="473" spans="1:14" x14ac:dyDescent="0.3">
      <c r="A473" s="3" t="s">
        <v>46</v>
      </c>
      <c r="B473" s="3" t="s">
        <v>47</v>
      </c>
      <c r="C473" s="8">
        <v>2021</v>
      </c>
      <c r="D473" s="8">
        <v>4</v>
      </c>
      <c r="E473" s="3" t="str">
        <f t="shared" si="14"/>
        <v>April</v>
      </c>
      <c r="F473" s="3" t="s">
        <v>13</v>
      </c>
      <c r="G473" s="8">
        <v>3058.8075480000002</v>
      </c>
      <c r="H473" s="8">
        <v>6051</v>
      </c>
      <c r="I473" s="8">
        <v>2992.1924519999998</v>
      </c>
      <c r="J473" s="8">
        <v>11826.377500000001</v>
      </c>
      <c r="K473" s="8">
        <v>11225.222589999999</v>
      </c>
      <c r="L473" s="8">
        <v>12416.85901</v>
      </c>
      <c r="M473" s="9" t="str">
        <f>IF(A473="",M474,A473)</f>
        <v>Bosnia and Herzegovina</v>
      </c>
      <c r="N473" s="3" t="str">
        <f t="shared" si="15"/>
        <v>Apr-2021</v>
      </c>
    </row>
    <row r="474" spans="1:14" x14ac:dyDescent="0.3">
      <c r="A474" s="3" t="s">
        <v>46</v>
      </c>
      <c r="B474" s="3" t="s">
        <v>47</v>
      </c>
      <c r="C474" s="8">
        <v>2021</v>
      </c>
      <c r="D474" s="8">
        <v>5</v>
      </c>
      <c r="E474" s="3" t="str">
        <f t="shared" si="14"/>
        <v>May</v>
      </c>
      <c r="F474" s="3" t="s">
        <v>13</v>
      </c>
      <c r="G474" s="8">
        <v>2914.8387790000002</v>
      </c>
      <c r="H474" s="8">
        <v>4223</v>
      </c>
      <c r="I474" s="8">
        <v>1308.1612210000001</v>
      </c>
      <c r="J474" s="8">
        <v>13134.53872</v>
      </c>
      <c r="K474" s="8">
        <v>12512.333060000001</v>
      </c>
      <c r="L474" s="8">
        <v>13744.07624</v>
      </c>
      <c r="M474" s="9" t="str">
        <f>IF(A474="",M475,A474)</f>
        <v>Bosnia and Herzegovina</v>
      </c>
      <c r="N474" s="3" t="str">
        <f t="shared" si="15"/>
        <v>May-2021</v>
      </c>
    </row>
    <row r="475" spans="1:14" x14ac:dyDescent="0.3">
      <c r="A475" s="3" t="s">
        <v>46</v>
      </c>
      <c r="B475" s="3" t="s">
        <v>47</v>
      </c>
      <c r="C475" s="8">
        <v>2021</v>
      </c>
      <c r="D475" s="8">
        <v>6</v>
      </c>
      <c r="E475" s="3" t="str">
        <f t="shared" si="14"/>
        <v>June</v>
      </c>
      <c r="F475" s="3" t="s">
        <v>13</v>
      </c>
      <c r="G475" s="8">
        <v>2800.0281770000001</v>
      </c>
      <c r="H475" s="8">
        <v>3276</v>
      </c>
      <c r="I475" s="8">
        <v>475.97182270000002</v>
      </c>
      <c r="J475" s="8">
        <v>13610.510539999999</v>
      </c>
      <c r="K475" s="8">
        <v>12975.666740000001</v>
      </c>
      <c r="L475" s="8">
        <v>14242.7363</v>
      </c>
      <c r="M475" s="9" t="str">
        <f>IF(A475="",M476,A475)</f>
        <v>Bosnia and Herzegovina</v>
      </c>
      <c r="N475" s="3" t="str">
        <f t="shared" si="15"/>
        <v>Jun-2021</v>
      </c>
    </row>
    <row r="476" spans="1:14" x14ac:dyDescent="0.3">
      <c r="A476" s="3" t="s">
        <v>46</v>
      </c>
      <c r="B476" s="3" t="s">
        <v>47</v>
      </c>
      <c r="C476" s="8">
        <v>2021</v>
      </c>
      <c r="D476" s="8">
        <v>7</v>
      </c>
      <c r="E476" s="3" t="str">
        <f t="shared" si="14"/>
        <v>July</v>
      </c>
      <c r="F476" s="3" t="s">
        <v>13</v>
      </c>
      <c r="G476" s="8">
        <v>2759.051352</v>
      </c>
      <c r="H476" s="8">
        <v>3067</v>
      </c>
      <c r="I476" s="8">
        <v>307.94864840000002</v>
      </c>
      <c r="J476" s="8">
        <v>13918.45919</v>
      </c>
      <c r="K476" s="8">
        <v>13263.16743</v>
      </c>
      <c r="L476" s="8">
        <v>14580.34749</v>
      </c>
      <c r="M476" s="9" t="str">
        <f>IF(A476="",M477,A476)</f>
        <v>Bosnia and Herzegovina</v>
      </c>
      <c r="N476" s="3" t="str">
        <f t="shared" si="15"/>
        <v>Jul-2021</v>
      </c>
    </row>
    <row r="477" spans="1:14" x14ac:dyDescent="0.3">
      <c r="A477" s="3" t="s">
        <v>46</v>
      </c>
      <c r="B477" s="3" t="s">
        <v>47</v>
      </c>
      <c r="C477" s="8">
        <v>2021</v>
      </c>
      <c r="D477" s="8">
        <v>8</v>
      </c>
      <c r="E477" s="3" t="str">
        <f t="shared" si="14"/>
        <v>August</v>
      </c>
      <c r="F477" s="3" t="s">
        <v>13</v>
      </c>
      <c r="G477" s="8">
        <v>2751.3883620000001</v>
      </c>
      <c r="H477" s="8">
        <v>3019</v>
      </c>
      <c r="I477" s="8">
        <v>267.61163790000001</v>
      </c>
      <c r="J477" s="8">
        <v>14186.070830000001</v>
      </c>
      <c r="K477" s="8">
        <v>13515.37868</v>
      </c>
      <c r="L477" s="8">
        <v>14870.02872</v>
      </c>
      <c r="M477" s="9" t="str">
        <f>IF(A477="",M478,A477)</f>
        <v>Bosnia and Herzegovina</v>
      </c>
      <c r="N477" s="3" t="str">
        <f t="shared" si="15"/>
        <v>Aug-2021</v>
      </c>
    </row>
    <row r="478" spans="1:14" x14ac:dyDescent="0.3">
      <c r="A478" s="3" t="s">
        <v>46</v>
      </c>
      <c r="B478" s="3" t="s">
        <v>47</v>
      </c>
      <c r="C478" s="8">
        <v>2021</v>
      </c>
      <c r="D478" s="8">
        <v>9</v>
      </c>
      <c r="E478" s="3" t="str">
        <f t="shared" si="14"/>
        <v>September</v>
      </c>
      <c r="F478" s="3" t="s">
        <v>13</v>
      </c>
      <c r="G478" s="8">
        <v>2772.8053970000001</v>
      </c>
      <c r="H478" s="8">
        <v>3779</v>
      </c>
      <c r="I478" s="8">
        <v>1006.194603</v>
      </c>
      <c r="J478" s="8">
        <v>15192.265429999999</v>
      </c>
      <c r="K478" s="8">
        <v>14497.61765</v>
      </c>
      <c r="L478" s="8">
        <v>15896.52802</v>
      </c>
      <c r="M478" s="9" t="str">
        <f>IF(A478="",M479,A478)</f>
        <v>Bosnia and Herzegovina</v>
      </c>
      <c r="N478" s="3" t="str">
        <f t="shared" si="15"/>
        <v>Sep-2021</v>
      </c>
    </row>
    <row r="479" spans="1:14" x14ac:dyDescent="0.3">
      <c r="A479" s="3" t="s">
        <v>46</v>
      </c>
      <c r="B479" s="3" t="s">
        <v>47</v>
      </c>
      <c r="C479" s="8">
        <v>2021</v>
      </c>
      <c r="D479" s="8">
        <v>10</v>
      </c>
      <c r="E479" s="3" t="str">
        <f t="shared" si="14"/>
        <v>October</v>
      </c>
      <c r="F479" s="3" t="s">
        <v>13</v>
      </c>
      <c r="G479" s="8">
        <v>2874.8237020000001</v>
      </c>
      <c r="H479" s="8">
        <v>4125</v>
      </c>
      <c r="I479" s="8">
        <v>1250.1762980000001</v>
      </c>
      <c r="J479" s="8">
        <v>16442.441729999999</v>
      </c>
      <c r="K479" s="8">
        <v>15744.42438</v>
      </c>
      <c r="L479" s="8">
        <v>17165.067360000001</v>
      </c>
      <c r="M479" s="9" t="str">
        <f>IF(A479="",M480,A479)</f>
        <v>Bosnia and Herzegovina</v>
      </c>
      <c r="N479" s="3" t="str">
        <f t="shared" si="15"/>
        <v>Oct-2021</v>
      </c>
    </row>
    <row r="480" spans="1:14" x14ac:dyDescent="0.3">
      <c r="A480" s="3" t="s">
        <v>46</v>
      </c>
      <c r="B480" s="3" t="s">
        <v>47</v>
      </c>
      <c r="C480" s="8">
        <v>2021</v>
      </c>
      <c r="D480" s="8">
        <v>11</v>
      </c>
      <c r="E480" s="3" t="str">
        <f t="shared" si="14"/>
        <v>November</v>
      </c>
      <c r="F480" s="3" t="s">
        <v>13</v>
      </c>
      <c r="G480" s="8">
        <v>3002.4851090000002</v>
      </c>
      <c r="H480" s="8">
        <v>4615</v>
      </c>
      <c r="I480" s="8">
        <v>1612.514891</v>
      </c>
      <c r="J480" s="8">
        <v>18054.956620000001</v>
      </c>
      <c r="K480" s="8">
        <v>17294.755649999999</v>
      </c>
      <c r="L480" s="8">
        <v>18815.939640000001</v>
      </c>
      <c r="M480" s="9" t="str">
        <f>IF(A480="",M481,A480)</f>
        <v>Bosnia and Herzegovina</v>
      </c>
      <c r="N480" s="3" t="str">
        <f t="shared" si="15"/>
        <v>Nov-2021</v>
      </c>
    </row>
    <row r="481" spans="1:14" x14ac:dyDescent="0.3">
      <c r="A481" s="3" t="s">
        <v>46</v>
      </c>
      <c r="B481" s="3" t="s">
        <v>47</v>
      </c>
      <c r="C481" s="8">
        <v>2021</v>
      </c>
      <c r="D481" s="8">
        <v>12</v>
      </c>
      <c r="E481" s="3" t="str">
        <f t="shared" si="14"/>
        <v>December</v>
      </c>
      <c r="F481" s="3" t="s">
        <v>13</v>
      </c>
      <c r="G481" s="8">
        <v>3152.797118</v>
      </c>
      <c r="H481" s="8">
        <v>4655</v>
      </c>
      <c r="I481" s="8">
        <v>1502.202882</v>
      </c>
      <c r="J481" s="8">
        <v>19557.159500000002</v>
      </c>
      <c r="K481" s="8">
        <v>18819.25316</v>
      </c>
      <c r="L481" s="8">
        <v>20333.223890000001</v>
      </c>
      <c r="M481" s="9" t="str">
        <f>IF(A481="",M482,A481)</f>
        <v>Bosnia and Herzegovina</v>
      </c>
      <c r="N481" s="3" t="str">
        <f t="shared" si="15"/>
        <v>Dec-2021</v>
      </c>
    </row>
    <row r="482" spans="1:14" x14ac:dyDescent="0.3">
      <c r="A482" s="3" t="s">
        <v>48</v>
      </c>
      <c r="B482" s="3" t="s">
        <v>49</v>
      </c>
      <c r="C482" s="8">
        <v>2020</v>
      </c>
      <c r="D482" s="8">
        <v>1</v>
      </c>
      <c r="E482" s="3" t="str">
        <f t="shared" si="14"/>
        <v>January</v>
      </c>
      <c r="F482" s="3" t="s">
        <v>13</v>
      </c>
      <c r="G482" s="8">
        <v>10430.88082</v>
      </c>
      <c r="H482" s="8">
        <v>10725</v>
      </c>
      <c r="I482" s="8">
        <v>293.6191839</v>
      </c>
      <c r="J482" s="8">
        <v>293.6191839</v>
      </c>
      <c r="K482" s="8">
        <v>-88.231357970000005</v>
      </c>
      <c r="L482" s="8">
        <v>671.47059960000001</v>
      </c>
      <c r="M482" s="9" t="str">
        <f>IF(A482="",M483,A482)</f>
        <v>Belarus</v>
      </c>
      <c r="N482" s="3" t="str">
        <f t="shared" si="15"/>
        <v>Jan-2020</v>
      </c>
    </row>
    <row r="483" spans="1:14" x14ac:dyDescent="0.3">
      <c r="A483" s="3" t="s">
        <v>48</v>
      </c>
      <c r="B483" s="3" t="s">
        <v>49</v>
      </c>
      <c r="C483" s="8">
        <v>2020</v>
      </c>
      <c r="D483" s="8">
        <v>2</v>
      </c>
      <c r="E483" s="3" t="str">
        <f t="shared" si="14"/>
        <v>February</v>
      </c>
      <c r="F483" s="3" t="s">
        <v>13</v>
      </c>
      <c r="G483" s="8">
        <v>10478.8691</v>
      </c>
      <c r="H483" s="8">
        <v>9622</v>
      </c>
      <c r="I483" s="8">
        <v>-857.36910160000002</v>
      </c>
      <c r="J483" s="8">
        <v>-563.74991769999997</v>
      </c>
      <c r="K483" s="8">
        <v>-1131.9632140000001</v>
      </c>
      <c r="L483" s="8">
        <v>-5.2546600300000001</v>
      </c>
      <c r="M483" s="9" t="str">
        <f>IF(A483="",M484,A483)</f>
        <v>Belarus</v>
      </c>
      <c r="N483" s="3" t="str">
        <f t="shared" si="15"/>
        <v>Feb-2020</v>
      </c>
    </row>
    <row r="484" spans="1:14" x14ac:dyDescent="0.3">
      <c r="A484" s="3" t="s">
        <v>48</v>
      </c>
      <c r="B484" s="3" t="s">
        <v>49</v>
      </c>
      <c r="C484" s="8">
        <v>2020</v>
      </c>
      <c r="D484" s="8">
        <v>3</v>
      </c>
      <c r="E484" s="3" t="str">
        <f t="shared" si="14"/>
        <v>March</v>
      </c>
      <c r="F484" s="3" t="s">
        <v>13</v>
      </c>
      <c r="G484" s="8">
        <v>10489.99447</v>
      </c>
      <c r="H484" s="8">
        <v>10690</v>
      </c>
      <c r="I484" s="8">
        <v>199.50553410000001</v>
      </c>
      <c r="J484" s="8">
        <v>-364.24438359999999</v>
      </c>
      <c r="K484" s="8">
        <v>-1115.6758359999999</v>
      </c>
      <c r="L484" s="8">
        <v>377.15342340000001</v>
      </c>
      <c r="M484" s="9" t="str">
        <f>IF(A484="",M485,A484)</f>
        <v>Belarus</v>
      </c>
      <c r="N484" s="3" t="str">
        <f t="shared" si="15"/>
        <v>Mar-2020</v>
      </c>
    </row>
    <row r="485" spans="1:14" x14ac:dyDescent="0.3">
      <c r="A485" s="3" t="s">
        <v>48</v>
      </c>
      <c r="B485" s="3" t="s">
        <v>49</v>
      </c>
      <c r="C485" s="8">
        <v>2020</v>
      </c>
      <c r="D485" s="8">
        <v>4</v>
      </c>
      <c r="E485" s="3" t="str">
        <f t="shared" si="14"/>
        <v>April</v>
      </c>
      <c r="F485" s="3" t="s">
        <v>13</v>
      </c>
      <c r="G485" s="8">
        <v>10325.02239</v>
      </c>
      <c r="H485" s="8">
        <v>10886</v>
      </c>
      <c r="I485" s="8">
        <v>560.47760879999998</v>
      </c>
      <c r="J485" s="8">
        <v>196.23322519999999</v>
      </c>
      <c r="K485" s="8">
        <v>-676.54506600000002</v>
      </c>
      <c r="L485" s="8">
        <v>1024.2015200000001</v>
      </c>
      <c r="M485" s="9" t="str">
        <f>IF(A485="",M486,A485)</f>
        <v>Belarus</v>
      </c>
      <c r="N485" s="3" t="str">
        <f t="shared" si="15"/>
        <v>Apr-2020</v>
      </c>
    </row>
    <row r="486" spans="1:14" x14ac:dyDescent="0.3">
      <c r="A486" s="3" t="s">
        <v>48</v>
      </c>
      <c r="B486" s="3" t="s">
        <v>49</v>
      </c>
      <c r="C486" s="8">
        <v>2020</v>
      </c>
      <c r="D486" s="8">
        <v>5</v>
      </c>
      <c r="E486" s="3" t="str">
        <f t="shared" si="14"/>
        <v>May</v>
      </c>
      <c r="F486" s="3" t="s">
        <v>13</v>
      </c>
      <c r="G486" s="8">
        <v>9999.4852410000003</v>
      </c>
      <c r="H486" s="8">
        <v>11966</v>
      </c>
      <c r="I486" s="8">
        <v>1966.0147589999999</v>
      </c>
      <c r="J486" s="8">
        <v>2162.247985</v>
      </c>
      <c r="K486" s="8">
        <v>1196.2418190000001</v>
      </c>
      <c r="L486" s="8">
        <v>3108.1551599999998</v>
      </c>
      <c r="M486" s="9" t="str">
        <f>IF(A486="",M487,A486)</f>
        <v>Belarus</v>
      </c>
      <c r="N486" s="3" t="str">
        <f t="shared" si="15"/>
        <v>May-2020</v>
      </c>
    </row>
    <row r="487" spans="1:14" x14ac:dyDescent="0.3">
      <c r="A487" s="3" t="s">
        <v>48</v>
      </c>
      <c r="B487" s="3" t="s">
        <v>49</v>
      </c>
      <c r="C487" s="8">
        <v>2020</v>
      </c>
      <c r="D487" s="8">
        <v>6</v>
      </c>
      <c r="E487" s="3" t="str">
        <f t="shared" si="14"/>
        <v>June</v>
      </c>
      <c r="F487" s="3" t="s">
        <v>13</v>
      </c>
      <c r="G487" s="8">
        <v>9608.2069240000001</v>
      </c>
      <c r="H487" s="8">
        <v>13016</v>
      </c>
      <c r="I487" s="8">
        <v>3407.2930759999999</v>
      </c>
      <c r="J487" s="8">
        <v>5569.5410599999996</v>
      </c>
      <c r="K487" s="8">
        <v>4493.8693409999996</v>
      </c>
      <c r="L487" s="8">
        <v>6673.1805059999997</v>
      </c>
      <c r="M487" s="9" t="str">
        <f>IF(A487="",M488,A487)</f>
        <v>Belarus</v>
      </c>
      <c r="N487" s="3" t="str">
        <f t="shared" si="15"/>
        <v>Jun-2020</v>
      </c>
    </row>
    <row r="488" spans="1:14" x14ac:dyDescent="0.3">
      <c r="A488" s="3" t="s">
        <v>48</v>
      </c>
      <c r="B488" s="3" t="s">
        <v>49</v>
      </c>
      <c r="C488" s="8">
        <v>2020</v>
      </c>
      <c r="D488" s="8">
        <v>7</v>
      </c>
      <c r="E488" s="3" t="str">
        <f t="shared" si="14"/>
        <v>July</v>
      </c>
      <c r="F488" s="3" t="s">
        <v>13</v>
      </c>
      <c r="G488" s="8">
        <v>9355.4173159999991</v>
      </c>
      <c r="H488" s="8">
        <v>10759</v>
      </c>
      <c r="I488" s="8">
        <v>1403.082684</v>
      </c>
      <c r="J488" s="8">
        <v>6972.6237440000004</v>
      </c>
      <c r="K488" s="8">
        <v>5911.8783000000003</v>
      </c>
      <c r="L488" s="8">
        <v>8035.447013</v>
      </c>
      <c r="M488" s="9" t="str">
        <f>IF(A488="",M489,A488)</f>
        <v>Belarus</v>
      </c>
      <c r="N488" s="3" t="str">
        <f t="shared" si="15"/>
        <v>Jul-2020</v>
      </c>
    </row>
    <row r="489" spans="1:14" x14ac:dyDescent="0.3">
      <c r="A489" s="3" t="s">
        <v>48</v>
      </c>
      <c r="B489" s="3" t="s">
        <v>49</v>
      </c>
      <c r="C489" s="8">
        <v>2020</v>
      </c>
      <c r="D489" s="8">
        <v>8</v>
      </c>
      <c r="E489" s="3" t="str">
        <f t="shared" si="14"/>
        <v>August</v>
      </c>
      <c r="F489" s="3" t="s">
        <v>13</v>
      </c>
      <c r="G489" s="8">
        <v>9290.6408489999994</v>
      </c>
      <c r="H489" s="8">
        <v>10413</v>
      </c>
      <c r="I489" s="8">
        <v>1121.8591510000001</v>
      </c>
      <c r="J489" s="8">
        <v>8094.4828950000001</v>
      </c>
      <c r="K489" s="8">
        <v>6937.0722619999997</v>
      </c>
      <c r="L489" s="8">
        <v>9194.9543269999995</v>
      </c>
      <c r="M489" s="9" t="str">
        <f>IF(A489="",M490,A489)</f>
        <v>Belarus</v>
      </c>
      <c r="N489" s="3" t="str">
        <f t="shared" si="15"/>
        <v>Aug-2020</v>
      </c>
    </row>
    <row r="490" spans="1:14" x14ac:dyDescent="0.3">
      <c r="A490" s="3" t="s">
        <v>48</v>
      </c>
      <c r="B490" s="3" t="s">
        <v>49</v>
      </c>
      <c r="C490" s="8">
        <v>2020</v>
      </c>
      <c r="D490" s="8">
        <v>9</v>
      </c>
      <c r="E490" s="3" t="str">
        <f t="shared" si="14"/>
        <v>September</v>
      </c>
      <c r="F490" s="3" t="s">
        <v>13</v>
      </c>
      <c r="G490" s="8">
        <v>9443.7294579999998</v>
      </c>
      <c r="H490" s="8">
        <v>10659</v>
      </c>
      <c r="I490" s="8">
        <v>1214.770542</v>
      </c>
      <c r="J490" s="8">
        <v>9309.2534369999994</v>
      </c>
      <c r="K490" s="8">
        <v>8033.7727109999996</v>
      </c>
      <c r="L490" s="8">
        <v>10510.75001</v>
      </c>
      <c r="M490" s="9" t="str">
        <f>IF(A490="",M491,A490)</f>
        <v>Belarus</v>
      </c>
      <c r="N490" s="3" t="str">
        <f t="shared" si="15"/>
        <v>Sep-2020</v>
      </c>
    </row>
    <row r="491" spans="1:14" x14ac:dyDescent="0.3">
      <c r="A491" s="3" t="s">
        <v>48</v>
      </c>
      <c r="B491" s="3" t="s">
        <v>49</v>
      </c>
      <c r="C491" s="8">
        <v>2020</v>
      </c>
      <c r="D491" s="8">
        <v>10</v>
      </c>
      <c r="E491" s="3" t="str">
        <f t="shared" si="14"/>
        <v>October</v>
      </c>
      <c r="F491" s="3" t="s">
        <v>13</v>
      </c>
      <c r="G491" s="8">
        <v>9836.8722689999995</v>
      </c>
      <c r="H491" s="8">
        <v>12704</v>
      </c>
      <c r="I491" s="8">
        <v>2866.627731</v>
      </c>
      <c r="J491" s="8">
        <v>12175.881170000001</v>
      </c>
      <c r="K491" s="8">
        <v>10899.51677</v>
      </c>
      <c r="L491" s="8">
        <v>13482.28628</v>
      </c>
      <c r="M491" s="9" t="str">
        <f>IF(A491="",M492,A491)</f>
        <v>Belarus</v>
      </c>
      <c r="N491" s="3" t="str">
        <f t="shared" si="15"/>
        <v>Oct-2020</v>
      </c>
    </row>
    <row r="492" spans="1:14" x14ac:dyDescent="0.3">
      <c r="A492" s="3" t="s">
        <v>48</v>
      </c>
      <c r="B492" s="3" t="s">
        <v>49</v>
      </c>
      <c r="C492" s="8">
        <v>2020</v>
      </c>
      <c r="D492" s="8">
        <v>11</v>
      </c>
      <c r="E492" s="3" t="str">
        <f t="shared" si="14"/>
        <v>November</v>
      </c>
      <c r="F492" s="3" t="s">
        <v>13</v>
      </c>
      <c r="G492" s="8">
        <v>10135.83049</v>
      </c>
      <c r="H492" s="8">
        <v>15565</v>
      </c>
      <c r="I492" s="8">
        <v>5428.6695049999998</v>
      </c>
      <c r="J492" s="8">
        <v>17604.550670000001</v>
      </c>
      <c r="K492" s="8">
        <v>16118.66006</v>
      </c>
      <c r="L492" s="8">
        <v>18989.952270000002</v>
      </c>
      <c r="M492" s="9" t="str">
        <f>IF(A492="",M493,A492)</f>
        <v>Belarus</v>
      </c>
      <c r="N492" s="3" t="str">
        <f t="shared" si="15"/>
        <v>Nov-2020</v>
      </c>
    </row>
    <row r="493" spans="1:14" x14ac:dyDescent="0.3">
      <c r="A493" s="3" t="s">
        <v>48</v>
      </c>
      <c r="B493" s="3" t="s">
        <v>49</v>
      </c>
      <c r="C493" s="8">
        <v>2020</v>
      </c>
      <c r="D493" s="8">
        <v>12</v>
      </c>
      <c r="E493" s="3" t="str">
        <f t="shared" si="14"/>
        <v>December</v>
      </c>
      <c r="F493" s="3" t="s">
        <v>13</v>
      </c>
      <c r="G493" s="8">
        <v>10428.514380000001</v>
      </c>
      <c r="H493" s="8">
        <v>17531</v>
      </c>
      <c r="I493" s="8">
        <v>7101.9856200000004</v>
      </c>
      <c r="J493" s="8">
        <v>24706.53629</v>
      </c>
      <c r="K493" s="8">
        <v>23182.276379999999</v>
      </c>
      <c r="L493" s="8">
        <v>26190.019199999999</v>
      </c>
      <c r="M493" s="9" t="str">
        <f>IF(A493="",M494,A493)</f>
        <v>Belarus</v>
      </c>
      <c r="N493" s="3" t="str">
        <f t="shared" si="15"/>
        <v>Dec-2020</v>
      </c>
    </row>
    <row r="494" spans="1:14" x14ac:dyDescent="0.3">
      <c r="A494" s="3" t="s">
        <v>48</v>
      </c>
      <c r="B494" s="3" t="s">
        <v>49</v>
      </c>
      <c r="C494" s="8">
        <v>2021</v>
      </c>
      <c r="D494" s="8">
        <v>1</v>
      </c>
      <c r="E494" s="3" t="str">
        <f t="shared" si="14"/>
        <v>January</v>
      </c>
      <c r="F494" s="3" t="s">
        <v>13</v>
      </c>
      <c r="G494" s="8">
        <v>10437.695030000001</v>
      </c>
      <c r="H494" s="8">
        <v>16127</v>
      </c>
      <c r="I494" s="8">
        <v>5688.8882979999998</v>
      </c>
      <c r="J494" s="8">
        <v>30395.424589999999</v>
      </c>
      <c r="K494" s="8">
        <v>28851.055240000002</v>
      </c>
      <c r="L494" s="8">
        <v>31924.762999999999</v>
      </c>
      <c r="M494" s="9" t="str">
        <f>IF(A494="",M495,A494)</f>
        <v>Belarus</v>
      </c>
      <c r="N494" s="3" t="str">
        <f t="shared" si="15"/>
        <v>Jan-2021</v>
      </c>
    </row>
    <row r="495" spans="1:14" x14ac:dyDescent="0.3">
      <c r="A495" s="3" t="s">
        <v>48</v>
      </c>
      <c r="B495" s="3" t="s">
        <v>49</v>
      </c>
      <c r="C495" s="8">
        <v>2021</v>
      </c>
      <c r="D495" s="8">
        <v>2</v>
      </c>
      <c r="E495" s="3" t="str">
        <f t="shared" si="14"/>
        <v>February</v>
      </c>
      <c r="F495" s="3" t="s">
        <v>13</v>
      </c>
      <c r="G495" s="8">
        <v>10464.648639999999</v>
      </c>
      <c r="H495" s="8">
        <v>12554</v>
      </c>
      <c r="I495" s="8">
        <v>2088.9346919999998</v>
      </c>
      <c r="J495" s="8">
        <v>32484.359280000001</v>
      </c>
      <c r="K495" s="8">
        <v>30947.316920000001</v>
      </c>
      <c r="L495" s="8">
        <v>34200.136550000003</v>
      </c>
      <c r="M495" s="9" t="str">
        <f>IF(A495="",M496,A495)</f>
        <v>Belarus</v>
      </c>
      <c r="N495" s="3" t="str">
        <f t="shared" si="15"/>
        <v>Feb-2021</v>
      </c>
    </row>
    <row r="496" spans="1:14" x14ac:dyDescent="0.3">
      <c r="A496" s="3" t="s">
        <v>48</v>
      </c>
      <c r="B496" s="3" t="s">
        <v>49</v>
      </c>
      <c r="C496" s="8">
        <v>2021</v>
      </c>
      <c r="D496" s="8">
        <v>3</v>
      </c>
      <c r="E496" s="3" t="str">
        <f t="shared" si="14"/>
        <v>March</v>
      </c>
      <c r="F496" s="3" t="s">
        <v>13</v>
      </c>
      <c r="G496" s="8">
        <v>10484.171189999999</v>
      </c>
      <c r="H496" s="8">
        <v>11036</v>
      </c>
      <c r="I496" s="8">
        <v>551.41214439999999</v>
      </c>
      <c r="J496" s="8">
        <v>33035.771430000001</v>
      </c>
      <c r="K496" s="8">
        <v>31389.49696</v>
      </c>
      <c r="L496" s="8">
        <v>34685.905749999998</v>
      </c>
      <c r="M496" s="9" t="str">
        <f>IF(A496="",M497,A496)</f>
        <v>Belarus</v>
      </c>
      <c r="N496" s="3" t="str">
        <f t="shared" si="15"/>
        <v>Mar-2021</v>
      </c>
    </row>
    <row r="497" spans="1:14" x14ac:dyDescent="0.3">
      <c r="A497" s="3" t="s">
        <v>48</v>
      </c>
      <c r="B497" s="3" t="s">
        <v>49</v>
      </c>
      <c r="C497" s="8">
        <v>2021</v>
      </c>
      <c r="D497" s="8">
        <v>4</v>
      </c>
      <c r="E497" s="3" t="str">
        <f t="shared" si="14"/>
        <v>April</v>
      </c>
      <c r="F497" s="3" t="s">
        <v>8</v>
      </c>
      <c r="G497" s="8">
        <v>10321.302830000001</v>
      </c>
      <c r="H497" s="8">
        <v>11780.829</v>
      </c>
      <c r="I497" s="8">
        <v>1459.109506</v>
      </c>
      <c r="J497" s="8">
        <v>34494.880929999999</v>
      </c>
      <c r="K497" s="8">
        <v>31122.893749999999</v>
      </c>
      <c r="L497" s="8">
        <v>38261.850919999997</v>
      </c>
      <c r="M497" s="9" t="str">
        <f>IF(A497="",M498,A497)</f>
        <v>Belarus</v>
      </c>
      <c r="N497" s="3" t="str">
        <f t="shared" si="15"/>
        <v>Apr-2021</v>
      </c>
    </row>
    <row r="498" spans="1:14" x14ac:dyDescent="0.3">
      <c r="A498" s="3" t="s">
        <v>48</v>
      </c>
      <c r="B498" s="3" t="s">
        <v>49</v>
      </c>
      <c r="C498" s="8">
        <v>2021</v>
      </c>
      <c r="D498" s="8">
        <v>5</v>
      </c>
      <c r="E498" s="3" t="str">
        <f t="shared" si="14"/>
        <v>May</v>
      </c>
      <c r="F498" s="3" t="s">
        <v>8</v>
      </c>
      <c r="G498" s="8">
        <v>10007.50575</v>
      </c>
      <c r="H498" s="8">
        <v>11651.803</v>
      </c>
      <c r="I498" s="8">
        <v>1643.880588</v>
      </c>
      <c r="J498" s="8">
        <v>36138.76152</v>
      </c>
      <c r="K498" s="8">
        <v>31488.223440000002</v>
      </c>
      <c r="L498" s="8">
        <v>41269.742030000001</v>
      </c>
      <c r="M498" s="9" t="str">
        <f>IF(A498="",M499,A498)</f>
        <v>Belarus</v>
      </c>
      <c r="N498" s="3" t="str">
        <f t="shared" si="15"/>
        <v>May-2021</v>
      </c>
    </row>
    <row r="499" spans="1:14" x14ac:dyDescent="0.3">
      <c r="A499" s="3" t="s">
        <v>48</v>
      </c>
      <c r="B499" s="3" t="s">
        <v>49</v>
      </c>
      <c r="C499" s="8">
        <v>2021</v>
      </c>
      <c r="D499" s="8">
        <v>6</v>
      </c>
      <c r="E499" s="3" t="str">
        <f t="shared" si="14"/>
        <v>June</v>
      </c>
      <c r="F499" s="3" t="s">
        <v>8</v>
      </c>
      <c r="G499" s="8">
        <v>9588.5287090000002</v>
      </c>
      <c r="H499" s="8">
        <v>11276.12</v>
      </c>
      <c r="I499" s="8">
        <v>1687.174624</v>
      </c>
      <c r="J499" s="8">
        <v>37825.936150000001</v>
      </c>
      <c r="K499" s="8">
        <v>31972.898410000002</v>
      </c>
      <c r="L499" s="8">
        <v>44446.501629999999</v>
      </c>
      <c r="M499" s="9" t="str">
        <f>IF(A499="",M500,A499)</f>
        <v>Belarus</v>
      </c>
      <c r="N499" s="3" t="str">
        <f t="shared" si="15"/>
        <v>Jun-2021</v>
      </c>
    </row>
    <row r="500" spans="1:14" x14ac:dyDescent="0.3">
      <c r="A500" s="3" t="s">
        <v>48</v>
      </c>
      <c r="B500" s="3" t="s">
        <v>49</v>
      </c>
      <c r="C500" s="8">
        <v>2021</v>
      </c>
      <c r="D500" s="8">
        <v>7</v>
      </c>
      <c r="E500" s="3" t="str">
        <f t="shared" si="14"/>
        <v>July</v>
      </c>
      <c r="F500" s="3" t="s">
        <v>8</v>
      </c>
      <c r="G500" s="8">
        <v>9350.4213999999993</v>
      </c>
      <c r="H500" s="8">
        <v>11347.550999999999</v>
      </c>
      <c r="I500" s="8">
        <v>1996.712933</v>
      </c>
      <c r="J500" s="8">
        <v>39822.649080000003</v>
      </c>
      <c r="K500" s="8">
        <v>32965.817089999997</v>
      </c>
      <c r="L500" s="8">
        <v>46988.148370000003</v>
      </c>
      <c r="M500" s="9" t="str">
        <f>IF(A500="",M501,A500)</f>
        <v>Belarus</v>
      </c>
      <c r="N500" s="3" t="str">
        <f t="shared" si="15"/>
        <v>Jul-2021</v>
      </c>
    </row>
    <row r="501" spans="1:14" x14ac:dyDescent="0.3">
      <c r="A501" s="3" t="s">
        <v>48</v>
      </c>
      <c r="B501" s="3" t="s">
        <v>49</v>
      </c>
      <c r="C501" s="8">
        <v>2021</v>
      </c>
      <c r="D501" s="8">
        <v>8</v>
      </c>
      <c r="E501" s="3" t="str">
        <f t="shared" si="14"/>
        <v>August</v>
      </c>
      <c r="F501" s="3" t="s">
        <v>8</v>
      </c>
      <c r="G501" s="8">
        <v>9287.3431959999998</v>
      </c>
      <c r="H501" s="8">
        <v>11369.981</v>
      </c>
      <c r="I501" s="8">
        <v>2082.221137</v>
      </c>
      <c r="J501" s="8">
        <v>41904.870219999997</v>
      </c>
      <c r="K501" s="8">
        <v>34415.792260000002</v>
      </c>
      <c r="L501" s="8">
        <v>49318.042780000003</v>
      </c>
      <c r="M501" s="9" t="str">
        <f>IF(A501="",M502,A501)</f>
        <v>Belarus</v>
      </c>
      <c r="N501" s="3" t="str">
        <f t="shared" si="15"/>
        <v>Aug-2021</v>
      </c>
    </row>
    <row r="502" spans="1:14" x14ac:dyDescent="0.3">
      <c r="A502" s="3" t="s">
        <v>48</v>
      </c>
      <c r="B502" s="3" t="s">
        <v>49</v>
      </c>
      <c r="C502" s="8">
        <v>2021</v>
      </c>
      <c r="D502" s="8">
        <v>9</v>
      </c>
      <c r="E502" s="3" t="str">
        <f t="shared" si="14"/>
        <v>September</v>
      </c>
      <c r="F502" s="3" t="s">
        <v>8</v>
      </c>
      <c r="G502" s="8">
        <v>9444.6931810000005</v>
      </c>
      <c r="H502" s="8">
        <v>11632.228999999999</v>
      </c>
      <c r="I502" s="8">
        <v>2187.1191520000002</v>
      </c>
      <c r="J502" s="8">
        <v>44091.989370000003</v>
      </c>
      <c r="K502" s="8">
        <v>35762.87257</v>
      </c>
      <c r="L502" s="8">
        <v>52890.004699999998</v>
      </c>
      <c r="M502" s="9" t="str">
        <f>IF(A502="",M503,A502)</f>
        <v>Belarus</v>
      </c>
      <c r="N502" s="3" t="str">
        <f t="shared" si="15"/>
        <v>Sep-2021</v>
      </c>
    </row>
    <row r="503" spans="1:14" x14ac:dyDescent="0.3">
      <c r="A503" s="3" t="s">
        <v>48</v>
      </c>
      <c r="B503" s="3" t="s">
        <v>49</v>
      </c>
      <c r="C503" s="8">
        <v>2021</v>
      </c>
      <c r="D503" s="8">
        <v>10</v>
      </c>
      <c r="E503" s="3" t="str">
        <f t="shared" si="14"/>
        <v>October</v>
      </c>
      <c r="F503" s="3" t="s">
        <v>8</v>
      </c>
      <c r="G503" s="8">
        <v>9829.0831180000005</v>
      </c>
      <c r="H503" s="8">
        <v>12336.513000000001</v>
      </c>
      <c r="I503" s="8">
        <v>2507.0132159999998</v>
      </c>
      <c r="J503" s="8">
        <v>46599.00258</v>
      </c>
      <c r="K503" s="8">
        <v>37115.34592</v>
      </c>
      <c r="L503" s="8">
        <v>56463.111799999999</v>
      </c>
      <c r="M503" s="9" t="str">
        <f>IF(A503="",M504,A503)</f>
        <v>Belarus</v>
      </c>
      <c r="N503" s="3" t="str">
        <f t="shared" si="15"/>
        <v>Oct-2021</v>
      </c>
    </row>
    <row r="504" spans="1:14" x14ac:dyDescent="0.3">
      <c r="A504" s="3" t="s">
        <v>48</v>
      </c>
      <c r="B504" s="3" t="s">
        <v>49</v>
      </c>
      <c r="C504" s="8">
        <v>2021</v>
      </c>
      <c r="D504" s="8">
        <v>11</v>
      </c>
      <c r="E504" s="3" t="str">
        <f t="shared" si="14"/>
        <v>November</v>
      </c>
      <c r="F504" s="3" t="s">
        <v>8</v>
      </c>
      <c r="G504" s="8">
        <v>10134.16426</v>
      </c>
      <c r="H504" s="8">
        <v>12420.960999999999</v>
      </c>
      <c r="I504" s="8">
        <v>2286.3800780000001</v>
      </c>
      <c r="J504" s="8">
        <v>48885.382660000003</v>
      </c>
      <c r="K504" s="8">
        <v>38643.719709999998</v>
      </c>
      <c r="L504" s="8">
        <v>59634.982839999997</v>
      </c>
      <c r="M504" s="9" t="str">
        <f>IF(A504="",M505,A504)</f>
        <v>Belarus</v>
      </c>
      <c r="N504" s="3" t="str">
        <f t="shared" si="15"/>
        <v>Nov-2021</v>
      </c>
    </row>
    <row r="505" spans="1:14" x14ac:dyDescent="0.3">
      <c r="A505" s="3" t="s">
        <v>48</v>
      </c>
      <c r="B505" s="3" t="s">
        <v>49</v>
      </c>
      <c r="C505" s="8">
        <v>2021</v>
      </c>
      <c r="D505" s="8">
        <v>12</v>
      </c>
      <c r="E505" s="3" t="str">
        <f t="shared" si="14"/>
        <v>December</v>
      </c>
      <c r="F505" s="3" t="s">
        <v>8</v>
      </c>
      <c r="G505" s="8">
        <v>10439.367679999999</v>
      </c>
      <c r="H505" s="8">
        <v>12391.14</v>
      </c>
      <c r="I505" s="8">
        <v>1951.355654</v>
      </c>
      <c r="J505" s="8">
        <v>50836.738319999997</v>
      </c>
      <c r="K505" s="8">
        <v>39614.408009999999</v>
      </c>
      <c r="L505" s="8">
        <v>62485.76053</v>
      </c>
      <c r="M505" s="9" t="str">
        <f>IF(A505="",M506,A505)</f>
        <v>Belarus</v>
      </c>
      <c r="N505" s="3" t="str">
        <f t="shared" si="15"/>
        <v>Dec-2021</v>
      </c>
    </row>
    <row r="506" spans="1:14" x14ac:dyDescent="0.3">
      <c r="A506" s="3" t="s">
        <v>50</v>
      </c>
      <c r="B506" s="3" t="s">
        <v>51</v>
      </c>
      <c r="C506" s="8">
        <v>2020</v>
      </c>
      <c r="D506" s="8">
        <v>1</v>
      </c>
      <c r="E506" s="3" t="str">
        <f t="shared" si="14"/>
        <v>January</v>
      </c>
      <c r="F506" s="3" t="s">
        <v>13</v>
      </c>
      <c r="G506" s="8">
        <v>171.92418559999999</v>
      </c>
      <c r="H506" s="8">
        <v>178</v>
      </c>
      <c r="I506" s="8">
        <v>6.0758143889999996</v>
      </c>
      <c r="J506" s="8">
        <v>6.0758143889999996</v>
      </c>
      <c r="K506" s="8">
        <v>-2.4569486679999999</v>
      </c>
      <c r="L506" s="8">
        <v>15.03724748</v>
      </c>
      <c r="M506" s="9" t="str">
        <f>IF(A506="",M507,A506)</f>
        <v>Belize</v>
      </c>
      <c r="N506" s="3" t="str">
        <f t="shared" si="15"/>
        <v>Jan-2020</v>
      </c>
    </row>
    <row r="507" spans="1:14" x14ac:dyDescent="0.3">
      <c r="A507" s="3" t="s">
        <v>50</v>
      </c>
      <c r="B507" s="3" t="s">
        <v>51</v>
      </c>
      <c r="C507" s="8">
        <v>2020</v>
      </c>
      <c r="D507" s="8">
        <v>2</v>
      </c>
      <c r="E507" s="3" t="str">
        <f t="shared" si="14"/>
        <v>February</v>
      </c>
      <c r="F507" s="3" t="s">
        <v>13</v>
      </c>
      <c r="G507" s="8">
        <v>173.63294440000001</v>
      </c>
      <c r="H507" s="8">
        <v>166</v>
      </c>
      <c r="I507" s="8">
        <v>-7.6329444410000002</v>
      </c>
      <c r="J507" s="8">
        <v>-1.557130052</v>
      </c>
      <c r="K507" s="8">
        <v>-14.77353074</v>
      </c>
      <c r="L507" s="8">
        <v>11.658248240000001</v>
      </c>
      <c r="M507" s="9" t="str">
        <f>IF(A507="",M508,A507)</f>
        <v>Belize</v>
      </c>
      <c r="N507" s="3" t="str">
        <f t="shared" si="15"/>
        <v>Feb-2020</v>
      </c>
    </row>
    <row r="508" spans="1:14" x14ac:dyDescent="0.3">
      <c r="A508" s="3" t="s">
        <v>50</v>
      </c>
      <c r="B508" s="3" t="s">
        <v>51</v>
      </c>
      <c r="C508" s="8">
        <v>2020</v>
      </c>
      <c r="D508" s="8">
        <v>3</v>
      </c>
      <c r="E508" s="3" t="str">
        <f t="shared" si="14"/>
        <v>March</v>
      </c>
      <c r="F508" s="3" t="s">
        <v>13</v>
      </c>
      <c r="G508" s="8">
        <v>173.68372539999999</v>
      </c>
      <c r="H508" s="8">
        <v>166</v>
      </c>
      <c r="I508" s="8">
        <v>-7.6837254440000002</v>
      </c>
      <c r="J508" s="8">
        <v>-9.2408554949999999</v>
      </c>
      <c r="K508" s="8">
        <v>-25.280481250000001</v>
      </c>
      <c r="L508" s="8">
        <v>7.5765070129999996</v>
      </c>
      <c r="M508" s="9" t="str">
        <f>IF(A508="",M509,A508)</f>
        <v>Belize</v>
      </c>
      <c r="N508" s="3" t="str">
        <f t="shared" si="15"/>
        <v>Mar-2020</v>
      </c>
    </row>
    <row r="509" spans="1:14" x14ac:dyDescent="0.3">
      <c r="A509" s="3" t="s">
        <v>50</v>
      </c>
      <c r="B509" s="3" t="s">
        <v>51</v>
      </c>
      <c r="C509" s="8">
        <v>2020</v>
      </c>
      <c r="D509" s="8">
        <v>4</v>
      </c>
      <c r="E509" s="3" t="str">
        <f t="shared" si="14"/>
        <v>April</v>
      </c>
      <c r="F509" s="3" t="s">
        <v>13</v>
      </c>
      <c r="G509" s="8">
        <v>170.79651269999999</v>
      </c>
      <c r="H509" s="8">
        <v>145</v>
      </c>
      <c r="I509" s="8">
        <v>-25.796512660000001</v>
      </c>
      <c r="J509" s="8">
        <v>-35.037368149999999</v>
      </c>
      <c r="K509" s="8">
        <v>-53.94088507</v>
      </c>
      <c r="L509" s="8">
        <v>-15.21411883</v>
      </c>
      <c r="M509" s="9" t="str">
        <f>IF(A509="",M510,A509)</f>
        <v>Belize</v>
      </c>
      <c r="N509" s="3" t="str">
        <f t="shared" si="15"/>
        <v>Apr-2020</v>
      </c>
    </row>
    <row r="510" spans="1:14" x14ac:dyDescent="0.3">
      <c r="A510" s="3" t="s">
        <v>50</v>
      </c>
      <c r="B510" s="3" t="s">
        <v>51</v>
      </c>
      <c r="C510" s="8">
        <v>2020</v>
      </c>
      <c r="D510" s="8">
        <v>5</v>
      </c>
      <c r="E510" s="3" t="str">
        <f t="shared" si="14"/>
        <v>May</v>
      </c>
      <c r="F510" s="3" t="s">
        <v>13</v>
      </c>
      <c r="G510" s="8">
        <v>167.6743888</v>
      </c>
      <c r="H510" s="8">
        <v>157</v>
      </c>
      <c r="I510" s="8">
        <v>-10.674388820000001</v>
      </c>
      <c r="J510" s="8">
        <v>-45.711756979999997</v>
      </c>
      <c r="K510" s="8">
        <v>-67.321034870000005</v>
      </c>
      <c r="L510" s="8">
        <v>-23.286756159999999</v>
      </c>
      <c r="M510" s="9" t="str">
        <f>IF(A510="",M511,A510)</f>
        <v>Belize</v>
      </c>
      <c r="N510" s="3" t="str">
        <f t="shared" si="15"/>
        <v>May-2020</v>
      </c>
    </row>
    <row r="511" spans="1:14" x14ac:dyDescent="0.3">
      <c r="A511" s="3" t="s">
        <v>50</v>
      </c>
      <c r="B511" s="3" t="s">
        <v>51</v>
      </c>
      <c r="C511" s="8">
        <v>2020</v>
      </c>
      <c r="D511" s="8">
        <v>6</v>
      </c>
      <c r="E511" s="3" t="str">
        <f t="shared" si="14"/>
        <v>June</v>
      </c>
      <c r="F511" s="3" t="s">
        <v>13</v>
      </c>
      <c r="G511" s="8">
        <v>165.4449415</v>
      </c>
      <c r="H511" s="8">
        <v>168</v>
      </c>
      <c r="I511" s="8">
        <v>2.5550584540000001</v>
      </c>
      <c r="J511" s="8">
        <v>-43.156698519999999</v>
      </c>
      <c r="K511" s="8">
        <v>-65.83903746</v>
      </c>
      <c r="L511" s="8">
        <v>-19.323663490000001</v>
      </c>
      <c r="M511" s="9" t="str">
        <f>IF(A511="",M512,A511)</f>
        <v>Belize</v>
      </c>
      <c r="N511" s="3" t="str">
        <f t="shared" si="15"/>
        <v>Jun-2020</v>
      </c>
    </row>
    <row r="512" spans="1:14" x14ac:dyDescent="0.3">
      <c r="A512" s="3" t="s">
        <v>50</v>
      </c>
      <c r="B512" s="3" t="s">
        <v>51</v>
      </c>
      <c r="C512" s="8">
        <v>2020</v>
      </c>
      <c r="D512" s="8">
        <v>7</v>
      </c>
      <c r="E512" s="3" t="str">
        <f t="shared" si="14"/>
        <v>July</v>
      </c>
      <c r="F512" s="3" t="s">
        <v>13</v>
      </c>
      <c r="G512" s="8">
        <v>163.64853059999999</v>
      </c>
      <c r="H512" s="8">
        <v>156</v>
      </c>
      <c r="I512" s="8">
        <v>-7.6485306489999996</v>
      </c>
      <c r="J512" s="8">
        <v>-50.805229169999997</v>
      </c>
      <c r="K512" s="8">
        <v>-76.999680150000003</v>
      </c>
      <c r="L512" s="8">
        <v>-25.521880830000001</v>
      </c>
      <c r="M512" s="9" t="str">
        <f>IF(A512="",M513,A512)</f>
        <v>Belize</v>
      </c>
      <c r="N512" s="3" t="str">
        <f t="shared" si="15"/>
        <v>Jul-2020</v>
      </c>
    </row>
    <row r="513" spans="1:14" x14ac:dyDescent="0.3">
      <c r="A513" s="3" t="s">
        <v>50</v>
      </c>
      <c r="B513" s="3" t="s">
        <v>51</v>
      </c>
      <c r="C513" s="8">
        <v>2020</v>
      </c>
      <c r="D513" s="8">
        <v>8</v>
      </c>
      <c r="E513" s="3" t="str">
        <f t="shared" si="14"/>
        <v>August</v>
      </c>
      <c r="F513" s="3" t="s">
        <v>13</v>
      </c>
      <c r="G513" s="8">
        <v>164.335204</v>
      </c>
      <c r="H513" s="8">
        <v>156</v>
      </c>
      <c r="I513" s="8">
        <v>-8.3352039550000008</v>
      </c>
      <c r="J513" s="8">
        <v>-59.140433129999998</v>
      </c>
      <c r="K513" s="8">
        <v>-86.849440529999995</v>
      </c>
      <c r="L513" s="8">
        <v>-31.693742329999999</v>
      </c>
      <c r="M513" s="9" t="str">
        <f>IF(A513="",M514,A513)</f>
        <v>Belize</v>
      </c>
      <c r="N513" s="3" t="str">
        <f t="shared" si="15"/>
        <v>Aug-2020</v>
      </c>
    </row>
    <row r="514" spans="1:14" x14ac:dyDescent="0.3">
      <c r="A514" s="3" t="s">
        <v>50</v>
      </c>
      <c r="B514" s="3" t="s">
        <v>51</v>
      </c>
      <c r="C514" s="8">
        <v>2020</v>
      </c>
      <c r="D514" s="8">
        <v>9</v>
      </c>
      <c r="E514" s="3" t="str">
        <f t="shared" ref="E514:E577" si="16">TEXT(DATE(C514,D514,1),"MMMM")</f>
        <v>September</v>
      </c>
      <c r="F514" s="3" t="s">
        <v>13</v>
      </c>
      <c r="G514" s="8">
        <v>166.26865090000001</v>
      </c>
      <c r="H514" s="8">
        <v>149</v>
      </c>
      <c r="I514" s="8">
        <v>-17.268650940000001</v>
      </c>
      <c r="J514" s="8">
        <v>-76.409084070000006</v>
      </c>
      <c r="K514" s="8">
        <v>-105.7924036</v>
      </c>
      <c r="L514" s="8">
        <v>-47.670249800000001</v>
      </c>
      <c r="M514" s="9" t="str">
        <f>IF(A514="",M515,A514)</f>
        <v>Belize</v>
      </c>
      <c r="N514" s="3" t="str">
        <f t="shared" ref="N514:N577" si="17">TEXT(DATE(C514,D514,1),"MMM-YYYY")</f>
        <v>Sep-2020</v>
      </c>
    </row>
    <row r="515" spans="1:14" x14ac:dyDescent="0.3">
      <c r="A515" s="3" t="s">
        <v>50</v>
      </c>
      <c r="B515" s="3" t="s">
        <v>51</v>
      </c>
      <c r="C515" s="8">
        <v>2020</v>
      </c>
      <c r="D515" s="8">
        <v>10</v>
      </c>
      <c r="E515" s="3" t="str">
        <f t="shared" si="16"/>
        <v>October</v>
      </c>
      <c r="F515" s="3" t="s">
        <v>13</v>
      </c>
      <c r="G515" s="8">
        <v>169.10276719999999</v>
      </c>
      <c r="H515" s="8">
        <v>189</v>
      </c>
      <c r="I515" s="8">
        <v>19.897232809999998</v>
      </c>
      <c r="J515" s="8">
        <v>-56.51185126</v>
      </c>
      <c r="K515" s="8">
        <v>-86.576386749999998</v>
      </c>
      <c r="L515" s="8">
        <v>-24.709593609999999</v>
      </c>
      <c r="M515" s="9" t="str">
        <f>IF(A515="",M516,A515)</f>
        <v>Belize</v>
      </c>
      <c r="N515" s="3" t="str">
        <f t="shared" si="17"/>
        <v>Oct-2020</v>
      </c>
    </row>
    <row r="516" spans="1:14" x14ac:dyDescent="0.3">
      <c r="A516" s="3" t="s">
        <v>50</v>
      </c>
      <c r="B516" s="3" t="s">
        <v>51</v>
      </c>
      <c r="C516" s="8">
        <v>2020</v>
      </c>
      <c r="D516" s="8">
        <v>11</v>
      </c>
      <c r="E516" s="3" t="str">
        <f t="shared" si="16"/>
        <v>November</v>
      </c>
      <c r="F516" s="3" t="s">
        <v>13</v>
      </c>
      <c r="G516" s="8">
        <v>173.02702160000001</v>
      </c>
      <c r="H516" s="8">
        <v>253</v>
      </c>
      <c r="I516" s="8">
        <v>79.972978409999996</v>
      </c>
      <c r="J516" s="8">
        <v>23.46112716</v>
      </c>
      <c r="K516" s="8">
        <v>-8.2204771989999994</v>
      </c>
      <c r="L516" s="8">
        <v>56.759473270000001</v>
      </c>
      <c r="M516" s="9" t="str">
        <f>IF(A516="",M517,A516)</f>
        <v>Belize</v>
      </c>
      <c r="N516" s="3" t="str">
        <f t="shared" si="17"/>
        <v>Nov-2020</v>
      </c>
    </row>
    <row r="517" spans="1:14" x14ac:dyDescent="0.3">
      <c r="A517" s="3" t="s">
        <v>50</v>
      </c>
      <c r="B517" s="3" t="s">
        <v>51</v>
      </c>
      <c r="C517" s="8">
        <v>2020</v>
      </c>
      <c r="D517" s="8">
        <v>12</v>
      </c>
      <c r="E517" s="3" t="str">
        <f t="shared" si="16"/>
        <v>December</v>
      </c>
      <c r="F517" s="3" t="s">
        <v>13</v>
      </c>
      <c r="G517" s="8">
        <v>175.7515507</v>
      </c>
      <c r="H517" s="8">
        <v>275</v>
      </c>
      <c r="I517" s="8">
        <v>99.248449300000004</v>
      </c>
      <c r="J517" s="8">
        <v>122.7095765</v>
      </c>
      <c r="K517" s="8">
        <v>88.825128169999999</v>
      </c>
      <c r="L517" s="8">
        <v>157.5172469</v>
      </c>
      <c r="M517" s="9" t="str">
        <f>IF(A517="",M518,A517)</f>
        <v>Belize</v>
      </c>
      <c r="N517" s="3" t="str">
        <f t="shared" si="17"/>
        <v>Dec-2020</v>
      </c>
    </row>
    <row r="518" spans="1:14" x14ac:dyDescent="0.3">
      <c r="A518" s="3" t="s">
        <v>50</v>
      </c>
      <c r="B518" s="3" t="s">
        <v>51</v>
      </c>
      <c r="C518" s="8">
        <v>2021</v>
      </c>
      <c r="D518" s="8">
        <v>1</v>
      </c>
      <c r="E518" s="3" t="str">
        <f t="shared" si="16"/>
        <v>January</v>
      </c>
      <c r="F518" s="3" t="s">
        <v>13</v>
      </c>
      <c r="G518" s="8">
        <v>176.06230210000001</v>
      </c>
      <c r="H518" s="8">
        <v>198</v>
      </c>
      <c r="I518" s="8">
        <v>18.604364589999999</v>
      </c>
      <c r="J518" s="8">
        <v>141.313941</v>
      </c>
      <c r="K518" s="8">
        <v>104.54833720000001</v>
      </c>
      <c r="L518" s="8">
        <v>180.070942</v>
      </c>
      <c r="M518" s="9" t="str">
        <f>IF(A518="",M519,A518)</f>
        <v>Belize</v>
      </c>
      <c r="N518" s="3" t="str">
        <f t="shared" si="17"/>
        <v>Jan-2021</v>
      </c>
    </row>
    <row r="519" spans="1:14" x14ac:dyDescent="0.3">
      <c r="A519" s="3" t="s">
        <v>50</v>
      </c>
      <c r="B519" s="3" t="s">
        <v>51</v>
      </c>
      <c r="C519" s="8">
        <v>2021</v>
      </c>
      <c r="D519" s="8">
        <v>2</v>
      </c>
      <c r="E519" s="3" t="str">
        <f t="shared" si="16"/>
        <v>February</v>
      </c>
      <c r="F519" s="3" t="s">
        <v>13</v>
      </c>
      <c r="G519" s="8">
        <v>177.91253689999999</v>
      </c>
      <c r="H519" s="8">
        <v>184</v>
      </c>
      <c r="I519" s="8">
        <v>2.754129759</v>
      </c>
      <c r="J519" s="8">
        <v>144.06807079999999</v>
      </c>
      <c r="K519" s="8">
        <v>104.5182173</v>
      </c>
      <c r="L519" s="8">
        <v>186.92721109999999</v>
      </c>
      <c r="M519" s="9" t="str">
        <f>IF(A519="",M520,A519)</f>
        <v>Belize</v>
      </c>
      <c r="N519" s="3" t="str">
        <f t="shared" si="17"/>
        <v>Feb-2021</v>
      </c>
    </row>
    <row r="520" spans="1:14" x14ac:dyDescent="0.3">
      <c r="A520" s="3" t="s">
        <v>50</v>
      </c>
      <c r="B520" s="3" t="s">
        <v>51</v>
      </c>
      <c r="C520" s="8">
        <v>2021</v>
      </c>
      <c r="D520" s="8">
        <v>3</v>
      </c>
      <c r="E520" s="3" t="str">
        <f t="shared" si="16"/>
        <v>March</v>
      </c>
      <c r="F520" s="3" t="s">
        <v>13</v>
      </c>
      <c r="G520" s="8">
        <v>177.2571437</v>
      </c>
      <c r="H520" s="8">
        <v>171</v>
      </c>
      <c r="I520" s="8">
        <v>-9.5904770549999991</v>
      </c>
      <c r="J520" s="8">
        <v>134.4775937</v>
      </c>
      <c r="K520" s="8">
        <v>92.107363340000006</v>
      </c>
      <c r="L520" s="8">
        <v>177.68505400000001</v>
      </c>
      <c r="M520" s="9" t="str">
        <f>IF(A520="",M521,A520)</f>
        <v>Belize</v>
      </c>
      <c r="N520" s="3" t="str">
        <f t="shared" si="17"/>
        <v>Mar-2021</v>
      </c>
    </row>
    <row r="521" spans="1:14" x14ac:dyDescent="0.3">
      <c r="A521" s="3" t="s">
        <v>50</v>
      </c>
      <c r="B521" s="3" t="s">
        <v>51</v>
      </c>
      <c r="C521" s="8">
        <v>2021</v>
      </c>
      <c r="D521" s="8">
        <v>4</v>
      </c>
      <c r="E521" s="3" t="str">
        <f t="shared" si="16"/>
        <v>April</v>
      </c>
      <c r="F521" s="3" t="s">
        <v>13</v>
      </c>
      <c r="G521" s="8">
        <v>175.1696268</v>
      </c>
      <c r="H521" s="8">
        <v>143</v>
      </c>
      <c r="I521" s="8">
        <v>-35.502960100000003</v>
      </c>
      <c r="J521" s="8">
        <v>98.974633650000001</v>
      </c>
      <c r="K521" s="8">
        <v>56.894972580000001</v>
      </c>
      <c r="L521" s="8">
        <v>143.268171</v>
      </c>
      <c r="M521" s="9" t="str">
        <f>IF(A521="",M522,A521)</f>
        <v>Belize</v>
      </c>
      <c r="N521" s="3" t="str">
        <f t="shared" si="17"/>
        <v>Apr-2021</v>
      </c>
    </row>
    <row r="522" spans="1:14" x14ac:dyDescent="0.3">
      <c r="A522" s="3" t="s">
        <v>50</v>
      </c>
      <c r="B522" s="3" t="s">
        <v>51</v>
      </c>
      <c r="C522" s="8">
        <v>2021</v>
      </c>
      <c r="D522" s="8">
        <v>5</v>
      </c>
      <c r="E522" s="3" t="str">
        <f t="shared" si="16"/>
        <v>May</v>
      </c>
      <c r="F522" s="3" t="s">
        <v>13</v>
      </c>
      <c r="G522" s="8">
        <v>172.0899077</v>
      </c>
      <c r="H522" s="8">
        <v>170</v>
      </c>
      <c r="I522" s="8">
        <v>-5.4232410560000002</v>
      </c>
      <c r="J522" s="8">
        <v>93.551392590000006</v>
      </c>
      <c r="K522" s="8">
        <v>49.136213660000003</v>
      </c>
      <c r="L522" s="8">
        <v>141.5757878</v>
      </c>
      <c r="M522" s="9" t="str">
        <f>IF(A522="",M523,A522)</f>
        <v>Belize</v>
      </c>
      <c r="N522" s="3" t="str">
        <f t="shared" si="17"/>
        <v>May-2021</v>
      </c>
    </row>
    <row r="523" spans="1:14" x14ac:dyDescent="0.3">
      <c r="A523" s="3" t="s">
        <v>50</v>
      </c>
      <c r="B523" s="3" t="s">
        <v>51</v>
      </c>
      <c r="C523" s="8">
        <v>2021</v>
      </c>
      <c r="D523" s="8">
        <v>6</v>
      </c>
      <c r="E523" s="3" t="str">
        <f t="shared" si="16"/>
        <v>June</v>
      </c>
      <c r="F523" s="3" t="s">
        <v>13</v>
      </c>
      <c r="G523" s="8">
        <v>169.16116289999999</v>
      </c>
      <c r="H523" s="8">
        <v>178</v>
      </c>
      <c r="I523" s="8">
        <v>5.505503719</v>
      </c>
      <c r="J523" s="8">
        <v>99.056896309999999</v>
      </c>
      <c r="K523" s="8">
        <v>52.916749350000003</v>
      </c>
      <c r="L523" s="8">
        <v>147.0399975</v>
      </c>
      <c r="M523" s="9" t="str">
        <f>IF(A523="",M524,A523)</f>
        <v>Belize</v>
      </c>
      <c r="N523" s="3" t="str">
        <f t="shared" si="17"/>
        <v>Jun-2021</v>
      </c>
    </row>
    <row r="524" spans="1:14" x14ac:dyDescent="0.3">
      <c r="A524" s="3" t="s">
        <v>50</v>
      </c>
      <c r="B524" s="3" t="s">
        <v>51</v>
      </c>
      <c r="C524" s="8">
        <v>2021</v>
      </c>
      <c r="D524" s="8">
        <v>7</v>
      </c>
      <c r="E524" s="3" t="str">
        <f t="shared" si="16"/>
        <v>July</v>
      </c>
      <c r="F524" s="3" t="s">
        <v>13</v>
      </c>
      <c r="G524" s="8">
        <v>167.69535870000001</v>
      </c>
      <c r="H524" s="8">
        <v>165</v>
      </c>
      <c r="I524" s="8">
        <v>-6.0286920579999999</v>
      </c>
      <c r="J524" s="8">
        <v>93.028204250000002</v>
      </c>
      <c r="K524" s="8">
        <v>46.439934739999998</v>
      </c>
      <c r="L524" s="8">
        <v>141.3304412</v>
      </c>
      <c r="M524" s="9" t="str">
        <f>IF(A524="",M525,A524)</f>
        <v>Belize</v>
      </c>
      <c r="N524" s="3" t="str">
        <f t="shared" si="17"/>
        <v>Jul-2021</v>
      </c>
    </row>
    <row r="525" spans="1:14" x14ac:dyDescent="0.3">
      <c r="A525" s="3" t="s">
        <v>50</v>
      </c>
      <c r="B525" s="3" t="s">
        <v>51</v>
      </c>
      <c r="C525" s="8">
        <v>2021</v>
      </c>
      <c r="D525" s="8">
        <v>8</v>
      </c>
      <c r="E525" s="3" t="str">
        <f t="shared" si="16"/>
        <v>August</v>
      </c>
      <c r="F525" s="3" t="s">
        <v>13</v>
      </c>
      <c r="G525" s="8">
        <v>168.27501649999999</v>
      </c>
      <c r="H525" s="8">
        <v>242</v>
      </c>
      <c r="I525" s="8">
        <v>70.391650150000004</v>
      </c>
      <c r="J525" s="8">
        <v>163.41985439999999</v>
      </c>
      <c r="K525" s="8">
        <v>114.19678810000001</v>
      </c>
      <c r="L525" s="8">
        <v>215.9611286</v>
      </c>
      <c r="M525" s="9" t="str">
        <f>IF(A525="",M526,A525)</f>
        <v>Belize</v>
      </c>
      <c r="N525" s="3" t="str">
        <f t="shared" si="17"/>
        <v>Aug-2021</v>
      </c>
    </row>
    <row r="526" spans="1:14" x14ac:dyDescent="0.3">
      <c r="A526" s="3" t="s">
        <v>50</v>
      </c>
      <c r="B526" s="3" t="s">
        <v>51</v>
      </c>
      <c r="C526" s="8">
        <v>2021</v>
      </c>
      <c r="D526" s="8">
        <v>9</v>
      </c>
      <c r="E526" s="3" t="str">
        <f t="shared" si="16"/>
        <v>September</v>
      </c>
      <c r="F526" s="3" t="s">
        <v>13</v>
      </c>
      <c r="G526" s="8">
        <v>170.3166679</v>
      </c>
      <c r="H526" s="8">
        <v>255</v>
      </c>
      <c r="I526" s="8">
        <v>81.349998720000002</v>
      </c>
      <c r="J526" s="8">
        <v>244.76985310000001</v>
      </c>
      <c r="K526" s="8">
        <v>193.68095349999999</v>
      </c>
      <c r="L526" s="8">
        <v>297.15221070000001</v>
      </c>
      <c r="M526" s="9" t="str">
        <f>IF(A526="",M527,A526)</f>
        <v>Belize</v>
      </c>
      <c r="N526" s="3" t="str">
        <f t="shared" si="17"/>
        <v>Sep-2021</v>
      </c>
    </row>
    <row r="527" spans="1:14" x14ac:dyDescent="0.3">
      <c r="A527" s="3" t="s">
        <v>50</v>
      </c>
      <c r="B527" s="3" t="s">
        <v>51</v>
      </c>
      <c r="C527" s="8">
        <v>2021</v>
      </c>
      <c r="D527" s="8">
        <v>10</v>
      </c>
      <c r="E527" s="3" t="str">
        <f t="shared" si="16"/>
        <v>October</v>
      </c>
      <c r="F527" s="3" t="s">
        <v>13</v>
      </c>
      <c r="G527" s="8">
        <v>173.4358818</v>
      </c>
      <c r="H527" s="8">
        <v>287</v>
      </c>
      <c r="I527" s="8">
        <v>110.2307849</v>
      </c>
      <c r="J527" s="8">
        <v>355.00063799999998</v>
      </c>
      <c r="K527" s="8">
        <v>302.77860299999998</v>
      </c>
      <c r="L527" s="8">
        <v>410.20437220000002</v>
      </c>
      <c r="M527" s="9" t="str">
        <f>IF(A527="",M528,A527)</f>
        <v>Belize</v>
      </c>
      <c r="N527" s="3" t="str">
        <f t="shared" si="17"/>
        <v>Oct-2021</v>
      </c>
    </row>
    <row r="528" spans="1:14" x14ac:dyDescent="0.3">
      <c r="A528" s="3" t="s">
        <v>50</v>
      </c>
      <c r="B528" s="3" t="s">
        <v>51</v>
      </c>
      <c r="C528" s="8">
        <v>2021</v>
      </c>
      <c r="D528" s="8">
        <v>11</v>
      </c>
      <c r="E528" s="3" t="str">
        <f t="shared" si="16"/>
        <v>November</v>
      </c>
      <c r="F528" s="3" t="s">
        <v>13</v>
      </c>
      <c r="G528" s="8">
        <v>177.16192340000001</v>
      </c>
      <c r="H528" s="8">
        <v>314</v>
      </c>
      <c r="I528" s="8">
        <v>133.50474320000001</v>
      </c>
      <c r="J528" s="8">
        <v>488.50538119999999</v>
      </c>
      <c r="K528" s="8">
        <v>431.59274979999998</v>
      </c>
      <c r="L528" s="8">
        <v>544.27095180000003</v>
      </c>
      <c r="M528" s="9" t="str">
        <f>IF(A528="",M529,A528)</f>
        <v>Belize</v>
      </c>
      <c r="N528" s="3" t="str">
        <f t="shared" si="17"/>
        <v>Nov-2021</v>
      </c>
    </row>
    <row r="529" spans="1:14" x14ac:dyDescent="0.3">
      <c r="A529" s="3" t="s">
        <v>50</v>
      </c>
      <c r="B529" s="3" t="s">
        <v>51</v>
      </c>
      <c r="C529" s="8">
        <v>2021</v>
      </c>
      <c r="D529" s="8">
        <v>12</v>
      </c>
      <c r="E529" s="3" t="str">
        <f t="shared" si="16"/>
        <v>December</v>
      </c>
      <c r="F529" s="3" t="s">
        <v>13</v>
      </c>
      <c r="G529" s="8">
        <v>180.54360919999999</v>
      </c>
      <c r="H529" s="8">
        <v>182</v>
      </c>
      <c r="I529" s="8">
        <v>-1.8769425129999999</v>
      </c>
      <c r="J529" s="8">
        <v>486.6284387</v>
      </c>
      <c r="K529" s="8">
        <v>430.23549600000001</v>
      </c>
      <c r="L529" s="8">
        <v>543.60804359999997</v>
      </c>
      <c r="M529" s="9" t="str">
        <f>IF(A529="",M530,A529)</f>
        <v>Belize</v>
      </c>
      <c r="N529" s="3" t="str">
        <f t="shared" si="17"/>
        <v>Dec-2021</v>
      </c>
    </row>
    <row r="530" spans="1:14" x14ac:dyDescent="0.3">
      <c r="A530" s="3" t="s">
        <v>52</v>
      </c>
      <c r="B530" s="3" t="s">
        <v>53</v>
      </c>
      <c r="C530" s="8">
        <v>2020</v>
      </c>
      <c r="D530" s="8">
        <v>1</v>
      </c>
      <c r="E530" s="3" t="str">
        <f t="shared" si="16"/>
        <v>January</v>
      </c>
      <c r="F530" s="3" t="s">
        <v>13</v>
      </c>
      <c r="G530" s="8">
        <v>6725.4037920000001</v>
      </c>
      <c r="H530" s="8">
        <v>7182</v>
      </c>
      <c r="I530" s="8">
        <v>453.42377429999999</v>
      </c>
      <c r="J530" s="8">
        <v>453.42377429999999</v>
      </c>
      <c r="K530" s="8">
        <v>293.8426978</v>
      </c>
      <c r="L530" s="8">
        <v>611.09623569999997</v>
      </c>
      <c r="M530" s="9" t="str">
        <f>IF(A530="",M531,A530)</f>
        <v>Bolivia (Plurinational State of)</v>
      </c>
      <c r="N530" s="3" t="str">
        <f t="shared" si="17"/>
        <v>Jan-2020</v>
      </c>
    </row>
    <row r="531" spans="1:14" x14ac:dyDescent="0.3">
      <c r="A531" s="3" t="s">
        <v>52</v>
      </c>
      <c r="B531" s="3" t="s">
        <v>53</v>
      </c>
      <c r="C531" s="8">
        <v>2020</v>
      </c>
      <c r="D531" s="8">
        <v>2</v>
      </c>
      <c r="E531" s="3" t="str">
        <f t="shared" si="16"/>
        <v>February</v>
      </c>
      <c r="F531" s="3" t="s">
        <v>13</v>
      </c>
      <c r="G531" s="8">
        <v>6233.3815880000002</v>
      </c>
      <c r="H531" s="8">
        <v>6645</v>
      </c>
      <c r="I531" s="8">
        <v>408.44597820000001</v>
      </c>
      <c r="J531" s="8">
        <v>861.8697525</v>
      </c>
      <c r="K531" s="8">
        <v>623.43337320000001</v>
      </c>
      <c r="L531" s="8">
        <v>1089.941278</v>
      </c>
      <c r="M531" s="9" t="str">
        <f>IF(A531="",M532,A531)</f>
        <v>Bolivia (Plurinational State of)</v>
      </c>
      <c r="N531" s="3" t="str">
        <f t="shared" si="17"/>
        <v>Feb-2020</v>
      </c>
    </row>
    <row r="532" spans="1:14" x14ac:dyDescent="0.3">
      <c r="A532" s="3" t="s">
        <v>52</v>
      </c>
      <c r="B532" s="3" t="s">
        <v>53</v>
      </c>
      <c r="C532" s="8">
        <v>2020</v>
      </c>
      <c r="D532" s="8">
        <v>3</v>
      </c>
      <c r="E532" s="3" t="str">
        <f t="shared" si="16"/>
        <v>March</v>
      </c>
      <c r="F532" s="3" t="s">
        <v>13</v>
      </c>
      <c r="G532" s="8">
        <v>6619.8901310000001</v>
      </c>
      <c r="H532" s="8">
        <v>7179</v>
      </c>
      <c r="I532" s="8">
        <v>555.93743440000003</v>
      </c>
      <c r="J532" s="8">
        <v>1417.8071870000001</v>
      </c>
      <c r="K532" s="8">
        <v>1105.9870470000001</v>
      </c>
      <c r="L532" s="8">
        <v>1744.8610040000001</v>
      </c>
      <c r="M532" s="9" t="str">
        <f>IF(A532="",M533,A532)</f>
        <v>Bolivia (Plurinational State of)</v>
      </c>
      <c r="N532" s="3" t="str">
        <f t="shared" si="17"/>
        <v>Mar-2020</v>
      </c>
    </row>
    <row r="533" spans="1:14" x14ac:dyDescent="0.3">
      <c r="A533" s="3" t="s">
        <v>52</v>
      </c>
      <c r="B533" s="3" t="s">
        <v>53</v>
      </c>
      <c r="C533" s="8">
        <v>2020</v>
      </c>
      <c r="D533" s="8">
        <v>4</v>
      </c>
      <c r="E533" s="3" t="str">
        <f t="shared" si="16"/>
        <v>April</v>
      </c>
      <c r="F533" s="3" t="s">
        <v>13</v>
      </c>
      <c r="G533" s="8">
        <v>6441.5704059999998</v>
      </c>
      <c r="H533" s="8">
        <v>5166</v>
      </c>
      <c r="I533" s="8">
        <v>-1278.742841</v>
      </c>
      <c r="J533" s="8">
        <v>139.06434630000001</v>
      </c>
      <c r="K533" s="8">
        <v>-223.55607979999999</v>
      </c>
      <c r="L533" s="8">
        <v>503.81465059999999</v>
      </c>
      <c r="M533" s="9" t="str">
        <f>IF(A533="",M534,A533)</f>
        <v>Bolivia (Plurinational State of)</v>
      </c>
      <c r="N533" s="3" t="str">
        <f t="shared" si="17"/>
        <v>Apr-2020</v>
      </c>
    </row>
    <row r="534" spans="1:14" x14ac:dyDescent="0.3">
      <c r="A534" s="3" t="s">
        <v>52</v>
      </c>
      <c r="B534" s="3" t="s">
        <v>53</v>
      </c>
      <c r="C534" s="8">
        <v>2020</v>
      </c>
      <c r="D534" s="8">
        <v>5</v>
      </c>
      <c r="E534" s="3" t="str">
        <f t="shared" si="16"/>
        <v>May</v>
      </c>
      <c r="F534" s="3" t="s">
        <v>13</v>
      </c>
      <c r="G534" s="8">
        <v>6794.1356859999996</v>
      </c>
      <c r="H534" s="8">
        <v>7252</v>
      </c>
      <c r="I534" s="8">
        <v>454.69188000000003</v>
      </c>
      <c r="J534" s="8">
        <v>593.75622629999998</v>
      </c>
      <c r="K534" s="8">
        <v>166.01435530000001</v>
      </c>
      <c r="L534" s="8">
        <v>1008.960728</v>
      </c>
      <c r="M534" s="9" t="str">
        <f>IF(A534="",M535,A534)</f>
        <v>Bolivia (Plurinational State of)</v>
      </c>
      <c r="N534" s="3" t="str">
        <f t="shared" si="17"/>
        <v>May-2020</v>
      </c>
    </row>
    <row r="535" spans="1:14" x14ac:dyDescent="0.3">
      <c r="A535" s="3" t="s">
        <v>52</v>
      </c>
      <c r="B535" s="3" t="s">
        <v>53</v>
      </c>
      <c r="C535" s="8">
        <v>2020</v>
      </c>
      <c r="D535" s="8">
        <v>6</v>
      </c>
      <c r="E535" s="3" t="str">
        <f t="shared" si="16"/>
        <v>June</v>
      </c>
      <c r="F535" s="3" t="s">
        <v>13</v>
      </c>
      <c r="G535" s="8">
        <v>7011.6293059999998</v>
      </c>
      <c r="H535" s="8">
        <v>13644</v>
      </c>
      <c r="I535" s="8">
        <v>6629.1982589999998</v>
      </c>
      <c r="J535" s="8">
        <v>7222.9544859999996</v>
      </c>
      <c r="K535" s="8">
        <v>6758.1398829999998</v>
      </c>
      <c r="L535" s="8">
        <v>7663.2727990000003</v>
      </c>
      <c r="M535" s="9" t="str">
        <f>IF(A535="",M536,A535)</f>
        <v>Bolivia (Plurinational State of)</v>
      </c>
      <c r="N535" s="3" t="str">
        <f t="shared" si="17"/>
        <v>Jun-2020</v>
      </c>
    </row>
    <row r="536" spans="1:14" x14ac:dyDescent="0.3">
      <c r="A536" s="3" t="s">
        <v>52</v>
      </c>
      <c r="B536" s="3" t="s">
        <v>53</v>
      </c>
      <c r="C536" s="8">
        <v>2020</v>
      </c>
      <c r="D536" s="8">
        <v>7</v>
      </c>
      <c r="E536" s="3" t="str">
        <f t="shared" si="16"/>
        <v>July</v>
      </c>
      <c r="F536" s="3" t="s">
        <v>13</v>
      </c>
      <c r="G536" s="8">
        <v>7047.436659</v>
      </c>
      <c r="H536" s="8">
        <v>24352</v>
      </c>
      <c r="I536" s="8">
        <v>17301.390909999998</v>
      </c>
      <c r="J536" s="8">
        <v>24524.345389999999</v>
      </c>
      <c r="K536" s="8">
        <v>24033.199919999999</v>
      </c>
      <c r="L536" s="8">
        <v>25010.860229999998</v>
      </c>
      <c r="M536" s="9" t="str">
        <f>IF(A536="",M537,A536)</f>
        <v>Bolivia (Plurinational State of)</v>
      </c>
      <c r="N536" s="3" t="str">
        <f t="shared" si="17"/>
        <v>Jul-2020</v>
      </c>
    </row>
    <row r="537" spans="1:14" x14ac:dyDescent="0.3">
      <c r="A537" s="3" t="s">
        <v>52</v>
      </c>
      <c r="B537" s="3" t="s">
        <v>53</v>
      </c>
      <c r="C537" s="8">
        <v>2020</v>
      </c>
      <c r="D537" s="8">
        <v>8</v>
      </c>
      <c r="E537" s="3" t="str">
        <f t="shared" si="16"/>
        <v>August</v>
      </c>
      <c r="F537" s="3" t="s">
        <v>13</v>
      </c>
      <c r="G537" s="8">
        <v>6831.4273560000001</v>
      </c>
      <c r="H537" s="8">
        <v>12613</v>
      </c>
      <c r="I537" s="8">
        <v>5778.4002099999998</v>
      </c>
      <c r="J537" s="8">
        <v>30302.745599999998</v>
      </c>
      <c r="K537" s="8">
        <v>29759.116709999998</v>
      </c>
      <c r="L537" s="8">
        <v>30806.010569999999</v>
      </c>
      <c r="M537" s="9" t="str">
        <f>IF(A537="",M538,A537)</f>
        <v>Bolivia (Plurinational State of)</v>
      </c>
      <c r="N537" s="3" t="str">
        <f t="shared" si="17"/>
        <v>Aug-2020</v>
      </c>
    </row>
    <row r="538" spans="1:14" x14ac:dyDescent="0.3">
      <c r="A538" s="3" t="s">
        <v>52</v>
      </c>
      <c r="B538" s="3" t="s">
        <v>53</v>
      </c>
      <c r="C538" s="8">
        <v>2020</v>
      </c>
      <c r="D538" s="8">
        <v>9</v>
      </c>
      <c r="E538" s="3" t="str">
        <f t="shared" si="16"/>
        <v>September</v>
      </c>
      <c r="F538" s="3" t="s">
        <v>13</v>
      </c>
      <c r="G538" s="8">
        <v>6534.7684079999999</v>
      </c>
      <c r="H538" s="8">
        <v>7979</v>
      </c>
      <c r="I538" s="8">
        <v>1441.059158</v>
      </c>
      <c r="J538" s="8">
        <v>31743.804759999999</v>
      </c>
      <c r="K538" s="8">
        <v>31176.883320000001</v>
      </c>
      <c r="L538" s="8">
        <v>32297.49308</v>
      </c>
      <c r="M538" s="9" t="str">
        <f>IF(A538="",M539,A538)</f>
        <v>Bolivia (Plurinational State of)</v>
      </c>
      <c r="N538" s="3" t="str">
        <f t="shared" si="17"/>
        <v>Sep-2020</v>
      </c>
    </row>
    <row r="539" spans="1:14" x14ac:dyDescent="0.3">
      <c r="A539" s="3" t="s">
        <v>52</v>
      </c>
      <c r="B539" s="3" t="s">
        <v>53</v>
      </c>
      <c r="C539" s="8">
        <v>2020</v>
      </c>
      <c r="D539" s="8">
        <v>10</v>
      </c>
      <c r="E539" s="3" t="str">
        <f t="shared" si="16"/>
        <v>October</v>
      </c>
      <c r="F539" s="3" t="s">
        <v>13</v>
      </c>
      <c r="G539" s="8">
        <v>6607.0708279999999</v>
      </c>
      <c r="H539" s="8">
        <v>7571</v>
      </c>
      <c r="I539" s="8">
        <v>960.75673770000003</v>
      </c>
      <c r="J539" s="8">
        <v>32704.5615</v>
      </c>
      <c r="K539" s="8">
        <v>32117.94427</v>
      </c>
      <c r="L539" s="8">
        <v>33303.756390000002</v>
      </c>
      <c r="M539" s="9" t="str">
        <f>IF(A539="",M540,A539)</f>
        <v>Bolivia (Plurinational State of)</v>
      </c>
      <c r="N539" s="3" t="str">
        <f t="shared" si="17"/>
        <v>Oct-2020</v>
      </c>
    </row>
    <row r="540" spans="1:14" x14ac:dyDescent="0.3">
      <c r="A540" s="3" t="s">
        <v>52</v>
      </c>
      <c r="B540" s="3" t="s">
        <v>53</v>
      </c>
      <c r="C540" s="8">
        <v>2020</v>
      </c>
      <c r="D540" s="8">
        <v>11</v>
      </c>
      <c r="E540" s="3" t="str">
        <f t="shared" si="16"/>
        <v>November</v>
      </c>
      <c r="F540" s="3" t="s">
        <v>13</v>
      </c>
      <c r="G540" s="8">
        <v>6414.1063210000002</v>
      </c>
      <c r="H540" s="8">
        <v>7068</v>
      </c>
      <c r="I540" s="8">
        <v>650.72124450000001</v>
      </c>
      <c r="J540" s="8">
        <v>33355.282740000002</v>
      </c>
      <c r="K540" s="8">
        <v>32711.184740000001</v>
      </c>
      <c r="L540" s="8">
        <v>33987.271670000002</v>
      </c>
      <c r="M540" s="9" t="str">
        <f>IF(A540="",M541,A540)</f>
        <v>Bolivia (Plurinational State of)</v>
      </c>
      <c r="N540" s="3" t="str">
        <f t="shared" si="17"/>
        <v>Nov-2020</v>
      </c>
    </row>
    <row r="541" spans="1:14" x14ac:dyDescent="0.3">
      <c r="A541" s="3" t="s">
        <v>52</v>
      </c>
      <c r="B541" s="3" t="s">
        <v>53</v>
      </c>
      <c r="C541" s="8">
        <v>2020</v>
      </c>
      <c r="D541" s="8">
        <v>12</v>
      </c>
      <c r="E541" s="3" t="str">
        <f t="shared" si="16"/>
        <v>December</v>
      </c>
      <c r="F541" s="3" t="s">
        <v>13</v>
      </c>
      <c r="G541" s="8">
        <v>6805.549728</v>
      </c>
      <c r="H541" s="8">
        <v>7342</v>
      </c>
      <c r="I541" s="8">
        <v>533.27783739999995</v>
      </c>
      <c r="J541" s="8">
        <v>33888.560579999998</v>
      </c>
      <c r="K541" s="8">
        <v>33225.80629</v>
      </c>
      <c r="L541" s="8">
        <v>34541.169269999999</v>
      </c>
      <c r="M541" s="9" t="str">
        <f>IF(A541="",M542,A541)</f>
        <v>Bolivia (Plurinational State of)</v>
      </c>
      <c r="N541" s="3" t="str">
        <f t="shared" si="17"/>
        <v>Dec-2020</v>
      </c>
    </row>
    <row r="542" spans="1:14" x14ac:dyDescent="0.3">
      <c r="A542" s="3" t="s">
        <v>52</v>
      </c>
      <c r="B542" s="3" t="s">
        <v>53</v>
      </c>
      <c r="C542" s="8">
        <v>2021</v>
      </c>
      <c r="D542" s="8">
        <v>1</v>
      </c>
      <c r="E542" s="3" t="str">
        <f t="shared" si="16"/>
        <v>January</v>
      </c>
      <c r="F542" s="3" t="s">
        <v>13</v>
      </c>
      <c r="G542" s="8">
        <v>6815.2270769999996</v>
      </c>
      <c r="H542" s="8">
        <v>15192</v>
      </c>
      <c r="I542" s="8">
        <v>8360.6569569999992</v>
      </c>
      <c r="J542" s="8">
        <v>42249.217539999998</v>
      </c>
      <c r="K542" s="8">
        <v>41563.535949999998</v>
      </c>
      <c r="L542" s="8">
        <v>42941.78991</v>
      </c>
      <c r="M542" s="9" t="str">
        <f>IF(A542="",M543,A542)</f>
        <v>Bolivia (Plurinational State of)</v>
      </c>
      <c r="N542" s="3" t="str">
        <f t="shared" si="17"/>
        <v>Jan-2021</v>
      </c>
    </row>
    <row r="543" spans="1:14" x14ac:dyDescent="0.3">
      <c r="A543" s="3" t="s">
        <v>52</v>
      </c>
      <c r="B543" s="3" t="s">
        <v>53</v>
      </c>
      <c r="C543" s="8">
        <v>2021</v>
      </c>
      <c r="D543" s="8">
        <v>2</v>
      </c>
      <c r="E543" s="3" t="str">
        <f t="shared" si="16"/>
        <v>February</v>
      </c>
      <c r="F543" s="3" t="s">
        <v>13</v>
      </c>
      <c r="G543" s="8">
        <v>6322.8760540000003</v>
      </c>
      <c r="H543" s="8">
        <v>11241</v>
      </c>
      <c r="I543" s="8">
        <v>4902.0079800000003</v>
      </c>
      <c r="J543" s="8">
        <v>47151.22552</v>
      </c>
      <c r="K543" s="8">
        <v>46426.540240000002</v>
      </c>
      <c r="L543" s="8">
        <v>47917.92555</v>
      </c>
      <c r="M543" s="9" t="str">
        <f>IF(A543="",M544,A543)</f>
        <v>Bolivia (Plurinational State of)</v>
      </c>
      <c r="N543" s="3" t="str">
        <f t="shared" si="17"/>
        <v>Feb-2021</v>
      </c>
    </row>
    <row r="544" spans="1:14" x14ac:dyDescent="0.3">
      <c r="A544" s="3" t="s">
        <v>52</v>
      </c>
      <c r="B544" s="3" t="s">
        <v>53</v>
      </c>
      <c r="C544" s="8">
        <v>2021</v>
      </c>
      <c r="D544" s="8">
        <v>3</v>
      </c>
      <c r="E544" s="3" t="str">
        <f t="shared" si="16"/>
        <v>March</v>
      </c>
      <c r="F544" s="3" t="s">
        <v>13</v>
      </c>
      <c r="G544" s="8">
        <v>6708.150243</v>
      </c>
      <c r="H544" s="8">
        <v>9176</v>
      </c>
      <c r="I544" s="8">
        <v>2451.7337910000001</v>
      </c>
      <c r="J544" s="8">
        <v>49602.959309999998</v>
      </c>
      <c r="K544" s="8">
        <v>48864.946000000004</v>
      </c>
      <c r="L544" s="8">
        <v>50373.857020000003</v>
      </c>
      <c r="M544" s="9" t="str">
        <f>IF(A544="",M545,A544)</f>
        <v>Bolivia (Plurinational State of)</v>
      </c>
      <c r="N544" s="3" t="str">
        <f t="shared" si="17"/>
        <v>Mar-2021</v>
      </c>
    </row>
    <row r="545" spans="1:14" x14ac:dyDescent="0.3">
      <c r="A545" s="3" t="s">
        <v>52</v>
      </c>
      <c r="B545" s="3" t="s">
        <v>53</v>
      </c>
      <c r="C545" s="8">
        <v>2021</v>
      </c>
      <c r="D545" s="8">
        <v>4</v>
      </c>
      <c r="E545" s="3" t="str">
        <f t="shared" si="16"/>
        <v>April</v>
      </c>
      <c r="F545" s="3" t="s">
        <v>13</v>
      </c>
      <c r="G545" s="8">
        <v>6525.723594</v>
      </c>
      <c r="H545" s="8">
        <v>8628</v>
      </c>
      <c r="I545" s="8">
        <v>2086.160441</v>
      </c>
      <c r="J545" s="8">
        <v>51689.119749999998</v>
      </c>
      <c r="K545" s="8">
        <v>50920.494530000004</v>
      </c>
      <c r="L545" s="8">
        <v>52454.179810000001</v>
      </c>
      <c r="M545" s="9" t="str">
        <f>IF(A545="",M546,A545)</f>
        <v>Bolivia (Plurinational State of)</v>
      </c>
      <c r="N545" s="3" t="str">
        <f t="shared" si="17"/>
        <v>Apr-2021</v>
      </c>
    </row>
    <row r="546" spans="1:14" x14ac:dyDescent="0.3">
      <c r="A546" s="3" t="s">
        <v>52</v>
      </c>
      <c r="B546" s="3" t="s">
        <v>53</v>
      </c>
      <c r="C546" s="8">
        <v>2021</v>
      </c>
      <c r="D546" s="8">
        <v>5</v>
      </c>
      <c r="E546" s="3" t="str">
        <f t="shared" si="16"/>
        <v>May</v>
      </c>
      <c r="F546" s="3" t="s">
        <v>13</v>
      </c>
      <c r="G546" s="8">
        <v>6895.1069180000004</v>
      </c>
      <c r="H546" s="8">
        <v>13788</v>
      </c>
      <c r="I546" s="8">
        <v>6876.7771160000002</v>
      </c>
      <c r="J546" s="8">
        <v>58565.896869999997</v>
      </c>
      <c r="K546" s="8">
        <v>57757.689570000002</v>
      </c>
      <c r="L546" s="8">
        <v>59390.404699999999</v>
      </c>
      <c r="M546" s="9" t="str">
        <f>IF(A546="",M547,A546)</f>
        <v>Bolivia (Plurinational State of)</v>
      </c>
      <c r="N546" s="3" t="str">
        <f t="shared" si="17"/>
        <v>May-2021</v>
      </c>
    </row>
    <row r="547" spans="1:14" x14ac:dyDescent="0.3">
      <c r="A547" s="3" t="s">
        <v>52</v>
      </c>
      <c r="B547" s="3" t="s">
        <v>53</v>
      </c>
      <c r="C547" s="8">
        <v>2021</v>
      </c>
      <c r="D547" s="8">
        <v>6</v>
      </c>
      <c r="E547" s="3" t="str">
        <f t="shared" si="16"/>
        <v>June</v>
      </c>
      <c r="F547" s="3" t="s">
        <v>13</v>
      </c>
      <c r="G547" s="8">
        <v>7113.6485700000003</v>
      </c>
      <c r="H547" s="8">
        <v>16139</v>
      </c>
      <c r="I547" s="8">
        <v>9009.2354639999994</v>
      </c>
      <c r="J547" s="8">
        <v>67575.132329999993</v>
      </c>
      <c r="K547" s="8">
        <v>66762.557660000006</v>
      </c>
      <c r="L547" s="8">
        <v>68450.242389999999</v>
      </c>
      <c r="M547" s="9" t="str">
        <f>IF(A547="",M548,A547)</f>
        <v>Bolivia (Plurinational State of)</v>
      </c>
      <c r="N547" s="3" t="str">
        <f t="shared" si="17"/>
        <v>Jun-2021</v>
      </c>
    </row>
    <row r="548" spans="1:14" x14ac:dyDescent="0.3">
      <c r="A548" s="3" t="s">
        <v>52</v>
      </c>
      <c r="B548" s="3" t="s">
        <v>53</v>
      </c>
      <c r="C548" s="8">
        <v>2021</v>
      </c>
      <c r="D548" s="8">
        <v>7</v>
      </c>
      <c r="E548" s="3" t="str">
        <f t="shared" si="16"/>
        <v>July</v>
      </c>
      <c r="F548" s="3" t="s">
        <v>13</v>
      </c>
      <c r="G548" s="8">
        <v>7136.6543389999997</v>
      </c>
      <c r="H548" s="8">
        <v>11620</v>
      </c>
      <c r="I548" s="8">
        <v>4467.229695</v>
      </c>
      <c r="J548" s="8">
        <v>72042.36202</v>
      </c>
      <c r="K548" s="8">
        <v>71251.938769999993</v>
      </c>
      <c r="L548" s="8">
        <v>72932.494519999993</v>
      </c>
      <c r="M548" s="9" t="str">
        <f>IF(A548="",M549,A548)</f>
        <v>Bolivia (Plurinational State of)</v>
      </c>
      <c r="N548" s="3" t="str">
        <f t="shared" si="17"/>
        <v>Jul-2021</v>
      </c>
    </row>
    <row r="549" spans="1:14" x14ac:dyDescent="0.3">
      <c r="A549" s="3" t="s">
        <v>52</v>
      </c>
      <c r="B549" s="3" t="s">
        <v>53</v>
      </c>
      <c r="C549" s="8">
        <v>2021</v>
      </c>
      <c r="D549" s="8">
        <v>8</v>
      </c>
      <c r="E549" s="3" t="str">
        <f t="shared" si="16"/>
        <v>August</v>
      </c>
      <c r="F549" s="3" t="s">
        <v>13</v>
      </c>
      <c r="G549" s="8">
        <v>6923.3390849999996</v>
      </c>
      <c r="H549" s="8">
        <v>9269</v>
      </c>
      <c r="I549" s="8">
        <v>2329.5449490000001</v>
      </c>
      <c r="J549" s="8">
        <v>74371.906969999996</v>
      </c>
      <c r="K549" s="8">
        <v>73504.785000000003</v>
      </c>
      <c r="L549" s="8">
        <v>75250.145080000002</v>
      </c>
      <c r="M549" s="9" t="str">
        <f>IF(A549="",M550,A549)</f>
        <v>Bolivia (Plurinational State of)</v>
      </c>
      <c r="N549" s="3" t="str">
        <f t="shared" si="17"/>
        <v>Aug-2021</v>
      </c>
    </row>
    <row r="550" spans="1:14" x14ac:dyDescent="0.3">
      <c r="A550" s="3" t="s">
        <v>52</v>
      </c>
      <c r="B550" s="3" t="s">
        <v>53</v>
      </c>
      <c r="C550" s="8">
        <v>2021</v>
      </c>
      <c r="D550" s="8">
        <v>9</v>
      </c>
      <c r="E550" s="3" t="str">
        <f t="shared" si="16"/>
        <v>September</v>
      </c>
      <c r="F550" s="3" t="s">
        <v>13</v>
      </c>
      <c r="G550" s="8">
        <v>6614.2067539999998</v>
      </c>
      <c r="H550" s="8">
        <v>7715</v>
      </c>
      <c r="I550" s="8">
        <v>1084.677281</v>
      </c>
      <c r="J550" s="8">
        <v>75456.58425</v>
      </c>
      <c r="K550" s="8">
        <v>74572.150599999994</v>
      </c>
      <c r="L550" s="8">
        <v>76396.845759999997</v>
      </c>
      <c r="M550" s="9" t="str">
        <f>IF(A550="",M551,A550)</f>
        <v>Bolivia (Plurinational State of)</v>
      </c>
      <c r="N550" s="3" t="str">
        <f t="shared" si="17"/>
        <v>Sep-2021</v>
      </c>
    </row>
    <row r="551" spans="1:14" x14ac:dyDescent="0.3">
      <c r="A551" s="3" t="s">
        <v>52</v>
      </c>
      <c r="B551" s="3" t="s">
        <v>53</v>
      </c>
      <c r="C551" s="8">
        <v>2021</v>
      </c>
      <c r="D551" s="8">
        <v>10</v>
      </c>
      <c r="E551" s="3" t="str">
        <f t="shared" si="16"/>
        <v>October</v>
      </c>
      <c r="F551" s="3" t="s">
        <v>13</v>
      </c>
      <c r="G551" s="8">
        <v>6701.5422310000004</v>
      </c>
      <c r="H551" s="8">
        <v>7682</v>
      </c>
      <c r="I551" s="8">
        <v>964.34180289999995</v>
      </c>
      <c r="J551" s="8">
        <v>76420.926059999998</v>
      </c>
      <c r="K551" s="8">
        <v>75535.150819999995</v>
      </c>
      <c r="L551" s="8">
        <v>77358.07819</v>
      </c>
      <c r="M551" s="9" t="str">
        <f>IF(A551="",M552,A551)</f>
        <v>Bolivia (Plurinational State of)</v>
      </c>
      <c r="N551" s="3" t="str">
        <f t="shared" si="17"/>
        <v>Oct-2021</v>
      </c>
    </row>
    <row r="552" spans="1:14" x14ac:dyDescent="0.3">
      <c r="A552" s="3" t="s">
        <v>52</v>
      </c>
      <c r="B552" s="3" t="s">
        <v>53</v>
      </c>
      <c r="C552" s="8">
        <v>2021</v>
      </c>
      <c r="D552" s="8">
        <v>11</v>
      </c>
      <c r="E552" s="3" t="str">
        <f t="shared" si="16"/>
        <v>November</v>
      </c>
      <c r="F552" s="3" t="s">
        <v>13</v>
      </c>
      <c r="G552" s="8">
        <v>6496.5242930000004</v>
      </c>
      <c r="H552" s="8">
        <v>7921</v>
      </c>
      <c r="I552" s="8">
        <v>1408.359741</v>
      </c>
      <c r="J552" s="8">
        <v>77829.285799999998</v>
      </c>
      <c r="K552" s="8">
        <v>76884.049159999995</v>
      </c>
      <c r="L552" s="8">
        <v>78776.943790000005</v>
      </c>
      <c r="M552" s="9" t="str">
        <f>IF(A552="",M553,A552)</f>
        <v>Bolivia (Plurinational State of)</v>
      </c>
      <c r="N552" s="3" t="str">
        <f t="shared" si="17"/>
        <v>Nov-2021</v>
      </c>
    </row>
    <row r="553" spans="1:14" x14ac:dyDescent="0.3">
      <c r="A553" s="3" t="s">
        <v>52</v>
      </c>
      <c r="B553" s="3" t="s">
        <v>53</v>
      </c>
      <c r="C553" s="8">
        <v>2021</v>
      </c>
      <c r="D553" s="8">
        <v>12</v>
      </c>
      <c r="E553" s="3" t="str">
        <f t="shared" si="16"/>
        <v>December</v>
      </c>
      <c r="F553" s="3" t="s">
        <v>13</v>
      </c>
      <c r="G553" s="8">
        <v>6898.8396650000004</v>
      </c>
      <c r="H553" s="8">
        <v>9995</v>
      </c>
      <c r="I553" s="8">
        <v>3080.0443690000002</v>
      </c>
      <c r="J553" s="8">
        <v>80909.330170000001</v>
      </c>
      <c r="K553" s="8">
        <v>79951.203989999995</v>
      </c>
      <c r="L553" s="8">
        <v>81908.922760000001</v>
      </c>
      <c r="M553" s="9" t="str">
        <f>IF(A553="",M554,A553)</f>
        <v>Bolivia (Plurinational State of)</v>
      </c>
      <c r="N553" s="3" t="str">
        <f t="shared" si="17"/>
        <v>Dec-2021</v>
      </c>
    </row>
    <row r="554" spans="1:14" x14ac:dyDescent="0.3">
      <c r="A554" s="3" t="s">
        <v>54</v>
      </c>
      <c r="B554" s="3" t="s">
        <v>55</v>
      </c>
      <c r="C554" s="8">
        <v>2020</v>
      </c>
      <c r="D554" s="8">
        <v>1</v>
      </c>
      <c r="E554" s="3" t="str">
        <f t="shared" si="16"/>
        <v>January</v>
      </c>
      <c r="F554" s="3" t="s">
        <v>13</v>
      </c>
      <c r="G554" s="8">
        <v>111262.7907</v>
      </c>
      <c r="H554" s="8">
        <v>110932</v>
      </c>
      <c r="I554" s="8">
        <v>-536.45740869999997</v>
      </c>
      <c r="J554" s="8">
        <v>-536.45740869999997</v>
      </c>
      <c r="K554" s="8">
        <v>-2475.1544479999998</v>
      </c>
      <c r="L554" s="8">
        <v>1387.872406</v>
      </c>
      <c r="M554" s="9" t="str">
        <f>IF(A554="",M555,A554)</f>
        <v>Brazil</v>
      </c>
      <c r="N554" s="3" t="str">
        <f t="shared" si="17"/>
        <v>Jan-2020</v>
      </c>
    </row>
    <row r="555" spans="1:14" x14ac:dyDescent="0.3">
      <c r="A555" s="3" t="s">
        <v>54</v>
      </c>
      <c r="B555" s="3" t="s">
        <v>55</v>
      </c>
      <c r="C555" s="8">
        <v>2020</v>
      </c>
      <c r="D555" s="8">
        <v>2</v>
      </c>
      <c r="E555" s="3" t="str">
        <f t="shared" si="16"/>
        <v>February</v>
      </c>
      <c r="F555" s="3" t="s">
        <v>13</v>
      </c>
      <c r="G555" s="8">
        <v>101247.7404</v>
      </c>
      <c r="H555" s="8">
        <v>104255</v>
      </c>
      <c r="I555" s="8">
        <v>2801.5929609999998</v>
      </c>
      <c r="J555" s="8">
        <v>2265.1355530000001</v>
      </c>
      <c r="K555" s="8">
        <v>-887.91284589999998</v>
      </c>
      <c r="L555" s="8">
        <v>5436.9554399999997</v>
      </c>
      <c r="M555" s="9" t="str">
        <f>IF(A555="",M556,A555)</f>
        <v>Brazil</v>
      </c>
      <c r="N555" s="3" t="str">
        <f t="shared" si="17"/>
        <v>Feb-2020</v>
      </c>
    </row>
    <row r="556" spans="1:14" x14ac:dyDescent="0.3">
      <c r="A556" s="3" t="s">
        <v>54</v>
      </c>
      <c r="B556" s="3" t="s">
        <v>55</v>
      </c>
      <c r="C556" s="8">
        <v>2020</v>
      </c>
      <c r="D556" s="8">
        <v>3</v>
      </c>
      <c r="E556" s="3" t="str">
        <f t="shared" si="16"/>
        <v>March</v>
      </c>
      <c r="F556" s="3" t="s">
        <v>13</v>
      </c>
      <c r="G556" s="8">
        <v>112277.45050000001</v>
      </c>
      <c r="H556" s="8">
        <v>117888</v>
      </c>
      <c r="I556" s="8">
        <v>5404.8828530000001</v>
      </c>
      <c r="J556" s="8">
        <v>7670.0184049999998</v>
      </c>
      <c r="K556" s="8">
        <v>3585.2574460000001</v>
      </c>
      <c r="L556" s="8">
        <v>11842.56818</v>
      </c>
      <c r="M556" s="9" t="str">
        <f>IF(A556="",M557,A556)</f>
        <v>Brazil</v>
      </c>
      <c r="N556" s="3" t="str">
        <f t="shared" si="17"/>
        <v>Mar-2020</v>
      </c>
    </row>
    <row r="557" spans="1:14" x14ac:dyDescent="0.3">
      <c r="A557" s="3" t="s">
        <v>54</v>
      </c>
      <c r="B557" s="3" t="s">
        <v>55</v>
      </c>
      <c r="C557" s="8">
        <v>2020</v>
      </c>
      <c r="D557" s="8">
        <v>4</v>
      </c>
      <c r="E557" s="3" t="str">
        <f t="shared" si="16"/>
        <v>April</v>
      </c>
      <c r="F557" s="3" t="s">
        <v>13</v>
      </c>
      <c r="G557" s="8">
        <v>113377.4227</v>
      </c>
      <c r="H557" s="8">
        <v>123596</v>
      </c>
      <c r="I557" s="8">
        <v>10012.91059</v>
      </c>
      <c r="J557" s="8">
        <v>17682.92899</v>
      </c>
      <c r="K557" s="8">
        <v>12642.210220000001</v>
      </c>
      <c r="L557" s="8">
        <v>22321.457829999999</v>
      </c>
      <c r="M557" s="9" t="str">
        <f>IF(A557="",M558,A557)</f>
        <v>Brazil</v>
      </c>
      <c r="N557" s="3" t="str">
        <f t="shared" si="17"/>
        <v>Apr-2020</v>
      </c>
    </row>
    <row r="558" spans="1:14" x14ac:dyDescent="0.3">
      <c r="A558" s="3" t="s">
        <v>54</v>
      </c>
      <c r="B558" s="3" t="s">
        <v>55</v>
      </c>
      <c r="C558" s="8">
        <v>2020</v>
      </c>
      <c r="D558" s="8">
        <v>5</v>
      </c>
      <c r="E558" s="3" t="str">
        <f t="shared" si="16"/>
        <v>May</v>
      </c>
      <c r="F558" s="3" t="s">
        <v>13</v>
      </c>
      <c r="G558" s="8">
        <v>120099.5371</v>
      </c>
      <c r="H558" s="8">
        <v>154511</v>
      </c>
      <c r="I558" s="8">
        <v>34205.79621</v>
      </c>
      <c r="J558" s="8">
        <v>51888.725200000001</v>
      </c>
      <c r="K558" s="8">
        <v>46470.873939999998</v>
      </c>
      <c r="L558" s="8">
        <v>57355.420209999997</v>
      </c>
      <c r="M558" s="9" t="str">
        <f>IF(A558="",M559,A558)</f>
        <v>Brazil</v>
      </c>
      <c r="N558" s="3" t="str">
        <f t="shared" si="17"/>
        <v>May-2020</v>
      </c>
    </row>
    <row r="559" spans="1:14" x14ac:dyDescent="0.3">
      <c r="A559" s="3" t="s">
        <v>54</v>
      </c>
      <c r="B559" s="3" t="s">
        <v>55</v>
      </c>
      <c r="C559" s="8">
        <v>2020</v>
      </c>
      <c r="D559" s="8">
        <v>6</v>
      </c>
      <c r="E559" s="3" t="str">
        <f t="shared" si="16"/>
        <v>June</v>
      </c>
      <c r="F559" s="3" t="s">
        <v>13</v>
      </c>
      <c r="G559" s="8">
        <v>120341.2749</v>
      </c>
      <c r="H559" s="8">
        <v>140663</v>
      </c>
      <c r="I559" s="8">
        <v>20116.05845</v>
      </c>
      <c r="J559" s="8">
        <v>72004.783649999998</v>
      </c>
      <c r="K559" s="8">
        <v>66052.521779999995</v>
      </c>
      <c r="L559" s="8">
        <v>78104.092860000004</v>
      </c>
      <c r="M559" s="9" t="str">
        <f>IF(A559="",M560,A559)</f>
        <v>Brazil</v>
      </c>
      <c r="N559" s="3" t="str">
        <f t="shared" si="17"/>
        <v>Jun-2020</v>
      </c>
    </row>
    <row r="560" spans="1:14" x14ac:dyDescent="0.3">
      <c r="A560" s="3" t="s">
        <v>54</v>
      </c>
      <c r="B560" s="3" t="s">
        <v>55</v>
      </c>
      <c r="C560" s="8">
        <v>2020</v>
      </c>
      <c r="D560" s="8">
        <v>7</v>
      </c>
      <c r="E560" s="3" t="str">
        <f t="shared" si="16"/>
        <v>July</v>
      </c>
      <c r="F560" s="3" t="s">
        <v>13</v>
      </c>
      <c r="G560" s="8">
        <v>124361.0334</v>
      </c>
      <c r="H560" s="8">
        <v>145262</v>
      </c>
      <c r="I560" s="8">
        <v>20695.29996</v>
      </c>
      <c r="J560" s="8">
        <v>92700.083610000001</v>
      </c>
      <c r="K560" s="8">
        <v>86241.213310000006</v>
      </c>
      <c r="L560" s="8">
        <v>99712.724279999995</v>
      </c>
      <c r="M560" s="9" t="str">
        <f>IF(A560="",M561,A560)</f>
        <v>Brazil</v>
      </c>
      <c r="N560" s="3" t="str">
        <f t="shared" si="17"/>
        <v>Jul-2020</v>
      </c>
    </row>
    <row r="561" spans="1:14" x14ac:dyDescent="0.3">
      <c r="A561" s="3" t="s">
        <v>54</v>
      </c>
      <c r="B561" s="3" t="s">
        <v>55</v>
      </c>
      <c r="C561" s="8">
        <v>2020</v>
      </c>
      <c r="D561" s="8">
        <v>8</v>
      </c>
      <c r="E561" s="3" t="str">
        <f t="shared" si="16"/>
        <v>August</v>
      </c>
      <c r="F561" s="3" t="s">
        <v>13</v>
      </c>
      <c r="G561" s="8">
        <v>118083.0644</v>
      </c>
      <c r="H561" s="8">
        <v>141329</v>
      </c>
      <c r="I561" s="8">
        <v>23040.268940000002</v>
      </c>
      <c r="J561" s="8">
        <v>115740.35249999999</v>
      </c>
      <c r="K561" s="8">
        <v>108621.2751</v>
      </c>
      <c r="L561" s="8">
        <v>123129.23639999999</v>
      </c>
      <c r="M561" s="9" t="str">
        <f>IF(A561="",M562,A561)</f>
        <v>Brazil</v>
      </c>
      <c r="N561" s="3" t="str">
        <f t="shared" si="17"/>
        <v>Aug-2020</v>
      </c>
    </row>
    <row r="562" spans="1:14" x14ac:dyDescent="0.3">
      <c r="A562" s="3" t="s">
        <v>54</v>
      </c>
      <c r="B562" s="3" t="s">
        <v>55</v>
      </c>
      <c r="C562" s="8">
        <v>2020</v>
      </c>
      <c r="D562" s="8">
        <v>9</v>
      </c>
      <c r="E562" s="3" t="str">
        <f t="shared" si="16"/>
        <v>September</v>
      </c>
      <c r="F562" s="3" t="s">
        <v>13</v>
      </c>
      <c r="G562" s="8">
        <v>111471.4086</v>
      </c>
      <c r="H562" s="8">
        <v>127115</v>
      </c>
      <c r="I562" s="8">
        <v>15437.9247</v>
      </c>
      <c r="J562" s="8">
        <v>131178.27720000001</v>
      </c>
      <c r="K562" s="8">
        <v>123542.70359999999</v>
      </c>
      <c r="L562" s="8">
        <v>139211.52540000001</v>
      </c>
      <c r="M562" s="9" t="str">
        <f>IF(A562="",M563,A562)</f>
        <v>Brazil</v>
      </c>
      <c r="N562" s="3" t="str">
        <f t="shared" si="17"/>
        <v>Sep-2020</v>
      </c>
    </row>
    <row r="563" spans="1:14" x14ac:dyDescent="0.3">
      <c r="A563" s="3" t="s">
        <v>54</v>
      </c>
      <c r="B563" s="3" t="s">
        <v>55</v>
      </c>
      <c r="C563" s="8">
        <v>2020</v>
      </c>
      <c r="D563" s="8">
        <v>10</v>
      </c>
      <c r="E563" s="3" t="str">
        <f t="shared" si="16"/>
        <v>October</v>
      </c>
      <c r="F563" s="3" t="s">
        <v>13</v>
      </c>
      <c r="G563" s="8">
        <v>112282.53630000001</v>
      </c>
      <c r="H563" s="8">
        <v>128797</v>
      </c>
      <c r="I563" s="8">
        <v>16308.797039999999</v>
      </c>
      <c r="J563" s="8">
        <v>147487.07430000001</v>
      </c>
      <c r="K563" s="8">
        <v>139703.50520000001</v>
      </c>
      <c r="L563" s="8">
        <v>155871.29819999999</v>
      </c>
      <c r="M563" s="9" t="str">
        <f>IF(A563="",M564,A563)</f>
        <v>Brazil</v>
      </c>
      <c r="N563" s="3" t="str">
        <f t="shared" si="17"/>
        <v>Oct-2020</v>
      </c>
    </row>
    <row r="564" spans="1:14" x14ac:dyDescent="0.3">
      <c r="A564" s="3" t="s">
        <v>54</v>
      </c>
      <c r="B564" s="3" t="s">
        <v>55</v>
      </c>
      <c r="C564" s="8">
        <v>2020</v>
      </c>
      <c r="D564" s="8">
        <v>11</v>
      </c>
      <c r="E564" s="3" t="str">
        <f t="shared" si="16"/>
        <v>November</v>
      </c>
      <c r="F564" s="3" t="s">
        <v>13</v>
      </c>
      <c r="G564" s="8">
        <v>107037.2847</v>
      </c>
      <c r="H564" s="8">
        <v>122598</v>
      </c>
      <c r="I564" s="8">
        <v>15355.048629999999</v>
      </c>
      <c r="J564" s="8">
        <v>162842.12289999999</v>
      </c>
      <c r="K564" s="8">
        <v>154460.33900000001</v>
      </c>
      <c r="L564" s="8">
        <v>171612.63939999999</v>
      </c>
      <c r="M564" s="9" t="str">
        <f>IF(A564="",M565,A564)</f>
        <v>Brazil</v>
      </c>
      <c r="N564" s="3" t="str">
        <f t="shared" si="17"/>
        <v>Nov-2020</v>
      </c>
    </row>
    <row r="565" spans="1:14" x14ac:dyDescent="0.3">
      <c r="A565" s="3" t="s">
        <v>54</v>
      </c>
      <c r="B565" s="3" t="s">
        <v>55</v>
      </c>
      <c r="C565" s="8">
        <v>2020</v>
      </c>
      <c r="D565" s="8">
        <v>12</v>
      </c>
      <c r="E565" s="3" t="str">
        <f t="shared" si="16"/>
        <v>December</v>
      </c>
      <c r="F565" s="3" t="s">
        <v>13</v>
      </c>
      <c r="G565" s="8">
        <v>112568.6802</v>
      </c>
      <c r="H565" s="8">
        <v>139878</v>
      </c>
      <c r="I565" s="8">
        <v>27103.653160000002</v>
      </c>
      <c r="J565" s="8">
        <v>189945.77609999999</v>
      </c>
      <c r="K565" s="8">
        <v>181338.0563</v>
      </c>
      <c r="L565" s="8">
        <v>199352.79329999999</v>
      </c>
      <c r="M565" s="9" t="str">
        <f>IF(A565="",M566,A565)</f>
        <v>Brazil</v>
      </c>
      <c r="N565" s="3" t="str">
        <f t="shared" si="17"/>
        <v>Dec-2020</v>
      </c>
    </row>
    <row r="566" spans="1:14" x14ac:dyDescent="0.3">
      <c r="A566" s="3" t="s">
        <v>54</v>
      </c>
      <c r="B566" s="3" t="s">
        <v>55</v>
      </c>
      <c r="C566" s="8">
        <v>2021</v>
      </c>
      <c r="D566" s="8">
        <v>1</v>
      </c>
      <c r="E566" s="3" t="str">
        <f t="shared" si="16"/>
        <v>January</v>
      </c>
      <c r="F566" s="3" t="s">
        <v>13</v>
      </c>
      <c r="G566" s="8">
        <v>112741.82369999999</v>
      </c>
      <c r="H566" s="8">
        <v>151728</v>
      </c>
      <c r="I566" s="8">
        <v>38526.509669999999</v>
      </c>
      <c r="J566" s="8">
        <v>228472.28570000001</v>
      </c>
      <c r="K566" s="8">
        <v>219651.04190000001</v>
      </c>
      <c r="L566" s="8">
        <v>237561.0526</v>
      </c>
      <c r="M566" s="9" t="str">
        <f>IF(A566="",M567,A566)</f>
        <v>Brazil</v>
      </c>
      <c r="N566" s="3" t="str">
        <f t="shared" si="17"/>
        <v>Jan-2021</v>
      </c>
    </row>
    <row r="567" spans="1:14" x14ac:dyDescent="0.3">
      <c r="A567" s="3" t="s">
        <v>54</v>
      </c>
      <c r="B567" s="3" t="s">
        <v>55</v>
      </c>
      <c r="C567" s="8">
        <v>2021</v>
      </c>
      <c r="D567" s="8">
        <v>2</v>
      </c>
      <c r="E567" s="3" t="str">
        <f t="shared" si="16"/>
        <v>February</v>
      </c>
      <c r="F567" s="3" t="s">
        <v>13</v>
      </c>
      <c r="G567" s="8">
        <v>102579.97440000001</v>
      </c>
      <c r="H567" s="8">
        <v>137029</v>
      </c>
      <c r="I567" s="8">
        <v>33989.358910000003</v>
      </c>
      <c r="J567" s="8">
        <v>262461.6447</v>
      </c>
      <c r="K567" s="8">
        <v>253121.50039999999</v>
      </c>
      <c r="L567" s="8">
        <v>272095.4719</v>
      </c>
      <c r="M567" s="9" t="str">
        <f>IF(A567="",M568,A567)</f>
        <v>Brazil</v>
      </c>
      <c r="N567" s="3" t="str">
        <f t="shared" si="17"/>
        <v>Feb-2021</v>
      </c>
    </row>
    <row r="568" spans="1:14" x14ac:dyDescent="0.3">
      <c r="A568" s="3" t="s">
        <v>54</v>
      </c>
      <c r="B568" s="3" t="s">
        <v>55</v>
      </c>
      <c r="C568" s="8">
        <v>2021</v>
      </c>
      <c r="D568" s="8">
        <v>3</v>
      </c>
      <c r="E568" s="3" t="str">
        <f t="shared" si="16"/>
        <v>March</v>
      </c>
      <c r="F568" s="3" t="s">
        <v>13</v>
      </c>
      <c r="G568" s="8">
        <v>113821.0937</v>
      </c>
      <c r="H568" s="8">
        <v>209406</v>
      </c>
      <c r="I568" s="8">
        <v>95125.239600000001</v>
      </c>
      <c r="J568" s="8">
        <v>357586.88429999998</v>
      </c>
      <c r="K568" s="8">
        <v>348284.47369999997</v>
      </c>
      <c r="L568" s="8">
        <v>367711.35869999998</v>
      </c>
      <c r="M568" s="9" t="str">
        <f>IF(A568="",M569,A568)</f>
        <v>Brazil</v>
      </c>
      <c r="N568" s="3" t="str">
        <f t="shared" si="17"/>
        <v>Mar-2021</v>
      </c>
    </row>
    <row r="569" spans="1:14" x14ac:dyDescent="0.3">
      <c r="A569" s="3" t="s">
        <v>54</v>
      </c>
      <c r="B569" s="3" t="s">
        <v>55</v>
      </c>
      <c r="C569" s="8">
        <v>2021</v>
      </c>
      <c r="D569" s="8">
        <v>4</v>
      </c>
      <c r="E569" s="3" t="str">
        <f t="shared" si="16"/>
        <v>April</v>
      </c>
      <c r="F569" s="3" t="s">
        <v>13</v>
      </c>
      <c r="G569" s="8">
        <v>114774.1845</v>
      </c>
      <c r="H569" s="8">
        <v>196654</v>
      </c>
      <c r="I569" s="8">
        <v>81420.148799999995</v>
      </c>
      <c r="J569" s="8">
        <v>439007.0331</v>
      </c>
      <c r="K569" s="8">
        <v>429166.15879999998</v>
      </c>
      <c r="L569" s="8">
        <v>449128.38059999997</v>
      </c>
      <c r="M569" s="9" t="str">
        <f>IF(A569="",M570,A569)</f>
        <v>Brazil</v>
      </c>
      <c r="N569" s="3" t="str">
        <f t="shared" si="17"/>
        <v>Apr-2021</v>
      </c>
    </row>
    <row r="570" spans="1:14" x14ac:dyDescent="0.3">
      <c r="A570" s="3" t="s">
        <v>54</v>
      </c>
      <c r="B570" s="3" t="s">
        <v>55</v>
      </c>
      <c r="C570" s="8">
        <v>2021</v>
      </c>
      <c r="D570" s="8">
        <v>5</v>
      </c>
      <c r="E570" s="3" t="str">
        <f t="shared" si="16"/>
        <v>May</v>
      </c>
      <c r="F570" s="3" t="s">
        <v>13</v>
      </c>
      <c r="G570" s="8">
        <v>121806.1893</v>
      </c>
      <c r="H570" s="8">
        <v>182945</v>
      </c>
      <c r="I570" s="8">
        <v>60679.144039999999</v>
      </c>
      <c r="J570" s="8">
        <v>499686.17709999997</v>
      </c>
      <c r="K570" s="8">
        <v>489191.65130000003</v>
      </c>
      <c r="L570" s="8">
        <v>510294.79879999999</v>
      </c>
      <c r="M570" s="9" t="str">
        <f>IF(A570="",M571,A570)</f>
        <v>Brazil</v>
      </c>
      <c r="N570" s="3" t="str">
        <f t="shared" si="17"/>
        <v>May-2021</v>
      </c>
    </row>
    <row r="571" spans="1:14" x14ac:dyDescent="0.3">
      <c r="A571" s="3" t="s">
        <v>54</v>
      </c>
      <c r="B571" s="3" t="s">
        <v>55</v>
      </c>
      <c r="C571" s="8">
        <v>2021</v>
      </c>
      <c r="D571" s="8">
        <v>6</v>
      </c>
      <c r="E571" s="3" t="str">
        <f t="shared" si="16"/>
        <v>June</v>
      </c>
      <c r="F571" s="3" t="s">
        <v>13</v>
      </c>
      <c r="G571" s="8">
        <v>121919.66559999999</v>
      </c>
      <c r="H571" s="8">
        <v>172187</v>
      </c>
      <c r="I571" s="8">
        <v>49807.667759999997</v>
      </c>
      <c r="J571" s="8">
        <v>549493.84490000003</v>
      </c>
      <c r="K571" s="8">
        <v>538675.19409999996</v>
      </c>
      <c r="L571" s="8">
        <v>560352.82779999997</v>
      </c>
      <c r="M571" s="9" t="str">
        <f>IF(A571="",M572,A571)</f>
        <v>Brazil</v>
      </c>
      <c r="N571" s="3" t="str">
        <f t="shared" si="17"/>
        <v>Jun-2021</v>
      </c>
    </row>
    <row r="572" spans="1:14" x14ac:dyDescent="0.3">
      <c r="A572" s="3" t="s">
        <v>54</v>
      </c>
      <c r="B572" s="3" t="s">
        <v>55</v>
      </c>
      <c r="C572" s="8">
        <v>2021</v>
      </c>
      <c r="D572" s="8">
        <v>7</v>
      </c>
      <c r="E572" s="3" t="str">
        <f t="shared" si="16"/>
        <v>July</v>
      </c>
      <c r="F572" s="3" t="s">
        <v>13</v>
      </c>
      <c r="G572" s="8">
        <v>125988.3426</v>
      </c>
      <c r="H572" s="8">
        <v>158549</v>
      </c>
      <c r="I572" s="8">
        <v>32100.990760000001</v>
      </c>
      <c r="J572" s="8">
        <v>581594.83559999999</v>
      </c>
      <c r="K572" s="8">
        <v>570315.7156</v>
      </c>
      <c r="L572" s="8">
        <v>593429.70440000005</v>
      </c>
      <c r="M572" s="9" t="str">
        <f>IF(A572="",M573,A572)</f>
        <v>Brazil</v>
      </c>
      <c r="N572" s="3" t="str">
        <f t="shared" si="17"/>
        <v>Jul-2021</v>
      </c>
    </row>
    <row r="573" spans="1:14" x14ac:dyDescent="0.3">
      <c r="A573" s="3" t="s">
        <v>54</v>
      </c>
      <c r="B573" s="3" t="s">
        <v>55</v>
      </c>
      <c r="C573" s="8">
        <v>2021</v>
      </c>
      <c r="D573" s="8">
        <v>8</v>
      </c>
      <c r="E573" s="3" t="str">
        <f t="shared" si="16"/>
        <v>August</v>
      </c>
      <c r="F573" s="3" t="s">
        <v>13</v>
      </c>
      <c r="G573" s="8">
        <v>119615.5352</v>
      </c>
      <c r="H573" s="8">
        <v>143594</v>
      </c>
      <c r="I573" s="8">
        <v>23518.798139999999</v>
      </c>
      <c r="J573" s="8">
        <v>605113.63370000001</v>
      </c>
      <c r="K573" s="8">
        <v>593389.19099999999</v>
      </c>
      <c r="L573" s="8">
        <v>617372.32449999999</v>
      </c>
      <c r="M573" s="9" t="str">
        <f>IF(A573="",M574,A573)</f>
        <v>Brazil</v>
      </c>
      <c r="N573" s="3" t="str">
        <f t="shared" si="17"/>
        <v>Aug-2021</v>
      </c>
    </row>
    <row r="574" spans="1:14" x14ac:dyDescent="0.3">
      <c r="A574" s="3" t="s">
        <v>54</v>
      </c>
      <c r="B574" s="3" t="s">
        <v>55</v>
      </c>
      <c r="C574" s="8">
        <v>2021</v>
      </c>
      <c r="D574" s="8">
        <v>9</v>
      </c>
      <c r="E574" s="3" t="str">
        <f t="shared" si="16"/>
        <v>September</v>
      </c>
      <c r="F574" s="3" t="s">
        <v>13</v>
      </c>
      <c r="G574" s="8">
        <v>113010.1608</v>
      </c>
      <c r="H574" s="8">
        <v>125984</v>
      </c>
      <c r="I574" s="8">
        <v>12514.17253</v>
      </c>
      <c r="J574" s="8">
        <v>617627.80630000005</v>
      </c>
      <c r="K574" s="8">
        <v>605760.96770000004</v>
      </c>
      <c r="L574" s="8">
        <v>629915.24939999997</v>
      </c>
      <c r="M574" s="9" t="str">
        <f>IF(A574="",M575,A574)</f>
        <v>Brazil</v>
      </c>
      <c r="N574" s="3" t="str">
        <f t="shared" si="17"/>
        <v>Sep-2021</v>
      </c>
    </row>
    <row r="575" spans="1:14" x14ac:dyDescent="0.3">
      <c r="A575" s="3" t="s">
        <v>54</v>
      </c>
      <c r="B575" s="3" t="s">
        <v>55</v>
      </c>
      <c r="C575" s="8">
        <v>2021</v>
      </c>
      <c r="D575" s="8">
        <v>10</v>
      </c>
      <c r="E575" s="3" t="str">
        <f t="shared" si="16"/>
        <v>October</v>
      </c>
      <c r="F575" s="3" t="s">
        <v>13</v>
      </c>
      <c r="G575" s="8">
        <v>113799.18429999999</v>
      </c>
      <c r="H575" s="8">
        <v>125180</v>
      </c>
      <c r="I575" s="8">
        <v>10921.14906</v>
      </c>
      <c r="J575" s="8">
        <v>628548.95530000003</v>
      </c>
      <c r="K575" s="8">
        <v>616716.4645</v>
      </c>
      <c r="L575" s="8">
        <v>640810.24959999998</v>
      </c>
      <c r="M575" s="9" t="str">
        <f>IF(A575="",M576,A575)</f>
        <v>Brazil</v>
      </c>
      <c r="N575" s="3" t="str">
        <f t="shared" si="17"/>
        <v>Oct-2021</v>
      </c>
    </row>
    <row r="576" spans="1:14" x14ac:dyDescent="0.3">
      <c r="A576" s="3" t="s">
        <v>54</v>
      </c>
      <c r="B576" s="3" t="s">
        <v>55</v>
      </c>
      <c r="C576" s="8">
        <v>2021</v>
      </c>
      <c r="D576" s="8">
        <v>11</v>
      </c>
      <c r="E576" s="3" t="str">
        <f t="shared" si="16"/>
        <v>November</v>
      </c>
      <c r="F576" s="3" t="s">
        <v>13</v>
      </c>
      <c r="G576" s="8">
        <v>108393.92359999999</v>
      </c>
      <c r="H576" s="8">
        <v>119930</v>
      </c>
      <c r="I576" s="8">
        <v>11076.409750000001</v>
      </c>
      <c r="J576" s="8">
        <v>639625.36510000005</v>
      </c>
      <c r="K576" s="8">
        <v>627255.37139999995</v>
      </c>
      <c r="L576" s="8">
        <v>651700.64009999996</v>
      </c>
      <c r="M576" s="9" t="str">
        <f>IF(A576="",M577,A576)</f>
        <v>Brazil</v>
      </c>
      <c r="N576" s="3" t="str">
        <f t="shared" si="17"/>
        <v>Nov-2021</v>
      </c>
    </row>
    <row r="577" spans="1:14" x14ac:dyDescent="0.3">
      <c r="A577" s="3" t="s">
        <v>54</v>
      </c>
      <c r="B577" s="3" t="s">
        <v>55</v>
      </c>
      <c r="C577" s="8">
        <v>2021</v>
      </c>
      <c r="D577" s="8">
        <v>12</v>
      </c>
      <c r="E577" s="3" t="str">
        <f t="shared" si="16"/>
        <v>December</v>
      </c>
      <c r="F577" s="3" t="s">
        <v>13</v>
      </c>
      <c r="G577" s="8">
        <v>114175.7981</v>
      </c>
      <c r="H577" s="8">
        <v>132436</v>
      </c>
      <c r="I577" s="8">
        <v>17800.535199999998</v>
      </c>
      <c r="J577" s="8">
        <v>657425.90029999998</v>
      </c>
      <c r="K577" s="8">
        <v>644406.59600000002</v>
      </c>
      <c r="L577" s="8">
        <v>669746.61219999997</v>
      </c>
      <c r="M577" s="9" t="str">
        <f>IF(A577="",M578,A577)</f>
        <v>Brazil</v>
      </c>
      <c r="N577" s="3" t="str">
        <f t="shared" si="17"/>
        <v>Dec-2021</v>
      </c>
    </row>
    <row r="578" spans="1:14" x14ac:dyDescent="0.3">
      <c r="A578" s="3" t="s">
        <v>56</v>
      </c>
      <c r="B578" s="3" t="s">
        <v>57</v>
      </c>
      <c r="C578" s="8">
        <v>2020</v>
      </c>
      <c r="D578" s="8">
        <v>1</v>
      </c>
      <c r="E578" s="3" t="str">
        <f t="shared" ref="E578:E641" si="18">TEXT(DATE(C578,D578,1),"MMMM")</f>
        <v>January</v>
      </c>
      <c r="F578" s="3" t="s">
        <v>13</v>
      </c>
      <c r="G578" s="8">
        <v>233.25901150000001</v>
      </c>
      <c r="H578" s="8">
        <v>255</v>
      </c>
      <c r="I578" s="8">
        <v>21.574321869999999</v>
      </c>
      <c r="J578" s="8">
        <v>21.574321869999999</v>
      </c>
      <c r="K578" s="8">
        <v>2.6505014619999998</v>
      </c>
      <c r="L578" s="8">
        <v>40.514595839999998</v>
      </c>
      <c r="M578" s="9" t="str">
        <f>IF(A578="",M579,A578)</f>
        <v>Barbados</v>
      </c>
      <c r="N578" s="3" t="str">
        <f t="shared" ref="N578:N641" si="19">TEXT(DATE(C578,D578,1),"MMM-YYYY")</f>
        <v>Jan-2020</v>
      </c>
    </row>
    <row r="579" spans="1:14" x14ac:dyDescent="0.3">
      <c r="A579" s="3" t="s">
        <v>56</v>
      </c>
      <c r="B579" s="3" t="s">
        <v>57</v>
      </c>
      <c r="C579" s="8">
        <v>2020</v>
      </c>
      <c r="D579" s="8">
        <v>2</v>
      </c>
      <c r="E579" s="3" t="str">
        <f t="shared" si="18"/>
        <v>February</v>
      </c>
      <c r="F579" s="3" t="s">
        <v>13</v>
      </c>
      <c r="G579" s="8">
        <v>232.4796307</v>
      </c>
      <c r="H579" s="8">
        <v>224</v>
      </c>
      <c r="I579" s="8">
        <v>-8.6462973240000007</v>
      </c>
      <c r="J579" s="8">
        <v>12.928024539999999</v>
      </c>
      <c r="K579" s="8">
        <v>-15.070280500000001</v>
      </c>
      <c r="L579" s="8">
        <v>39.601386740000002</v>
      </c>
      <c r="M579" s="9" t="str">
        <f>IF(A579="",M580,A579)</f>
        <v>Barbados</v>
      </c>
      <c r="N579" s="3" t="str">
        <f t="shared" si="19"/>
        <v>Feb-2020</v>
      </c>
    </row>
    <row r="580" spans="1:14" x14ac:dyDescent="0.3">
      <c r="A580" s="3" t="s">
        <v>56</v>
      </c>
      <c r="B580" s="3" t="s">
        <v>57</v>
      </c>
      <c r="C580" s="8">
        <v>2020</v>
      </c>
      <c r="D580" s="8">
        <v>3</v>
      </c>
      <c r="E580" s="3" t="str">
        <f t="shared" si="18"/>
        <v>March</v>
      </c>
      <c r="F580" s="3" t="s">
        <v>13</v>
      </c>
      <c r="G580" s="8">
        <v>231.16954010000001</v>
      </c>
      <c r="H580" s="8">
        <v>244</v>
      </c>
      <c r="I580" s="8">
        <v>12.663793249999999</v>
      </c>
      <c r="J580" s="8">
        <v>25.59181779</v>
      </c>
      <c r="K580" s="8">
        <v>-9.5038285949999999</v>
      </c>
      <c r="L580" s="8">
        <v>57.516449209999998</v>
      </c>
      <c r="M580" s="9" t="str">
        <f>IF(A580="",M581,A580)</f>
        <v>Barbados</v>
      </c>
      <c r="N580" s="3" t="str">
        <f t="shared" si="19"/>
        <v>Mar-2020</v>
      </c>
    </row>
    <row r="581" spans="1:14" x14ac:dyDescent="0.3">
      <c r="A581" s="3" t="s">
        <v>56</v>
      </c>
      <c r="B581" s="3" t="s">
        <v>57</v>
      </c>
      <c r="C581" s="8">
        <v>2020</v>
      </c>
      <c r="D581" s="8">
        <v>4</v>
      </c>
      <c r="E581" s="3" t="str">
        <f t="shared" si="18"/>
        <v>April</v>
      </c>
      <c r="F581" s="3" t="s">
        <v>13</v>
      </c>
      <c r="G581" s="8">
        <v>230.53607439999999</v>
      </c>
      <c r="H581" s="8">
        <v>183</v>
      </c>
      <c r="I581" s="8">
        <v>-47.702741060000001</v>
      </c>
      <c r="J581" s="8">
        <v>-22.110923270000001</v>
      </c>
      <c r="K581" s="8">
        <v>-64.024097170000005</v>
      </c>
      <c r="L581" s="8">
        <v>16.30925221</v>
      </c>
      <c r="M581" s="9" t="str">
        <f>IF(A581="",M582,A581)</f>
        <v>Barbados</v>
      </c>
      <c r="N581" s="3" t="str">
        <f t="shared" si="19"/>
        <v>Apr-2020</v>
      </c>
    </row>
    <row r="582" spans="1:14" x14ac:dyDescent="0.3">
      <c r="A582" s="3" t="s">
        <v>56</v>
      </c>
      <c r="B582" s="3" t="s">
        <v>57</v>
      </c>
      <c r="C582" s="8">
        <v>2020</v>
      </c>
      <c r="D582" s="8">
        <v>5</v>
      </c>
      <c r="E582" s="3" t="str">
        <f t="shared" si="18"/>
        <v>May</v>
      </c>
      <c r="F582" s="3" t="s">
        <v>13</v>
      </c>
      <c r="G582" s="8">
        <v>229.8870972</v>
      </c>
      <c r="H582" s="8">
        <v>245</v>
      </c>
      <c r="I582" s="8">
        <v>14.946236170000001</v>
      </c>
      <c r="J582" s="8">
        <v>-7.1646870979999999</v>
      </c>
      <c r="K582" s="8">
        <v>-52.01281401</v>
      </c>
      <c r="L582" s="8">
        <v>35.180259120000002</v>
      </c>
      <c r="M582" s="9" t="str">
        <f>IF(A582="",M583,A582)</f>
        <v>Barbados</v>
      </c>
      <c r="N582" s="3" t="str">
        <f t="shared" si="19"/>
        <v>May-2020</v>
      </c>
    </row>
    <row r="583" spans="1:14" x14ac:dyDescent="0.3">
      <c r="A583" s="3" t="s">
        <v>56</v>
      </c>
      <c r="B583" s="3" t="s">
        <v>57</v>
      </c>
      <c r="C583" s="8">
        <v>2020</v>
      </c>
      <c r="D583" s="8">
        <v>6</v>
      </c>
      <c r="E583" s="3" t="str">
        <f t="shared" si="18"/>
        <v>June</v>
      </c>
      <c r="F583" s="3" t="s">
        <v>13</v>
      </c>
      <c r="G583" s="8">
        <v>228.96708860000001</v>
      </c>
      <c r="H583" s="8">
        <v>238</v>
      </c>
      <c r="I583" s="8">
        <v>8.8662447199999992</v>
      </c>
      <c r="J583" s="8">
        <v>1.7015576219999999</v>
      </c>
      <c r="K583" s="8">
        <v>-47.798684039999998</v>
      </c>
      <c r="L583" s="8">
        <v>47.506202930000001</v>
      </c>
      <c r="M583" s="9" t="str">
        <f>IF(A583="",M584,A583)</f>
        <v>Barbados</v>
      </c>
      <c r="N583" s="3" t="str">
        <f t="shared" si="19"/>
        <v>Jun-2020</v>
      </c>
    </row>
    <row r="584" spans="1:14" x14ac:dyDescent="0.3">
      <c r="A584" s="3" t="s">
        <v>56</v>
      </c>
      <c r="B584" s="3" t="s">
        <v>57</v>
      </c>
      <c r="C584" s="8">
        <v>2020</v>
      </c>
      <c r="D584" s="8">
        <v>7</v>
      </c>
      <c r="E584" s="3" t="str">
        <f t="shared" si="18"/>
        <v>July</v>
      </c>
      <c r="F584" s="3" t="s">
        <v>13</v>
      </c>
      <c r="G584" s="8">
        <v>230.1906716</v>
      </c>
      <c r="H584" s="8">
        <v>229</v>
      </c>
      <c r="I584" s="8">
        <v>-1.3573382979999999</v>
      </c>
      <c r="J584" s="8">
        <v>0.34421932399999999</v>
      </c>
      <c r="K584" s="8">
        <v>-53.481851450000001</v>
      </c>
      <c r="L584" s="8">
        <v>54.267423919999999</v>
      </c>
      <c r="M584" s="9" t="str">
        <f>IF(A584="",M585,A584)</f>
        <v>Barbados</v>
      </c>
      <c r="N584" s="3" t="str">
        <f t="shared" si="19"/>
        <v>Jul-2020</v>
      </c>
    </row>
    <row r="585" spans="1:14" x14ac:dyDescent="0.3">
      <c r="A585" s="3" t="s">
        <v>56</v>
      </c>
      <c r="B585" s="3" t="s">
        <v>57</v>
      </c>
      <c r="C585" s="8">
        <v>2020</v>
      </c>
      <c r="D585" s="8">
        <v>8</v>
      </c>
      <c r="E585" s="3" t="str">
        <f t="shared" si="18"/>
        <v>August</v>
      </c>
      <c r="F585" s="3" t="s">
        <v>13</v>
      </c>
      <c r="G585" s="8">
        <v>231.09091549999999</v>
      </c>
      <c r="H585" s="8">
        <v>233</v>
      </c>
      <c r="I585" s="8">
        <v>1.742417815</v>
      </c>
      <c r="J585" s="8">
        <v>2.086637139</v>
      </c>
      <c r="K585" s="8">
        <v>-57.84053317</v>
      </c>
      <c r="L585" s="8">
        <v>58.163647810000001</v>
      </c>
      <c r="M585" s="9" t="str">
        <f>IF(A585="",M586,A585)</f>
        <v>Barbados</v>
      </c>
      <c r="N585" s="3" t="str">
        <f t="shared" si="19"/>
        <v>Aug-2020</v>
      </c>
    </row>
    <row r="586" spans="1:14" x14ac:dyDescent="0.3">
      <c r="A586" s="3" t="s">
        <v>56</v>
      </c>
      <c r="B586" s="3" t="s">
        <v>57</v>
      </c>
      <c r="C586" s="8">
        <v>2020</v>
      </c>
      <c r="D586" s="8">
        <v>9</v>
      </c>
      <c r="E586" s="3" t="str">
        <f t="shared" si="18"/>
        <v>September</v>
      </c>
      <c r="F586" s="3" t="s">
        <v>13</v>
      </c>
      <c r="G586" s="8">
        <v>232.2379851</v>
      </c>
      <c r="H586" s="8">
        <v>187</v>
      </c>
      <c r="I586" s="8">
        <v>-45.404651790000003</v>
      </c>
      <c r="J586" s="8">
        <v>-43.318014650000002</v>
      </c>
      <c r="K586" s="8">
        <v>-106.3445894</v>
      </c>
      <c r="L586" s="8">
        <v>19.874970699999999</v>
      </c>
      <c r="M586" s="9" t="str">
        <f>IF(A586="",M587,A586)</f>
        <v>Barbados</v>
      </c>
      <c r="N586" s="3" t="str">
        <f t="shared" si="19"/>
        <v>Sep-2020</v>
      </c>
    </row>
    <row r="587" spans="1:14" x14ac:dyDescent="0.3">
      <c r="A587" s="3" t="s">
        <v>56</v>
      </c>
      <c r="B587" s="3" t="s">
        <v>57</v>
      </c>
      <c r="C587" s="8">
        <v>2020</v>
      </c>
      <c r="D587" s="8">
        <v>10</v>
      </c>
      <c r="E587" s="3" t="str">
        <f t="shared" si="18"/>
        <v>October</v>
      </c>
      <c r="F587" s="3" t="s">
        <v>13</v>
      </c>
      <c r="G587" s="8">
        <v>235.12674430000001</v>
      </c>
      <c r="H587" s="8">
        <v>225</v>
      </c>
      <c r="I587" s="8">
        <v>-10.29341097</v>
      </c>
      <c r="J587" s="8">
        <v>-53.611425629999999</v>
      </c>
      <c r="K587" s="8">
        <v>-118.8788327</v>
      </c>
      <c r="L587" s="8">
        <v>12.2435507</v>
      </c>
      <c r="M587" s="9" t="str">
        <f>IF(A587="",M588,A587)</f>
        <v>Barbados</v>
      </c>
      <c r="N587" s="3" t="str">
        <f t="shared" si="19"/>
        <v>Oct-2020</v>
      </c>
    </row>
    <row r="588" spans="1:14" x14ac:dyDescent="0.3">
      <c r="A588" s="3" t="s">
        <v>56</v>
      </c>
      <c r="B588" s="3" t="s">
        <v>57</v>
      </c>
      <c r="C588" s="8">
        <v>2020</v>
      </c>
      <c r="D588" s="8">
        <v>11</v>
      </c>
      <c r="E588" s="3" t="str">
        <f t="shared" si="18"/>
        <v>November</v>
      </c>
      <c r="F588" s="3" t="s">
        <v>13</v>
      </c>
      <c r="G588" s="8">
        <v>237.19444440000001</v>
      </c>
      <c r="H588" s="8">
        <v>209</v>
      </c>
      <c r="I588" s="8">
        <v>-28.361111090000001</v>
      </c>
      <c r="J588" s="8">
        <v>-81.97253671</v>
      </c>
      <c r="K588" s="8">
        <v>-152.8917433</v>
      </c>
      <c r="L588" s="8">
        <v>-8.7798185269999998</v>
      </c>
      <c r="M588" s="9" t="str">
        <f>IF(A588="",M589,A588)</f>
        <v>Barbados</v>
      </c>
      <c r="N588" s="3" t="str">
        <f t="shared" si="19"/>
        <v>Nov-2020</v>
      </c>
    </row>
    <row r="589" spans="1:14" x14ac:dyDescent="0.3">
      <c r="A589" s="3" t="s">
        <v>56</v>
      </c>
      <c r="B589" s="3" t="s">
        <v>57</v>
      </c>
      <c r="C589" s="8">
        <v>2020</v>
      </c>
      <c r="D589" s="8">
        <v>12</v>
      </c>
      <c r="E589" s="3" t="str">
        <f t="shared" si="18"/>
        <v>December</v>
      </c>
      <c r="F589" s="3" t="s">
        <v>13</v>
      </c>
      <c r="G589" s="8">
        <v>237.2352348</v>
      </c>
      <c r="H589" s="8">
        <v>241</v>
      </c>
      <c r="I589" s="8">
        <v>3.5980985140000001</v>
      </c>
      <c r="J589" s="8">
        <v>-78.3744382</v>
      </c>
      <c r="K589" s="8">
        <v>-155.20554329999999</v>
      </c>
      <c r="L589" s="8">
        <v>-2.3586793429999999</v>
      </c>
      <c r="M589" s="9" t="str">
        <f>IF(A589="",M590,A589)</f>
        <v>Barbados</v>
      </c>
      <c r="N589" s="3" t="str">
        <f t="shared" si="19"/>
        <v>Dec-2020</v>
      </c>
    </row>
    <row r="590" spans="1:14" x14ac:dyDescent="0.3">
      <c r="A590" s="3" t="s">
        <v>56</v>
      </c>
      <c r="B590" s="3" t="s">
        <v>57</v>
      </c>
      <c r="C590" s="8">
        <v>2021</v>
      </c>
      <c r="D590" s="8">
        <v>1</v>
      </c>
      <c r="E590" s="3" t="str">
        <f t="shared" si="18"/>
        <v>January</v>
      </c>
      <c r="F590" s="3" t="s">
        <v>13</v>
      </c>
      <c r="G590" s="8">
        <v>237.8239092</v>
      </c>
      <c r="H590" s="8">
        <v>173</v>
      </c>
      <c r="I590" s="8">
        <v>-64.823909240000006</v>
      </c>
      <c r="J590" s="8">
        <v>-143.19834739999999</v>
      </c>
      <c r="K590" s="8">
        <v>-224.739283</v>
      </c>
      <c r="L590" s="8">
        <v>-64.490880649999994</v>
      </c>
      <c r="M590" s="9" t="str">
        <f>IF(A590="",M591,A590)</f>
        <v>Barbados</v>
      </c>
      <c r="N590" s="3" t="str">
        <f t="shared" si="19"/>
        <v>Jan-2021</v>
      </c>
    </row>
    <row r="591" spans="1:14" x14ac:dyDescent="0.3">
      <c r="A591" s="3" t="s">
        <v>56</v>
      </c>
      <c r="B591" s="3" t="s">
        <v>57</v>
      </c>
      <c r="C591" s="8">
        <v>2021</v>
      </c>
      <c r="D591" s="8">
        <v>2</v>
      </c>
      <c r="E591" s="3" t="str">
        <f t="shared" si="18"/>
        <v>February</v>
      </c>
      <c r="F591" s="3" t="s">
        <v>13</v>
      </c>
      <c r="G591" s="8">
        <v>236.40725990000001</v>
      </c>
      <c r="H591" s="8">
        <v>220</v>
      </c>
      <c r="I591" s="8">
        <v>-16.407259880000002</v>
      </c>
      <c r="J591" s="8">
        <v>-159.6056073</v>
      </c>
      <c r="K591" s="8">
        <v>-245.70535129999999</v>
      </c>
      <c r="L591" s="8">
        <v>-76.537878800000001</v>
      </c>
      <c r="M591" s="9" t="str">
        <f>IF(A591="",M592,A591)</f>
        <v>Barbados</v>
      </c>
      <c r="N591" s="3" t="str">
        <f t="shared" si="19"/>
        <v>Feb-2021</v>
      </c>
    </row>
    <row r="592" spans="1:14" x14ac:dyDescent="0.3">
      <c r="A592" s="3" t="s">
        <v>56</v>
      </c>
      <c r="B592" s="3" t="s">
        <v>57</v>
      </c>
      <c r="C592" s="8">
        <v>2021</v>
      </c>
      <c r="D592" s="8">
        <v>3</v>
      </c>
      <c r="E592" s="3" t="str">
        <f t="shared" si="18"/>
        <v>March</v>
      </c>
      <c r="F592" s="3" t="s">
        <v>13</v>
      </c>
      <c r="G592" s="8">
        <v>236.8325495</v>
      </c>
      <c r="H592" s="8">
        <v>322</v>
      </c>
      <c r="I592" s="8">
        <v>85.167450500000001</v>
      </c>
      <c r="J592" s="8">
        <v>-74.438156820000003</v>
      </c>
      <c r="K592" s="8">
        <v>-164.0393105</v>
      </c>
      <c r="L592" s="8">
        <v>9.4125053110000003</v>
      </c>
      <c r="M592" s="9" t="str">
        <f>IF(A592="",M593,A592)</f>
        <v>Barbados</v>
      </c>
      <c r="N592" s="3" t="str">
        <f t="shared" si="19"/>
        <v>Mar-2021</v>
      </c>
    </row>
    <row r="593" spans="1:14" x14ac:dyDescent="0.3">
      <c r="A593" s="3" t="s">
        <v>56</v>
      </c>
      <c r="B593" s="3" t="s">
        <v>57</v>
      </c>
      <c r="C593" s="8">
        <v>2021</v>
      </c>
      <c r="D593" s="8">
        <v>4</v>
      </c>
      <c r="E593" s="3" t="str">
        <f t="shared" si="18"/>
        <v>April</v>
      </c>
      <c r="F593" s="3" t="s">
        <v>13</v>
      </c>
      <c r="G593" s="8">
        <v>235.6089796</v>
      </c>
      <c r="H593" s="8">
        <v>189</v>
      </c>
      <c r="I593" s="8">
        <v>-46.608979619999999</v>
      </c>
      <c r="J593" s="8">
        <v>-121.0471364</v>
      </c>
      <c r="K593" s="8">
        <v>-216.40665910000001</v>
      </c>
      <c r="L593" s="8">
        <v>-30.073088129999999</v>
      </c>
      <c r="M593" s="9" t="str">
        <f>IF(A593="",M594,A593)</f>
        <v>Barbados</v>
      </c>
      <c r="N593" s="3" t="str">
        <f t="shared" si="19"/>
        <v>Apr-2021</v>
      </c>
    </row>
    <row r="594" spans="1:14" x14ac:dyDescent="0.3">
      <c r="A594" s="3" t="s">
        <v>56</v>
      </c>
      <c r="B594" s="3" t="s">
        <v>57</v>
      </c>
      <c r="C594" s="8">
        <v>2021</v>
      </c>
      <c r="D594" s="8">
        <v>5</v>
      </c>
      <c r="E594" s="3" t="str">
        <f t="shared" si="18"/>
        <v>May</v>
      </c>
      <c r="F594" s="3" t="s">
        <v>13</v>
      </c>
      <c r="G594" s="8">
        <v>233.0561903</v>
      </c>
      <c r="H594" s="8">
        <v>221</v>
      </c>
      <c r="I594" s="8">
        <v>-12.056190259999999</v>
      </c>
      <c r="J594" s="8">
        <v>-133.1033267</v>
      </c>
      <c r="K594" s="8">
        <v>-233.0531445</v>
      </c>
      <c r="L594" s="8">
        <v>-40.779660049999997</v>
      </c>
      <c r="M594" s="9" t="str">
        <f>IF(A594="",M595,A594)</f>
        <v>Barbados</v>
      </c>
      <c r="N594" s="3" t="str">
        <f t="shared" si="19"/>
        <v>May-2021</v>
      </c>
    </row>
    <row r="595" spans="1:14" x14ac:dyDescent="0.3">
      <c r="A595" s="3" t="s">
        <v>56</v>
      </c>
      <c r="B595" s="3" t="s">
        <v>57</v>
      </c>
      <c r="C595" s="8">
        <v>2021</v>
      </c>
      <c r="D595" s="8">
        <v>6</v>
      </c>
      <c r="E595" s="3" t="str">
        <f t="shared" si="18"/>
        <v>June</v>
      </c>
      <c r="F595" s="3" t="s">
        <v>13</v>
      </c>
      <c r="G595" s="8">
        <v>233.92968629999999</v>
      </c>
      <c r="H595" s="8">
        <v>246</v>
      </c>
      <c r="I595" s="8">
        <v>12.070313670000001</v>
      </c>
      <c r="J595" s="8">
        <v>-121.033013</v>
      </c>
      <c r="K595" s="8">
        <v>-221.5820737</v>
      </c>
      <c r="L595" s="8">
        <v>-22.641898520000002</v>
      </c>
      <c r="M595" s="9" t="str">
        <f>IF(A595="",M596,A595)</f>
        <v>Barbados</v>
      </c>
      <c r="N595" s="3" t="str">
        <f t="shared" si="19"/>
        <v>Jun-2021</v>
      </c>
    </row>
    <row r="596" spans="1:14" x14ac:dyDescent="0.3">
      <c r="A596" s="3" t="s">
        <v>56</v>
      </c>
      <c r="B596" s="3" t="s">
        <v>57</v>
      </c>
      <c r="C596" s="8">
        <v>2021</v>
      </c>
      <c r="D596" s="8">
        <v>7</v>
      </c>
      <c r="E596" s="3" t="str">
        <f t="shared" si="18"/>
        <v>July</v>
      </c>
      <c r="F596" s="3" t="s">
        <v>13</v>
      </c>
      <c r="G596" s="8">
        <v>233.15973489999999</v>
      </c>
      <c r="H596" s="8">
        <v>143</v>
      </c>
      <c r="I596" s="8">
        <v>-90.159734880000002</v>
      </c>
      <c r="J596" s="8">
        <v>-211.1927479</v>
      </c>
      <c r="K596" s="8">
        <v>-312.66448450000001</v>
      </c>
      <c r="L596" s="8">
        <v>-105.8280827</v>
      </c>
      <c r="M596" s="9" t="str">
        <f>IF(A596="",M597,A596)</f>
        <v>Barbados</v>
      </c>
      <c r="N596" s="3" t="str">
        <f t="shared" si="19"/>
        <v>Jul-2021</v>
      </c>
    </row>
    <row r="597" spans="1:14" x14ac:dyDescent="0.3">
      <c r="A597" s="3" t="s">
        <v>56</v>
      </c>
      <c r="B597" s="3" t="s">
        <v>57</v>
      </c>
      <c r="C597" s="8">
        <v>2021</v>
      </c>
      <c r="D597" s="8">
        <v>8</v>
      </c>
      <c r="E597" s="3" t="str">
        <f t="shared" si="18"/>
        <v>August</v>
      </c>
      <c r="F597" s="3" t="s">
        <v>13</v>
      </c>
      <c r="G597" s="8">
        <v>234.68690290000001</v>
      </c>
      <c r="H597" s="8">
        <v>248</v>
      </c>
      <c r="I597" s="8">
        <v>13.313097150000001</v>
      </c>
      <c r="J597" s="8">
        <v>-197.87965080000001</v>
      </c>
      <c r="K597" s="8">
        <v>-302.52967910000001</v>
      </c>
      <c r="L597" s="8">
        <v>-90.078936479999996</v>
      </c>
      <c r="M597" s="9" t="str">
        <f>IF(A597="",M598,A597)</f>
        <v>Barbados</v>
      </c>
      <c r="N597" s="3" t="str">
        <f t="shared" si="19"/>
        <v>Aug-2021</v>
      </c>
    </row>
    <row r="598" spans="1:14" x14ac:dyDescent="0.3">
      <c r="A598" s="3" t="s">
        <v>56</v>
      </c>
      <c r="B598" s="3" t="s">
        <v>57</v>
      </c>
      <c r="C598" s="8">
        <v>2021</v>
      </c>
      <c r="D598" s="8">
        <v>9</v>
      </c>
      <c r="E598" s="3" t="str">
        <f t="shared" si="18"/>
        <v>September</v>
      </c>
      <c r="F598" s="3" t="s">
        <v>13</v>
      </c>
      <c r="G598" s="8">
        <v>237.60402450000001</v>
      </c>
      <c r="H598" s="8">
        <v>236</v>
      </c>
      <c r="I598" s="8">
        <v>-1.6040245070000001</v>
      </c>
      <c r="J598" s="8">
        <v>-199.48367529999999</v>
      </c>
      <c r="K598" s="8">
        <v>-310.20524369999998</v>
      </c>
      <c r="L598" s="8">
        <v>-85.10208815</v>
      </c>
      <c r="M598" s="9" t="str">
        <f>IF(A598="",M599,A598)</f>
        <v>Barbados</v>
      </c>
      <c r="N598" s="3" t="str">
        <f t="shared" si="19"/>
        <v>Sep-2021</v>
      </c>
    </row>
    <row r="599" spans="1:14" x14ac:dyDescent="0.3">
      <c r="A599" s="3" t="s">
        <v>56</v>
      </c>
      <c r="B599" s="3" t="s">
        <v>57</v>
      </c>
      <c r="C599" s="8">
        <v>2021</v>
      </c>
      <c r="D599" s="8">
        <v>10</v>
      </c>
      <c r="E599" s="3" t="str">
        <f t="shared" si="18"/>
        <v>October</v>
      </c>
      <c r="F599" s="3" t="s">
        <v>13</v>
      </c>
      <c r="G599" s="8">
        <v>240.05097910000001</v>
      </c>
      <c r="H599" s="8">
        <v>279</v>
      </c>
      <c r="I599" s="8">
        <v>38.949020869999998</v>
      </c>
      <c r="J599" s="8">
        <v>-160.53465439999999</v>
      </c>
      <c r="K599" s="8">
        <v>-271.90755300000001</v>
      </c>
      <c r="L599" s="8">
        <v>-43.121156820000003</v>
      </c>
      <c r="M599" s="9" t="str">
        <f>IF(A599="",M600,A599)</f>
        <v>Barbados</v>
      </c>
      <c r="N599" s="3" t="str">
        <f t="shared" si="19"/>
        <v>Oct-2021</v>
      </c>
    </row>
    <row r="600" spans="1:14" x14ac:dyDescent="0.3">
      <c r="A600" s="3" t="s">
        <v>56</v>
      </c>
      <c r="B600" s="3" t="s">
        <v>57</v>
      </c>
      <c r="C600" s="8">
        <v>2021</v>
      </c>
      <c r="D600" s="8">
        <v>11</v>
      </c>
      <c r="E600" s="3" t="str">
        <f t="shared" si="18"/>
        <v>November</v>
      </c>
      <c r="F600" s="3" t="s">
        <v>13</v>
      </c>
      <c r="G600" s="8">
        <v>241.24515919999999</v>
      </c>
      <c r="H600" s="8">
        <v>298</v>
      </c>
      <c r="I600" s="8">
        <v>56.754840799999997</v>
      </c>
      <c r="J600" s="8">
        <v>-103.7798136</v>
      </c>
      <c r="K600" s="8">
        <v>-215.974481</v>
      </c>
      <c r="L600" s="8">
        <v>9.9926291230000004</v>
      </c>
      <c r="M600" s="9" t="str">
        <f>IF(A600="",M601,A600)</f>
        <v>Barbados</v>
      </c>
      <c r="N600" s="3" t="str">
        <f t="shared" si="19"/>
        <v>Nov-2021</v>
      </c>
    </row>
    <row r="601" spans="1:14" x14ac:dyDescent="0.3">
      <c r="A601" s="3" t="s">
        <v>56</v>
      </c>
      <c r="B601" s="3" t="s">
        <v>57</v>
      </c>
      <c r="C601" s="8">
        <v>2021</v>
      </c>
      <c r="D601" s="8">
        <v>12</v>
      </c>
      <c r="E601" s="3" t="str">
        <f t="shared" si="18"/>
        <v>December</v>
      </c>
      <c r="F601" s="3" t="s">
        <v>13</v>
      </c>
      <c r="G601" s="8">
        <v>241.49356789999999</v>
      </c>
      <c r="H601" s="8">
        <v>320</v>
      </c>
      <c r="I601" s="8">
        <v>78.506432149999995</v>
      </c>
      <c r="J601" s="8">
        <v>-25.27338147</v>
      </c>
      <c r="K601" s="8">
        <v>-142.51277999999999</v>
      </c>
      <c r="L601" s="8">
        <v>96.806631640000006</v>
      </c>
      <c r="M601" s="9" t="str">
        <f>IF(A601="",M602,A601)</f>
        <v>Barbados</v>
      </c>
      <c r="N601" s="3" t="str">
        <f t="shared" si="19"/>
        <v>Dec-2021</v>
      </c>
    </row>
    <row r="602" spans="1:14" x14ac:dyDescent="0.3">
      <c r="A602" s="3" t="s">
        <v>58</v>
      </c>
      <c r="B602" s="3" t="s">
        <v>59</v>
      </c>
      <c r="C602" s="8">
        <v>2020</v>
      </c>
      <c r="D602" s="8">
        <v>1</v>
      </c>
      <c r="E602" s="3" t="str">
        <f t="shared" si="18"/>
        <v>January</v>
      </c>
      <c r="F602" s="3" t="s">
        <v>13</v>
      </c>
      <c r="G602" s="8">
        <v>177.88454830000001</v>
      </c>
      <c r="H602" s="8">
        <v>223</v>
      </c>
      <c r="I602" s="8">
        <v>45.11545169</v>
      </c>
      <c r="J602" s="8">
        <v>45.11545169</v>
      </c>
      <c r="K602" s="8">
        <v>33.201299720000002</v>
      </c>
      <c r="L602" s="8">
        <v>56.780715280000003</v>
      </c>
      <c r="M602" s="9" t="str">
        <f>IF(A602="",M603,A602)</f>
        <v>Brunei Darussalam</v>
      </c>
      <c r="N602" s="3" t="str">
        <f t="shared" si="19"/>
        <v>Jan-2020</v>
      </c>
    </row>
    <row r="603" spans="1:14" x14ac:dyDescent="0.3">
      <c r="A603" s="3" t="s">
        <v>58</v>
      </c>
      <c r="B603" s="3" t="s">
        <v>59</v>
      </c>
      <c r="C603" s="8">
        <v>2020</v>
      </c>
      <c r="D603" s="8">
        <v>2</v>
      </c>
      <c r="E603" s="3" t="str">
        <f t="shared" si="18"/>
        <v>February</v>
      </c>
      <c r="F603" s="3" t="s">
        <v>13</v>
      </c>
      <c r="G603" s="8">
        <v>178.1560479</v>
      </c>
      <c r="H603" s="8">
        <v>184</v>
      </c>
      <c r="I603" s="8">
        <v>5.8439520639999998</v>
      </c>
      <c r="J603" s="8">
        <v>50.95940375</v>
      </c>
      <c r="K603" s="8">
        <v>34.833184439999997</v>
      </c>
      <c r="L603" s="8">
        <v>67.609584999999996</v>
      </c>
      <c r="M603" s="9" t="str">
        <f>IF(A603="",M604,A603)</f>
        <v>Brunei Darussalam</v>
      </c>
      <c r="N603" s="3" t="str">
        <f t="shared" si="19"/>
        <v>Feb-2020</v>
      </c>
    </row>
    <row r="604" spans="1:14" x14ac:dyDescent="0.3">
      <c r="A604" s="3" t="s">
        <v>58</v>
      </c>
      <c r="B604" s="3" t="s">
        <v>59</v>
      </c>
      <c r="C604" s="8">
        <v>2020</v>
      </c>
      <c r="D604" s="8">
        <v>3</v>
      </c>
      <c r="E604" s="3" t="str">
        <f t="shared" si="18"/>
        <v>March</v>
      </c>
      <c r="F604" s="3" t="s">
        <v>13</v>
      </c>
      <c r="G604" s="8">
        <v>178.4434675</v>
      </c>
      <c r="H604" s="8">
        <v>184</v>
      </c>
      <c r="I604" s="8">
        <v>5.5565325349999997</v>
      </c>
      <c r="J604" s="8">
        <v>56.515936289999999</v>
      </c>
      <c r="K604" s="8">
        <v>37.057784130000002</v>
      </c>
      <c r="L604" s="8">
        <v>76.945660989999993</v>
      </c>
      <c r="M604" s="9" t="str">
        <f>IF(A604="",M605,A604)</f>
        <v>Brunei Darussalam</v>
      </c>
      <c r="N604" s="3" t="str">
        <f t="shared" si="19"/>
        <v>Mar-2020</v>
      </c>
    </row>
    <row r="605" spans="1:14" x14ac:dyDescent="0.3">
      <c r="A605" s="3" t="s">
        <v>58</v>
      </c>
      <c r="B605" s="3" t="s">
        <v>59</v>
      </c>
      <c r="C605" s="8">
        <v>2020</v>
      </c>
      <c r="D605" s="8">
        <v>4</v>
      </c>
      <c r="E605" s="3" t="str">
        <f t="shared" si="18"/>
        <v>April</v>
      </c>
      <c r="F605" s="3" t="s">
        <v>13</v>
      </c>
      <c r="G605" s="8">
        <v>179.21773089999999</v>
      </c>
      <c r="H605" s="8">
        <v>168</v>
      </c>
      <c r="I605" s="8">
        <v>-11.21773089</v>
      </c>
      <c r="J605" s="8">
        <v>45.29820539</v>
      </c>
      <c r="K605" s="8">
        <v>22.257919099999999</v>
      </c>
      <c r="L605" s="8">
        <v>70.397226470000007</v>
      </c>
      <c r="M605" s="9" t="str">
        <f>IF(A605="",M606,A605)</f>
        <v>Brunei Darussalam</v>
      </c>
      <c r="N605" s="3" t="str">
        <f t="shared" si="19"/>
        <v>Apr-2020</v>
      </c>
    </row>
    <row r="606" spans="1:14" x14ac:dyDescent="0.3">
      <c r="A606" s="3" t="s">
        <v>58</v>
      </c>
      <c r="B606" s="3" t="s">
        <v>59</v>
      </c>
      <c r="C606" s="8">
        <v>2020</v>
      </c>
      <c r="D606" s="8">
        <v>5</v>
      </c>
      <c r="E606" s="3" t="str">
        <f t="shared" si="18"/>
        <v>May</v>
      </c>
      <c r="F606" s="3" t="s">
        <v>13</v>
      </c>
      <c r="G606" s="8">
        <v>179.4099842</v>
      </c>
      <c r="H606" s="8">
        <v>165</v>
      </c>
      <c r="I606" s="8">
        <v>-14.409984189999999</v>
      </c>
      <c r="J606" s="8">
        <v>30.8882212</v>
      </c>
      <c r="K606" s="8">
        <v>2.60910324</v>
      </c>
      <c r="L606" s="8">
        <v>57.653228220000003</v>
      </c>
      <c r="M606" s="9" t="str">
        <f>IF(A606="",M607,A606)</f>
        <v>Brunei Darussalam</v>
      </c>
      <c r="N606" s="3" t="str">
        <f t="shared" si="19"/>
        <v>May-2020</v>
      </c>
    </row>
    <row r="607" spans="1:14" x14ac:dyDescent="0.3">
      <c r="A607" s="3" t="s">
        <v>58</v>
      </c>
      <c r="B607" s="3" t="s">
        <v>59</v>
      </c>
      <c r="C607" s="8">
        <v>2020</v>
      </c>
      <c r="D607" s="8">
        <v>6</v>
      </c>
      <c r="E607" s="3" t="str">
        <f t="shared" si="18"/>
        <v>June</v>
      </c>
      <c r="F607" s="3" t="s">
        <v>13</v>
      </c>
      <c r="G607" s="8">
        <v>179.31514229999999</v>
      </c>
      <c r="H607" s="8">
        <v>221</v>
      </c>
      <c r="I607" s="8">
        <v>41.684857659999999</v>
      </c>
      <c r="J607" s="8">
        <v>72.573078870000003</v>
      </c>
      <c r="K607" s="8">
        <v>41.833086829999999</v>
      </c>
      <c r="L607" s="8">
        <v>101.37367860000001</v>
      </c>
      <c r="M607" s="9" t="str">
        <f>IF(A607="",M608,A607)</f>
        <v>Brunei Darussalam</v>
      </c>
      <c r="N607" s="3" t="str">
        <f t="shared" si="19"/>
        <v>Jun-2020</v>
      </c>
    </row>
    <row r="608" spans="1:14" x14ac:dyDescent="0.3">
      <c r="A608" s="3" t="s">
        <v>58</v>
      </c>
      <c r="B608" s="3" t="s">
        <v>59</v>
      </c>
      <c r="C608" s="8">
        <v>2020</v>
      </c>
      <c r="D608" s="8">
        <v>7</v>
      </c>
      <c r="E608" s="3" t="str">
        <f t="shared" si="18"/>
        <v>July</v>
      </c>
      <c r="F608" s="3" t="s">
        <v>13</v>
      </c>
      <c r="G608" s="8">
        <v>180.12320930000001</v>
      </c>
      <c r="H608" s="8">
        <v>170</v>
      </c>
      <c r="I608" s="8">
        <v>-10.123209320000001</v>
      </c>
      <c r="J608" s="8">
        <v>62.449869550000003</v>
      </c>
      <c r="K608" s="8">
        <v>28.323154819999999</v>
      </c>
      <c r="L608" s="8">
        <v>94.394765910000004</v>
      </c>
      <c r="M608" s="9" t="str">
        <f>IF(A608="",M609,A608)</f>
        <v>Brunei Darussalam</v>
      </c>
      <c r="N608" s="3" t="str">
        <f t="shared" si="19"/>
        <v>Jul-2020</v>
      </c>
    </row>
    <row r="609" spans="1:14" x14ac:dyDescent="0.3">
      <c r="A609" s="3" t="s">
        <v>58</v>
      </c>
      <c r="B609" s="3" t="s">
        <v>59</v>
      </c>
      <c r="C609" s="8">
        <v>2020</v>
      </c>
      <c r="D609" s="8">
        <v>8</v>
      </c>
      <c r="E609" s="3" t="str">
        <f t="shared" si="18"/>
        <v>August</v>
      </c>
      <c r="F609" s="3" t="s">
        <v>13</v>
      </c>
      <c r="G609" s="8">
        <v>180.51926789999999</v>
      </c>
      <c r="H609" s="8">
        <v>180</v>
      </c>
      <c r="I609" s="8">
        <v>-0.51926787500000005</v>
      </c>
      <c r="J609" s="8">
        <v>61.930601670000001</v>
      </c>
      <c r="K609" s="8">
        <v>26.516401859999998</v>
      </c>
      <c r="L609" s="8">
        <v>98.495153290000005</v>
      </c>
      <c r="M609" s="9" t="str">
        <f>IF(A609="",M610,A609)</f>
        <v>Brunei Darussalam</v>
      </c>
      <c r="N609" s="3" t="str">
        <f t="shared" si="19"/>
        <v>Aug-2020</v>
      </c>
    </row>
    <row r="610" spans="1:14" x14ac:dyDescent="0.3">
      <c r="A610" s="3" t="s">
        <v>58</v>
      </c>
      <c r="B610" s="3" t="s">
        <v>59</v>
      </c>
      <c r="C610" s="8">
        <v>2020</v>
      </c>
      <c r="D610" s="8">
        <v>9</v>
      </c>
      <c r="E610" s="3" t="str">
        <f t="shared" si="18"/>
        <v>September</v>
      </c>
      <c r="F610" s="3" t="s">
        <v>13</v>
      </c>
      <c r="G610" s="8">
        <v>180.45158839999999</v>
      </c>
      <c r="H610" s="8">
        <v>148</v>
      </c>
      <c r="I610" s="8">
        <v>-32.451588370000003</v>
      </c>
      <c r="J610" s="8">
        <v>29.479013299999998</v>
      </c>
      <c r="K610" s="8">
        <v>-7.7407591829999998</v>
      </c>
      <c r="L610" s="8">
        <v>69.382966210000006</v>
      </c>
      <c r="M610" s="9" t="str">
        <f>IF(A610="",M611,A610)</f>
        <v>Brunei Darussalam</v>
      </c>
      <c r="N610" s="3" t="str">
        <f t="shared" si="19"/>
        <v>Sep-2020</v>
      </c>
    </row>
    <row r="611" spans="1:14" x14ac:dyDescent="0.3">
      <c r="A611" s="3" t="s">
        <v>58</v>
      </c>
      <c r="B611" s="3" t="s">
        <v>59</v>
      </c>
      <c r="C611" s="8">
        <v>2020</v>
      </c>
      <c r="D611" s="8">
        <v>10</v>
      </c>
      <c r="E611" s="3" t="str">
        <f t="shared" si="18"/>
        <v>October</v>
      </c>
      <c r="F611" s="3" t="s">
        <v>13</v>
      </c>
      <c r="G611" s="8">
        <v>181.0927781</v>
      </c>
      <c r="H611" s="8">
        <v>162</v>
      </c>
      <c r="I611" s="8">
        <v>-19.092778089999999</v>
      </c>
      <c r="J611" s="8">
        <v>10.386235210000001</v>
      </c>
      <c r="K611" s="8">
        <v>-31.572238219999999</v>
      </c>
      <c r="L611" s="8">
        <v>53.144883610000001</v>
      </c>
      <c r="M611" s="9" t="str">
        <f>IF(A611="",M612,A611)</f>
        <v>Brunei Darussalam</v>
      </c>
      <c r="N611" s="3" t="str">
        <f t="shared" si="19"/>
        <v>Oct-2020</v>
      </c>
    </row>
    <row r="612" spans="1:14" x14ac:dyDescent="0.3">
      <c r="A612" s="3" t="s">
        <v>58</v>
      </c>
      <c r="B612" s="3" t="s">
        <v>59</v>
      </c>
      <c r="C612" s="8">
        <v>2020</v>
      </c>
      <c r="D612" s="8">
        <v>11</v>
      </c>
      <c r="E612" s="3" t="str">
        <f t="shared" si="18"/>
        <v>November</v>
      </c>
      <c r="F612" s="3" t="s">
        <v>13</v>
      </c>
      <c r="G612" s="8">
        <v>181.43612999999999</v>
      </c>
      <c r="H612" s="8">
        <v>156</v>
      </c>
      <c r="I612" s="8">
        <v>-25.436129999999999</v>
      </c>
      <c r="J612" s="8">
        <v>-15.04989479</v>
      </c>
      <c r="K612" s="8">
        <v>-59.802277449999998</v>
      </c>
      <c r="L612" s="8">
        <v>29.900006019999999</v>
      </c>
      <c r="M612" s="9" t="str">
        <f>IF(A612="",M613,A612)</f>
        <v>Brunei Darussalam</v>
      </c>
      <c r="N612" s="3" t="str">
        <f t="shared" si="19"/>
        <v>Nov-2020</v>
      </c>
    </row>
    <row r="613" spans="1:14" x14ac:dyDescent="0.3">
      <c r="A613" s="3" t="s">
        <v>58</v>
      </c>
      <c r="B613" s="3" t="s">
        <v>59</v>
      </c>
      <c r="C613" s="8">
        <v>2020</v>
      </c>
      <c r="D613" s="8">
        <v>12</v>
      </c>
      <c r="E613" s="3" t="str">
        <f t="shared" si="18"/>
        <v>December</v>
      </c>
      <c r="F613" s="3" t="s">
        <v>13</v>
      </c>
      <c r="G613" s="8">
        <v>180.9689473</v>
      </c>
      <c r="H613" s="8">
        <v>170</v>
      </c>
      <c r="I613" s="8">
        <v>-10.968947310000001</v>
      </c>
      <c r="J613" s="8">
        <v>-26.018842100000001</v>
      </c>
      <c r="K613" s="8">
        <v>-72.456367659999998</v>
      </c>
      <c r="L613" s="8">
        <v>22.685433960000001</v>
      </c>
      <c r="M613" s="9" t="str">
        <f>IF(A613="",M614,A613)</f>
        <v>Brunei Darussalam</v>
      </c>
      <c r="N613" s="3" t="str">
        <f t="shared" si="19"/>
        <v>Dec-2020</v>
      </c>
    </row>
    <row r="614" spans="1:14" x14ac:dyDescent="0.3">
      <c r="A614" s="3" t="s">
        <v>58</v>
      </c>
      <c r="B614" s="3" t="s">
        <v>59</v>
      </c>
      <c r="C614" s="8">
        <v>2021</v>
      </c>
      <c r="D614" s="8">
        <v>1</v>
      </c>
      <c r="E614" s="3" t="str">
        <f t="shared" si="18"/>
        <v>January</v>
      </c>
      <c r="F614" s="3" t="s">
        <v>13</v>
      </c>
      <c r="G614" s="8">
        <v>182.13250780000001</v>
      </c>
      <c r="H614" s="8">
        <v>151</v>
      </c>
      <c r="I614" s="8">
        <v>-31.132507759999999</v>
      </c>
      <c r="J614" s="8">
        <v>-57.151349860000003</v>
      </c>
      <c r="K614" s="8">
        <v>-107.7916585</v>
      </c>
      <c r="L614" s="8">
        <v>-7.6248389579999998</v>
      </c>
      <c r="M614" s="9" t="str">
        <f>IF(A614="",M615,A614)</f>
        <v>Brunei Darussalam</v>
      </c>
      <c r="N614" s="3" t="str">
        <f t="shared" si="19"/>
        <v>Jan-2021</v>
      </c>
    </row>
    <row r="615" spans="1:14" x14ac:dyDescent="0.3">
      <c r="A615" s="3" t="s">
        <v>58</v>
      </c>
      <c r="B615" s="3" t="s">
        <v>59</v>
      </c>
      <c r="C615" s="8">
        <v>2021</v>
      </c>
      <c r="D615" s="8">
        <v>2</v>
      </c>
      <c r="E615" s="3" t="str">
        <f t="shared" si="18"/>
        <v>February</v>
      </c>
      <c r="F615" s="3" t="s">
        <v>13</v>
      </c>
      <c r="G615" s="8">
        <v>182.3297049</v>
      </c>
      <c r="H615" s="8">
        <v>176</v>
      </c>
      <c r="I615" s="8">
        <v>-6.3297049159999998</v>
      </c>
      <c r="J615" s="8">
        <v>-63.48105477</v>
      </c>
      <c r="K615" s="8">
        <v>-115.66911090000001</v>
      </c>
      <c r="L615" s="8">
        <v>-11.93932777</v>
      </c>
      <c r="M615" s="9" t="str">
        <f>IF(A615="",M616,A615)</f>
        <v>Brunei Darussalam</v>
      </c>
      <c r="N615" s="3" t="str">
        <f t="shared" si="19"/>
        <v>Feb-2021</v>
      </c>
    </row>
    <row r="616" spans="1:14" x14ac:dyDescent="0.3">
      <c r="A616" s="3" t="s">
        <v>58</v>
      </c>
      <c r="B616" s="3" t="s">
        <v>59</v>
      </c>
      <c r="C616" s="8">
        <v>2021</v>
      </c>
      <c r="D616" s="8">
        <v>3</v>
      </c>
      <c r="E616" s="3" t="str">
        <f t="shared" si="18"/>
        <v>March</v>
      </c>
      <c r="F616" s="3" t="s">
        <v>13</v>
      </c>
      <c r="G616" s="8">
        <v>182.84449660000001</v>
      </c>
      <c r="H616" s="8">
        <v>193</v>
      </c>
      <c r="I616" s="8">
        <v>10.155503420000001</v>
      </c>
      <c r="J616" s="8">
        <v>-53.325551359999999</v>
      </c>
      <c r="K616" s="8">
        <v>-107.5354002</v>
      </c>
      <c r="L616" s="8">
        <v>0.68618080299999995</v>
      </c>
      <c r="M616" s="9" t="str">
        <f>IF(A616="",M617,A616)</f>
        <v>Brunei Darussalam</v>
      </c>
      <c r="N616" s="3" t="str">
        <f t="shared" si="19"/>
        <v>Mar-2021</v>
      </c>
    </row>
    <row r="617" spans="1:14" x14ac:dyDescent="0.3">
      <c r="A617" s="3" t="s">
        <v>58</v>
      </c>
      <c r="B617" s="3" t="s">
        <v>59</v>
      </c>
      <c r="C617" s="8">
        <v>2021</v>
      </c>
      <c r="D617" s="8">
        <v>4</v>
      </c>
      <c r="E617" s="3" t="str">
        <f t="shared" si="18"/>
        <v>April</v>
      </c>
      <c r="F617" s="3" t="s">
        <v>13</v>
      </c>
      <c r="G617" s="8">
        <v>183.3031704</v>
      </c>
      <c r="H617" s="8">
        <v>180</v>
      </c>
      <c r="I617" s="8">
        <v>-3.3031703889999999</v>
      </c>
      <c r="J617" s="8">
        <v>-56.628721749999997</v>
      </c>
      <c r="K617" s="8">
        <v>-114.3932284</v>
      </c>
      <c r="L617" s="8">
        <v>-0.78926403899999997</v>
      </c>
      <c r="M617" s="9" t="str">
        <f>IF(A617="",M618,A617)</f>
        <v>Brunei Darussalam</v>
      </c>
      <c r="N617" s="3" t="str">
        <f t="shared" si="19"/>
        <v>Apr-2021</v>
      </c>
    </row>
    <row r="618" spans="1:14" x14ac:dyDescent="0.3">
      <c r="A618" s="3" t="s">
        <v>58</v>
      </c>
      <c r="B618" s="3" t="s">
        <v>59</v>
      </c>
      <c r="C618" s="8">
        <v>2021</v>
      </c>
      <c r="D618" s="8">
        <v>5</v>
      </c>
      <c r="E618" s="3" t="str">
        <f t="shared" si="18"/>
        <v>May</v>
      </c>
      <c r="F618" s="3" t="s">
        <v>13</v>
      </c>
      <c r="G618" s="8">
        <v>183.58298540000001</v>
      </c>
      <c r="H618" s="8">
        <v>170</v>
      </c>
      <c r="I618" s="8">
        <v>-13.582985389999999</v>
      </c>
      <c r="J618" s="8">
        <v>-70.211707140000001</v>
      </c>
      <c r="K618" s="8">
        <v>-130.98100489999999</v>
      </c>
      <c r="L618" s="8">
        <v>-11.873332209999999</v>
      </c>
      <c r="M618" s="9" t="str">
        <f>IF(A618="",M619,A618)</f>
        <v>Brunei Darussalam</v>
      </c>
      <c r="N618" s="3" t="str">
        <f t="shared" si="19"/>
        <v>May-2021</v>
      </c>
    </row>
    <row r="619" spans="1:14" x14ac:dyDescent="0.3">
      <c r="A619" s="3" t="s">
        <v>58</v>
      </c>
      <c r="B619" s="3" t="s">
        <v>59</v>
      </c>
      <c r="C619" s="8">
        <v>2021</v>
      </c>
      <c r="D619" s="8">
        <v>6</v>
      </c>
      <c r="E619" s="3" t="str">
        <f t="shared" si="18"/>
        <v>June</v>
      </c>
      <c r="F619" s="3" t="s">
        <v>13</v>
      </c>
      <c r="G619" s="8">
        <v>183.760715</v>
      </c>
      <c r="H619" s="8">
        <v>199</v>
      </c>
      <c r="I619" s="8">
        <v>15.239285020000001</v>
      </c>
      <c r="J619" s="8">
        <v>-54.972422119999997</v>
      </c>
      <c r="K619" s="8">
        <v>-114.37768819999999</v>
      </c>
      <c r="L619" s="8">
        <v>6.9522784399999997</v>
      </c>
      <c r="M619" s="9" t="str">
        <f>IF(A619="",M620,A619)</f>
        <v>Brunei Darussalam</v>
      </c>
      <c r="N619" s="3" t="str">
        <f t="shared" si="19"/>
        <v>Jun-2021</v>
      </c>
    </row>
    <row r="620" spans="1:14" x14ac:dyDescent="0.3">
      <c r="A620" s="3" t="s">
        <v>58</v>
      </c>
      <c r="B620" s="3" t="s">
        <v>59</v>
      </c>
      <c r="C620" s="8">
        <v>2021</v>
      </c>
      <c r="D620" s="8">
        <v>7</v>
      </c>
      <c r="E620" s="3" t="str">
        <f t="shared" si="18"/>
        <v>July</v>
      </c>
      <c r="F620" s="3" t="s">
        <v>13</v>
      </c>
      <c r="G620" s="8">
        <v>184.1305548</v>
      </c>
      <c r="H620" s="8">
        <v>188</v>
      </c>
      <c r="I620" s="8">
        <v>3.869445222</v>
      </c>
      <c r="J620" s="8">
        <v>-51.102976900000002</v>
      </c>
      <c r="K620" s="8">
        <v>-110.3158631</v>
      </c>
      <c r="L620" s="8">
        <v>11.67468468</v>
      </c>
      <c r="M620" s="9" t="str">
        <f>IF(A620="",M621,A620)</f>
        <v>Brunei Darussalam</v>
      </c>
      <c r="N620" s="3" t="str">
        <f t="shared" si="19"/>
        <v>Jul-2021</v>
      </c>
    </row>
    <row r="621" spans="1:14" x14ac:dyDescent="0.3">
      <c r="A621" s="3" t="s">
        <v>58</v>
      </c>
      <c r="B621" s="3" t="s">
        <v>59</v>
      </c>
      <c r="C621" s="8">
        <v>2021</v>
      </c>
      <c r="D621" s="8">
        <v>8</v>
      </c>
      <c r="E621" s="3" t="str">
        <f t="shared" si="18"/>
        <v>August</v>
      </c>
      <c r="F621" s="3" t="s">
        <v>13</v>
      </c>
      <c r="G621" s="8">
        <v>184.52479220000001</v>
      </c>
      <c r="H621" s="8">
        <v>65</v>
      </c>
      <c r="I621" s="8">
        <v>-119.52479219999999</v>
      </c>
      <c r="J621" s="8">
        <v>-170.62776909999999</v>
      </c>
      <c r="K621" s="8">
        <v>-236.98611539999999</v>
      </c>
      <c r="L621" s="8">
        <v>-103.4468581</v>
      </c>
      <c r="M621" s="9" t="str">
        <f>IF(A621="",M622,A621)</f>
        <v>Brunei Darussalam</v>
      </c>
      <c r="N621" s="3" t="str">
        <f t="shared" si="19"/>
        <v>Aug-2021</v>
      </c>
    </row>
    <row r="622" spans="1:14" x14ac:dyDescent="0.3">
      <c r="A622" s="3" t="s">
        <v>58</v>
      </c>
      <c r="B622" s="3" t="s">
        <v>59</v>
      </c>
      <c r="C622" s="8">
        <v>2021</v>
      </c>
      <c r="D622" s="8">
        <v>9</v>
      </c>
      <c r="E622" s="3" t="str">
        <f t="shared" si="18"/>
        <v>September</v>
      </c>
      <c r="F622" s="3" t="s">
        <v>13</v>
      </c>
      <c r="G622" s="8">
        <v>185.1584057</v>
      </c>
      <c r="H622" s="8">
        <v>71</v>
      </c>
      <c r="I622" s="8">
        <v>-114.1584057</v>
      </c>
      <c r="J622" s="8">
        <v>-284.7861747</v>
      </c>
      <c r="K622" s="8">
        <v>-354.46910539999999</v>
      </c>
      <c r="L622" s="8">
        <v>-216.3880806</v>
      </c>
      <c r="M622" s="9" t="str">
        <f>IF(A622="",M623,A622)</f>
        <v>Brunei Darussalam</v>
      </c>
      <c r="N622" s="3" t="str">
        <f t="shared" si="19"/>
        <v>Sep-2021</v>
      </c>
    </row>
    <row r="623" spans="1:14" x14ac:dyDescent="0.3">
      <c r="A623" s="3" t="s">
        <v>58</v>
      </c>
      <c r="B623" s="3" t="s">
        <v>59</v>
      </c>
      <c r="C623" s="8">
        <v>2021</v>
      </c>
      <c r="D623" s="8">
        <v>10</v>
      </c>
      <c r="E623" s="3" t="str">
        <f t="shared" si="18"/>
        <v>October</v>
      </c>
      <c r="F623" s="3" t="s">
        <v>13</v>
      </c>
      <c r="G623" s="8">
        <v>185.65087209999999</v>
      </c>
      <c r="H623" s="8">
        <v>160</v>
      </c>
      <c r="I623" s="8">
        <v>-25.65087209</v>
      </c>
      <c r="J623" s="8">
        <v>-310.43704680000002</v>
      </c>
      <c r="K623" s="8">
        <v>-382.05319839999999</v>
      </c>
      <c r="L623" s="8">
        <v>-241.255438</v>
      </c>
      <c r="M623" s="9" t="str">
        <f>IF(A623="",M624,A623)</f>
        <v>Brunei Darussalam</v>
      </c>
      <c r="N623" s="3" t="str">
        <f t="shared" si="19"/>
        <v>Oct-2021</v>
      </c>
    </row>
    <row r="624" spans="1:14" x14ac:dyDescent="0.3">
      <c r="A624" s="3" t="s">
        <v>58</v>
      </c>
      <c r="B624" s="3" t="s">
        <v>59</v>
      </c>
      <c r="C624" s="8">
        <v>2021</v>
      </c>
      <c r="D624" s="8">
        <v>11</v>
      </c>
      <c r="E624" s="3" t="str">
        <f t="shared" si="18"/>
        <v>November</v>
      </c>
      <c r="F624" s="3" t="s">
        <v>13</v>
      </c>
      <c r="G624" s="8">
        <v>185.57323779999999</v>
      </c>
      <c r="H624" s="8">
        <v>381</v>
      </c>
      <c r="I624" s="8">
        <v>195.42676220000001</v>
      </c>
      <c r="J624" s="8">
        <v>-115.01028460000001</v>
      </c>
      <c r="K624" s="8">
        <v>-189.65349889999999</v>
      </c>
      <c r="L624" s="8">
        <v>-41.77700033</v>
      </c>
      <c r="M624" s="9" t="str">
        <f>IF(A624="",M625,A624)</f>
        <v>Brunei Darussalam</v>
      </c>
      <c r="N624" s="3" t="str">
        <f t="shared" si="19"/>
        <v>Nov-2021</v>
      </c>
    </row>
    <row r="625" spans="1:14" x14ac:dyDescent="0.3">
      <c r="A625" s="3" t="s">
        <v>58</v>
      </c>
      <c r="B625" s="3" t="s">
        <v>59</v>
      </c>
      <c r="C625" s="8">
        <v>2021</v>
      </c>
      <c r="D625" s="8">
        <v>12</v>
      </c>
      <c r="E625" s="3" t="str">
        <f t="shared" si="18"/>
        <v>December</v>
      </c>
      <c r="F625" s="3" t="s">
        <v>13</v>
      </c>
      <c r="G625" s="8">
        <v>186.13572250000001</v>
      </c>
      <c r="H625" s="8">
        <v>331</v>
      </c>
      <c r="I625" s="8">
        <v>144.86427749999999</v>
      </c>
      <c r="J625" s="8">
        <v>29.85399284</v>
      </c>
      <c r="K625" s="8">
        <v>-48.70287502</v>
      </c>
      <c r="L625" s="8">
        <v>107.8283304</v>
      </c>
      <c r="M625" s="9" t="str">
        <f>IF(A625="",M626,A625)</f>
        <v>Brunei Darussalam</v>
      </c>
      <c r="N625" s="3" t="str">
        <f t="shared" si="19"/>
        <v>Dec-2021</v>
      </c>
    </row>
    <row r="626" spans="1:14" x14ac:dyDescent="0.3">
      <c r="A626" s="3" t="s">
        <v>60</v>
      </c>
      <c r="B626" s="3" t="s">
        <v>61</v>
      </c>
      <c r="C626" s="8">
        <v>2020</v>
      </c>
      <c r="D626" s="8">
        <v>1</v>
      </c>
      <c r="E626" s="3" t="str">
        <f t="shared" si="18"/>
        <v>January</v>
      </c>
      <c r="F626" s="3" t="s">
        <v>8</v>
      </c>
      <c r="G626" s="8">
        <v>407.08814749999999</v>
      </c>
      <c r="H626" s="8">
        <v>418.952</v>
      </c>
      <c r="I626" s="8">
        <v>11.863852489999999</v>
      </c>
      <c r="J626" s="8">
        <v>11.863852489999999</v>
      </c>
      <c r="K626" s="8">
        <v>-96.311223920000003</v>
      </c>
      <c r="L626" s="8">
        <v>140.4694499</v>
      </c>
      <c r="M626" s="9" t="str">
        <f>IF(A626="",M627,A626)</f>
        <v>Bhutan</v>
      </c>
      <c r="N626" s="3" t="str">
        <f t="shared" si="19"/>
        <v>Jan-2020</v>
      </c>
    </row>
    <row r="627" spans="1:14" x14ac:dyDescent="0.3">
      <c r="A627" s="3" t="s">
        <v>60</v>
      </c>
      <c r="B627" s="3" t="s">
        <v>61</v>
      </c>
      <c r="C627" s="8">
        <v>2020</v>
      </c>
      <c r="D627" s="8">
        <v>2</v>
      </c>
      <c r="E627" s="3" t="str">
        <f t="shared" si="18"/>
        <v>February</v>
      </c>
      <c r="F627" s="3" t="s">
        <v>8</v>
      </c>
      <c r="G627" s="8">
        <v>400.59894109999999</v>
      </c>
      <c r="H627" s="8">
        <v>396.935</v>
      </c>
      <c r="I627" s="8">
        <v>-3.6639411320000002</v>
      </c>
      <c r="J627" s="8">
        <v>8.1999113599999998</v>
      </c>
      <c r="K627" s="8">
        <v>-142.36775080000001</v>
      </c>
      <c r="L627" s="8">
        <v>197.6013054</v>
      </c>
      <c r="M627" s="9" t="str">
        <f>IF(A627="",M628,A627)</f>
        <v>Bhutan</v>
      </c>
      <c r="N627" s="3" t="str">
        <f t="shared" si="19"/>
        <v>Feb-2020</v>
      </c>
    </row>
    <row r="628" spans="1:14" x14ac:dyDescent="0.3">
      <c r="A628" s="3" t="s">
        <v>60</v>
      </c>
      <c r="B628" s="3" t="s">
        <v>61</v>
      </c>
      <c r="C628" s="8">
        <v>2020</v>
      </c>
      <c r="D628" s="8">
        <v>3</v>
      </c>
      <c r="E628" s="3" t="str">
        <f t="shared" si="18"/>
        <v>March</v>
      </c>
      <c r="F628" s="3" t="s">
        <v>8</v>
      </c>
      <c r="G628" s="8">
        <v>392.27680129999999</v>
      </c>
      <c r="H628" s="8">
        <v>367.334</v>
      </c>
      <c r="I628" s="8">
        <v>-24.94280131</v>
      </c>
      <c r="J628" s="8">
        <v>-16.742889949999999</v>
      </c>
      <c r="K628" s="8">
        <v>-197.32661519999999</v>
      </c>
      <c r="L628" s="8">
        <v>193.57980570000001</v>
      </c>
      <c r="M628" s="9" t="str">
        <f>IF(A628="",M629,A628)</f>
        <v>Bhutan</v>
      </c>
      <c r="N628" s="3" t="str">
        <f t="shared" si="19"/>
        <v>Mar-2020</v>
      </c>
    </row>
    <row r="629" spans="1:14" x14ac:dyDescent="0.3">
      <c r="A629" s="3" t="s">
        <v>60</v>
      </c>
      <c r="B629" s="3" t="s">
        <v>61</v>
      </c>
      <c r="C629" s="8">
        <v>2020</v>
      </c>
      <c r="D629" s="8">
        <v>4</v>
      </c>
      <c r="E629" s="3" t="str">
        <f t="shared" si="18"/>
        <v>April</v>
      </c>
      <c r="F629" s="3" t="s">
        <v>8</v>
      </c>
      <c r="G629" s="8">
        <v>388.41747299999997</v>
      </c>
      <c r="H629" s="8">
        <v>334.44099999999997</v>
      </c>
      <c r="I629" s="8">
        <v>-53.976472950000002</v>
      </c>
      <c r="J629" s="8">
        <v>-70.719362899999993</v>
      </c>
      <c r="K629" s="8">
        <v>-269.55611720000002</v>
      </c>
      <c r="L629" s="8">
        <v>160.9014809</v>
      </c>
      <c r="M629" s="9" t="str">
        <f>IF(A629="",M630,A629)</f>
        <v>Bhutan</v>
      </c>
      <c r="N629" s="3" t="str">
        <f t="shared" si="19"/>
        <v>Apr-2020</v>
      </c>
    </row>
    <row r="630" spans="1:14" x14ac:dyDescent="0.3">
      <c r="A630" s="3" t="s">
        <v>60</v>
      </c>
      <c r="B630" s="3" t="s">
        <v>61</v>
      </c>
      <c r="C630" s="8">
        <v>2020</v>
      </c>
      <c r="D630" s="8">
        <v>5</v>
      </c>
      <c r="E630" s="3" t="str">
        <f t="shared" si="18"/>
        <v>May</v>
      </c>
      <c r="F630" s="3" t="s">
        <v>8</v>
      </c>
      <c r="G630" s="8">
        <v>380.97266180000003</v>
      </c>
      <c r="H630" s="8">
        <v>335.08300000000003</v>
      </c>
      <c r="I630" s="8">
        <v>-45.889661760000003</v>
      </c>
      <c r="J630" s="8">
        <v>-116.60902470000001</v>
      </c>
      <c r="K630" s="8">
        <v>-337.67137639999999</v>
      </c>
      <c r="L630" s="8">
        <v>141.8181147</v>
      </c>
      <c r="M630" s="9" t="str">
        <f>IF(A630="",M631,A630)</f>
        <v>Bhutan</v>
      </c>
      <c r="N630" s="3" t="str">
        <f t="shared" si="19"/>
        <v>May-2020</v>
      </c>
    </row>
    <row r="631" spans="1:14" x14ac:dyDescent="0.3">
      <c r="A631" s="3" t="s">
        <v>60</v>
      </c>
      <c r="B631" s="3" t="s">
        <v>61</v>
      </c>
      <c r="C631" s="8">
        <v>2020</v>
      </c>
      <c r="D631" s="8">
        <v>6</v>
      </c>
      <c r="E631" s="3" t="str">
        <f t="shared" si="18"/>
        <v>June</v>
      </c>
      <c r="F631" s="3" t="s">
        <v>8</v>
      </c>
      <c r="G631" s="8">
        <v>373.69084770000001</v>
      </c>
      <c r="H631" s="8">
        <v>343.37200000000001</v>
      </c>
      <c r="I631" s="8">
        <v>-30.318847739999999</v>
      </c>
      <c r="J631" s="8">
        <v>-146.92787240000001</v>
      </c>
      <c r="K631" s="8">
        <v>-393.41835789999999</v>
      </c>
      <c r="L631" s="8">
        <v>125.25509769999999</v>
      </c>
      <c r="M631" s="9" t="str">
        <f>IF(A631="",M632,A631)</f>
        <v>Bhutan</v>
      </c>
      <c r="N631" s="3" t="str">
        <f t="shared" si="19"/>
        <v>Jun-2020</v>
      </c>
    </row>
    <row r="632" spans="1:14" x14ac:dyDescent="0.3">
      <c r="A632" s="3" t="s">
        <v>60</v>
      </c>
      <c r="B632" s="3" t="s">
        <v>61</v>
      </c>
      <c r="C632" s="8">
        <v>2020</v>
      </c>
      <c r="D632" s="8">
        <v>7</v>
      </c>
      <c r="E632" s="3" t="str">
        <f t="shared" si="18"/>
        <v>July</v>
      </c>
      <c r="F632" s="3" t="s">
        <v>8</v>
      </c>
      <c r="G632" s="8">
        <v>372.37042960000002</v>
      </c>
      <c r="H632" s="8">
        <v>354.86099999999999</v>
      </c>
      <c r="I632" s="8">
        <v>-17.509429600000001</v>
      </c>
      <c r="J632" s="8">
        <v>-164.43730199999999</v>
      </c>
      <c r="K632" s="8">
        <v>-427.4118234</v>
      </c>
      <c r="L632" s="8">
        <v>137.14102510000001</v>
      </c>
      <c r="M632" s="9" t="str">
        <f>IF(A632="",M633,A632)</f>
        <v>Bhutan</v>
      </c>
      <c r="N632" s="3" t="str">
        <f t="shared" si="19"/>
        <v>Jul-2020</v>
      </c>
    </row>
    <row r="633" spans="1:14" x14ac:dyDescent="0.3">
      <c r="A633" s="3" t="s">
        <v>60</v>
      </c>
      <c r="B633" s="3" t="s">
        <v>61</v>
      </c>
      <c r="C633" s="8">
        <v>2020</v>
      </c>
      <c r="D633" s="8">
        <v>8</v>
      </c>
      <c r="E633" s="3" t="str">
        <f t="shared" si="18"/>
        <v>August</v>
      </c>
      <c r="F633" s="3" t="s">
        <v>8</v>
      </c>
      <c r="G633" s="8">
        <v>371.50983280000003</v>
      </c>
      <c r="H633" s="8">
        <v>371.601</v>
      </c>
      <c r="I633" s="8">
        <v>9.1167168000000007E-2</v>
      </c>
      <c r="J633" s="8">
        <v>-164.34613479999999</v>
      </c>
      <c r="K633" s="8">
        <v>-443.73714990000002</v>
      </c>
      <c r="L633" s="8">
        <v>121.4542048</v>
      </c>
      <c r="M633" s="9" t="str">
        <f>IF(A633="",M634,A633)</f>
        <v>Bhutan</v>
      </c>
      <c r="N633" s="3" t="str">
        <f t="shared" si="19"/>
        <v>Aug-2020</v>
      </c>
    </row>
    <row r="634" spans="1:14" x14ac:dyDescent="0.3">
      <c r="A634" s="3" t="s">
        <v>60</v>
      </c>
      <c r="B634" s="3" t="s">
        <v>61</v>
      </c>
      <c r="C634" s="8">
        <v>2020</v>
      </c>
      <c r="D634" s="8">
        <v>9</v>
      </c>
      <c r="E634" s="3" t="str">
        <f t="shared" si="18"/>
        <v>September</v>
      </c>
      <c r="F634" s="3" t="s">
        <v>8</v>
      </c>
      <c r="G634" s="8">
        <v>375.12320560000001</v>
      </c>
      <c r="H634" s="8">
        <v>380.197</v>
      </c>
      <c r="I634" s="8">
        <v>5.0737943640000003</v>
      </c>
      <c r="J634" s="8">
        <v>-159.27234050000001</v>
      </c>
      <c r="K634" s="8">
        <v>-471.1828926</v>
      </c>
      <c r="L634" s="8">
        <v>158.420546</v>
      </c>
      <c r="M634" s="9" t="str">
        <f>IF(A634="",M635,A634)</f>
        <v>Bhutan</v>
      </c>
      <c r="N634" s="3" t="str">
        <f t="shared" si="19"/>
        <v>Sep-2020</v>
      </c>
    </row>
    <row r="635" spans="1:14" x14ac:dyDescent="0.3">
      <c r="A635" s="3" t="s">
        <v>60</v>
      </c>
      <c r="B635" s="3" t="s">
        <v>61</v>
      </c>
      <c r="C635" s="8">
        <v>2020</v>
      </c>
      <c r="D635" s="8">
        <v>10</v>
      </c>
      <c r="E635" s="3" t="str">
        <f t="shared" si="18"/>
        <v>October</v>
      </c>
      <c r="F635" s="3" t="s">
        <v>8</v>
      </c>
      <c r="G635" s="8">
        <v>379.28624509999997</v>
      </c>
      <c r="H635" s="8">
        <v>389.30799999999999</v>
      </c>
      <c r="I635" s="8">
        <v>10.021754919999999</v>
      </c>
      <c r="J635" s="8">
        <v>-149.25058559999999</v>
      </c>
      <c r="K635" s="8">
        <v>-482.2444352</v>
      </c>
      <c r="L635" s="8">
        <v>178.69091320000001</v>
      </c>
      <c r="M635" s="9" t="str">
        <f>IF(A635="",M636,A635)</f>
        <v>Bhutan</v>
      </c>
      <c r="N635" s="3" t="str">
        <f t="shared" si="19"/>
        <v>Oct-2020</v>
      </c>
    </row>
    <row r="636" spans="1:14" x14ac:dyDescent="0.3">
      <c r="A636" s="3" t="s">
        <v>60</v>
      </c>
      <c r="B636" s="3" t="s">
        <v>61</v>
      </c>
      <c r="C636" s="8">
        <v>2020</v>
      </c>
      <c r="D636" s="8">
        <v>11</v>
      </c>
      <c r="E636" s="3" t="str">
        <f t="shared" si="18"/>
        <v>November</v>
      </c>
      <c r="F636" s="3" t="s">
        <v>8</v>
      </c>
      <c r="G636" s="8">
        <v>392.29431060000002</v>
      </c>
      <c r="H636" s="8">
        <v>405.66</v>
      </c>
      <c r="I636" s="8">
        <v>13.36568937</v>
      </c>
      <c r="J636" s="8">
        <v>-135.88489619999999</v>
      </c>
      <c r="K636" s="8">
        <v>-473.6458786</v>
      </c>
      <c r="L636" s="8">
        <v>222.94849590000001</v>
      </c>
      <c r="M636" s="9" t="str">
        <f>IF(A636="",M637,A636)</f>
        <v>Bhutan</v>
      </c>
      <c r="N636" s="3" t="str">
        <f t="shared" si="19"/>
        <v>Nov-2020</v>
      </c>
    </row>
    <row r="637" spans="1:14" x14ac:dyDescent="0.3">
      <c r="A637" s="3" t="s">
        <v>60</v>
      </c>
      <c r="B637" s="3" t="s">
        <v>61</v>
      </c>
      <c r="C637" s="8">
        <v>2020</v>
      </c>
      <c r="D637" s="8">
        <v>12</v>
      </c>
      <c r="E637" s="3" t="str">
        <f t="shared" si="18"/>
        <v>December</v>
      </c>
      <c r="F637" s="3" t="s">
        <v>8</v>
      </c>
      <c r="G637" s="8">
        <v>401.60530030000001</v>
      </c>
      <c r="H637" s="8">
        <v>409.16399999999999</v>
      </c>
      <c r="I637" s="8">
        <v>7.5586996529999997</v>
      </c>
      <c r="J637" s="8">
        <v>-128.32619650000001</v>
      </c>
      <c r="K637" s="8">
        <v>-498.35617710000002</v>
      </c>
      <c r="L637" s="8">
        <v>260.19375580000002</v>
      </c>
      <c r="M637" s="9" t="str">
        <f>IF(A637="",M638,A637)</f>
        <v>Bhutan</v>
      </c>
      <c r="N637" s="3" t="str">
        <f t="shared" si="19"/>
        <v>Dec-2020</v>
      </c>
    </row>
    <row r="638" spans="1:14" x14ac:dyDescent="0.3">
      <c r="A638" s="3" t="s">
        <v>60</v>
      </c>
      <c r="B638" s="3" t="s">
        <v>61</v>
      </c>
      <c r="C638" s="8">
        <v>2021</v>
      </c>
      <c r="D638" s="8">
        <v>1</v>
      </c>
      <c r="E638" s="3" t="str">
        <f t="shared" si="18"/>
        <v>January</v>
      </c>
      <c r="F638" s="3" t="s">
        <v>8</v>
      </c>
      <c r="G638" s="8">
        <v>415.7013986</v>
      </c>
      <c r="H638" s="8">
        <v>401.74299999999999</v>
      </c>
      <c r="I638" s="8">
        <v>-13.958398580000001</v>
      </c>
      <c r="J638" s="8">
        <v>-142.28459509999999</v>
      </c>
      <c r="K638" s="8">
        <v>-523.7234393</v>
      </c>
      <c r="L638" s="8">
        <v>247.6305519</v>
      </c>
      <c r="M638" s="9" t="str">
        <f>IF(A638="",M639,A638)</f>
        <v>Bhutan</v>
      </c>
      <c r="N638" s="3" t="str">
        <f t="shared" si="19"/>
        <v>Jan-2021</v>
      </c>
    </row>
    <row r="639" spans="1:14" x14ac:dyDescent="0.3">
      <c r="A639" s="3" t="s">
        <v>60</v>
      </c>
      <c r="B639" s="3" t="s">
        <v>61</v>
      </c>
      <c r="C639" s="8">
        <v>2021</v>
      </c>
      <c r="D639" s="8">
        <v>2</v>
      </c>
      <c r="E639" s="3" t="str">
        <f t="shared" si="18"/>
        <v>February</v>
      </c>
      <c r="F639" s="3" t="s">
        <v>8</v>
      </c>
      <c r="G639" s="8">
        <v>409.80824999999999</v>
      </c>
      <c r="H639" s="8">
        <v>377.149</v>
      </c>
      <c r="I639" s="8">
        <v>-32.659250020000002</v>
      </c>
      <c r="J639" s="8">
        <v>-174.9438451</v>
      </c>
      <c r="K639" s="8">
        <v>-575.81447519999995</v>
      </c>
      <c r="L639" s="8">
        <v>217.2794916</v>
      </c>
      <c r="M639" s="9" t="str">
        <f>IF(A639="",M640,A639)</f>
        <v>Bhutan</v>
      </c>
      <c r="N639" s="3" t="str">
        <f t="shared" si="19"/>
        <v>Feb-2021</v>
      </c>
    </row>
    <row r="640" spans="1:14" x14ac:dyDescent="0.3">
      <c r="A640" s="3" t="s">
        <v>60</v>
      </c>
      <c r="B640" s="3" t="s">
        <v>61</v>
      </c>
      <c r="C640" s="8">
        <v>2021</v>
      </c>
      <c r="D640" s="8">
        <v>3</v>
      </c>
      <c r="E640" s="3" t="str">
        <f t="shared" si="18"/>
        <v>March</v>
      </c>
      <c r="F640" s="3" t="s">
        <v>8</v>
      </c>
      <c r="G640" s="8">
        <v>400.76077229999999</v>
      </c>
      <c r="H640" s="8">
        <v>366.63799999999998</v>
      </c>
      <c r="I640" s="8">
        <v>-34.122772249999997</v>
      </c>
      <c r="J640" s="8">
        <v>-209.06661740000001</v>
      </c>
      <c r="K640" s="8">
        <v>-616.33782480000002</v>
      </c>
      <c r="L640" s="8">
        <v>204.27897669999999</v>
      </c>
      <c r="M640" s="9" t="str">
        <f>IF(A640="",M641,A640)</f>
        <v>Bhutan</v>
      </c>
      <c r="N640" s="3" t="str">
        <f t="shared" si="19"/>
        <v>Mar-2021</v>
      </c>
    </row>
    <row r="641" spans="1:14" x14ac:dyDescent="0.3">
      <c r="A641" s="3" t="s">
        <v>60</v>
      </c>
      <c r="B641" s="3" t="s">
        <v>61</v>
      </c>
      <c r="C641" s="8">
        <v>2021</v>
      </c>
      <c r="D641" s="8">
        <v>4</v>
      </c>
      <c r="E641" s="3" t="str">
        <f t="shared" si="18"/>
        <v>April</v>
      </c>
      <c r="F641" s="3" t="s">
        <v>8</v>
      </c>
      <c r="G641" s="8">
        <v>396.7196692</v>
      </c>
      <c r="H641" s="8">
        <v>359.822</v>
      </c>
      <c r="I641" s="8">
        <v>-36.897669219999997</v>
      </c>
      <c r="J641" s="8">
        <v>-245.96428660000001</v>
      </c>
      <c r="K641" s="8">
        <v>-673.9099506</v>
      </c>
      <c r="L641" s="8">
        <v>213.03485470000001</v>
      </c>
      <c r="M641" s="9" t="str">
        <f>IF(A641="",M642,A641)</f>
        <v>Bhutan</v>
      </c>
      <c r="N641" s="3" t="str">
        <f t="shared" si="19"/>
        <v>Apr-2021</v>
      </c>
    </row>
    <row r="642" spans="1:14" x14ac:dyDescent="0.3">
      <c r="A642" s="3" t="s">
        <v>60</v>
      </c>
      <c r="B642" s="3" t="s">
        <v>61</v>
      </c>
      <c r="C642" s="8">
        <v>2021</v>
      </c>
      <c r="D642" s="8">
        <v>5</v>
      </c>
      <c r="E642" s="3" t="str">
        <f t="shared" ref="E642:E705" si="20">TEXT(DATE(C642,D642,1),"MMMM")</f>
        <v>May</v>
      </c>
      <c r="F642" s="3" t="s">
        <v>8</v>
      </c>
      <c r="G642" s="8">
        <v>389.26037059999999</v>
      </c>
      <c r="H642" s="8">
        <v>350.41899999999998</v>
      </c>
      <c r="I642" s="8">
        <v>-38.841370599999998</v>
      </c>
      <c r="J642" s="8">
        <v>-284.80565719999998</v>
      </c>
      <c r="K642" s="8">
        <v>-739.82768880000003</v>
      </c>
      <c r="L642" s="8">
        <v>185.56081470000001</v>
      </c>
      <c r="M642" s="9" t="str">
        <f>IF(A642="",M643,A642)</f>
        <v>Bhutan</v>
      </c>
      <c r="N642" s="3" t="str">
        <f t="shared" ref="N642:N705" si="21">TEXT(DATE(C642,D642,1),"MMM-YYYY")</f>
        <v>May-2021</v>
      </c>
    </row>
    <row r="643" spans="1:14" x14ac:dyDescent="0.3">
      <c r="A643" s="3" t="s">
        <v>60</v>
      </c>
      <c r="B643" s="3" t="s">
        <v>61</v>
      </c>
      <c r="C643" s="8">
        <v>2021</v>
      </c>
      <c r="D643" s="8">
        <v>6</v>
      </c>
      <c r="E643" s="3" t="str">
        <f t="shared" si="20"/>
        <v>June</v>
      </c>
      <c r="F643" s="3" t="s">
        <v>8</v>
      </c>
      <c r="G643" s="8">
        <v>381.64382940000002</v>
      </c>
      <c r="H643" s="8">
        <v>351.625</v>
      </c>
      <c r="I643" s="8">
        <v>-30.01882943</v>
      </c>
      <c r="J643" s="8">
        <v>-314.8244866</v>
      </c>
      <c r="K643" s="8">
        <v>-781.30477210000004</v>
      </c>
      <c r="L643" s="8">
        <v>161.37570819999999</v>
      </c>
      <c r="M643" s="9" t="str">
        <f>IF(A643="",M644,A643)</f>
        <v>Bhutan</v>
      </c>
      <c r="N643" s="3" t="str">
        <f t="shared" si="21"/>
        <v>Jun-2021</v>
      </c>
    </row>
    <row r="644" spans="1:14" x14ac:dyDescent="0.3">
      <c r="A644" s="3" t="s">
        <v>60</v>
      </c>
      <c r="B644" s="3" t="s">
        <v>61</v>
      </c>
      <c r="C644" s="8">
        <v>2021</v>
      </c>
      <c r="D644" s="8">
        <v>7</v>
      </c>
      <c r="E644" s="3" t="str">
        <f t="shared" si="20"/>
        <v>July</v>
      </c>
      <c r="F644" s="3" t="s">
        <v>8</v>
      </c>
      <c r="G644" s="8">
        <v>380.79662050000002</v>
      </c>
      <c r="H644" s="8">
        <v>363.10399999999998</v>
      </c>
      <c r="I644" s="8">
        <v>-17.69262054</v>
      </c>
      <c r="J644" s="8">
        <v>-332.5171072</v>
      </c>
      <c r="K644" s="8">
        <v>-806.93462869999996</v>
      </c>
      <c r="L644" s="8">
        <v>151.26779189999999</v>
      </c>
      <c r="M644" s="9" t="str">
        <f>IF(A644="",M645,A644)</f>
        <v>Bhutan</v>
      </c>
      <c r="N644" s="3" t="str">
        <f t="shared" si="21"/>
        <v>Jul-2021</v>
      </c>
    </row>
    <row r="645" spans="1:14" x14ac:dyDescent="0.3">
      <c r="A645" s="3" t="s">
        <v>60</v>
      </c>
      <c r="B645" s="3" t="s">
        <v>61</v>
      </c>
      <c r="C645" s="8">
        <v>2021</v>
      </c>
      <c r="D645" s="8">
        <v>8</v>
      </c>
      <c r="E645" s="3" t="str">
        <f t="shared" si="20"/>
        <v>August</v>
      </c>
      <c r="F645" s="3" t="s">
        <v>8</v>
      </c>
      <c r="G645" s="8">
        <v>379.91142760000002</v>
      </c>
      <c r="H645" s="8">
        <v>362.25900000000001</v>
      </c>
      <c r="I645" s="8">
        <v>-17.652427589999999</v>
      </c>
      <c r="J645" s="8">
        <v>-350.16953480000001</v>
      </c>
      <c r="K645" s="8">
        <v>-837.44298160000005</v>
      </c>
      <c r="L645" s="8">
        <v>145.70591110000001</v>
      </c>
      <c r="M645" s="9" t="str">
        <f>IF(A645="",M646,A645)</f>
        <v>Bhutan</v>
      </c>
      <c r="N645" s="3" t="str">
        <f t="shared" si="21"/>
        <v>Aug-2021</v>
      </c>
    </row>
    <row r="646" spans="1:14" x14ac:dyDescent="0.3">
      <c r="A646" s="3" t="s">
        <v>60</v>
      </c>
      <c r="B646" s="3" t="s">
        <v>61</v>
      </c>
      <c r="C646" s="8">
        <v>2021</v>
      </c>
      <c r="D646" s="8">
        <v>9</v>
      </c>
      <c r="E646" s="3" t="str">
        <f t="shared" si="20"/>
        <v>September</v>
      </c>
      <c r="F646" s="3" t="s">
        <v>8</v>
      </c>
      <c r="G646" s="8">
        <v>384.27216929999997</v>
      </c>
      <c r="H646" s="8">
        <v>360.36</v>
      </c>
      <c r="I646" s="8">
        <v>-23.912169290000001</v>
      </c>
      <c r="J646" s="8">
        <v>-374.081704</v>
      </c>
      <c r="K646" s="8">
        <v>-860.65678960000002</v>
      </c>
      <c r="L646" s="8">
        <v>142.2166455</v>
      </c>
      <c r="M646" s="9" t="str">
        <f>IF(A646="",M647,A646)</f>
        <v>Bhutan</v>
      </c>
      <c r="N646" s="3" t="str">
        <f t="shared" si="21"/>
        <v>Sep-2021</v>
      </c>
    </row>
    <row r="647" spans="1:14" x14ac:dyDescent="0.3">
      <c r="A647" s="3" t="s">
        <v>60</v>
      </c>
      <c r="B647" s="3" t="s">
        <v>61</v>
      </c>
      <c r="C647" s="8">
        <v>2021</v>
      </c>
      <c r="D647" s="8">
        <v>10</v>
      </c>
      <c r="E647" s="3" t="str">
        <f t="shared" si="20"/>
        <v>October</v>
      </c>
      <c r="F647" s="3" t="s">
        <v>8</v>
      </c>
      <c r="G647" s="8">
        <v>387.99307090000002</v>
      </c>
      <c r="H647" s="8">
        <v>381.64400000000001</v>
      </c>
      <c r="I647" s="8">
        <v>-6.3490708830000004</v>
      </c>
      <c r="J647" s="8">
        <v>-380.43077490000002</v>
      </c>
      <c r="K647" s="8">
        <v>-891.46377659999996</v>
      </c>
      <c r="L647" s="8">
        <v>155.34997680000001</v>
      </c>
      <c r="M647" s="9" t="str">
        <f>IF(A647="",M648,A647)</f>
        <v>Bhutan</v>
      </c>
      <c r="N647" s="3" t="str">
        <f t="shared" si="21"/>
        <v>Oct-2021</v>
      </c>
    </row>
    <row r="648" spans="1:14" x14ac:dyDescent="0.3">
      <c r="A648" s="3" t="s">
        <v>60</v>
      </c>
      <c r="B648" s="3" t="s">
        <v>61</v>
      </c>
      <c r="C648" s="8">
        <v>2021</v>
      </c>
      <c r="D648" s="8">
        <v>11</v>
      </c>
      <c r="E648" s="3" t="str">
        <f t="shared" si="20"/>
        <v>November</v>
      </c>
      <c r="F648" s="3" t="s">
        <v>8</v>
      </c>
      <c r="G648" s="8">
        <v>401.05762600000003</v>
      </c>
      <c r="H648" s="8">
        <v>414.18200000000002</v>
      </c>
      <c r="I648" s="8">
        <v>13.12437403</v>
      </c>
      <c r="J648" s="8">
        <v>-367.30640090000003</v>
      </c>
      <c r="K648" s="8">
        <v>-922.21796319999999</v>
      </c>
      <c r="L648" s="8">
        <v>194.80717799999999</v>
      </c>
      <c r="M648" s="9" t="str">
        <f>IF(A648="",M649,A648)</f>
        <v>Bhutan</v>
      </c>
      <c r="N648" s="3" t="str">
        <f t="shared" si="21"/>
        <v>Nov-2021</v>
      </c>
    </row>
    <row r="649" spans="1:14" x14ac:dyDescent="0.3">
      <c r="A649" s="3" t="s">
        <v>60</v>
      </c>
      <c r="B649" s="3" t="s">
        <v>61</v>
      </c>
      <c r="C649" s="8">
        <v>2021</v>
      </c>
      <c r="D649" s="8">
        <v>12</v>
      </c>
      <c r="E649" s="3" t="str">
        <f t="shared" si="20"/>
        <v>December</v>
      </c>
      <c r="F649" s="3" t="s">
        <v>8</v>
      </c>
      <c r="G649" s="8">
        <v>410.46504549999997</v>
      </c>
      <c r="H649" s="8">
        <v>438.97899999999998</v>
      </c>
      <c r="I649" s="8">
        <v>28.51395454</v>
      </c>
      <c r="J649" s="8">
        <v>-338.79244640000002</v>
      </c>
      <c r="K649" s="8">
        <v>-884.59722790000001</v>
      </c>
      <c r="L649" s="8">
        <v>239.5780273</v>
      </c>
      <c r="M649" s="9" t="str">
        <f>IF(A649="",M650,A649)</f>
        <v>Bhutan</v>
      </c>
      <c r="N649" s="3" t="str">
        <f t="shared" si="21"/>
        <v>Dec-2021</v>
      </c>
    </row>
    <row r="650" spans="1:14" x14ac:dyDescent="0.3">
      <c r="A650" s="3" t="s">
        <v>62</v>
      </c>
      <c r="B650" s="3" t="s">
        <v>63</v>
      </c>
      <c r="C650" s="8">
        <v>2020</v>
      </c>
      <c r="D650" s="8">
        <v>1</v>
      </c>
      <c r="E650" s="3" t="str">
        <f t="shared" si="20"/>
        <v>January</v>
      </c>
      <c r="F650" s="3" t="s">
        <v>8</v>
      </c>
      <c r="G650" s="8">
        <v>1679.609299</v>
      </c>
      <c r="H650" s="8">
        <v>1708.165</v>
      </c>
      <c r="I650" s="8">
        <v>28.55570062</v>
      </c>
      <c r="J650" s="8">
        <v>28.55570062</v>
      </c>
      <c r="K650" s="8">
        <v>-372.86712540000002</v>
      </c>
      <c r="L650" s="8">
        <v>498.49688509999999</v>
      </c>
      <c r="M650" s="9" t="str">
        <f>IF(A650="",M651,A650)</f>
        <v>Botswana</v>
      </c>
      <c r="N650" s="3" t="str">
        <f t="shared" si="21"/>
        <v>Jan-2020</v>
      </c>
    </row>
    <row r="651" spans="1:14" x14ac:dyDescent="0.3">
      <c r="A651" s="3" t="s">
        <v>62</v>
      </c>
      <c r="B651" s="3" t="s">
        <v>63</v>
      </c>
      <c r="C651" s="8">
        <v>2020</v>
      </c>
      <c r="D651" s="8">
        <v>2</v>
      </c>
      <c r="E651" s="3" t="str">
        <f t="shared" si="20"/>
        <v>February</v>
      </c>
      <c r="F651" s="3" t="s">
        <v>8</v>
      </c>
      <c r="G651" s="8">
        <v>1686.0714929999999</v>
      </c>
      <c r="H651" s="8">
        <v>1665.509</v>
      </c>
      <c r="I651" s="8">
        <v>-20.562493320000002</v>
      </c>
      <c r="J651" s="8">
        <v>7.9932073020000001</v>
      </c>
      <c r="K651" s="8">
        <v>-587.56160209999996</v>
      </c>
      <c r="L651" s="8">
        <v>694.33518160000006</v>
      </c>
      <c r="M651" s="9" t="str">
        <f>IF(A651="",M652,A651)</f>
        <v>Botswana</v>
      </c>
      <c r="N651" s="3" t="str">
        <f t="shared" si="21"/>
        <v>Feb-2020</v>
      </c>
    </row>
    <row r="652" spans="1:14" x14ac:dyDescent="0.3">
      <c r="A652" s="3" t="s">
        <v>62</v>
      </c>
      <c r="B652" s="3" t="s">
        <v>63</v>
      </c>
      <c r="C652" s="8">
        <v>2020</v>
      </c>
      <c r="D652" s="8">
        <v>3</v>
      </c>
      <c r="E652" s="3" t="str">
        <f t="shared" si="20"/>
        <v>March</v>
      </c>
      <c r="F652" s="3" t="s">
        <v>8</v>
      </c>
      <c r="G652" s="8">
        <v>1700.860257</v>
      </c>
      <c r="H652" s="8">
        <v>1683.2370000000001</v>
      </c>
      <c r="I652" s="8">
        <v>-17.623257129999999</v>
      </c>
      <c r="J652" s="8">
        <v>-9.6300498260000005</v>
      </c>
      <c r="K652" s="8">
        <v>-757.51458600000001</v>
      </c>
      <c r="L652" s="8">
        <v>780.62131139999997</v>
      </c>
      <c r="M652" s="9" t="str">
        <f>IF(A652="",M653,A652)</f>
        <v>Botswana</v>
      </c>
      <c r="N652" s="3" t="str">
        <f t="shared" si="21"/>
        <v>Mar-2020</v>
      </c>
    </row>
    <row r="653" spans="1:14" x14ac:dyDescent="0.3">
      <c r="A653" s="3" t="s">
        <v>62</v>
      </c>
      <c r="B653" s="3" t="s">
        <v>63</v>
      </c>
      <c r="C653" s="8">
        <v>2020</v>
      </c>
      <c r="D653" s="8">
        <v>4</v>
      </c>
      <c r="E653" s="3" t="str">
        <f t="shared" si="20"/>
        <v>April</v>
      </c>
      <c r="F653" s="3" t="s">
        <v>8</v>
      </c>
      <c r="G653" s="8">
        <v>1730.0226749999999</v>
      </c>
      <c r="H653" s="8">
        <v>1568.9680000000001</v>
      </c>
      <c r="I653" s="8">
        <v>-161.05467490000001</v>
      </c>
      <c r="J653" s="8">
        <v>-170.6847247</v>
      </c>
      <c r="K653" s="8">
        <v>-999.04257040000005</v>
      </c>
      <c r="L653" s="8">
        <v>742.61012940000001</v>
      </c>
      <c r="M653" s="9" t="str">
        <f>IF(A653="",M654,A653)</f>
        <v>Botswana</v>
      </c>
      <c r="N653" s="3" t="str">
        <f t="shared" si="21"/>
        <v>Apr-2020</v>
      </c>
    </row>
    <row r="654" spans="1:14" x14ac:dyDescent="0.3">
      <c r="A654" s="3" t="s">
        <v>62</v>
      </c>
      <c r="B654" s="3" t="s">
        <v>63</v>
      </c>
      <c r="C654" s="8">
        <v>2020</v>
      </c>
      <c r="D654" s="8">
        <v>5</v>
      </c>
      <c r="E654" s="3" t="str">
        <f t="shared" si="20"/>
        <v>May</v>
      </c>
      <c r="F654" s="3" t="s">
        <v>8</v>
      </c>
      <c r="G654" s="8">
        <v>1770.984361</v>
      </c>
      <c r="H654" s="8">
        <v>1670.905</v>
      </c>
      <c r="I654" s="8">
        <v>-100.0793609</v>
      </c>
      <c r="J654" s="8">
        <v>-270.76408570000001</v>
      </c>
      <c r="K654" s="8">
        <v>-1236.5288029999999</v>
      </c>
      <c r="L654" s="8">
        <v>788.19782469999996</v>
      </c>
      <c r="M654" s="9" t="str">
        <f>IF(A654="",M655,A654)</f>
        <v>Botswana</v>
      </c>
      <c r="N654" s="3" t="str">
        <f t="shared" si="21"/>
        <v>May-2020</v>
      </c>
    </row>
    <row r="655" spans="1:14" x14ac:dyDescent="0.3">
      <c r="A655" s="3" t="s">
        <v>62</v>
      </c>
      <c r="B655" s="3" t="s">
        <v>63</v>
      </c>
      <c r="C655" s="8">
        <v>2020</v>
      </c>
      <c r="D655" s="8">
        <v>6</v>
      </c>
      <c r="E655" s="3" t="str">
        <f t="shared" si="20"/>
        <v>June</v>
      </c>
      <c r="F655" s="3" t="s">
        <v>8</v>
      </c>
      <c r="G655" s="8">
        <v>1805.088802</v>
      </c>
      <c r="H655" s="8">
        <v>1765.79</v>
      </c>
      <c r="I655" s="8">
        <v>-39.298801750000003</v>
      </c>
      <c r="J655" s="8">
        <v>-310.06288740000002</v>
      </c>
      <c r="K655" s="8">
        <v>-1389.3773940000001</v>
      </c>
      <c r="L655" s="8">
        <v>887.1134515</v>
      </c>
      <c r="M655" s="9" t="str">
        <f>IF(A655="",M656,A655)</f>
        <v>Botswana</v>
      </c>
      <c r="N655" s="3" t="str">
        <f t="shared" si="21"/>
        <v>Jun-2020</v>
      </c>
    </row>
    <row r="656" spans="1:14" x14ac:dyDescent="0.3">
      <c r="A656" s="3" t="s">
        <v>62</v>
      </c>
      <c r="B656" s="3" t="s">
        <v>63</v>
      </c>
      <c r="C656" s="8">
        <v>2020</v>
      </c>
      <c r="D656" s="8">
        <v>7</v>
      </c>
      <c r="E656" s="3" t="str">
        <f t="shared" si="20"/>
        <v>July</v>
      </c>
      <c r="F656" s="3" t="s">
        <v>8</v>
      </c>
      <c r="G656" s="8">
        <v>1811.3418429999999</v>
      </c>
      <c r="H656" s="8">
        <v>1842.4159999999999</v>
      </c>
      <c r="I656" s="8">
        <v>31.074156859999999</v>
      </c>
      <c r="J656" s="8">
        <v>-278.9887306</v>
      </c>
      <c r="K656" s="8">
        <v>-1427.470157</v>
      </c>
      <c r="L656" s="8">
        <v>994.69301289999999</v>
      </c>
      <c r="M656" s="9" t="str">
        <f>IF(A656="",M657,A656)</f>
        <v>Botswana</v>
      </c>
      <c r="N656" s="3" t="str">
        <f t="shared" si="21"/>
        <v>Jul-2020</v>
      </c>
    </row>
    <row r="657" spans="1:14" x14ac:dyDescent="0.3">
      <c r="A657" s="3" t="s">
        <v>62</v>
      </c>
      <c r="B657" s="3" t="s">
        <v>63</v>
      </c>
      <c r="C657" s="8">
        <v>2020</v>
      </c>
      <c r="D657" s="8">
        <v>8</v>
      </c>
      <c r="E657" s="3" t="str">
        <f t="shared" si="20"/>
        <v>August</v>
      </c>
      <c r="F657" s="3" t="s">
        <v>8</v>
      </c>
      <c r="G657" s="8">
        <v>1786.7311629999999</v>
      </c>
      <c r="H657" s="8">
        <v>1874.759</v>
      </c>
      <c r="I657" s="8">
        <v>88.027837129999995</v>
      </c>
      <c r="J657" s="8">
        <v>-190.9608934</v>
      </c>
      <c r="K657" s="8">
        <v>-1438.3576410000001</v>
      </c>
      <c r="L657" s="8">
        <v>1109.1654860000001</v>
      </c>
      <c r="M657" s="9" t="str">
        <f>IF(A657="",M658,A657)</f>
        <v>Botswana</v>
      </c>
      <c r="N657" s="3" t="str">
        <f t="shared" si="21"/>
        <v>Aug-2020</v>
      </c>
    </row>
    <row r="658" spans="1:14" x14ac:dyDescent="0.3">
      <c r="A658" s="3" t="s">
        <v>62</v>
      </c>
      <c r="B658" s="3" t="s">
        <v>63</v>
      </c>
      <c r="C658" s="8">
        <v>2020</v>
      </c>
      <c r="D658" s="8">
        <v>9</v>
      </c>
      <c r="E658" s="3" t="str">
        <f t="shared" si="20"/>
        <v>September</v>
      </c>
      <c r="F658" s="3" t="s">
        <v>8</v>
      </c>
      <c r="G658" s="8">
        <v>1735.2488330000001</v>
      </c>
      <c r="H658" s="8">
        <v>1838.2449999999999</v>
      </c>
      <c r="I658" s="8">
        <v>102.9961673</v>
      </c>
      <c r="J658" s="8">
        <v>-87.964726150000004</v>
      </c>
      <c r="K658" s="8">
        <v>-1384.8729860000001</v>
      </c>
      <c r="L658" s="8">
        <v>1360.5664509999999</v>
      </c>
      <c r="M658" s="9" t="str">
        <f>IF(A658="",M659,A658)</f>
        <v>Botswana</v>
      </c>
      <c r="N658" s="3" t="str">
        <f t="shared" si="21"/>
        <v>Sep-2020</v>
      </c>
    </row>
    <row r="659" spans="1:14" x14ac:dyDescent="0.3">
      <c r="A659" s="3" t="s">
        <v>62</v>
      </c>
      <c r="B659" s="3" t="s">
        <v>63</v>
      </c>
      <c r="C659" s="8">
        <v>2020</v>
      </c>
      <c r="D659" s="8">
        <v>10</v>
      </c>
      <c r="E659" s="3" t="str">
        <f t="shared" si="20"/>
        <v>October</v>
      </c>
      <c r="F659" s="3" t="s">
        <v>8</v>
      </c>
      <c r="G659" s="8">
        <v>1693.8336320000001</v>
      </c>
      <c r="H659" s="8">
        <v>1761.7049999999999</v>
      </c>
      <c r="I659" s="8">
        <v>67.871368320000002</v>
      </c>
      <c r="J659" s="8">
        <v>-20.093357839999999</v>
      </c>
      <c r="K659" s="8">
        <v>-1357.4591339999999</v>
      </c>
      <c r="L659" s="8">
        <v>1428.455561</v>
      </c>
      <c r="M659" s="9" t="str">
        <f>IF(A659="",M660,A659)</f>
        <v>Botswana</v>
      </c>
      <c r="N659" s="3" t="str">
        <f t="shared" si="21"/>
        <v>Oct-2020</v>
      </c>
    </row>
    <row r="660" spans="1:14" x14ac:dyDescent="0.3">
      <c r="A660" s="3" t="s">
        <v>62</v>
      </c>
      <c r="B660" s="3" t="s">
        <v>63</v>
      </c>
      <c r="C660" s="8">
        <v>2020</v>
      </c>
      <c r="D660" s="8">
        <v>11</v>
      </c>
      <c r="E660" s="3" t="str">
        <f t="shared" si="20"/>
        <v>November</v>
      </c>
      <c r="F660" s="3" t="s">
        <v>8</v>
      </c>
      <c r="G660" s="8">
        <v>1685.889085</v>
      </c>
      <c r="H660" s="8">
        <v>1739.453</v>
      </c>
      <c r="I660" s="8">
        <v>53.563915010000002</v>
      </c>
      <c r="J660" s="8">
        <v>33.470557169999999</v>
      </c>
      <c r="K660" s="8">
        <v>-1440.9428210000001</v>
      </c>
      <c r="L660" s="8">
        <v>1557.9404629999999</v>
      </c>
      <c r="M660" s="9" t="str">
        <f>IF(A660="",M661,A660)</f>
        <v>Botswana</v>
      </c>
      <c r="N660" s="3" t="str">
        <f t="shared" si="21"/>
        <v>Nov-2020</v>
      </c>
    </row>
    <row r="661" spans="1:14" x14ac:dyDescent="0.3">
      <c r="A661" s="3" t="s">
        <v>62</v>
      </c>
      <c r="B661" s="3" t="s">
        <v>63</v>
      </c>
      <c r="C661" s="8">
        <v>2020</v>
      </c>
      <c r="D661" s="8">
        <v>12</v>
      </c>
      <c r="E661" s="3" t="str">
        <f t="shared" si="20"/>
        <v>December</v>
      </c>
      <c r="F661" s="3" t="s">
        <v>8</v>
      </c>
      <c r="G661" s="8">
        <v>1683.7625800000001</v>
      </c>
      <c r="H661" s="8">
        <v>1758.021</v>
      </c>
      <c r="I661" s="8">
        <v>74.258419669999995</v>
      </c>
      <c r="J661" s="8">
        <v>107.7289768</v>
      </c>
      <c r="K661" s="8">
        <v>-1407.3193690000001</v>
      </c>
      <c r="L661" s="8">
        <v>1797.097497</v>
      </c>
      <c r="M661" s="9" t="str">
        <f>IF(A661="",M662,A661)</f>
        <v>Botswana</v>
      </c>
      <c r="N661" s="3" t="str">
        <f t="shared" si="21"/>
        <v>Dec-2020</v>
      </c>
    </row>
    <row r="662" spans="1:14" x14ac:dyDescent="0.3">
      <c r="A662" s="3" t="s">
        <v>62</v>
      </c>
      <c r="B662" s="3" t="s">
        <v>63</v>
      </c>
      <c r="C662" s="8">
        <v>2021</v>
      </c>
      <c r="D662" s="8">
        <v>1</v>
      </c>
      <c r="E662" s="3" t="str">
        <f t="shared" si="20"/>
        <v>January</v>
      </c>
      <c r="F662" s="3" t="s">
        <v>8</v>
      </c>
      <c r="G662" s="8">
        <v>1686.869138</v>
      </c>
      <c r="H662" s="8">
        <v>1987.5540000000001</v>
      </c>
      <c r="I662" s="8">
        <v>300.68486209999998</v>
      </c>
      <c r="J662" s="8">
        <v>408.413839</v>
      </c>
      <c r="K662" s="8">
        <v>-1140.2973219999999</v>
      </c>
      <c r="L662" s="8">
        <v>2115.0410320000001</v>
      </c>
      <c r="M662" s="9" t="str">
        <f>IF(A662="",M663,A662)</f>
        <v>Botswana</v>
      </c>
      <c r="N662" s="3" t="str">
        <f t="shared" si="21"/>
        <v>Jan-2021</v>
      </c>
    </row>
    <row r="663" spans="1:14" x14ac:dyDescent="0.3">
      <c r="A663" s="3" t="s">
        <v>62</v>
      </c>
      <c r="B663" s="3" t="s">
        <v>63</v>
      </c>
      <c r="C663" s="8">
        <v>2021</v>
      </c>
      <c r="D663" s="8">
        <v>2</v>
      </c>
      <c r="E663" s="3" t="str">
        <f t="shared" si="20"/>
        <v>February</v>
      </c>
      <c r="F663" s="3" t="s">
        <v>8</v>
      </c>
      <c r="G663" s="8">
        <v>1695.1569050000001</v>
      </c>
      <c r="H663" s="8">
        <v>2174.0129999999999</v>
      </c>
      <c r="I663" s="8">
        <v>478.85609479999999</v>
      </c>
      <c r="J663" s="8">
        <v>887.26993379999999</v>
      </c>
      <c r="K663" s="8">
        <v>-767.69511490000002</v>
      </c>
      <c r="L663" s="8">
        <v>2686.6740279999999</v>
      </c>
      <c r="M663" s="9" t="str">
        <f>IF(A663="",M664,A663)</f>
        <v>Botswana</v>
      </c>
      <c r="N663" s="3" t="str">
        <f t="shared" si="21"/>
        <v>Feb-2021</v>
      </c>
    </row>
    <row r="664" spans="1:14" x14ac:dyDescent="0.3">
      <c r="A664" s="3" t="s">
        <v>62</v>
      </c>
      <c r="B664" s="3" t="s">
        <v>63</v>
      </c>
      <c r="C664" s="8">
        <v>2021</v>
      </c>
      <c r="D664" s="8">
        <v>3</v>
      </c>
      <c r="E664" s="3" t="str">
        <f t="shared" si="20"/>
        <v>March</v>
      </c>
      <c r="F664" s="3" t="s">
        <v>8</v>
      </c>
      <c r="G664" s="8">
        <v>1709.184407</v>
      </c>
      <c r="H664" s="8">
        <v>2351.8510000000001</v>
      </c>
      <c r="I664" s="8">
        <v>642.66659249999998</v>
      </c>
      <c r="J664" s="8">
        <v>1529.936526</v>
      </c>
      <c r="K664" s="8">
        <v>-259.02406309999998</v>
      </c>
      <c r="L664" s="8">
        <v>3426.2645219999999</v>
      </c>
      <c r="M664" s="9" t="str">
        <f>IF(A664="",M665,A664)</f>
        <v>Botswana</v>
      </c>
      <c r="N664" s="3" t="str">
        <f t="shared" si="21"/>
        <v>Mar-2021</v>
      </c>
    </row>
    <row r="665" spans="1:14" x14ac:dyDescent="0.3">
      <c r="A665" s="3" t="s">
        <v>62</v>
      </c>
      <c r="B665" s="3" t="s">
        <v>63</v>
      </c>
      <c r="C665" s="8">
        <v>2021</v>
      </c>
      <c r="D665" s="8">
        <v>4</v>
      </c>
      <c r="E665" s="3" t="str">
        <f t="shared" si="20"/>
        <v>April</v>
      </c>
      <c r="F665" s="3" t="s">
        <v>8</v>
      </c>
      <c r="G665" s="8">
        <v>1740.0128199999999</v>
      </c>
      <c r="H665" s="8">
        <v>2165.694</v>
      </c>
      <c r="I665" s="8">
        <v>425.68117990000002</v>
      </c>
      <c r="J665" s="8">
        <v>1955.617706</v>
      </c>
      <c r="K665" s="8">
        <v>51.903781029999998</v>
      </c>
      <c r="L665" s="8">
        <v>3920.1625770000001</v>
      </c>
      <c r="M665" s="9" t="str">
        <f>IF(A665="",M666,A665)</f>
        <v>Botswana</v>
      </c>
      <c r="N665" s="3" t="str">
        <f t="shared" si="21"/>
        <v>Apr-2021</v>
      </c>
    </row>
    <row r="666" spans="1:14" x14ac:dyDescent="0.3">
      <c r="A666" s="3" t="s">
        <v>62</v>
      </c>
      <c r="B666" s="3" t="s">
        <v>63</v>
      </c>
      <c r="C666" s="8">
        <v>2021</v>
      </c>
      <c r="D666" s="8">
        <v>5</v>
      </c>
      <c r="E666" s="3" t="str">
        <f t="shared" si="20"/>
        <v>May</v>
      </c>
      <c r="F666" s="3" t="s">
        <v>8</v>
      </c>
      <c r="G666" s="8">
        <v>1780.3661999999999</v>
      </c>
      <c r="H666" s="8">
        <v>2177.0639999999999</v>
      </c>
      <c r="I666" s="8">
        <v>396.69780020000002</v>
      </c>
      <c r="J666" s="8">
        <v>2352.3155059999999</v>
      </c>
      <c r="K666" s="8">
        <v>345.11883669999997</v>
      </c>
      <c r="L666" s="8">
        <v>4359.1632769999997</v>
      </c>
      <c r="M666" s="9" t="str">
        <f>IF(A666="",M667,A666)</f>
        <v>Botswana</v>
      </c>
      <c r="N666" s="3" t="str">
        <f t="shared" si="21"/>
        <v>May-2021</v>
      </c>
    </row>
    <row r="667" spans="1:14" x14ac:dyDescent="0.3">
      <c r="A667" s="3" t="s">
        <v>62</v>
      </c>
      <c r="B667" s="3" t="s">
        <v>63</v>
      </c>
      <c r="C667" s="8">
        <v>2021</v>
      </c>
      <c r="D667" s="8">
        <v>6</v>
      </c>
      <c r="E667" s="3" t="str">
        <f t="shared" si="20"/>
        <v>June</v>
      </c>
      <c r="F667" s="3" t="s">
        <v>8</v>
      </c>
      <c r="G667" s="8">
        <v>1814.8982860000001</v>
      </c>
      <c r="H667" s="8">
        <v>2474.4409999999998</v>
      </c>
      <c r="I667" s="8">
        <v>659.54271389999997</v>
      </c>
      <c r="J667" s="8">
        <v>3011.8582200000001</v>
      </c>
      <c r="K667" s="8">
        <v>815.42768190000004</v>
      </c>
      <c r="L667" s="8">
        <v>5204.6118589999996</v>
      </c>
      <c r="M667" s="9" t="str">
        <f>IF(A667="",M668,A667)</f>
        <v>Botswana</v>
      </c>
      <c r="N667" s="3" t="str">
        <f t="shared" si="21"/>
        <v>Jun-2021</v>
      </c>
    </row>
    <row r="668" spans="1:14" x14ac:dyDescent="0.3">
      <c r="A668" s="3" t="s">
        <v>62</v>
      </c>
      <c r="B668" s="3" t="s">
        <v>63</v>
      </c>
      <c r="C668" s="8">
        <v>2021</v>
      </c>
      <c r="D668" s="8">
        <v>7</v>
      </c>
      <c r="E668" s="3" t="str">
        <f t="shared" si="20"/>
        <v>July</v>
      </c>
      <c r="F668" s="3" t="s">
        <v>8</v>
      </c>
      <c r="G668" s="8">
        <v>1821.3439530000001</v>
      </c>
      <c r="H668" s="8">
        <v>2818.0549999999998</v>
      </c>
      <c r="I668" s="8">
        <v>996.71104700000001</v>
      </c>
      <c r="J668" s="8">
        <v>4008.5692669999999</v>
      </c>
      <c r="K668" s="8">
        <v>1665.426948</v>
      </c>
      <c r="L668" s="8">
        <v>6294.1726710000003</v>
      </c>
      <c r="M668" s="9" t="str">
        <f>IF(A668="",M669,A668)</f>
        <v>Botswana</v>
      </c>
      <c r="N668" s="3" t="str">
        <f t="shared" si="21"/>
        <v>Jul-2021</v>
      </c>
    </row>
    <row r="669" spans="1:14" x14ac:dyDescent="0.3">
      <c r="A669" s="3" t="s">
        <v>62</v>
      </c>
      <c r="B669" s="3" t="s">
        <v>63</v>
      </c>
      <c r="C669" s="8">
        <v>2021</v>
      </c>
      <c r="D669" s="8">
        <v>8</v>
      </c>
      <c r="E669" s="3" t="str">
        <f t="shared" si="20"/>
        <v>August</v>
      </c>
      <c r="F669" s="3" t="s">
        <v>8</v>
      </c>
      <c r="G669" s="8">
        <v>1796.13006</v>
      </c>
      <c r="H669" s="8">
        <v>3313.799</v>
      </c>
      <c r="I669" s="8">
        <v>1517.66894</v>
      </c>
      <c r="J669" s="8">
        <v>5526.2382070000003</v>
      </c>
      <c r="K669" s="8">
        <v>3020.4558860000002</v>
      </c>
      <c r="L669" s="8">
        <v>8002.1220139999996</v>
      </c>
      <c r="M669" s="9" t="str">
        <f>IF(A669="",M670,A669)</f>
        <v>Botswana</v>
      </c>
      <c r="N669" s="3" t="str">
        <f t="shared" si="21"/>
        <v>Aug-2021</v>
      </c>
    </row>
    <row r="670" spans="1:14" x14ac:dyDescent="0.3">
      <c r="A670" s="3" t="s">
        <v>62</v>
      </c>
      <c r="B670" s="3" t="s">
        <v>63</v>
      </c>
      <c r="C670" s="8">
        <v>2021</v>
      </c>
      <c r="D670" s="8">
        <v>9</v>
      </c>
      <c r="E670" s="3" t="str">
        <f t="shared" si="20"/>
        <v>September</v>
      </c>
      <c r="F670" s="3" t="s">
        <v>8</v>
      </c>
      <c r="G670" s="8">
        <v>1741.9267139999999</v>
      </c>
      <c r="H670" s="8">
        <v>2214.7359999999999</v>
      </c>
      <c r="I670" s="8">
        <v>472.80928590000002</v>
      </c>
      <c r="J670" s="8">
        <v>5999.047493</v>
      </c>
      <c r="K670" s="8">
        <v>3569.676062</v>
      </c>
      <c r="L670" s="8">
        <v>8598.4711950000001</v>
      </c>
      <c r="M670" s="9" t="str">
        <f>IF(A670="",M671,A670)</f>
        <v>Botswana</v>
      </c>
      <c r="N670" s="3" t="str">
        <f t="shared" si="21"/>
        <v>Sep-2021</v>
      </c>
    </row>
    <row r="671" spans="1:14" x14ac:dyDescent="0.3">
      <c r="A671" s="3" t="s">
        <v>62</v>
      </c>
      <c r="B671" s="3" t="s">
        <v>63</v>
      </c>
      <c r="C671" s="8">
        <v>2021</v>
      </c>
      <c r="D671" s="8">
        <v>10</v>
      </c>
      <c r="E671" s="3" t="str">
        <f t="shared" si="20"/>
        <v>October</v>
      </c>
      <c r="F671" s="3" t="s">
        <v>8</v>
      </c>
      <c r="G671" s="8">
        <v>1702.4960960000001</v>
      </c>
      <c r="H671" s="8">
        <v>1932.479</v>
      </c>
      <c r="I671" s="8">
        <v>229.98290370000001</v>
      </c>
      <c r="J671" s="8">
        <v>6229.0303970000004</v>
      </c>
      <c r="K671" s="8">
        <v>3720.7124869999998</v>
      </c>
      <c r="L671" s="8">
        <v>8863.4859610000003</v>
      </c>
      <c r="M671" s="9" t="str">
        <f>IF(A671="",M672,A671)</f>
        <v>Botswana</v>
      </c>
      <c r="N671" s="3" t="str">
        <f t="shared" si="21"/>
        <v>Oct-2021</v>
      </c>
    </row>
    <row r="672" spans="1:14" x14ac:dyDescent="0.3">
      <c r="A672" s="3" t="s">
        <v>62</v>
      </c>
      <c r="B672" s="3" t="s">
        <v>63</v>
      </c>
      <c r="C672" s="8">
        <v>2021</v>
      </c>
      <c r="D672" s="8">
        <v>11</v>
      </c>
      <c r="E672" s="3" t="str">
        <f t="shared" si="20"/>
        <v>November</v>
      </c>
      <c r="F672" s="3" t="s">
        <v>8</v>
      </c>
      <c r="G672" s="8">
        <v>1695.077806</v>
      </c>
      <c r="H672" s="8">
        <v>1786.2360000000001</v>
      </c>
      <c r="I672" s="8">
        <v>91.158193560000001</v>
      </c>
      <c r="J672" s="8">
        <v>6320.1885910000001</v>
      </c>
      <c r="K672" s="8">
        <v>3685.8151109999999</v>
      </c>
      <c r="L672" s="8">
        <v>9060.2020699999994</v>
      </c>
      <c r="M672" s="9" t="str">
        <f>IF(A672="",M673,A672)</f>
        <v>Botswana</v>
      </c>
      <c r="N672" s="3" t="str">
        <f t="shared" si="21"/>
        <v>Nov-2021</v>
      </c>
    </row>
    <row r="673" spans="1:14" x14ac:dyDescent="0.3">
      <c r="A673" s="3" t="s">
        <v>62</v>
      </c>
      <c r="B673" s="3" t="s">
        <v>63</v>
      </c>
      <c r="C673" s="8">
        <v>2021</v>
      </c>
      <c r="D673" s="8">
        <v>12</v>
      </c>
      <c r="E673" s="3" t="str">
        <f t="shared" si="20"/>
        <v>December</v>
      </c>
      <c r="F673" s="3" t="s">
        <v>8</v>
      </c>
      <c r="G673" s="8">
        <v>1693.0877170000001</v>
      </c>
      <c r="H673" s="8">
        <v>1846.277</v>
      </c>
      <c r="I673" s="8">
        <v>153.18928249999999</v>
      </c>
      <c r="J673" s="8">
        <v>6473.3778730000004</v>
      </c>
      <c r="K673" s="8">
        <v>3812.863652</v>
      </c>
      <c r="L673" s="8">
        <v>9245.6100110000007</v>
      </c>
      <c r="M673" s="9" t="str">
        <f>IF(A673="",M674,A673)</f>
        <v>Botswana</v>
      </c>
      <c r="N673" s="3" t="str">
        <f t="shared" si="21"/>
        <v>Dec-2021</v>
      </c>
    </row>
    <row r="674" spans="1:14" x14ac:dyDescent="0.3">
      <c r="A674" s="3" t="s">
        <v>64</v>
      </c>
      <c r="B674" s="3" t="s">
        <v>65</v>
      </c>
      <c r="C674" s="8">
        <v>2020</v>
      </c>
      <c r="D674" s="8">
        <v>1</v>
      </c>
      <c r="E674" s="3" t="str">
        <f t="shared" si="20"/>
        <v>January</v>
      </c>
      <c r="F674" s="3" t="s">
        <v>8</v>
      </c>
      <c r="G674" s="8">
        <v>4644.2012580000001</v>
      </c>
      <c r="H674" s="8">
        <v>4677.6229999999996</v>
      </c>
      <c r="I674" s="8">
        <v>33.421741789999999</v>
      </c>
      <c r="J674" s="8">
        <v>33.421741789999999</v>
      </c>
      <c r="K674" s="8">
        <v>-1095.689384</v>
      </c>
      <c r="L674" s="8">
        <v>1592.3105929999999</v>
      </c>
      <c r="M674" s="9" t="str">
        <f>IF(A674="",M675,A674)</f>
        <v>Central African Republic</v>
      </c>
      <c r="N674" s="3" t="str">
        <f t="shared" si="21"/>
        <v>Jan-2020</v>
      </c>
    </row>
    <row r="675" spans="1:14" x14ac:dyDescent="0.3">
      <c r="A675" s="3" t="s">
        <v>64</v>
      </c>
      <c r="B675" s="3" t="s">
        <v>65</v>
      </c>
      <c r="C675" s="8">
        <v>2020</v>
      </c>
      <c r="D675" s="8">
        <v>2</v>
      </c>
      <c r="E675" s="3" t="str">
        <f t="shared" si="20"/>
        <v>February</v>
      </c>
      <c r="F675" s="3" t="s">
        <v>8</v>
      </c>
      <c r="G675" s="8">
        <v>4576.9510039999996</v>
      </c>
      <c r="H675" s="8">
        <v>4591.0640000000003</v>
      </c>
      <c r="I675" s="8">
        <v>14.112995809999999</v>
      </c>
      <c r="J675" s="8">
        <v>47.5347376</v>
      </c>
      <c r="K675" s="8">
        <v>-1713.99146</v>
      </c>
      <c r="L675" s="8">
        <v>2089.4109870000002</v>
      </c>
      <c r="M675" s="9" t="str">
        <f>IF(A675="",M676,A675)</f>
        <v>Central African Republic</v>
      </c>
      <c r="N675" s="3" t="str">
        <f t="shared" si="21"/>
        <v>Feb-2020</v>
      </c>
    </row>
    <row r="676" spans="1:14" x14ac:dyDescent="0.3">
      <c r="A676" s="3" t="s">
        <v>64</v>
      </c>
      <c r="B676" s="3" t="s">
        <v>65</v>
      </c>
      <c r="C676" s="8">
        <v>2020</v>
      </c>
      <c r="D676" s="8">
        <v>3</v>
      </c>
      <c r="E676" s="3" t="str">
        <f t="shared" si="20"/>
        <v>March</v>
      </c>
      <c r="F676" s="3" t="s">
        <v>8</v>
      </c>
      <c r="G676" s="8">
        <v>4532.1574149999997</v>
      </c>
      <c r="H676" s="8">
        <v>4551.9369999999999</v>
      </c>
      <c r="I676" s="8">
        <v>19.779585000000001</v>
      </c>
      <c r="J676" s="8">
        <v>67.314322599999997</v>
      </c>
      <c r="K676" s="8">
        <v>-2068.54034</v>
      </c>
      <c r="L676" s="8">
        <v>2476.5900329999999</v>
      </c>
      <c r="M676" s="9" t="str">
        <f>IF(A676="",M677,A676)</f>
        <v>Central African Republic</v>
      </c>
      <c r="N676" s="3" t="str">
        <f t="shared" si="21"/>
        <v>Mar-2020</v>
      </c>
    </row>
    <row r="677" spans="1:14" x14ac:dyDescent="0.3">
      <c r="A677" s="3" t="s">
        <v>64</v>
      </c>
      <c r="B677" s="3" t="s">
        <v>65</v>
      </c>
      <c r="C677" s="8">
        <v>2020</v>
      </c>
      <c r="D677" s="8">
        <v>4</v>
      </c>
      <c r="E677" s="3" t="str">
        <f t="shared" si="20"/>
        <v>April</v>
      </c>
      <c r="F677" s="3" t="s">
        <v>8</v>
      </c>
      <c r="G677" s="8">
        <v>4536.9068690000004</v>
      </c>
      <c r="H677" s="8">
        <v>4300.8230000000003</v>
      </c>
      <c r="I677" s="8">
        <v>-236.0838693</v>
      </c>
      <c r="J677" s="8">
        <v>-168.76954670000001</v>
      </c>
      <c r="K677" s="8">
        <v>-2606.703739</v>
      </c>
      <c r="L677" s="8">
        <v>2621.8082989999998</v>
      </c>
      <c r="M677" s="9" t="str">
        <f>IF(A677="",M678,A677)</f>
        <v>Central African Republic</v>
      </c>
      <c r="N677" s="3" t="str">
        <f t="shared" si="21"/>
        <v>Apr-2020</v>
      </c>
    </row>
    <row r="678" spans="1:14" x14ac:dyDescent="0.3">
      <c r="A678" s="3" t="s">
        <v>64</v>
      </c>
      <c r="B678" s="3" t="s">
        <v>65</v>
      </c>
      <c r="C678" s="8">
        <v>2020</v>
      </c>
      <c r="D678" s="8">
        <v>5</v>
      </c>
      <c r="E678" s="3" t="str">
        <f t="shared" si="20"/>
        <v>May</v>
      </c>
      <c r="F678" s="3" t="s">
        <v>8</v>
      </c>
      <c r="G678" s="8">
        <v>4573.4051019999997</v>
      </c>
      <c r="H678" s="8">
        <v>4626.2780000000002</v>
      </c>
      <c r="I678" s="8">
        <v>52.872897590000001</v>
      </c>
      <c r="J678" s="8">
        <v>-115.8966492</v>
      </c>
      <c r="K678" s="8">
        <v>-2772.707445</v>
      </c>
      <c r="L678" s="8">
        <v>2846.6646470000001</v>
      </c>
      <c r="M678" s="9" t="str">
        <f>IF(A678="",M679,A678)</f>
        <v>Central African Republic</v>
      </c>
      <c r="N678" s="3" t="str">
        <f t="shared" si="21"/>
        <v>May-2020</v>
      </c>
    </row>
    <row r="679" spans="1:14" x14ac:dyDescent="0.3">
      <c r="A679" s="3" t="s">
        <v>64</v>
      </c>
      <c r="B679" s="3" t="s">
        <v>65</v>
      </c>
      <c r="C679" s="8">
        <v>2020</v>
      </c>
      <c r="D679" s="8">
        <v>6</v>
      </c>
      <c r="E679" s="3" t="str">
        <f t="shared" si="20"/>
        <v>June</v>
      </c>
      <c r="F679" s="3" t="s">
        <v>8</v>
      </c>
      <c r="G679" s="8">
        <v>4612.2405310000004</v>
      </c>
      <c r="H679" s="8">
        <v>5253.835</v>
      </c>
      <c r="I679" s="8">
        <v>641.59446909999997</v>
      </c>
      <c r="J679" s="8">
        <v>525.69781990000001</v>
      </c>
      <c r="K679" s="8">
        <v>-2526.8301409999999</v>
      </c>
      <c r="L679" s="8">
        <v>3937.1702829999999</v>
      </c>
      <c r="M679" s="9" t="str">
        <f>IF(A679="",M680,A679)</f>
        <v>Central African Republic</v>
      </c>
      <c r="N679" s="3" t="str">
        <f t="shared" si="21"/>
        <v>Jun-2020</v>
      </c>
    </row>
    <row r="680" spans="1:14" x14ac:dyDescent="0.3">
      <c r="A680" s="3" t="s">
        <v>64</v>
      </c>
      <c r="B680" s="3" t="s">
        <v>65</v>
      </c>
      <c r="C680" s="8">
        <v>2020</v>
      </c>
      <c r="D680" s="8">
        <v>7</v>
      </c>
      <c r="E680" s="3" t="str">
        <f t="shared" si="20"/>
        <v>July</v>
      </c>
      <c r="F680" s="3" t="s">
        <v>8</v>
      </c>
      <c r="G680" s="8">
        <v>4643.7602360000001</v>
      </c>
      <c r="H680" s="8">
        <v>5070.9459999999999</v>
      </c>
      <c r="I680" s="8">
        <v>427.18576409999997</v>
      </c>
      <c r="J680" s="8">
        <v>952.88358400000004</v>
      </c>
      <c r="K680" s="8">
        <v>-2361.2331949999998</v>
      </c>
      <c r="L680" s="8">
        <v>4757.0870400000003</v>
      </c>
      <c r="M680" s="9" t="str">
        <f>IF(A680="",M681,A680)</f>
        <v>Central African Republic</v>
      </c>
      <c r="N680" s="3" t="str">
        <f t="shared" si="21"/>
        <v>Jul-2020</v>
      </c>
    </row>
    <row r="681" spans="1:14" x14ac:dyDescent="0.3">
      <c r="A681" s="3" t="s">
        <v>64</v>
      </c>
      <c r="B681" s="3" t="s">
        <v>65</v>
      </c>
      <c r="C681" s="8">
        <v>2020</v>
      </c>
      <c r="D681" s="8">
        <v>8</v>
      </c>
      <c r="E681" s="3" t="str">
        <f t="shared" si="20"/>
        <v>August</v>
      </c>
      <c r="F681" s="3" t="s">
        <v>8</v>
      </c>
      <c r="G681" s="8">
        <v>4650.8748589999996</v>
      </c>
      <c r="H681" s="8">
        <v>5008.5559999999996</v>
      </c>
      <c r="I681" s="8">
        <v>357.68114070000001</v>
      </c>
      <c r="J681" s="8">
        <v>1310.564725</v>
      </c>
      <c r="K681" s="8">
        <v>-2092.6362210000002</v>
      </c>
      <c r="L681" s="8">
        <v>5215.4711719999996</v>
      </c>
      <c r="M681" s="9" t="str">
        <f>IF(A681="",M682,A681)</f>
        <v>Central African Republic</v>
      </c>
      <c r="N681" s="3" t="str">
        <f t="shared" si="21"/>
        <v>Aug-2020</v>
      </c>
    </row>
    <row r="682" spans="1:14" x14ac:dyDescent="0.3">
      <c r="A682" s="3" t="s">
        <v>64</v>
      </c>
      <c r="B682" s="3" t="s">
        <v>65</v>
      </c>
      <c r="C682" s="8">
        <v>2020</v>
      </c>
      <c r="D682" s="8">
        <v>9</v>
      </c>
      <c r="E682" s="3" t="str">
        <f t="shared" si="20"/>
        <v>September</v>
      </c>
      <c r="F682" s="3" t="s">
        <v>8</v>
      </c>
      <c r="G682" s="8">
        <v>4643.8718349999999</v>
      </c>
      <c r="H682" s="8">
        <v>4913.8720000000003</v>
      </c>
      <c r="I682" s="8">
        <v>270.00016549999998</v>
      </c>
      <c r="J682" s="8">
        <v>1580.5648900000001</v>
      </c>
      <c r="K682" s="8">
        <v>-2137.9851910000002</v>
      </c>
      <c r="L682" s="8">
        <v>5671.1393770000004</v>
      </c>
      <c r="M682" s="9" t="str">
        <f>IF(A682="",M683,A682)</f>
        <v>Central African Republic</v>
      </c>
      <c r="N682" s="3" t="str">
        <f t="shared" si="21"/>
        <v>Sep-2020</v>
      </c>
    </row>
    <row r="683" spans="1:14" x14ac:dyDescent="0.3">
      <c r="A683" s="3" t="s">
        <v>64</v>
      </c>
      <c r="B683" s="3" t="s">
        <v>65</v>
      </c>
      <c r="C683" s="8">
        <v>2020</v>
      </c>
      <c r="D683" s="8">
        <v>10</v>
      </c>
      <c r="E683" s="3" t="str">
        <f t="shared" si="20"/>
        <v>October</v>
      </c>
      <c r="F683" s="3" t="s">
        <v>8</v>
      </c>
      <c r="G683" s="8">
        <v>4623.0207460000001</v>
      </c>
      <c r="H683" s="8">
        <v>4824.2349999999997</v>
      </c>
      <c r="I683" s="8">
        <v>201.2142537</v>
      </c>
      <c r="J683" s="8">
        <v>1781.7791440000001</v>
      </c>
      <c r="K683" s="8">
        <v>-2063.9473760000001</v>
      </c>
      <c r="L683" s="8">
        <v>6323.1666230000001</v>
      </c>
      <c r="M683" s="9" t="str">
        <f>IF(A683="",M684,A683)</f>
        <v>Central African Republic</v>
      </c>
      <c r="N683" s="3" t="str">
        <f t="shared" si="21"/>
        <v>Oct-2020</v>
      </c>
    </row>
    <row r="684" spans="1:14" x14ac:dyDescent="0.3">
      <c r="A684" s="3" t="s">
        <v>64</v>
      </c>
      <c r="B684" s="3" t="s">
        <v>65</v>
      </c>
      <c r="C684" s="8">
        <v>2020</v>
      </c>
      <c r="D684" s="8">
        <v>11</v>
      </c>
      <c r="E684" s="3" t="str">
        <f t="shared" si="20"/>
        <v>November</v>
      </c>
      <c r="F684" s="3" t="s">
        <v>8</v>
      </c>
      <c r="G684" s="8">
        <v>4624.8001270000004</v>
      </c>
      <c r="H684" s="8">
        <v>4762.7479999999996</v>
      </c>
      <c r="I684" s="8">
        <v>137.94787260000001</v>
      </c>
      <c r="J684" s="8">
        <v>1919.727016</v>
      </c>
      <c r="K684" s="8">
        <v>-2160.969188</v>
      </c>
      <c r="L684" s="8">
        <v>6488.7447410000004</v>
      </c>
      <c r="M684" s="9" t="str">
        <f>IF(A684="",M685,A684)</f>
        <v>Central African Republic</v>
      </c>
      <c r="N684" s="3" t="str">
        <f t="shared" si="21"/>
        <v>Nov-2020</v>
      </c>
    </row>
    <row r="685" spans="1:14" x14ac:dyDescent="0.3">
      <c r="A685" s="3" t="s">
        <v>64</v>
      </c>
      <c r="B685" s="3" t="s">
        <v>65</v>
      </c>
      <c r="C685" s="8">
        <v>2020</v>
      </c>
      <c r="D685" s="8">
        <v>12</v>
      </c>
      <c r="E685" s="3" t="str">
        <f t="shared" si="20"/>
        <v>December</v>
      </c>
      <c r="F685" s="3" t="s">
        <v>8</v>
      </c>
      <c r="G685" s="8">
        <v>4623.0817319999996</v>
      </c>
      <c r="H685" s="8">
        <v>4733.3410000000003</v>
      </c>
      <c r="I685" s="8">
        <v>110.25926800000001</v>
      </c>
      <c r="J685" s="8">
        <v>2029.9862840000001</v>
      </c>
      <c r="K685" s="8">
        <v>-2294.5615250000001</v>
      </c>
      <c r="L685" s="8">
        <v>6835.5355939999999</v>
      </c>
      <c r="M685" s="9" t="str">
        <f>IF(A685="",M686,A685)</f>
        <v>Central African Republic</v>
      </c>
      <c r="N685" s="3" t="str">
        <f t="shared" si="21"/>
        <v>Dec-2020</v>
      </c>
    </row>
    <row r="686" spans="1:14" x14ac:dyDescent="0.3">
      <c r="A686" s="3" t="s">
        <v>64</v>
      </c>
      <c r="B686" s="3" t="s">
        <v>65</v>
      </c>
      <c r="C686" s="8">
        <v>2021</v>
      </c>
      <c r="D686" s="8">
        <v>1</v>
      </c>
      <c r="E686" s="3" t="str">
        <f t="shared" si="20"/>
        <v>January</v>
      </c>
      <c r="F686" s="3" t="s">
        <v>8</v>
      </c>
      <c r="G686" s="8">
        <v>4532.7652850000004</v>
      </c>
      <c r="H686" s="8">
        <v>4760.0529999999999</v>
      </c>
      <c r="I686" s="8">
        <v>227.2877153</v>
      </c>
      <c r="J686" s="8">
        <v>2257.2739999999999</v>
      </c>
      <c r="K686" s="8">
        <v>-2212.617197</v>
      </c>
      <c r="L686" s="8">
        <v>7217.7321840000004</v>
      </c>
      <c r="M686" s="9" t="str">
        <f>IF(A686="",M687,A686)</f>
        <v>Central African Republic</v>
      </c>
      <c r="N686" s="3" t="str">
        <f t="shared" si="21"/>
        <v>Jan-2021</v>
      </c>
    </row>
    <row r="687" spans="1:14" x14ac:dyDescent="0.3">
      <c r="A687" s="3" t="s">
        <v>64</v>
      </c>
      <c r="B687" s="3" t="s">
        <v>65</v>
      </c>
      <c r="C687" s="8">
        <v>2021</v>
      </c>
      <c r="D687" s="8">
        <v>2</v>
      </c>
      <c r="E687" s="3" t="str">
        <f t="shared" si="20"/>
        <v>February</v>
      </c>
      <c r="F687" s="3" t="s">
        <v>8</v>
      </c>
      <c r="G687" s="8">
        <v>4469.0149030000002</v>
      </c>
      <c r="H687" s="8">
        <v>4814.6419999999998</v>
      </c>
      <c r="I687" s="8">
        <v>345.62709660000002</v>
      </c>
      <c r="J687" s="8">
        <v>2602.9010960000001</v>
      </c>
      <c r="K687" s="8">
        <v>-2147.725195</v>
      </c>
      <c r="L687" s="8">
        <v>7892.3577150000001</v>
      </c>
      <c r="M687" s="9" t="str">
        <f>IF(A687="",M688,A687)</f>
        <v>Central African Republic</v>
      </c>
      <c r="N687" s="3" t="str">
        <f t="shared" si="21"/>
        <v>Feb-2021</v>
      </c>
    </row>
    <row r="688" spans="1:14" x14ac:dyDescent="0.3">
      <c r="A688" s="3" t="s">
        <v>64</v>
      </c>
      <c r="B688" s="3" t="s">
        <v>65</v>
      </c>
      <c r="C688" s="8">
        <v>2021</v>
      </c>
      <c r="D688" s="8">
        <v>3</v>
      </c>
      <c r="E688" s="3" t="str">
        <f t="shared" si="20"/>
        <v>March</v>
      </c>
      <c r="F688" s="3" t="s">
        <v>8</v>
      </c>
      <c r="G688" s="8">
        <v>4423.9761060000001</v>
      </c>
      <c r="H688" s="8">
        <v>4967.2659999999996</v>
      </c>
      <c r="I688" s="8">
        <v>543.28989369999999</v>
      </c>
      <c r="J688" s="8">
        <v>3146.1909900000001</v>
      </c>
      <c r="K688" s="8">
        <v>-1771.2298499999999</v>
      </c>
      <c r="L688" s="8">
        <v>8820.9204310000005</v>
      </c>
      <c r="M688" s="9" t="str">
        <f>IF(A688="",M689,A688)</f>
        <v>Central African Republic</v>
      </c>
      <c r="N688" s="3" t="str">
        <f t="shared" si="21"/>
        <v>Mar-2021</v>
      </c>
    </row>
    <row r="689" spans="1:14" x14ac:dyDescent="0.3">
      <c r="A689" s="3" t="s">
        <v>64</v>
      </c>
      <c r="B689" s="3" t="s">
        <v>65</v>
      </c>
      <c r="C689" s="8">
        <v>2021</v>
      </c>
      <c r="D689" s="8">
        <v>4</v>
      </c>
      <c r="E689" s="3" t="str">
        <f t="shared" si="20"/>
        <v>April</v>
      </c>
      <c r="F689" s="3" t="s">
        <v>8</v>
      </c>
      <c r="G689" s="8">
        <v>4425.9344899999996</v>
      </c>
      <c r="H689" s="8">
        <v>4974.3950000000004</v>
      </c>
      <c r="I689" s="8">
        <v>548.46050979999995</v>
      </c>
      <c r="J689" s="8">
        <v>3694.6514999999999</v>
      </c>
      <c r="K689" s="8">
        <v>-1417.6495769999999</v>
      </c>
      <c r="L689" s="8">
        <v>9577.1284739999992</v>
      </c>
      <c r="M689" s="9" t="str">
        <f>IF(A689="",M690,A689)</f>
        <v>Central African Republic</v>
      </c>
      <c r="N689" s="3" t="str">
        <f t="shared" si="21"/>
        <v>Apr-2021</v>
      </c>
    </row>
    <row r="690" spans="1:14" x14ac:dyDescent="0.3">
      <c r="A690" s="3" t="s">
        <v>64</v>
      </c>
      <c r="B690" s="3" t="s">
        <v>65</v>
      </c>
      <c r="C690" s="8">
        <v>2021</v>
      </c>
      <c r="D690" s="8">
        <v>5</v>
      </c>
      <c r="E690" s="3" t="str">
        <f t="shared" si="20"/>
        <v>May</v>
      </c>
      <c r="F690" s="3" t="s">
        <v>8</v>
      </c>
      <c r="G690" s="8">
        <v>4463.385483</v>
      </c>
      <c r="H690" s="8">
        <v>5006.5249999999996</v>
      </c>
      <c r="I690" s="8">
        <v>543.13951740000005</v>
      </c>
      <c r="J690" s="8">
        <v>4237.7910169999996</v>
      </c>
      <c r="K690" s="8">
        <v>-1025.580385</v>
      </c>
      <c r="L690" s="8">
        <v>10007.913420000001</v>
      </c>
      <c r="M690" s="9" t="str">
        <f>IF(A690="",M691,A690)</f>
        <v>Central African Republic</v>
      </c>
      <c r="N690" s="3" t="str">
        <f t="shared" si="21"/>
        <v>May-2021</v>
      </c>
    </row>
    <row r="691" spans="1:14" x14ac:dyDescent="0.3">
      <c r="A691" s="3" t="s">
        <v>64</v>
      </c>
      <c r="B691" s="3" t="s">
        <v>65</v>
      </c>
      <c r="C691" s="8">
        <v>2021</v>
      </c>
      <c r="D691" s="8">
        <v>6</v>
      </c>
      <c r="E691" s="3" t="str">
        <f t="shared" si="20"/>
        <v>June</v>
      </c>
      <c r="F691" s="3" t="s">
        <v>8</v>
      </c>
      <c r="G691" s="8">
        <v>4497.9859390000001</v>
      </c>
      <c r="H691" s="8">
        <v>4986.8649999999998</v>
      </c>
      <c r="I691" s="8">
        <v>488.8790606</v>
      </c>
      <c r="J691" s="8">
        <v>4726.6700780000001</v>
      </c>
      <c r="K691" s="8">
        <v>-640.17202339999994</v>
      </c>
      <c r="L691" s="8">
        <v>10795.255730000001</v>
      </c>
      <c r="M691" s="9" t="str">
        <f>IF(A691="",M692,A691)</f>
        <v>Central African Republic</v>
      </c>
      <c r="N691" s="3" t="str">
        <f t="shared" si="21"/>
        <v>Jun-2021</v>
      </c>
    </row>
    <row r="692" spans="1:14" x14ac:dyDescent="0.3">
      <c r="A692" s="3" t="s">
        <v>64</v>
      </c>
      <c r="B692" s="3" t="s">
        <v>65</v>
      </c>
      <c r="C692" s="8">
        <v>2021</v>
      </c>
      <c r="D692" s="8">
        <v>7</v>
      </c>
      <c r="E692" s="3" t="str">
        <f t="shared" si="20"/>
        <v>July</v>
      </c>
      <c r="F692" s="3" t="s">
        <v>8</v>
      </c>
      <c r="G692" s="8">
        <v>4531.7842490000003</v>
      </c>
      <c r="H692" s="8">
        <v>5073.8950000000004</v>
      </c>
      <c r="I692" s="8">
        <v>542.11075070000004</v>
      </c>
      <c r="J692" s="8">
        <v>5268.7808279999999</v>
      </c>
      <c r="K692" s="8">
        <v>-362.1607606</v>
      </c>
      <c r="L692" s="8">
        <v>11473.15868</v>
      </c>
      <c r="M692" s="9" t="str">
        <f>IF(A692="",M693,A692)</f>
        <v>Central African Republic</v>
      </c>
      <c r="N692" s="3" t="str">
        <f t="shared" si="21"/>
        <v>Jul-2021</v>
      </c>
    </row>
    <row r="693" spans="1:14" x14ac:dyDescent="0.3">
      <c r="A693" s="3" t="s">
        <v>64</v>
      </c>
      <c r="B693" s="3" t="s">
        <v>65</v>
      </c>
      <c r="C693" s="8">
        <v>2021</v>
      </c>
      <c r="D693" s="8">
        <v>8</v>
      </c>
      <c r="E693" s="3" t="str">
        <f t="shared" si="20"/>
        <v>August</v>
      </c>
      <c r="F693" s="3" t="s">
        <v>8</v>
      </c>
      <c r="G693" s="8">
        <v>4527.4261770000003</v>
      </c>
      <c r="H693" s="8">
        <v>4934.26</v>
      </c>
      <c r="I693" s="8">
        <v>406.83382340000003</v>
      </c>
      <c r="J693" s="8">
        <v>5675.6146520000002</v>
      </c>
      <c r="K693" s="8">
        <v>-199.7460318</v>
      </c>
      <c r="L693" s="8">
        <v>11997.00331</v>
      </c>
      <c r="M693" s="9" t="str">
        <f>IF(A693="",M694,A693)</f>
        <v>Central African Republic</v>
      </c>
      <c r="N693" s="3" t="str">
        <f t="shared" si="21"/>
        <v>Aug-2021</v>
      </c>
    </row>
    <row r="694" spans="1:14" x14ac:dyDescent="0.3">
      <c r="A694" s="3" t="s">
        <v>64</v>
      </c>
      <c r="B694" s="3" t="s">
        <v>65</v>
      </c>
      <c r="C694" s="8">
        <v>2021</v>
      </c>
      <c r="D694" s="8">
        <v>9</v>
      </c>
      <c r="E694" s="3" t="str">
        <f t="shared" si="20"/>
        <v>September</v>
      </c>
      <c r="F694" s="3" t="s">
        <v>8</v>
      </c>
      <c r="G694" s="8">
        <v>4538.4946689999997</v>
      </c>
      <c r="H694" s="8">
        <v>4760.6180000000004</v>
      </c>
      <c r="I694" s="8">
        <v>222.12333150000001</v>
      </c>
      <c r="J694" s="8">
        <v>5897.737983</v>
      </c>
      <c r="K694" s="8">
        <v>-274.57454739999997</v>
      </c>
      <c r="L694" s="8">
        <v>12192.230799999999</v>
      </c>
      <c r="M694" s="9" t="str">
        <f>IF(A694="",M695,A694)</f>
        <v>Central African Republic</v>
      </c>
      <c r="N694" s="3" t="str">
        <f t="shared" si="21"/>
        <v>Sep-2021</v>
      </c>
    </row>
    <row r="695" spans="1:14" x14ac:dyDescent="0.3">
      <c r="A695" s="3" t="s">
        <v>64</v>
      </c>
      <c r="B695" s="3" t="s">
        <v>65</v>
      </c>
      <c r="C695" s="8">
        <v>2021</v>
      </c>
      <c r="D695" s="8">
        <v>10</v>
      </c>
      <c r="E695" s="3" t="str">
        <f t="shared" si="20"/>
        <v>October</v>
      </c>
      <c r="F695" s="3" t="s">
        <v>8</v>
      </c>
      <c r="G695" s="8">
        <v>4509.7765449999997</v>
      </c>
      <c r="H695" s="8">
        <v>4624.7839999999997</v>
      </c>
      <c r="I695" s="8">
        <v>115.0074551</v>
      </c>
      <c r="J695" s="8">
        <v>6012.7454379999999</v>
      </c>
      <c r="K695" s="8">
        <v>-181.69483719999999</v>
      </c>
      <c r="L695" s="8">
        <v>12510.95903</v>
      </c>
      <c r="M695" s="9" t="str">
        <f>IF(A695="",M696,A695)</f>
        <v>Central African Republic</v>
      </c>
      <c r="N695" s="3" t="str">
        <f t="shared" si="21"/>
        <v>Oct-2021</v>
      </c>
    </row>
    <row r="696" spans="1:14" x14ac:dyDescent="0.3">
      <c r="A696" s="3" t="s">
        <v>64</v>
      </c>
      <c r="B696" s="3" t="s">
        <v>65</v>
      </c>
      <c r="C696" s="8">
        <v>2021</v>
      </c>
      <c r="D696" s="8">
        <v>11</v>
      </c>
      <c r="E696" s="3" t="str">
        <f t="shared" si="20"/>
        <v>November</v>
      </c>
      <c r="F696" s="3" t="s">
        <v>8</v>
      </c>
      <c r="G696" s="8">
        <v>4513.9152620000004</v>
      </c>
      <c r="H696" s="8">
        <v>4687.375</v>
      </c>
      <c r="I696" s="8">
        <v>173.45973789999999</v>
      </c>
      <c r="J696" s="8">
        <v>6186.2051760000004</v>
      </c>
      <c r="K696" s="8">
        <v>-237.3748195</v>
      </c>
      <c r="L696" s="8">
        <v>12536.40727</v>
      </c>
      <c r="M696" s="9" t="str">
        <f>IF(A696="",M697,A696)</f>
        <v>Central African Republic</v>
      </c>
      <c r="N696" s="3" t="str">
        <f t="shared" si="21"/>
        <v>Nov-2021</v>
      </c>
    </row>
    <row r="697" spans="1:14" x14ac:dyDescent="0.3">
      <c r="A697" s="3" t="s">
        <v>64</v>
      </c>
      <c r="B697" s="3" t="s">
        <v>65</v>
      </c>
      <c r="C697" s="8">
        <v>2021</v>
      </c>
      <c r="D697" s="8">
        <v>12</v>
      </c>
      <c r="E697" s="3" t="str">
        <f t="shared" si="20"/>
        <v>December</v>
      </c>
      <c r="F697" s="3" t="s">
        <v>8</v>
      </c>
      <c r="G697" s="8">
        <v>4501.3879189999998</v>
      </c>
      <c r="H697" s="8">
        <v>4767.0169999999998</v>
      </c>
      <c r="I697" s="8">
        <v>265.62908090000002</v>
      </c>
      <c r="J697" s="8">
        <v>6451.8342570000004</v>
      </c>
      <c r="K697" s="8">
        <v>-36.398484140000001</v>
      </c>
      <c r="L697" s="8">
        <v>12861.460709999999</v>
      </c>
      <c r="M697" s="9" t="str">
        <f>IF(A697="",M698,A697)</f>
        <v>Central African Republic</v>
      </c>
      <c r="N697" s="3" t="str">
        <f t="shared" si="21"/>
        <v>Dec-2021</v>
      </c>
    </row>
    <row r="698" spans="1:14" x14ac:dyDescent="0.3">
      <c r="A698" s="3" t="s">
        <v>66</v>
      </c>
      <c r="B698" s="3" t="s">
        <v>67</v>
      </c>
      <c r="C698" s="8">
        <v>2020</v>
      </c>
      <c r="D698" s="8">
        <v>1</v>
      </c>
      <c r="E698" s="3" t="str">
        <f t="shared" si="20"/>
        <v>January</v>
      </c>
      <c r="F698" s="3" t="s">
        <v>13</v>
      </c>
      <c r="G698" s="8">
        <v>26836.15826</v>
      </c>
      <c r="H698" s="8">
        <v>27074</v>
      </c>
      <c r="I698" s="8">
        <v>237.75840880000001</v>
      </c>
      <c r="J698" s="8">
        <v>237.75840880000001</v>
      </c>
      <c r="K698" s="8">
        <v>-437.01748450000002</v>
      </c>
      <c r="L698" s="8">
        <v>930.83768829999997</v>
      </c>
      <c r="M698" s="9" t="str">
        <f>IF(A698="",M699,A698)</f>
        <v>Canada</v>
      </c>
      <c r="N698" s="3" t="str">
        <f t="shared" si="21"/>
        <v>Jan-2020</v>
      </c>
    </row>
    <row r="699" spans="1:14" x14ac:dyDescent="0.3">
      <c r="A699" s="3" t="s">
        <v>66</v>
      </c>
      <c r="B699" s="3" t="s">
        <v>67</v>
      </c>
      <c r="C699" s="8">
        <v>2020</v>
      </c>
      <c r="D699" s="8">
        <v>2</v>
      </c>
      <c r="E699" s="3" t="str">
        <f t="shared" si="20"/>
        <v>February</v>
      </c>
      <c r="F699" s="3" t="s">
        <v>13</v>
      </c>
      <c r="G699" s="8">
        <v>24759.2271</v>
      </c>
      <c r="H699" s="8">
        <v>23925</v>
      </c>
      <c r="I699" s="8">
        <v>-834.31043620000003</v>
      </c>
      <c r="J699" s="8">
        <v>-596.55202740000004</v>
      </c>
      <c r="K699" s="8">
        <v>-1716.383904</v>
      </c>
      <c r="L699" s="8">
        <v>491.10258219999997</v>
      </c>
      <c r="M699" s="9" t="str">
        <f>IF(A699="",M700,A699)</f>
        <v>Canada</v>
      </c>
      <c r="N699" s="3" t="str">
        <f t="shared" si="21"/>
        <v>Feb-2020</v>
      </c>
    </row>
    <row r="700" spans="1:14" x14ac:dyDescent="0.3">
      <c r="A700" s="3" t="s">
        <v>66</v>
      </c>
      <c r="B700" s="3" t="s">
        <v>67</v>
      </c>
      <c r="C700" s="8">
        <v>2020</v>
      </c>
      <c r="D700" s="8">
        <v>3</v>
      </c>
      <c r="E700" s="3" t="str">
        <f t="shared" si="20"/>
        <v>March</v>
      </c>
      <c r="F700" s="3" t="s">
        <v>13</v>
      </c>
      <c r="G700" s="8">
        <v>25904.62372</v>
      </c>
      <c r="H700" s="8">
        <v>25962</v>
      </c>
      <c r="I700" s="8">
        <v>57.292947220000002</v>
      </c>
      <c r="J700" s="8">
        <v>-539.25908019999997</v>
      </c>
      <c r="K700" s="8">
        <v>-2027.7404200000001</v>
      </c>
      <c r="L700" s="8">
        <v>884.00627450000002</v>
      </c>
      <c r="M700" s="9" t="str">
        <f>IF(A700="",M701,A700)</f>
        <v>Canada</v>
      </c>
      <c r="N700" s="3" t="str">
        <f t="shared" si="21"/>
        <v>Mar-2020</v>
      </c>
    </row>
    <row r="701" spans="1:14" x14ac:dyDescent="0.3">
      <c r="A701" s="3" t="s">
        <v>66</v>
      </c>
      <c r="B701" s="3" t="s">
        <v>67</v>
      </c>
      <c r="C701" s="8">
        <v>2020</v>
      </c>
      <c r="D701" s="8">
        <v>4</v>
      </c>
      <c r="E701" s="3" t="str">
        <f t="shared" si="20"/>
        <v>April</v>
      </c>
      <c r="F701" s="3" t="s">
        <v>13</v>
      </c>
      <c r="G701" s="8">
        <v>24388.242740000002</v>
      </c>
      <c r="H701" s="8">
        <v>28686</v>
      </c>
      <c r="I701" s="8">
        <v>4297.6739260000004</v>
      </c>
      <c r="J701" s="8">
        <v>3758.4148460000001</v>
      </c>
      <c r="K701" s="8">
        <v>2144.012322</v>
      </c>
      <c r="L701" s="8">
        <v>5447.5269440000002</v>
      </c>
      <c r="M701" s="9" t="str">
        <f>IF(A701="",M702,A701)</f>
        <v>Canada</v>
      </c>
      <c r="N701" s="3" t="str">
        <f t="shared" si="21"/>
        <v>Apr-2020</v>
      </c>
    </row>
    <row r="702" spans="1:14" x14ac:dyDescent="0.3">
      <c r="A702" s="3" t="s">
        <v>66</v>
      </c>
      <c r="B702" s="3" t="s">
        <v>67</v>
      </c>
      <c r="C702" s="8">
        <v>2020</v>
      </c>
      <c r="D702" s="8">
        <v>5</v>
      </c>
      <c r="E702" s="3" t="str">
        <f t="shared" si="20"/>
        <v>May</v>
      </c>
      <c r="F702" s="3" t="s">
        <v>13</v>
      </c>
      <c r="G702" s="8">
        <v>23931.813859999998</v>
      </c>
      <c r="H702" s="8">
        <v>27134</v>
      </c>
      <c r="I702" s="8">
        <v>3202.102809</v>
      </c>
      <c r="J702" s="8">
        <v>6960.517656</v>
      </c>
      <c r="K702" s="8">
        <v>5185.8725860000004</v>
      </c>
      <c r="L702" s="8">
        <v>8762.1511179999998</v>
      </c>
      <c r="M702" s="9" t="str">
        <f>IF(A702="",M703,A702)</f>
        <v>Canada</v>
      </c>
      <c r="N702" s="3" t="str">
        <f t="shared" si="21"/>
        <v>May-2020</v>
      </c>
    </row>
    <row r="703" spans="1:14" x14ac:dyDescent="0.3">
      <c r="A703" s="3" t="s">
        <v>66</v>
      </c>
      <c r="B703" s="3" t="s">
        <v>67</v>
      </c>
      <c r="C703" s="8">
        <v>2020</v>
      </c>
      <c r="D703" s="8">
        <v>6</v>
      </c>
      <c r="E703" s="3" t="str">
        <f t="shared" si="20"/>
        <v>June</v>
      </c>
      <c r="F703" s="3" t="s">
        <v>13</v>
      </c>
      <c r="G703" s="8">
        <v>22423.536459999999</v>
      </c>
      <c r="H703" s="8">
        <v>22766</v>
      </c>
      <c r="I703" s="8">
        <v>342.38020660000001</v>
      </c>
      <c r="J703" s="8">
        <v>7302.8978619999998</v>
      </c>
      <c r="K703" s="8">
        <v>5345.9210130000001</v>
      </c>
      <c r="L703" s="8">
        <v>9321.0270459999992</v>
      </c>
      <c r="M703" s="9" t="str">
        <f>IF(A703="",M704,A703)</f>
        <v>Canada</v>
      </c>
      <c r="N703" s="3" t="str">
        <f t="shared" si="21"/>
        <v>Jun-2020</v>
      </c>
    </row>
    <row r="704" spans="1:14" x14ac:dyDescent="0.3">
      <c r="A704" s="3" t="s">
        <v>66</v>
      </c>
      <c r="B704" s="3" t="s">
        <v>67</v>
      </c>
      <c r="C704" s="8">
        <v>2020</v>
      </c>
      <c r="D704" s="8">
        <v>7</v>
      </c>
      <c r="E704" s="3" t="str">
        <f t="shared" si="20"/>
        <v>July</v>
      </c>
      <c r="F704" s="3" t="s">
        <v>13</v>
      </c>
      <c r="G704" s="8">
        <v>22816.672790000001</v>
      </c>
      <c r="H704" s="8">
        <v>23379</v>
      </c>
      <c r="I704" s="8">
        <v>562.24387309999997</v>
      </c>
      <c r="J704" s="8">
        <v>7865.1417350000002</v>
      </c>
      <c r="K704" s="8">
        <v>5810.474725</v>
      </c>
      <c r="L704" s="8">
        <v>10012.735489999999</v>
      </c>
      <c r="M704" s="9" t="str">
        <f>IF(A704="",M705,A704)</f>
        <v>Canada</v>
      </c>
      <c r="N704" s="3" t="str">
        <f t="shared" si="21"/>
        <v>Jul-2020</v>
      </c>
    </row>
    <row r="705" spans="1:14" x14ac:dyDescent="0.3">
      <c r="A705" s="3" t="s">
        <v>66</v>
      </c>
      <c r="B705" s="3" t="s">
        <v>67</v>
      </c>
      <c r="C705" s="8">
        <v>2020</v>
      </c>
      <c r="D705" s="8">
        <v>8</v>
      </c>
      <c r="E705" s="3" t="str">
        <f t="shared" si="20"/>
        <v>August</v>
      </c>
      <c r="F705" s="3" t="s">
        <v>13</v>
      </c>
      <c r="G705" s="8">
        <v>22797.653300000002</v>
      </c>
      <c r="H705" s="8">
        <v>23629</v>
      </c>
      <c r="I705" s="8">
        <v>831.26336319999996</v>
      </c>
      <c r="J705" s="8">
        <v>8696.4050979999993</v>
      </c>
      <c r="K705" s="8">
        <v>6621.6227479999998</v>
      </c>
      <c r="L705" s="8">
        <v>10886.000260000001</v>
      </c>
      <c r="M705" s="9" t="str">
        <f>IF(A705="",M706,A705)</f>
        <v>Canada</v>
      </c>
      <c r="N705" s="3" t="str">
        <f t="shared" si="21"/>
        <v>Aug-2020</v>
      </c>
    </row>
    <row r="706" spans="1:14" x14ac:dyDescent="0.3">
      <c r="A706" s="3" t="s">
        <v>66</v>
      </c>
      <c r="B706" s="3" t="s">
        <v>67</v>
      </c>
      <c r="C706" s="8">
        <v>2020</v>
      </c>
      <c r="D706" s="8">
        <v>9</v>
      </c>
      <c r="E706" s="3" t="str">
        <f t="shared" ref="E706:E769" si="22">TEXT(DATE(C706,D706,1),"MMMM")</f>
        <v>September</v>
      </c>
      <c r="F706" s="3" t="s">
        <v>13</v>
      </c>
      <c r="G706" s="8">
        <v>22778.208839999999</v>
      </c>
      <c r="H706" s="8">
        <v>23693</v>
      </c>
      <c r="I706" s="8">
        <v>914.7078262</v>
      </c>
      <c r="J706" s="8">
        <v>9611.1129249999994</v>
      </c>
      <c r="K706" s="8">
        <v>7346.143787</v>
      </c>
      <c r="L706" s="8">
        <v>11893.66303</v>
      </c>
      <c r="M706" s="9" t="str">
        <f>IF(A706="",M707,A706)</f>
        <v>Canada</v>
      </c>
      <c r="N706" s="3" t="str">
        <f t="shared" ref="N706:N769" si="23">TEXT(DATE(C706,D706,1),"MMM-YYYY")</f>
        <v>Sep-2020</v>
      </c>
    </row>
    <row r="707" spans="1:14" x14ac:dyDescent="0.3">
      <c r="A707" s="3" t="s">
        <v>66</v>
      </c>
      <c r="B707" s="3" t="s">
        <v>67</v>
      </c>
      <c r="C707" s="8">
        <v>2020</v>
      </c>
      <c r="D707" s="8">
        <v>10</v>
      </c>
      <c r="E707" s="3" t="str">
        <f t="shared" si="22"/>
        <v>October</v>
      </c>
      <c r="F707" s="3" t="s">
        <v>13</v>
      </c>
      <c r="G707" s="8">
        <v>24572.628929999999</v>
      </c>
      <c r="H707" s="8">
        <v>25600</v>
      </c>
      <c r="I707" s="8">
        <v>1027.287732</v>
      </c>
      <c r="J707" s="8">
        <v>10638.400659999999</v>
      </c>
      <c r="K707" s="8">
        <v>8245.3565799999997</v>
      </c>
      <c r="L707" s="8">
        <v>13074.84751</v>
      </c>
      <c r="M707" s="9" t="str">
        <f>IF(A707="",M708,A707)</f>
        <v>Canada</v>
      </c>
      <c r="N707" s="3" t="str">
        <f t="shared" si="23"/>
        <v>Oct-2020</v>
      </c>
    </row>
    <row r="708" spans="1:14" x14ac:dyDescent="0.3">
      <c r="A708" s="3" t="s">
        <v>66</v>
      </c>
      <c r="B708" s="3" t="s">
        <v>67</v>
      </c>
      <c r="C708" s="8">
        <v>2020</v>
      </c>
      <c r="D708" s="8">
        <v>11</v>
      </c>
      <c r="E708" s="3" t="str">
        <f t="shared" si="22"/>
        <v>November</v>
      </c>
      <c r="F708" s="3" t="s">
        <v>13</v>
      </c>
      <c r="G708" s="8">
        <v>24614.424859999999</v>
      </c>
      <c r="H708" s="8">
        <v>26707</v>
      </c>
      <c r="I708" s="8">
        <v>2092.491802</v>
      </c>
      <c r="J708" s="8">
        <v>12730.892459999999</v>
      </c>
      <c r="K708" s="8">
        <v>10155.90677</v>
      </c>
      <c r="L708" s="8">
        <v>15314.29883</v>
      </c>
      <c r="M708" s="9" t="str">
        <f>IF(A708="",M709,A708)</f>
        <v>Canada</v>
      </c>
      <c r="N708" s="3" t="str">
        <f t="shared" si="23"/>
        <v>Nov-2020</v>
      </c>
    </row>
    <row r="709" spans="1:14" x14ac:dyDescent="0.3">
      <c r="A709" s="3" t="s">
        <v>66</v>
      </c>
      <c r="B709" s="3" t="s">
        <v>67</v>
      </c>
      <c r="C709" s="8">
        <v>2020</v>
      </c>
      <c r="D709" s="8">
        <v>12</v>
      </c>
      <c r="E709" s="3" t="str">
        <f t="shared" si="22"/>
        <v>December</v>
      </c>
      <c r="F709" s="3" t="s">
        <v>13</v>
      </c>
      <c r="G709" s="8">
        <v>27326.2644</v>
      </c>
      <c r="H709" s="8">
        <v>29147</v>
      </c>
      <c r="I709" s="8">
        <v>1820.652268</v>
      </c>
      <c r="J709" s="8">
        <v>14551.54473</v>
      </c>
      <c r="K709" s="8">
        <v>11906.489320000001</v>
      </c>
      <c r="L709" s="8">
        <v>17433.803019999999</v>
      </c>
      <c r="M709" s="9" t="str">
        <f>IF(A709="",M710,A709)</f>
        <v>Canada</v>
      </c>
      <c r="N709" s="3" t="str">
        <f t="shared" si="23"/>
        <v>Dec-2020</v>
      </c>
    </row>
    <row r="710" spans="1:14" x14ac:dyDescent="0.3">
      <c r="A710" s="3" t="s">
        <v>66</v>
      </c>
      <c r="B710" s="3" t="s">
        <v>67</v>
      </c>
      <c r="C710" s="8">
        <v>2021</v>
      </c>
      <c r="D710" s="8">
        <v>1</v>
      </c>
      <c r="E710" s="3" t="str">
        <f t="shared" si="22"/>
        <v>January</v>
      </c>
      <c r="F710" s="3" t="s">
        <v>13</v>
      </c>
      <c r="G710" s="8">
        <v>27393.015200000002</v>
      </c>
      <c r="H710" s="8">
        <v>29903</v>
      </c>
      <c r="I710" s="8">
        <v>2442.0681300000001</v>
      </c>
      <c r="J710" s="8">
        <v>16993.612860000001</v>
      </c>
      <c r="K710" s="8">
        <v>14179.952380000001</v>
      </c>
      <c r="L710" s="8">
        <v>20043.036100000001</v>
      </c>
      <c r="M710" s="9" t="str">
        <f>IF(A710="",M711,A710)</f>
        <v>Canada</v>
      </c>
      <c r="N710" s="3" t="str">
        <f t="shared" si="23"/>
        <v>Jan-2021</v>
      </c>
    </row>
    <row r="711" spans="1:14" x14ac:dyDescent="0.3">
      <c r="A711" s="3" t="s">
        <v>66</v>
      </c>
      <c r="B711" s="3" t="s">
        <v>67</v>
      </c>
      <c r="C711" s="8">
        <v>2021</v>
      </c>
      <c r="D711" s="8">
        <v>2</v>
      </c>
      <c r="E711" s="3" t="str">
        <f t="shared" si="22"/>
        <v>February</v>
      </c>
      <c r="F711" s="3" t="s">
        <v>13</v>
      </c>
      <c r="G711" s="8">
        <v>25296.677810000001</v>
      </c>
      <c r="H711" s="8">
        <v>24599</v>
      </c>
      <c r="I711" s="8">
        <v>-765.59447690000002</v>
      </c>
      <c r="J711" s="8">
        <v>16228.01838</v>
      </c>
      <c r="K711" s="8">
        <v>13284.805539999999</v>
      </c>
      <c r="L711" s="8">
        <v>19212.252960000002</v>
      </c>
      <c r="M711" s="9" t="str">
        <f>IF(A711="",M712,A711)</f>
        <v>Canada</v>
      </c>
      <c r="N711" s="3" t="str">
        <f t="shared" si="23"/>
        <v>Feb-2021</v>
      </c>
    </row>
    <row r="712" spans="1:14" x14ac:dyDescent="0.3">
      <c r="A712" s="3" t="s">
        <v>66</v>
      </c>
      <c r="B712" s="3" t="s">
        <v>67</v>
      </c>
      <c r="C712" s="8">
        <v>2021</v>
      </c>
      <c r="D712" s="8">
        <v>3</v>
      </c>
      <c r="E712" s="3" t="str">
        <f t="shared" si="22"/>
        <v>March</v>
      </c>
      <c r="F712" s="3" t="s">
        <v>13</v>
      </c>
      <c r="G712" s="8">
        <v>26403.474310000001</v>
      </c>
      <c r="H712" s="8">
        <v>25559</v>
      </c>
      <c r="I712" s="8">
        <v>-912.39097270000002</v>
      </c>
      <c r="J712" s="8">
        <v>15315.627409999999</v>
      </c>
      <c r="K712" s="8">
        <v>12265.28981</v>
      </c>
      <c r="L712" s="8">
        <v>18628.32084</v>
      </c>
      <c r="M712" s="9" t="str">
        <f>IF(A712="",M713,A712)</f>
        <v>Canada</v>
      </c>
      <c r="N712" s="3" t="str">
        <f t="shared" si="23"/>
        <v>Mar-2021</v>
      </c>
    </row>
    <row r="713" spans="1:14" x14ac:dyDescent="0.3">
      <c r="A713" s="3" t="s">
        <v>66</v>
      </c>
      <c r="B713" s="3" t="s">
        <v>67</v>
      </c>
      <c r="C713" s="8">
        <v>2021</v>
      </c>
      <c r="D713" s="8">
        <v>4</v>
      </c>
      <c r="E713" s="3" t="str">
        <f t="shared" si="22"/>
        <v>April</v>
      </c>
      <c r="F713" s="3" t="s">
        <v>13</v>
      </c>
      <c r="G713" s="8">
        <v>24896.54089</v>
      </c>
      <c r="H713" s="8">
        <v>24959</v>
      </c>
      <c r="I713" s="8">
        <v>-5.4575587360000002</v>
      </c>
      <c r="J713" s="8">
        <v>15310.16985</v>
      </c>
      <c r="K713" s="8">
        <v>12141.27627</v>
      </c>
      <c r="L713" s="8">
        <v>18739.94312</v>
      </c>
      <c r="M713" s="9" t="str">
        <f>IF(A713="",M714,A713)</f>
        <v>Canada</v>
      </c>
      <c r="N713" s="3" t="str">
        <f t="shared" si="23"/>
        <v>Apr-2021</v>
      </c>
    </row>
    <row r="714" spans="1:14" x14ac:dyDescent="0.3">
      <c r="A714" s="3" t="s">
        <v>66</v>
      </c>
      <c r="B714" s="3" t="s">
        <v>67</v>
      </c>
      <c r="C714" s="8">
        <v>2021</v>
      </c>
      <c r="D714" s="8">
        <v>5</v>
      </c>
      <c r="E714" s="3" t="str">
        <f t="shared" si="22"/>
        <v>May</v>
      </c>
      <c r="F714" s="3" t="s">
        <v>13</v>
      </c>
      <c r="G714" s="8">
        <v>24401.649659999999</v>
      </c>
      <c r="H714" s="8">
        <v>25405</v>
      </c>
      <c r="I714" s="8">
        <v>935.4336697</v>
      </c>
      <c r="J714" s="8">
        <v>16245.603520000001</v>
      </c>
      <c r="K714" s="8">
        <v>13019.40172</v>
      </c>
      <c r="L714" s="8">
        <v>19773.471969999999</v>
      </c>
      <c r="M714" s="9" t="str">
        <f>IF(A714="",M715,A714)</f>
        <v>Canada</v>
      </c>
      <c r="N714" s="3" t="str">
        <f t="shared" si="23"/>
        <v>May-2021</v>
      </c>
    </row>
    <row r="715" spans="1:14" x14ac:dyDescent="0.3">
      <c r="A715" s="3" t="s">
        <v>66</v>
      </c>
      <c r="B715" s="3" t="s">
        <v>67</v>
      </c>
      <c r="C715" s="8">
        <v>2021</v>
      </c>
      <c r="D715" s="8">
        <v>6</v>
      </c>
      <c r="E715" s="3" t="str">
        <f t="shared" si="22"/>
        <v>June</v>
      </c>
      <c r="F715" s="3" t="s">
        <v>13</v>
      </c>
      <c r="G715" s="8">
        <v>22889.341980000001</v>
      </c>
      <c r="H715" s="8">
        <v>23696</v>
      </c>
      <c r="I715" s="8">
        <v>738.74135249999995</v>
      </c>
      <c r="J715" s="8">
        <v>16984.344870000001</v>
      </c>
      <c r="K715" s="8">
        <v>13636.88465</v>
      </c>
      <c r="L715" s="8">
        <v>20539.180390000001</v>
      </c>
      <c r="M715" s="9" t="str">
        <f>IF(A715="",M716,A715)</f>
        <v>Canada</v>
      </c>
      <c r="N715" s="3" t="str">
        <f t="shared" si="23"/>
        <v>Jun-2021</v>
      </c>
    </row>
    <row r="716" spans="1:14" x14ac:dyDescent="0.3">
      <c r="A716" s="3" t="s">
        <v>66</v>
      </c>
      <c r="B716" s="3" t="s">
        <v>67</v>
      </c>
      <c r="C716" s="8">
        <v>2021</v>
      </c>
      <c r="D716" s="8">
        <v>7</v>
      </c>
      <c r="E716" s="3" t="str">
        <f t="shared" si="22"/>
        <v>July</v>
      </c>
      <c r="F716" s="3" t="s">
        <v>13</v>
      </c>
      <c r="G716" s="8">
        <v>23301.446230000001</v>
      </c>
      <c r="H716" s="8">
        <v>24469</v>
      </c>
      <c r="I716" s="8">
        <v>1099.6370999999999</v>
      </c>
      <c r="J716" s="8">
        <v>18083.981970000001</v>
      </c>
      <c r="K716" s="8">
        <v>14507.56084</v>
      </c>
      <c r="L716" s="8">
        <v>21649.03328</v>
      </c>
      <c r="M716" s="9" t="str">
        <f>IF(A716="",M717,A716)</f>
        <v>Canada</v>
      </c>
      <c r="N716" s="3" t="str">
        <f t="shared" si="23"/>
        <v>Jul-2021</v>
      </c>
    </row>
    <row r="717" spans="1:14" x14ac:dyDescent="0.3">
      <c r="A717" s="3" t="s">
        <v>66</v>
      </c>
      <c r="B717" s="3" t="s">
        <v>67</v>
      </c>
      <c r="C717" s="8">
        <v>2021</v>
      </c>
      <c r="D717" s="8">
        <v>8</v>
      </c>
      <c r="E717" s="3" t="str">
        <f t="shared" si="22"/>
        <v>August</v>
      </c>
      <c r="F717" s="3" t="s">
        <v>13</v>
      </c>
      <c r="G717" s="8">
        <v>23283.390469999998</v>
      </c>
      <c r="H717" s="8">
        <v>24983</v>
      </c>
      <c r="I717" s="8">
        <v>1631.692859</v>
      </c>
      <c r="J717" s="8">
        <v>19715.67483</v>
      </c>
      <c r="K717" s="8">
        <v>16151.24202</v>
      </c>
      <c r="L717" s="8">
        <v>23378.94227</v>
      </c>
      <c r="M717" s="9" t="str">
        <f>IF(A717="",M718,A717)</f>
        <v>Canada</v>
      </c>
      <c r="N717" s="3" t="str">
        <f t="shared" si="23"/>
        <v>Aug-2021</v>
      </c>
    </row>
    <row r="718" spans="1:14" x14ac:dyDescent="0.3">
      <c r="A718" s="3" t="s">
        <v>66</v>
      </c>
      <c r="B718" s="3" t="s">
        <v>67</v>
      </c>
      <c r="C718" s="8">
        <v>2021</v>
      </c>
      <c r="D718" s="8">
        <v>9</v>
      </c>
      <c r="E718" s="3" t="str">
        <f t="shared" si="22"/>
        <v>September</v>
      </c>
      <c r="F718" s="3" t="s">
        <v>13</v>
      </c>
      <c r="G718" s="8">
        <v>23250.435130000002</v>
      </c>
      <c r="H718" s="8">
        <v>25754</v>
      </c>
      <c r="I718" s="8">
        <v>2435.6481990000002</v>
      </c>
      <c r="J718" s="8">
        <v>22151.32303</v>
      </c>
      <c r="K718" s="8">
        <v>18550.732309999999</v>
      </c>
      <c r="L718" s="8">
        <v>25927.091090000002</v>
      </c>
      <c r="M718" s="9" t="str">
        <f>IF(A718="",M719,A718)</f>
        <v>Canada</v>
      </c>
      <c r="N718" s="3" t="str">
        <f t="shared" si="23"/>
        <v>Sep-2021</v>
      </c>
    </row>
    <row r="719" spans="1:14" x14ac:dyDescent="0.3">
      <c r="A719" s="3" t="s">
        <v>66</v>
      </c>
      <c r="B719" s="3" t="s">
        <v>67</v>
      </c>
      <c r="C719" s="8">
        <v>2021</v>
      </c>
      <c r="D719" s="8">
        <v>10</v>
      </c>
      <c r="E719" s="3" t="str">
        <f t="shared" si="22"/>
        <v>October</v>
      </c>
      <c r="F719" s="3" t="s">
        <v>13</v>
      </c>
      <c r="G719" s="8">
        <v>25036.828570000001</v>
      </c>
      <c r="H719" s="8">
        <v>27161</v>
      </c>
      <c r="I719" s="8">
        <v>2056.254762</v>
      </c>
      <c r="J719" s="8">
        <v>24207.577789999999</v>
      </c>
      <c r="K719" s="8">
        <v>20539.545129999999</v>
      </c>
      <c r="L719" s="8">
        <v>28179.869419999999</v>
      </c>
      <c r="M719" s="9" t="str">
        <f>IF(A719="",M720,A719)</f>
        <v>Canada</v>
      </c>
      <c r="N719" s="3" t="str">
        <f t="shared" si="23"/>
        <v>Oct-2021</v>
      </c>
    </row>
    <row r="720" spans="1:14" x14ac:dyDescent="0.3">
      <c r="A720" s="3" t="s">
        <v>66</v>
      </c>
      <c r="B720" s="3" t="s">
        <v>67</v>
      </c>
      <c r="C720" s="8">
        <v>2021</v>
      </c>
      <c r="D720" s="8">
        <v>11</v>
      </c>
      <c r="E720" s="3" t="str">
        <f t="shared" si="22"/>
        <v>November</v>
      </c>
      <c r="F720" s="3" t="s">
        <v>13</v>
      </c>
      <c r="G720" s="8">
        <v>25113.968290000001</v>
      </c>
      <c r="H720" s="8">
        <v>26986</v>
      </c>
      <c r="I720" s="8">
        <v>1804.115045</v>
      </c>
      <c r="J720" s="8">
        <v>26011.69283</v>
      </c>
      <c r="K720" s="8">
        <v>22154.792239999999</v>
      </c>
      <c r="L720" s="8">
        <v>30013.02678</v>
      </c>
      <c r="M720" s="9" t="str">
        <f>IF(A720="",M721,A720)</f>
        <v>Canada</v>
      </c>
      <c r="N720" s="3" t="str">
        <f t="shared" si="23"/>
        <v>Nov-2021</v>
      </c>
    </row>
    <row r="721" spans="1:14" x14ac:dyDescent="0.3">
      <c r="A721" s="3" t="s">
        <v>66</v>
      </c>
      <c r="B721" s="3" t="s">
        <v>67</v>
      </c>
      <c r="C721" s="8">
        <v>2021</v>
      </c>
      <c r="D721" s="8">
        <v>12</v>
      </c>
      <c r="E721" s="3" t="str">
        <f t="shared" si="22"/>
        <v>December</v>
      </c>
      <c r="F721" s="3" t="s">
        <v>13</v>
      </c>
      <c r="G721" s="8">
        <v>27925.043409999998</v>
      </c>
      <c r="H721" s="8">
        <v>28482</v>
      </c>
      <c r="I721" s="8">
        <v>489.0399218</v>
      </c>
      <c r="J721" s="8">
        <v>26500.732759999999</v>
      </c>
      <c r="K721" s="8">
        <v>22608.518980000001</v>
      </c>
      <c r="L721" s="8">
        <v>30707.58928</v>
      </c>
      <c r="M721" s="9" t="str">
        <f>IF(A721="",M722,A721)</f>
        <v>Canada</v>
      </c>
      <c r="N721" s="3" t="str">
        <f t="shared" si="23"/>
        <v>Dec-2021</v>
      </c>
    </row>
    <row r="722" spans="1:14" x14ac:dyDescent="0.3">
      <c r="A722" s="3" t="s">
        <v>68</v>
      </c>
      <c r="B722" s="3" t="s">
        <v>69</v>
      </c>
      <c r="C722" s="8">
        <v>2020</v>
      </c>
      <c r="D722" s="8">
        <v>1</v>
      </c>
      <c r="E722" s="3" t="str">
        <f t="shared" si="22"/>
        <v>January</v>
      </c>
      <c r="F722" s="3" t="s">
        <v>13</v>
      </c>
      <c r="G722" s="8">
        <v>6164.7957919999999</v>
      </c>
      <c r="H722" s="8">
        <v>6158</v>
      </c>
      <c r="I722" s="8">
        <v>-6.7957921140000002</v>
      </c>
      <c r="J722" s="8">
        <v>-6.7957921140000002</v>
      </c>
      <c r="K722" s="8">
        <v>-250.57777849999999</v>
      </c>
      <c r="L722" s="8">
        <v>212.94773559999999</v>
      </c>
      <c r="M722" s="9" t="str">
        <f>IF(A722="",M723,A722)</f>
        <v>Switzerland</v>
      </c>
      <c r="N722" s="3" t="str">
        <f t="shared" si="23"/>
        <v>Jan-2020</v>
      </c>
    </row>
    <row r="723" spans="1:14" x14ac:dyDescent="0.3">
      <c r="A723" s="3" t="s">
        <v>68</v>
      </c>
      <c r="B723" s="3" t="s">
        <v>69</v>
      </c>
      <c r="C723" s="8">
        <v>2020</v>
      </c>
      <c r="D723" s="8">
        <v>2</v>
      </c>
      <c r="E723" s="3" t="str">
        <f t="shared" si="22"/>
        <v>February</v>
      </c>
      <c r="F723" s="3" t="s">
        <v>13</v>
      </c>
      <c r="G723" s="8">
        <v>6219.4965469999997</v>
      </c>
      <c r="H723" s="8">
        <v>5713</v>
      </c>
      <c r="I723" s="8">
        <v>-506.49654709999999</v>
      </c>
      <c r="J723" s="8">
        <v>-513.29233920000001</v>
      </c>
      <c r="K723" s="8">
        <v>-877.88095750000002</v>
      </c>
      <c r="L723" s="8">
        <v>-172.16966909999999</v>
      </c>
      <c r="M723" s="9" t="str">
        <f>IF(A723="",M724,A723)</f>
        <v>Switzerland</v>
      </c>
      <c r="N723" s="3" t="str">
        <f t="shared" si="23"/>
        <v>Feb-2020</v>
      </c>
    </row>
    <row r="724" spans="1:14" x14ac:dyDescent="0.3">
      <c r="A724" s="3" t="s">
        <v>68</v>
      </c>
      <c r="B724" s="3" t="s">
        <v>69</v>
      </c>
      <c r="C724" s="8">
        <v>2020</v>
      </c>
      <c r="D724" s="8">
        <v>3</v>
      </c>
      <c r="E724" s="3" t="str">
        <f t="shared" si="22"/>
        <v>March</v>
      </c>
      <c r="F724" s="3" t="s">
        <v>13</v>
      </c>
      <c r="G724" s="8">
        <v>5976.1901379999999</v>
      </c>
      <c r="H724" s="8">
        <v>6643</v>
      </c>
      <c r="I724" s="8">
        <v>666.80986180000002</v>
      </c>
      <c r="J724" s="8">
        <v>153.51752260000001</v>
      </c>
      <c r="K724" s="8">
        <v>-289.7727332</v>
      </c>
      <c r="L724" s="8">
        <v>572.29110049999997</v>
      </c>
      <c r="M724" s="9" t="str">
        <f>IF(A724="",M725,A724)</f>
        <v>Switzerland</v>
      </c>
      <c r="N724" s="3" t="str">
        <f t="shared" si="23"/>
        <v>Mar-2020</v>
      </c>
    </row>
    <row r="725" spans="1:14" x14ac:dyDescent="0.3">
      <c r="A725" s="3" t="s">
        <v>68</v>
      </c>
      <c r="B725" s="3" t="s">
        <v>69</v>
      </c>
      <c r="C725" s="8">
        <v>2020</v>
      </c>
      <c r="D725" s="8">
        <v>4</v>
      </c>
      <c r="E725" s="3" t="str">
        <f t="shared" si="22"/>
        <v>April</v>
      </c>
      <c r="F725" s="3" t="s">
        <v>13</v>
      </c>
      <c r="G725" s="8">
        <v>5499.870347</v>
      </c>
      <c r="H725" s="8">
        <v>6656</v>
      </c>
      <c r="I725" s="8">
        <v>1156.129653</v>
      </c>
      <c r="J725" s="8">
        <v>1309.6471759999999</v>
      </c>
      <c r="K725" s="8">
        <v>803.14164749999998</v>
      </c>
      <c r="L725" s="8">
        <v>1801.0550229999999</v>
      </c>
      <c r="M725" s="9" t="str">
        <f>IF(A725="",M726,A725)</f>
        <v>Switzerland</v>
      </c>
      <c r="N725" s="3" t="str">
        <f t="shared" si="23"/>
        <v>Apr-2020</v>
      </c>
    </row>
    <row r="726" spans="1:14" x14ac:dyDescent="0.3">
      <c r="A726" s="3" t="s">
        <v>68</v>
      </c>
      <c r="B726" s="3" t="s">
        <v>69</v>
      </c>
      <c r="C726" s="8">
        <v>2020</v>
      </c>
      <c r="D726" s="8">
        <v>5</v>
      </c>
      <c r="E726" s="3" t="str">
        <f t="shared" si="22"/>
        <v>May</v>
      </c>
      <c r="F726" s="3" t="s">
        <v>13</v>
      </c>
      <c r="G726" s="8">
        <v>5235.1599509999996</v>
      </c>
      <c r="H726" s="8">
        <v>5165</v>
      </c>
      <c r="I726" s="8">
        <v>-70.159950899999998</v>
      </c>
      <c r="J726" s="8">
        <v>1239.4872250000001</v>
      </c>
      <c r="K726" s="8">
        <v>668.33854410000004</v>
      </c>
      <c r="L726" s="8">
        <v>1790.4796369999999</v>
      </c>
      <c r="M726" s="9" t="str">
        <f>IF(A726="",M727,A726)</f>
        <v>Switzerland</v>
      </c>
      <c r="N726" s="3" t="str">
        <f t="shared" si="23"/>
        <v>May-2020</v>
      </c>
    </row>
    <row r="727" spans="1:14" x14ac:dyDescent="0.3">
      <c r="A727" s="3" t="s">
        <v>68</v>
      </c>
      <c r="B727" s="3" t="s">
        <v>69</v>
      </c>
      <c r="C727" s="8">
        <v>2020</v>
      </c>
      <c r="D727" s="8">
        <v>6</v>
      </c>
      <c r="E727" s="3" t="str">
        <f t="shared" si="22"/>
        <v>June</v>
      </c>
      <c r="F727" s="3" t="s">
        <v>13</v>
      </c>
      <c r="G727" s="8">
        <v>5129.4680550000003</v>
      </c>
      <c r="H727" s="8">
        <v>4989</v>
      </c>
      <c r="I727" s="8">
        <v>-140.46805509999999</v>
      </c>
      <c r="J727" s="8">
        <v>1099.01917</v>
      </c>
      <c r="K727" s="8">
        <v>493.47103850000002</v>
      </c>
      <c r="L727" s="8">
        <v>1696.7786450000001</v>
      </c>
      <c r="M727" s="9" t="str">
        <f>IF(A727="",M728,A727)</f>
        <v>Switzerland</v>
      </c>
      <c r="N727" s="3" t="str">
        <f t="shared" si="23"/>
        <v>Jun-2020</v>
      </c>
    </row>
    <row r="728" spans="1:14" x14ac:dyDescent="0.3">
      <c r="A728" s="3" t="s">
        <v>68</v>
      </c>
      <c r="B728" s="3" t="s">
        <v>69</v>
      </c>
      <c r="C728" s="8">
        <v>2020</v>
      </c>
      <c r="D728" s="8">
        <v>7</v>
      </c>
      <c r="E728" s="3" t="str">
        <f t="shared" si="22"/>
        <v>July</v>
      </c>
      <c r="F728" s="3" t="s">
        <v>13</v>
      </c>
      <c r="G728" s="8">
        <v>5200.3388869999999</v>
      </c>
      <c r="H728" s="8">
        <v>5201</v>
      </c>
      <c r="I728" s="8">
        <v>0.66111283099999996</v>
      </c>
      <c r="J728" s="8">
        <v>1099.6802829999999</v>
      </c>
      <c r="K728" s="8">
        <v>457.89356939999999</v>
      </c>
      <c r="L728" s="8">
        <v>1746.99864</v>
      </c>
      <c r="M728" s="9" t="str">
        <f>IF(A728="",M729,A728)</f>
        <v>Switzerland</v>
      </c>
      <c r="N728" s="3" t="str">
        <f t="shared" si="23"/>
        <v>Jul-2020</v>
      </c>
    </row>
    <row r="729" spans="1:14" x14ac:dyDescent="0.3">
      <c r="A729" s="3" t="s">
        <v>68</v>
      </c>
      <c r="B729" s="3" t="s">
        <v>69</v>
      </c>
      <c r="C729" s="8">
        <v>2020</v>
      </c>
      <c r="D729" s="8">
        <v>8</v>
      </c>
      <c r="E729" s="3" t="str">
        <f t="shared" si="22"/>
        <v>August</v>
      </c>
      <c r="F729" s="3" t="s">
        <v>13</v>
      </c>
      <c r="G729" s="8">
        <v>5197.06232</v>
      </c>
      <c r="H729" s="8">
        <v>5326</v>
      </c>
      <c r="I729" s="8">
        <v>128.93767990000001</v>
      </c>
      <c r="J729" s="8">
        <v>1228.6179629999999</v>
      </c>
      <c r="K729" s="8">
        <v>505.04690859999999</v>
      </c>
      <c r="L729" s="8">
        <v>1934.6996059999999</v>
      </c>
      <c r="M729" s="9" t="str">
        <f>IF(A729="",M730,A729)</f>
        <v>Switzerland</v>
      </c>
      <c r="N729" s="3" t="str">
        <f t="shared" si="23"/>
        <v>Aug-2020</v>
      </c>
    </row>
    <row r="730" spans="1:14" x14ac:dyDescent="0.3">
      <c r="A730" s="3" t="s">
        <v>68</v>
      </c>
      <c r="B730" s="3" t="s">
        <v>69</v>
      </c>
      <c r="C730" s="8">
        <v>2020</v>
      </c>
      <c r="D730" s="8">
        <v>9</v>
      </c>
      <c r="E730" s="3" t="str">
        <f t="shared" si="22"/>
        <v>September</v>
      </c>
      <c r="F730" s="3" t="s">
        <v>13</v>
      </c>
      <c r="G730" s="8">
        <v>5235.9998370000003</v>
      </c>
      <c r="H730" s="8">
        <v>5290</v>
      </c>
      <c r="I730" s="8">
        <v>54.000163120000003</v>
      </c>
      <c r="J730" s="8">
        <v>1282.6181260000001</v>
      </c>
      <c r="K730" s="8">
        <v>529.88504330000001</v>
      </c>
      <c r="L730" s="8">
        <v>1995.851907</v>
      </c>
      <c r="M730" s="9" t="str">
        <f>IF(A730="",M731,A730)</f>
        <v>Switzerland</v>
      </c>
      <c r="N730" s="3" t="str">
        <f t="shared" si="23"/>
        <v>Sep-2020</v>
      </c>
    </row>
    <row r="731" spans="1:14" x14ac:dyDescent="0.3">
      <c r="A731" s="3" t="s">
        <v>68</v>
      </c>
      <c r="B731" s="3" t="s">
        <v>69</v>
      </c>
      <c r="C731" s="8">
        <v>2020</v>
      </c>
      <c r="D731" s="8">
        <v>10</v>
      </c>
      <c r="E731" s="3" t="str">
        <f t="shared" si="22"/>
        <v>October</v>
      </c>
      <c r="F731" s="3" t="s">
        <v>13</v>
      </c>
      <c r="G731" s="8">
        <v>5437.082727</v>
      </c>
      <c r="H731" s="8">
        <v>6277</v>
      </c>
      <c r="I731" s="8">
        <v>839.91727300000002</v>
      </c>
      <c r="J731" s="8">
        <v>2122.5353989999999</v>
      </c>
      <c r="K731" s="8">
        <v>1347.9141999999999</v>
      </c>
      <c r="L731" s="8">
        <v>2914.667782</v>
      </c>
      <c r="M731" s="9" t="str">
        <f>IF(A731="",M732,A731)</f>
        <v>Switzerland</v>
      </c>
      <c r="N731" s="3" t="str">
        <f t="shared" si="23"/>
        <v>Oct-2020</v>
      </c>
    </row>
    <row r="732" spans="1:14" x14ac:dyDescent="0.3">
      <c r="A732" s="3" t="s">
        <v>68</v>
      </c>
      <c r="B732" s="3" t="s">
        <v>69</v>
      </c>
      <c r="C732" s="8">
        <v>2020</v>
      </c>
      <c r="D732" s="8">
        <v>11</v>
      </c>
      <c r="E732" s="3" t="str">
        <f t="shared" si="22"/>
        <v>November</v>
      </c>
      <c r="F732" s="3" t="s">
        <v>13</v>
      </c>
      <c r="G732" s="8">
        <v>5726.505768</v>
      </c>
      <c r="H732" s="8">
        <v>9050</v>
      </c>
      <c r="I732" s="8">
        <v>3323.494232</v>
      </c>
      <c r="J732" s="8">
        <v>5446.0296310000003</v>
      </c>
      <c r="K732" s="8">
        <v>4555.6852019999997</v>
      </c>
      <c r="L732" s="8">
        <v>6229.319356</v>
      </c>
      <c r="M732" s="9" t="str">
        <f>IF(A732="",M733,A732)</f>
        <v>Switzerland</v>
      </c>
      <c r="N732" s="3" t="str">
        <f t="shared" si="23"/>
        <v>Nov-2020</v>
      </c>
    </row>
    <row r="733" spans="1:14" x14ac:dyDescent="0.3">
      <c r="A733" s="3" t="s">
        <v>68</v>
      </c>
      <c r="B733" s="3" t="s">
        <v>69</v>
      </c>
      <c r="C733" s="8">
        <v>2020</v>
      </c>
      <c r="D733" s="8">
        <v>12</v>
      </c>
      <c r="E733" s="3" t="str">
        <f t="shared" si="22"/>
        <v>December</v>
      </c>
      <c r="F733" s="3" t="s">
        <v>13</v>
      </c>
      <c r="G733" s="8">
        <v>6164.0252410000003</v>
      </c>
      <c r="H733" s="8">
        <v>9526</v>
      </c>
      <c r="I733" s="8">
        <v>3361.9747590000002</v>
      </c>
      <c r="J733" s="8">
        <v>8808.0043900000001</v>
      </c>
      <c r="K733" s="8">
        <v>7958.6723279999997</v>
      </c>
      <c r="L733" s="8">
        <v>9648.1147870000004</v>
      </c>
      <c r="M733" s="9" t="str">
        <f>IF(A733="",M734,A733)</f>
        <v>Switzerland</v>
      </c>
      <c r="N733" s="3" t="str">
        <f t="shared" si="23"/>
        <v>Dec-2020</v>
      </c>
    </row>
    <row r="734" spans="1:14" x14ac:dyDescent="0.3">
      <c r="A734" s="3" t="s">
        <v>68</v>
      </c>
      <c r="B734" s="3" t="s">
        <v>69</v>
      </c>
      <c r="C734" s="8">
        <v>2021</v>
      </c>
      <c r="D734" s="8">
        <v>1</v>
      </c>
      <c r="E734" s="3" t="str">
        <f t="shared" si="22"/>
        <v>January</v>
      </c>
      <c r="F734" s="3" t="s">
        <v>13</v>
      </c>
      <c r="G734" s="8">
        <v>6168.7571159999998</v>
      </c>
      <c r="H734" s="8">
        <v>7922</v>
      </c>
      <c r="I734" s="8">
        <v>1753.242884</v>
      </c>
      <c r="J734" s="8">
        <v>10561.24727</v>
      </c>
      <c r="K734" s="8">
        <v>9660.1175899999998</v>
      </c>
      <c r="L734" s="8">
        <v>11420.156499999999</v>
      </c>
      <c r="M734" s="9" t="str">
        <f>IF(A734="",M735,A734)</f>
        <v>Switzerland</v>
      </c>
      <c r="N734" s="3" t="str">
        <f t="shared" si="23"/>
        <v>Jan-2021</v>
      </c>
    </row>
    <row r="735" spans="1:14" x14ac:dyDescent="0.3">
      <c r="A735" s="3" t="s">
        <v>68</v>
      </c>
      <c r="B735" s="3" t="s">
        <v>69</v>
      </c>
      <c r="C735" s="8">
        <v>2021</v>
      </c>
      <c r="D735" s="8">
        <v>2</v>
      </c>
      <c r="E735" s="3" t="str">
        <f t="shared" si="22"/>
        <v>February</v>
      </c>
      <c r="F735" s="3" t="s">
        <v>13</v>
      </c>
      <c r="G735" s="8">
        <v>6231.9880510000003</v>
      </c>
      <c r="H735" s="8">
        <v>5460</v>
      </c>
      <c r="I735" s="8">
        <v>-771.98805070000003</v>
      </c>
      <c r="J735" s="8">
        <v>9789.2592239999994</v>
      </c>
      <c r="K735" s="8">
        <v>8867.3135949999996</v>
      </c>
      <c r="L735" s="8">
        <v>10786.50216</v>
      </c>
      <c r="M735" s="9" t="str">
        <f>IF(A735="",M736,A735)</f>
        <v>Switzerland</v>
      </c>
      <c r="N735" s="3" t="str">
        <f t="shared" si="23"/>
        <v>Feb-2021</v>
      </c>
    </row>
    <row r="736" spans="1:14" x14ac:dyDescent="0.3">
      <c r="A736" s="3" t="s">
        <v>68</v>
      </c>
      <c r="B736" s="3" t="s">
        <v>69</v>
      </c>
      <c r="C736" s="8">
        <v>2021</v>
      </c>
      <c r="D736" s="8">
        <v>3</v>
      </c>
      <c r="E736" s="3" t="str">
        <f t="shared" si="22"/>
        <v>March</v>
      </c>
      <c r="F736" s="3" t="s">
        <v>13</v>
      </c>
      <c r="G736" s="8">
        <v>5978.6859999999997</v>
      </c>
      <c r="H736" s="8">
        <v>5601</v>
      </c>
      <c r="I736" s="8">
        <v>-377.6860001</v>
      </c>
      <c r="J736" s="8">
        <v>9411.5732229999994</v>
      </c>
      <c r="K736" s="8">
        <v>8449.3938209999997</v>
      </c>
      <c r="L736" s="8">
        <v>10445.412560000001</v>
      </c>
      <c r="M736" s="9" t="str">
        <f>IF(A736="",M737,A736)</f>
        <v>Switzerland</v>
      </c>
      <c r="N736" s="3" t="str">
        <f t="shared" si="23"/>
        <v>Mar-2021</v>
      </c>
    </row>
    <row r="737" spans="1:14" x14ac:dyDescent="0.3">
      <c r="A737" s="3" t="s">
        <v>68</v>
      </c>
      <c r="B737" s="3" t="s">
        <v>69</v>
      </c>
      <c r="C737" s="8">
        <v>2021</v>
      </c>
      <c r="D737" s="8">
        <v>4</v>
      </c>
      <c r="E737" s="3" t="str">
        <f t="shared" si="22"/>
        <v>April</v>
      </c>
      <c r="F737" s="3" t="s">
        <v>13</v>
      </c>
      <c r="G737" s="8">
        <v>5517.5673690000003</v>
      </c>
      <c r="H737" s="8">
        <v>5385</v>
      </c>
      <c r="I737" s="8">
        <v>-132.5673692</v>
      </c>
      <c r="J737" s="8">
        <v>9279.0058540000009</v>
      </c>
      <c r="K737" s="8">
        <v>8244.9899920000007</v>
      </c>
      <c r="L737" s="8">
        <v>10340.57186</v>
      </c>
      <c r="M737" s="9" t="str">
        <f>IF(A737="",M738,A737)</f>
        <v>Switzerland</v>
      </c>
      <c r="N737" s="3" t="str">
        <f t="shared" si="23"/>
        <v>Apr-2021</v>
      </c>
    </row>
    <row r="738" spans="1:14" x14ac:dyDescent="0.3">
      <c r="A738" s="3" t="s">
        <v>68</v>
      </c>
      <c r="B738" s="3" t="s">
        <v>69</v>
      </c>
      <c r="C738" s="8">
        <v>2021</v>
      </c>
      <c r="D738" s="8">
        <v>5</v>
      </c>
      <c r="E738" s="3" t="str">
        <f t="shared" si="22"/>
        <v>May</v>
      </c>
      <c r="F738" s="3" t="s">
        <v>13</v>
      </c>
      <c r="G738" s="8">
        <v>5248.7193950000001</v>
      </c>
      <c r="H738" s="8">
        <v>5416</v>
      </c>
      <c r="I738" s="8">
        <v>167.2806047</v>
      </c>
      <c r="J738" s="8">
        <v>9446.2864590000008</v>
      </c>
      <c r="K738" s="8">
        <v>8356.3739480000004</v>
      </c>
      <c r="L738" s="8">
        <v>10588.50749</v>
      </c>
      <c r="M738" s="9" t="str">
        <f>IF(A738="",M739,A738)</f>
        <v>Switzerland</v>
      </c>
      <c r="N738" s="3" t="str">
        <f t="shared" si="23"/>
        <v>May-2021</v>
      </c>
    </row>
    <row r="739" spans="1:14" x14ac:dyDescent="0.3">
      <c r="A739" s="3" t="s">
        <v>68</v>
      </c>
      <c r="B739" s="3" t="s">
        <v>69</v>
      </c>
      <c r="C739" s="8">
        <v>2021</v>
      </c>
      <c r="D739" s="8">
        <v>6</v>
      </c>
      <c r="E739" s="3" t="str">
        <f t="shared" si="22"/>
        <v>June</v>
      </c>
      <c r="F739" s="3" t="s">
        <v>13</v>
      </c>
      <c r="G739" s="8">
        <v>5140.2844789999999</v>
      </c>
      <c r="H739" s="8">
        <v>5056</v>
      </c>
      <c r="I739" s="8">
        <v>-84.284479020000006</v>
      </c>
      <c r="J739" s="8">
        <v>9362.0019799999991</v>
      </c>
      <c r="K739" s="8">
        <v>8224.5809090000002</v>
      </c>
      <c r="L739" s="8">
        <v>10521.66936</v>
      </c>
      <c r="M739" s="9" t="str">
        <f>IF(A739="",M740,A739)</f>
        <v>Switzerland</v>
      </c>
      <c r="N739" s="3" t="str">
        <f t="shared" si="23"/>
        <v>Jun-2021</v>
      </c>
    </row>
    <row r="740" spans="1:14" x14ac:dyDescent="0.3">
      <c r="A740" s="3" t="s">
        <v>68</v>
      </c>
      <c r="B740" s="3" t="s">
        <v>69</v>
      </c>
      <c r="C740" s="8">
        <v>2021</v>
      </c>
      <c r="D740" s="8">
        <v>7</v>
      </c>
      <c r="E740" s="3" t="str">
        <f t="shared" si="22"/>
        <v>July</v>
      </c>
      <c r="F740" s="3" t="s">
        <v>13</v>
      </c>
      <c r="G740" s="8">
        <v>5207.1842159999997</v>
      </c>
      <c r="H740" s="8">
        <v>5254</v>
      </c>
      <c r="I740" s="8">
        <v>46.815783590000002</v>
      </c>
      <c r="J740" s="8">
        <v>9408.8177629999991</v>
      </c>
      <c r="K740" s="8">
        <v>8221.5620880000006</v>
      </c>
      <c r="L740" s="8">
        <v>10578.11233</v>
      </c>
      <c r="M740" s="9" t="str">
        <f>IF(A740="",M741,A740)</f>
        <v>Switzerland</v>
      </c>
      <c r="N740" s="3" t="str">
        <f t="shared" si="23"/>
        <v>Jul-2021</v>
      </c>
    </row>
    <row r="741" spans="1:14" x14ac:dyDescent="0.3">
      <c r="A741" s="3" t="s">
        <v>68</v>
      </c>
      <c r="B741" s="3" t="s">
        <v>69</v>
      </c>
      <c r="C741" s="8">
        <v>2021</v>
      </c>
      <c r="D741" s="8">
        <v>8</v>
      </c>
      <c r="E741" s="3" t="str">
        <f t="shared" si="22"/>
        <v>August</v>
      </c>
      <c r="F741" s="3" t="s">
        <v>13</v>
      </c>
      <c r="G741" s="8">
        <v>5214.6794419999997</v>
      </c>
      <c r="H741" s="8">
        <v>5533</v>
      </c>
      <c r="I741" s="8">
        <v>318.32055819999999</v>
      </c>
      <c r="J741" s="8">
        <v>9727.1383220000007</v>
      </c>
      <c r="K741" s="8">
        <v>8539.5064500000008</v>
      </c>
      <c r="L741" s="8">
        <v>10948.757960000001</v>
      </c>
      <c r="M741" s="9" t="str">
        <f>IF(A741="",M742,A741)</f>
        <v>Switzerland</v>
      </c>
      <c r="N741" s="3" t="str">
        <f t="shared" si="23"/>
        <v>Aug-2021</v>
      </c>
    </row>
    <row r="742" spans="1:14" x14ac:dyDescent="0.3">
      <c r="A742" s="3" t="s">
        <v>68</v>
      </c>
      <c r="B742" s="3" t="s">
        <v>69</v>
      </c>
      <c r="C742" s="8">
        <v>2021</v>
      </c>
      <c r="D742" s="8">
        <v>9</v>
      </c>
      <c r="E742" s="3" t="str">
        <f t="shared" si="22"/>
        <v>September</v>
      </c>
      <c r="F742" s="3" t="s">
        <v>13</v>
      </c>
      <c r="G742" s="8">
        <v>5243.4492220000002</v>
      </c>
      <c r="H742" s="8">
        <v>5704</v>
      </c>
      <c r="I742" s="8">
        <v>460.5507781</v>
      </c>
      <c r="J742" s="8">
        <v>10187.6891</v>
      </c>
      <c r="K742" s="8">
        <v>8934.4996439999995</v>
      </c>
      <c r="L742" s="8">
        <v>11407.74307</v>
      </c>
      <c r="M742" s="9" t="str">
        <f>IF(A742="",M743,A742)</f>
        <v>Switzerland</v>
      </c>
      <c r="N742" s="3" t="str">
        <f t="shared" si="23"/>
        <v>Sep-2021</v>
      </c>
    </row>
    <row r="743" spans="1:14" x14ac:dyDescent="0.3">
      <c r="A743" s="3" t="s">
        <v>68</v>
      </c>
      <c r="B743" s="3" t="s">
        <v>69</v>
      </c>
      <c r="C743" s="8">
        <v>2021</v>
      </c>
      <c r="D743" s="8">
        <v>10</v>
      </c>
      <c r="E743" s="3" t="str">
        <f t="shared" si="22"/>
        <v>October</v>
      </c>
      <c r="F743" s="3" t="s">
        <v>13</v>
      </c>
      <c r="G743" s="8">
        <v>5448.6198839999997</v>
      </c>
      <c r="H743" s="8">
        <v>5840</v>
      </c>
      <c r="I743" s="8">
        <v>391.38011599999999</v>
      </c>
      <c r="J743" s="8">
        <v>10579.069219999999</v>
      </c>
      <c r="K743" s="8">
        <v>9373.7409210000005</v>
      </c>
      <c r="L743" s="8">
        <v>11784.09722</v>
      </c>
      <c r="M743" s="9" t="str">
        <f>IF(A743="",M744,A743)</f>
        <v>Switzerland</v>
      </c>
      <c r="N743" s="3" t="str">
        <f t="shared" si="23"/>
        <v>Oct-2021</v>
      </c>
    </row>
    <row r="744" spans="1:14" x14ac:dyDescent="0.3">
      <c r="A744" s="3" t="s">
        <v>68</v>
      </c>
      <c r="B744" s="3" t="s">
        <v>69</v>
      </c>
      <c r="C744" s="8">
        <v>2021</v>
      </c>
      <c r="D744" s="8">
        <v>11</v>
      </c>
      <c r="E744" s="3" t="str">
        <f t="shared" si="22"/>
        <v>November</v>
      </c>
      <c r="F744" s="3" t="s">
        <v>13</v>
      </c>
      <c r="G744" s="8">
        <v>5743.4168239999999</v>
      </c>
      <c r="H744" s="8">
        <v>6347</v>
      </c>
      <c r="I744" s="8">
        <v>603.58317599999998</v>
      </c>
      <c r="J744" s="8">
        <v>11182.652389999999</v>
      </c>
      <c r="K744" s="8">
        <v>9909.2126800000005</v>
      </c>
      <c r="L744" s="8">
        <v>12409.09159</v>
      </c>
      <c r="M744" s="9" t="str">
        <f>IF(A744="",M745,A744)</f>
        <v>Switzerland</v>
      </c>
      <c r="N744" s="3" t="str">
        <f t="shared" si="23"/>
        <v>Nov-2021</v>
      </c>
    </row>
    <row r="745" spans="1:14" x14ac:dyDescent="0.3">
      <c r="A745" s="3" t="s">
        <v>68</v>
      </c>
      <c r="B745" s="3" t="s">
        <v>69</v>
      </c>
      <c r="C745" s="8">
        <v>2021</v>
      </c>
      <c r="D745" s="8">
        <v>12</v>
      </c>
      <c r="E745" s="3" t="str">
        <f t="shared" si="22"/>
        <v>December</v>
      </c>
      <c r="F745" s="3" t="s">
        <v>13</v>
      </c>
      <c r="G745" s="8">
        <v>6182.696747</v>
      </c>
      <c r="H745" s="8">
        <v>7492</v>
      </c>
      <c r="I745" s="8">
        <v>1309.303253</v>
      </c>
      <c r="J745" s="8">
        <v>12491.95565</v>
      </c>
      <c r="K745" s="8">
        <v>11138.728209999999</v>
      </c>
      <c r="L745" s="8">
        <v>13757.23496</v>
      </c>
      <c r="M745" s="9" t="str">
        <f>IF(A745="",M746,A745)</f>
        <v>Switzerland</v>
      </c>
      <c r="N745" s="3" t="str">
        <f t="shared" si="23"/>
        <v>Dec-2021</v>
      </c>
    </row>
    <row r="746" spans="1:14" x14ac:dyDescent="0.3">
      <c r="A746" s="3" t="s">
        <v>70</v>
      </c>
      <c r="B746" s="3" t="s">
        <v>71</v>
      </c>
      <c r="C746" s="8">
        <v>2020</v>
      </c>
      <c r="D746" s="8">
        <v>1</v>
      </c>
      <c r="E746" s="3" t="str">
        <f t="shared" si="22"/>
        <v>January</v>
      </c>
      <c r="F746" s="3" t="s">
        <v>13</v>
      </c>
      <c r="G746" s="8">
        <v>8439.5664899999992</v>
      </c>
      <c r="H746" s="8">
        <v>9051</v>
      </c>
      <c r="I746" s="8">
        <v>611.43351010000003</v>
      </c>
      <c r="J746" s="8">
        <v>611.43351010000003</v>
      </c>
      <c r="K746" s="8">
        <v>416.81287470000001</v>
      </c>
      <c r="L746" s="8">
        <v>808.95063879999998</v>
      </c>
      <c r="M746" s="9" t="str">
        <f>IF(A746="",M747,A746)</f>
        <v>Chile</v>
      </c>
      <c r="N746" s="3" t="str">
        <f t="shared" si="23"/>
        <v>Jan-2020</v>
      </c>
    </row>
    <row r="747" spans="1:14" x14ac:dyDescent="0.3">
      <c r="A747" s="3" t="s">
        <v>70</v>
      </c>
      <c r="B747" s="3" t="s">
        <v>71</v>
      </c>
      <c r="C747" s="8">
        <v>2020</v>
      </c>
      <c r="D747" s="8">
        <v>2</v>
      </c>
      <c r="E747" s="3" t="str">
        <f t="shared" si="22"/>
        <v>February</v>
      </c>
      <c r="F747" s="3" t="s">
        <v>13</v>
      </c>
      <c r="G747" s="8">
        <v>7995.0147219999999</v>
      </c>
      <c r="H747" s="8">
        <v>7932</v>
      </c>
      <c r="I747" s="8">
        <v>-63.014721700000003</v>
      </c>
      <c r="J747" s="8">
        <v>548.41878840000004</v>
      </c>
      <c r="K747" s="8">
        <v>252.70865259999999</v>
      </c>
      <c r="L747" s="8">
        <v>853.58966629999998</v>
      </c>
      <c r="M747" s="9" t="str">
        <f>IF(A747="",M748,A747)</f>
        <v>Chile</v>
      </c>
      <c r="N747" s="3" t="str">
        <f t="shared" si="23"/>
        <v>Feb-2020</v>
      </c>
    </row>
    <row r="748" spans="1:14" x14ac:dyDescent="0.3">
      <c r="A748" s="3" t="s">
        <v>70</v>
      </c>
      <c r="B748" s="3" t="s">
        <v>71</v>
      </c>
      <c r="C748" s="8">
        <v>2020</v>
      </c>
      <c r="D748" s="8">
        <v>3</v>
      </c>
      <c r="E748" s="3" t="str">
        <f t="shared" si="22"/>
        <v>March</v>
      </c>
      <c r="F748" s="3" t="s">
        <v>13</v>
      </c>
      <c r="G748" s="8">
        <v>8263.5050150000006</v>
      </c>
      <c r="H748" s="8">
        <v>8693</v>
      </c>
      <c r="I748" s="8">
        <v>429.49498519999997</v>
      </c>
      <c r="J748" s="8">
        <v>977.91377360000001</v>
      </c>
      <c r="K748" s="8">
        <v>585.89589969999997</v>
      </c>
      <c r="L748" s="8">
        <v>1372.0266140000001</v>
      </c>
      <c r="M748" s="9" t="str">
        <f>IF(A748="",M749,A748)</f>
        <v>Chile</v>
      </c>
      <c r="N748" s="3" t="str">
        <f t="shared" si="23"/>
        <v>Mar-2020</v>
      </c>
    </row>
    <row r="749" spans="1:14" x14ac:dyDescent="0.3">
      <c r="A749" s="3" t="s">
        <v>70</v>
      </c>
      <c r="B749" s="3" t="s">
        <v>71</v>
      </c>
      <c r="C749" s="8">
        <v>2020</v>
      </c>
      <c r="D749" s="8">
        <v>4</v>
      </c>
      <c r="E749" s="3" t="str">
        <f t="shared" si="22"/>
        <v>April</v>
      </c>
      <c r="F749" s="3" t="s">
        <v>13</v>
      </c>
      <c r="G749" s="8">
        <v>8694.1986539999998</v>
      </c>
      <c r="H749" s="8">
        <v>8893</v>
      </c>
      <c r="I749" s="8">
        <v>198.8013459</v>
      </c>
      <c r="J749" s="8">
        <v>1176.715119</v>
      </c>
      <c r="K749" s="8">
        <v>691.1546697</v>
      </c>
      <c r="L749" s="8">
        <v>1666.0110440000001</v>
      </c>
      <c r="M749" s="9" t="str">
        <f>IF(A749="",M750,A749)</f>
        <v>Chile</v>
      </c>
      <c r="N749" s="3" t="str">
        <f t="shared" si="23"/>
        <v>Apr-2020</v>
      </c>
    </row>
    <row r="750" spans="1:14" x14ac:dyDescent="0.3">
      <c r="A750" s="3" t="s">
        <v>70</v>
      </c>
      <c r="B750" s="3" t="s">
        <v>71</v>
      </c>
      <c r="C750" s="8">
        <v>2020</v>
      </c>
      <c r="D750" s="8">
        <v>5</v>
      </c>
      <c r="E750" s="3" t="str">
        <f t="shared" si="22"/>
        <v>May</v>
      </c>
      <c r="F750" s="3" t="s">
        <v>13</v>
      </c>
      <c r="G750" s="8">
        <v>9561.9297970000007</v>
      </c>
      <c r="H750" s="8">
        <v>11991</v>
      </c>
      <c r="I750" s="8">
        <v>2429.0702030000002</v>
      </c>
      <c r="J750" s="8">
        <v>3605.7853230000001</v>
      </c>
      <c r="K750" s="8">
        <v>3008.0628449999999</v>
      </c>
      <c r="L750" s="8">
        <v>4178.9322320000001</v>
      </c>
      <c r="M750" s="9" t="str">
        <f>IF(A750="",M751,A750)</f>
        <v>Chile</v>
      </c>
      <c r="N750" s="3" t="str">
        <f t="shared" si="23"/>
        <v>May-2020</v>
      </c>
    </row>
    <row r="751" spans="1:14" x14ac:dyDescent="0.3">
      <c r="A751" s="3" t="s">
        <v>70</v>
      </c>
      <c r="B751" s="3" t="s">
        <v>71</v>
      </c>
      <c r="C751" s="8">
        <v>2020</v>
      </c>
      <c r="D751" s="8">
        <v>6</v>
      </c>
      <c r="E751" s="3" t="str">
        <f t="shared" si="22"/>
        <v>June</v>
      </c>
      <c r="F751" s="3" t="s">
        <v>13</v>
      </c>
      <c r="G751" s="8">
        <v>10609.4827</v>
      </c>
      <c r="H751" s="8">
        <v>16038</v>
      </c>
      <c r="I751" s="8">
        <v>5428.5173020000002</v>
      </c>
      <c r="J751" s="8">
        <v>9034.3026239999999</v>
      </c>
      <c r="K751" s="8">
        <v>8404.51649</v>
      </c>
      <c r="L751" s="8">
        <v>9666.6910100000005</v>
      </c>
      <c r="M751" s="9" t="str">
        <f>IF(A751="",M752,A751)</f>
        <v>Chile</v>
      </c>
      <c r="N751" s="3" t="str">
        <f t="shared" si="23"/>
        <v>Jun-2020</v>
      </c>
    </row>
    <row r="752" spans="1:14" x14ac:dyDescent="0.3">
      <c r="A752" s="3" t="s">
        <v>70</v>
      </c>
      <c r="B752" s="3" t="s">
        <v>71</v>
      </c>
      <c r="C752" s="8">
        <v>2020</v>
      </c>
      <c r="D752" s="8">
        <v>7</v>
      </c>
      <c r="E752" s="3" t="str">
        <f t="shared" si="22"/>
        <v>July</v>
      </c>
      <c r="F752" s="3" t="s">
        <v>13</v>
      </c>
      <c r="G752" s="8">
        <v>11025.45702</v>
      </c>
      <c r="H752" s="8">
        <v>12583</v>
      </c>
      <c r="I752" s="8">
        <v>1557.5429819999999</v>
      </c>
      <c r="J752" s="8">
        <v>10591.84561</v>
      </c>
      <c r="K752" s="8">
        <v>9843.5280070000008</v>
      </c>
      <c r="L752" s="8">
        <v>11316.199409999999</v>
      </c>
      <c r="M752" s="9" t="str">
        <f>IF(A752="",M753,A752)</f>
        <v>Chile</v>
      </c>
      <c r="N752" s="3" t="str">
        <f t="shared" si="23"/>
        <v>Jul-2020</v>
      </c>
    </row>
    <row r="753" spans="1:14" x14ac:dyDescent="0.3">
      <c r="A753" s="3" t="s">
        <v>70</v>
      </c>
      <c r="B753" s="3" t="s">
        <v>71</v>
      </c>
      <c r="C753" s="8">
        <v>2020</v>
      </c>
      <c r="D753" s="8">
        <v>8</v>
      </c>
      <c r="E753" s="3" t="str">
        <f t="shared" si="22"/>
        <v>August</v>
      </c>
      <c r="F753" s="3" t="s">
        <v>13</v>
      </c>
      <c r="G753" s="8">
        <v>10479.142089999999</v>
      </c>
      <c r="H753" s="8">
        <v>11076</v>
      </c>
      <c r="I753" s="8">
        <v>596.85790529999997</v>
      </c>
      <c r="J753" s="8">
        <v>11188.703509999999</v>
      </c>
      <c r="K753" s="8">
        <v>10400.925279999999</v>
      </c>
      <c r="L753" s="8">
        <v>11948.62839</v>
      </c>
      <c r="M753" s="9" t="str">
        <f>IF(A753="",M754,A753)</f>
        <v>Chile</v>
      </c>
      <c r="N753" s="3" t="str">
        <f t="shared" si="23"/>
        <v>Aug-2020</v>
      </c>
    </row>
    <row r="754" spans="1:14" x14ac:dyDescent="0.3">
      <c r="A754" s="3" t="s">
        <v>70</v>
      </c>
      <c r="B754" s="3" t="s">
        <v>71</v>
      </c>
      <c r="C754" s="8">
        <v>2020</v>
      </c>
      <c r="D754" s="8">
        <v>9</v>
      </c>
      <c r="E754" s="3" t="str">
        <f t="shared" si="22"/>
        <v>September</v>
      </c>
      <c r="F754" s="3" t="s">
        <v>13</v>
      </c>
      <c r="G754" s="8">
        <v>9782.2591769999999</v>
      </c>
      <c r="H754" s="8">
        <v>10209</v>
      </c>
      <c r="I754" s="8">
        <v>426.7408231</v>
      </c>
      <c r="J754" s="8">
        <v>11615.44433</v>
      </c>
      <c r="K754" s="8">
        <v>10746.07681</v>
      </c>
      <c r="L754" s="8">
        <v>12487.86615</v>
      </c>
      <c r="M754" s="9" t="str">
        <f>IF(A754="",M755,A754)</f>
        <v>Chile</v>
      </c>
      <c r="N754" s="3" t="str">
        <f t="shared" si="23"/>
        <v>Sep-2020</v>
      </c>
    </row>
    <row r="755" spans="1:14" x14ac:dyDescent="0.3">
      <c r="A755" s="3" t="s">
        <v>70</v>
      </c>
      <c r="B755" s="3" t="s">
        <v>71</v>
      </c>
      <c r="C755" s="8">
        <v>2020</v>
      </c>
      <c r="D755" s="8">
        <v>10</v>
      </c>
      <c r="E755" s="3" t="str">
        <f t="shared" si="22"/>
        <v>October</v>
      </c>
      <c r="F755" s="3" t="s">
        <v>13</v>
      </c>
      <c r="G755" s="8">
        <v>9225.2680070000006</v>
      </c>
      <c r="H755" s="8">
        <v>10319</v>
      </c>
      <c r="I755" s="8">
        <v>1093.7319930000001</v>
      </c>
      <c r="J755" s="8">
        <v>12709.17633</v>
      </c>
      <c r="K755" s="8">
        <v>11770.413909999999</v>
      </c>
      <c r="L755" s="8">
        <v>13621.01016</v>
      </c>
      <c r="M755" s="9" t="str">
        <f>IF(A755="",M756,A755)</f>
        <v>Chile</v>
      </c>
      <c r="N755" s="3" t="str">
        <f t="shared" si="23"/>
        <v>Oct-2020</v>
      </c>
    </row>
    <row r="756" spans="1:14" x14ac:dyDescent="0.3">
      <c r="A756" s="3" t="s">
        <v>70</v>
      </c>
      <c r="B756" s="3" t="s">
        <v>71</v>
      </c>
      <c r="C756" s="8">
        <v>2020</v>
      </c>
      <c r="D756" s="8">
        <v>11</v>
      </c>
      <c r="E756" s="3" t="str">
        <f t="shared" si="22"/>
        <v>November</v>
      </c>
      <c r="F756" s="3" t="s">
        <v>13</v>
      </c>
      <c r="G756" s="8">
        <v>8741.2202730000008</v>
      </c>
      <c r="H756" s="8">
        <v>9379</v>
      </c>
      <c r="I756" s="8">
        <v>637.7797266</v>
      </c>
      <c r="J756" s="8">
        <v>13346.956050000001</v>
      </c>
      <c r="K756" s="8">
        <v>12376.10074</v>
      </c>
      <c r="L756" s="8">
        <v>14285.801649999999</v>
      </c>
      <c r="M756" s="9" t="str">
        <f>IF(A756="",M757,A756)</f>
        <v>Chile</v>
      </c>
      <c r="N756" s="3" t="str">
        <f t="shared" si="23"/>
        <v>Nov-2020</v>
      </c>
    </row>
    <row r="757" spans="1:14" x14ac:dyDescent="0.3">
      <c r="A757" s="3" t="s">
        <v>70</v>
      </c>
      <c r="B757" s="3" t="s">
        <v>71</v>
      </c>
      <c r="C757" s="8">
        <v>2020</v>
      </c>
      <c r="D757" s="8">
        <v>12</v>
      </c>
      <c r="E757" s="3" t="str">
        <f t="shared" si="22"/>
        <v>December</v>
      </c>
      <c r="F757" s="3" t="s">
        <v>13</v>
      </c>
      <c r="G757" s="8">
        <v>8580.9348769999997</v>
      </c>
      <c r="H757" s="8">
        <v>10005</v>
      </c>
      <c r="I757" s="8">
        <v>1424.0651230000001</v>
      </c>
      <c r="J757" s="8">
        <v>14771.02118</v>
      </c>
      <c r="K757" s="8">
        <v>13784.341</v>
      </c>
      <c r="L757" s="8">
        <v>15747.4697</v>
      </c>
      <c r="M757" s="9" t="str">
        <f>IF(A757="",M758,A757)</f>
        <v>Chile</v>
      </c>
      <c r="N757" s="3" t="str">
        <f t="shared" si="23"/>
        <v>Dec-2020</v>
      </c>
    </row>
    <row r="758" spans="1:14" x14ac:dyDescent="0.3">
      <c r="A758" s="3" t="s">
        <v>70</v>
      </c>
      <c r="B758" s="3" t="s">
        <v>71</v>
      </c>
      <c r="C758" s="8">
        <v>2021</v>
      </c>
      <c r="D758" s="8">
        <v>1</v>
      </c>
      <c r="E758" s="3" t="str">
        <f t="shared" si="22"/>
        <v>January</v>
      </c>
      <c r="F758" s="3" t="s">
        <v>13</v>
      </c>
      <c r="G758" s="8">
        <v>8599.4705740000009</v>
      </c>
      <c r="H758" s="8">
        <v>11208</v>
      </c>
      <c r="I758" s="8">
        <v>2607.196093</v>
      </c>
      <c r="J758" s="8">
        <v>17378.217270000001</v>
      </c>
      <c r="K758" s="8">
        <v>16379.56529</v>
      </c>
      <c r="L758" s="8">
        <v>18402.01298</v>
      </c>
      <c r="M758" s="9" t="str">
        <f>IF(A758="",M759,A758)</f>
        <v>Chile</v>
      </c>
      <c r="N758" s="3" t="str">
        <f t="shared" si="23"/>
        <v>Jan-2021</v>
      </c>
    </row>
    <row r="759" spans="1:14" x14ac:dyDescent="0.3">
      <c r="A759" s="3" t="s">
        <v>70</v>
      </c>
      <c r="B759" s="3" t="s">
        <v>71</v>
      </c>
      <c r="C759" s="8">
        <v>2021</v>
      </c>
      <c r="D759" s="8">
        <v>2</v>
      </c>
      <c r="E759" s="3" t="str">
        <f t="shared" si="22"/>
        <v>February</v>
      </c>
      <c r="F759" s="3" t="s">
        <v>13</v>
      </c>
      <c r="G759" s="8">
        <v>8144.1047420000004</v>
      </c>
      <c r="H759" s="8">
        <v>10250</v>
      </c>
      <c r="I759" s="8">
        <v>2104.561925</v>
      </c>
      <c r="J759" s="8">
        <v>19482.779190000001</v>
      </c>
      <c r="K759" s="8">
        <v>18456.336660000001</v>
      </c>
      <c r="L759" s="8">
        <v>20549.001909999999</v>
      </c>
      <c r="M759" s="9" t="str">
        <f>IF(A759="",M760,A759)</f>
        <v>Chile</v>
      </c>
      <c r="N759" s="3" t="str">
        <f t="shared" si="23"/>
        <v>Feb-2021</v>
      </c>
    </row>
    <row r="760" spans="1:14" x14ac:dyDescent="0.3">
      <c r="A760" s="3" t="s">
        <v>70</v>
      </c>
      <c r="B760" s="3" t="s">
        <v>71</v>
      </c>
      <c r="C760" s="8">
        <v>2021</v>
      </c>
      <c r="D760" s="8">
        <v>3</v>
      </c>
      <c r="E760" s="3" t="str">
        <f t="shared" si="22"/>
        <v>March</v>
      </c>
      <c r="F760" s="3" t="s">
        <v>13</v>
      </c>
      <c r="G760" s="8">
        <v>8420.2118730000002</v>
      </c>
      <c r="H760" s="8">
        <v>11853</v>
      </c>
      <c r="I760" s="8">
        <v>3431.4547929999999</v>
      </c>
      <c r="J760" s="8">
        <v>22914.233990000001</v>
      </c>
      <c r="K760" s="8">
        <v>21856.77751</v>
      </c>
      <c r="L760" s="8">
        <v>24011.724470000001</v>
      </c>
      <c r="M760" s="9" t="str">
        <f>IF(A760="",M761,A760)</f>
        <v>Chile</v>
      </c>
      <c r="N760" s="3" t="str">
        <f t="shared" si="23"/>
        <v>Mar-2021</v>
      </c>
    </row>
    <row r="761" spans="1:14" x14ac:dyDescent="0.3">
      <c r="A761" s="3" t="s">
        <v>70</v>
      </c>
      <c r="B761" s="3" t="s">
        <v>71</v>
      </c>
      <c r="C761" s="8">
        <v>2021</v>
      </c>
      <c r="D761" s="8">
        <v>4</v>
      </c>
      <c r="E761" s="3" t="str">
        <f t="shared" si="22"/>
        <v>April</v>
      </c>
      <c r="F761" s="3" t="s">
        <v>13</v>
      </c>
      <c r="G761" s="8">
        <v>8861.4250510000002</v>
      </c>
      <c r="H761" s="8">
        <v>11985</v>
      </c>
      <c r="I761" s="8">
        <v>3122.2416159999998</v>
      </c>
      <c r="J761" s="8">
        <v>26036.475600000002</v>
      </c>
      <c r="K761" s="8">
        <v>24905.742269999999</v>
      </c>
      <c r="L761" s="8">
        <v>27144.457699999999</v>
      </c>
      <c r="M761" s="9" t="str">
        <f>IF(A761="",M762,A761)</f>
        <v>Chile</v>
      </c>
      <c r="N761" s="3" t="str">
        <f t="shared" si="23"/>
        <v>Apr-2021</v>
      </c>
    </row>
    <row r="762" spans="1:14" x14ac:dyDescent="0.3">
      <c r="A762" s="3" t="s">
        <v>70</v>
      </c>
      <c r="B762" s="3" t="s">
        <v>71</v>
      </c>
      <c r="C762" s="8">
        <v>2021</v>
      </c>
      <c r="D762" s="8">
        <v>5</v>
      </c>
      <c r="E762" s="3" t="str">
        <f t="shared" si="22"/>
        <v>May</v>
      </c>
      <c r="F762" s="3" t="s">
        <v>13</v>
      </c>
      <c r="G762" s="8">
        <v>9747.1311249999999</v>
      </c>
      <c r="H762" s="8">
        <v>12772</v>
      </c>
      <c r="I762" s="8">
        <v>3023.5355420000001</v>
      </c>
      <c r="J762" s="8">
        <v>29060.011149999998</v>
      </c>
      <c r="K762" s="8">
        <v>27878.700339999999</v>
      </c>
      <c r="L762" s="8">
        <v>30249.19543</v>
      </c>
      <c r="M762" s="9" t="str">
        <f>IF(A762="",M763,A762)</f>
        <v>Chile</v>
      </c>
      <c r="N762" s="3" t="str">
        <f t="shared" si="23"/>
        <v>May-2021</v>
      </c>
    </row>
    <row r="763" spans="1:14" x14ac:dyDescent="0.3">
      <c r="A763" s="3" t="s">
        <v>70</v>
      </c>
      <c r="B763" s="3" t="s">
        <v>71</v>
      </c>
      <c r="C763" s="8">
        <v>2021</v>
      </c>
      <c r="D763" s="8">
        <v>6</v>
      </c>
      <c r="E763" s="3" t="str">
        <f t="shared" si="22"/>
        <v>June</v>
      </c>
      <c r="F763" s="3" t="s">
        <v>13</v>
      </c>
      <c r="G763" s="8">
        <v>10816.8573</v>
      </c>
      <c r="H763" s="8">
        <v>13544</v>
      </c>
      <c r="I763" s="8">
        <v>2725.8093690000001</v>
      </c>
      <c r="J763" s="8">
        <v>31785.820520000001</v>
      </c>
      <c r="K763" s="8">
        <v>30506.390179999999</v>
      </c>
      <c r="L763" s="8">
        <v>33022.084219999997</v>
      </c>
      <c r="M763" s="9" t="str">
        <f>IF(A763="",M764,A763)</f>
        <v>Chile</v>
      </c>
      <c r="N763" s="3" t="str">
        <f t="shared" si="23"/>
        <v>Jun-2021</v>
      </c>
    </row>
    <row r="764" spans="1:14" x14ac:dyDescent="0.3">
      <c r="A764" s="3" t="s">
        <v>70</v>
      </c>
      <c r="B764" s="3" t="s">
        <v>71</v>
      </c>
      <c r="C764" s="8">
        <v>2021</v>
      </c>
      <c r="D764" s="8">
        <v>7</v>
      </c>
      <c r="E764" s="3" t="str">
        <f t="shared" si="22"/>
        <v>July</v>
      </c>
      <c r="F764" s="3" t="s">
        <v>13</v>
      </c>
      <c r="G764" s="8">
        <v>11225.652830000001</v>
      </c>
      <c r="H764" s="8">
        <v>13219</v>
      </c>
      <c r="I764" s="8">
        <v>1992.013841</v>
      </c>
      <c r="J764" s="8">
        <v>33777.834360000001</v>
      </c>
      <c r="K764" s="8">
        <v>32528.744320000002</v>
      </c>
      <c r="L764" s="8">
        <v>35051.071060000002</v>
      </c>
      <c r="M764" s="9" t="str">
        <f>IF(A764="",M765,A764)</f>
        <v>Chile</v>
      </c>
      <c r="N764" s="3" t="str">
        <f t="shared" si="23"/>
        <v>Jul-2021</v>
      </c>
    </row>
    <row r="765" spans="1:14" x14ac:dyDescent="0.3">
      <c r="A765" s="3" t="s">
        <v>70</v>
      </c>
      <c r="B765" s="3" t="s">
        <v>71</v>
      </c>
      <c r="C765" s="8">
        <v>2021</v>
      </c>
      <c r="D765" s="8">
        <v>8</v>
      </c>
      <c r="E765" s="3" t="str">
        <f t="shared" si="22"/>
        <v>August</v>
      </c>
      <c r="F765" s="3" t="s">
        <v>13</v>
      </c>
      <c r="G765" s="8">
        <v>10674.99523</v>
      </c>
      <c r="H765" s="8">
        <v>11381</v>
      </c>
      <c r="I765" s="8">
        <v>704.67143920000001</v>
      </c>
      <c r="J765" s="8">
        <v>34482.505799999999</v>
      </c>
      <c r="K765" s="8">
        <v>33181.974139999998</v>
      </c>
      <c r="L765" s="8">
        <v>35780.887009999999</v>
      </c>
      <c r="M765" s="9" t="str">
        <f>IF(A765="",M766,A765)</f>
        <v>Chile</v>
      </c>
      <c r="N765" s="3" t="str">
        <f t="shared" si="23"/>
        <v>Aug-2021</v>
      </c>
    </row>
    <row r="766" spans="1:14" x14ac:dyDescent="0.3">
      <c r="A766" s="3" t="s">
        <v>70</v>
      </c>
      <c r="B766" s="3" t="s">
        <v>71</v>
      </c>
      <c r="C766" s="8">
        <v>2021</v>
      </c>
      <c r="D766" s="8">
        <v>9</v>
      </c>
      <c r="E766" s="3" t="str">
        <f t="shared" si="22"/>
        <v>September</v>
      </c>
      <c r="F766" s="3" t="s">
        <v>13</v>
      </c>
      <c r="G766" s="8">
        <v>9955.23279</v>
      </c>
      <c r="H766" s="8">
        <v>10088</v>
      </c>
      <c r="I766" s="8">
        <v>131.4338769</v>
      </c>
      <c r="J766" s="8">
        <v>34613.93967</v>
      </c>
      <c r="K766" s="8">
        <v>33255.260029999998</v>
      </c>
      <c r="L766" s="8">
        <v>35965.875010000003</v>
      </c>
      <c r="M766" s="9" t="str">
        <f>IF(A766="",M767,A766)</f>
        <v>Chile</v>
      </c>
      <c r="N766" s="3" t="str">
        <f t="shared" si="23"/>
        <v>Sep-2021</v>
      </c>
    </row>
    <row r="767" spans="1:14" x14ac:dyDescent="0.3">
      <c r="A767" s="3" t="s">
        <v>70</v>
      </c>
      <c r="B767" s="3" t="s">
        <v>71</v>
      </c>
      <c r="C767" s="8">
        <v>2021</v>
      </c>
      <c r="D767" s="8">
        <v>10</v>
      </c>
      <c r="E767" s="3" t="str">
        <f t="shared" si="22"/>
        <v>October</v>
      </c>
      <c r="F767" s="3" t="s">
        <v>13</v>
      </c>
      <c r="G767" s="8">
        <v>9411.7962349999998</v>
      </c>
      <c r="H767" s="8">
        <v>10259</v>
      </c>
      <c r="I767" s="8">
        <v>845.87043129999995</v>
      </c>
      <c r="J767" s="8">
        <v>35459.810100000002</v>
      </c>
      <c r="K767" s="8">
        <v>34011.521630000003</v>
      </c>
      <c r="L767" s="8">
        <v>36849.522510000003</v>
      </c>
      <c r="M767" s="9" t="str">
        <f>IF(A767="",M768,A767)</f>
        <v>Chile</v>
      </c>
      <c r="N767" s="3" t="str">
        <f t="shared" si="23"/>
        <v>Oct-2021</v>
      </c>
    </row>
    <row r="768" spans="1:14" x14ac:dyDescent="0.3">
      <c r="A768" s="3" t="s">
        <v>70</v>
      </c>
      <c r="B768" s="3" t="s">
        <v>71</v>
      </c>
      <c r="C768" s="8">
        <v>2021</v>
      </c>
      <c r="D768" s="8">
        <v>11</v>
      </c>
      <c r="E768" s="3" t="str">
        <f t="shared" si="22"/>
        <v>November</v>
      </c>
      <c r="F768" s="3" t="s">
        <v>13</v>
      </c>
      <c r="G768" s="8">
        <v>8913.6230589999996</v>
      </c>
      <c r="H768" s="8">
        <v>10114</v>
      </c>
      <c r="I768" s="8">
        <v>1199.0436070000001</v>
      </c>
      <c r="J768" s="8">
        <v>36658.853710000003</v>
      </c>
      <c r="K768" s="8">
        <v>35137.45336</v>
      </c>
      <c r="L768" s="8">
        <v>38156.488019999997</v>
      </c>
      <c r="M768" s="9" t="str">
        <f>IF(A768="",M769,A768)</f>
        <v>Chile</v>
      </c>
      <c r="N768" s="3" t="str">
        <f t="shared" si="23"/>
        <v>Nov-2021</v>
      </c>
    </row>
    <row r="769" spans="1:14" x14ac:dyDescent="0.3">
      <c r="A769" s="3" t="s">
        <v>70</v>
      </c>
      <c r="B769" s="3" t="s">
        <v>71</v>
      </c>
      <c r="C769" s="8">
        <v>2021</v>
      </c>
      <c r="D769" s="8">
        <v>12</v>
      </c>
      <c r="E769" s="3" t="str">
        <f t="shared" si="22"/>
        <v>December</v>
      </c>
      <c r="F769" s="3" t="s">
        <v>13</v>
      </c>
      <c r="G769" s="8">
        <v>8744.5434700000005</v>
      </c>
      <c r="H769" s="8">
        <v>10753</v>
      </c>
      <c r="I769" s="8">
        <v>2007.1231969999999</v>
      </c>
      <c r="J769" s="8">
        <v>38665.976909999998</v>
      </c>
      <c r="K769" s="8">
        <v>37175.190309999998</v>
      </c>
      <c r="L769" s="8">
        <v>40211.623610000002</v>
      </c>
      <c r="M769" s="9" t="str">
        <f>IF(A769="",M770,A769)</f>
        <v>Chile</v>
      </c>
      <c r="N769" s="3" t="str">
        <f t="shared" si="23"/>
        <v>Dec-2021</v>
      </c>
    </row>
    <row r="770" spans="1:14" x14ac:dyDescent="0.3">
      <c r="A770" s="3" t="s">
        <v>72</v>
      </c>
      <c r="B770" s="3" t="s">
        <v>73</v>
      </c>
      <c r="C770" s="8">
        <v>2020</v>
      </c>
      <c r="D770" s="8">
        <v>1</v>
      </c>
      <c r="E770" s="3" t="str">
        <f t="shared" ref="E770:E833" si="24">TEXT(DATE(C770,D770,1),"MMMM")</f>
        <v>January</v>
      </c>
      <c r="F770" s="3" t="s">
        <v>8</v>
      </c>
      <c r="G770" s="8">
        <v>912538.13500000001</v>
      </c>
      <c r="H770" s="8">
        <v>979644</v>
      </c>
      <c r="I770" s="8">
        <v>67081.333929999993</v>
      </c>
      <c r="J770" s="8">
        <v>67081.333929999993</v>
      </c>
      <c r="K770" s="8">
        <v>49053.59304</v>
      </c>
      <c r="L770" s="8">
        <v>85338.721350000007</v>
      </c>
      <c r="M770" s="9" t="str">
        <f>IF(A770="",M771,A770)</f>
        <v>China</v>
      </c>
      <c r="N770" s="3" t="str">
        <f t="shared" ref="N770:N833" si="25">TEXT(DATE(C770,D770,1),"MMM-YYYY")</f>
        <v>Jan-2020</v>
      </c>
    </row>
    <row r="771" spans="1:14" x14ac:dyDescent="0.3">
      <c r="A771" s="3" t="s">
        <v>72</v>
      </c>
      <c r="B771" s="3" t="s">
        <v>73</v>
      </c>
      <c r="C771" s="8">
        <v>2020</v>
      </c>
      <c r="D771" s="8">
        <v>2</v>
      </c>
      <c r="E771" s="3" t="str">
        <f t="shared" si="24"/>
        <v>February</v>
      </c>
      <c r="F771" s="3" t="s">
        <v>8</v>
      </c>
      <c r="G771" s="8">
        <v>893642.8432</v>
      </c>
      <c r="H771" s="8">
        <v>891064</v>
      </c>
      <c r="I771" s="8">
        <v>-2539.612443</v>
      </c>
      <c r="J771" s="8">
        <v>64541.721490000004</v>
      </c>
      <c r="K771" s="8">
        <v>45870.015610000002</v>
      </c>
      <c r="L771" s="8">
        <v>88804.156080000001</v>
      </c>
      <c r="M771" s="9" t="str">
        <f>IF(A771="",M772,A771)</f>
        <v>China</v>
      </c>
      <c r="N771" s="3" t="str">
        <f t="shared" si="25"/>
        <v>Feb-2020</v>
      </c>
    </row>
    <row r="772" spans="1:14" x14ac:dyDescent="0.3">
      <c r="A772" s="3" t="s">
        <v>72</v>
      </c>
      <c r="B772" s="3" t="s">
        <v>73</v>
      </c>
      <c r="C772" s="8">
        <v>2020</v>
      </c>
      <c r="D772" s="8">
        <v>3</v>
      </c>
      <c r="E772" s="3" t="str">
        <f t="shared" si="24"/>
        <v>March</v>
      </c>
      <c r="F772" s="3" t="s">
        <v>8</v>
      </c>
      <c r="G772" s="8">
        <v>860088.05149999994</v>
      </c>
      <c r="H772" s="8">
        <v>792379</v>
      </c>
      <c r="I772" s="8">
        <v>-67744.019459999996</v>
      </c>
      <c r="J772" s="8">
        <v>-3202.2979700000001</v>
      </c>
      <c r="K772" s="8">
        <v>-26911.507750000001</v>
      </c>
      <c r="L772" s="8">
        <v>21260.90955</v>
      </c>
      <c r="M772" s="9" t="str">
        <f>IF(A772="",M773,A772)</f>
        <v>China</v>
      </c>
      <c r="N772" s="3" t="str">
        <f t="shared" si="25"/>
        <v>Mar-2020</v>
      </c>
    </row>
    <row r="773" spans="1:14" x14ac:dyDescent="0.3">
      <c r="A773" s="3" t="s">
        <v>72</v>
      </c>
      <c r="B773" s="3" t="s">
        <v>73</v>
      </c>
      <c r="C773" s="8">
        <v>2020</v>
      </c>
      <c r="D773" s="8">
        <v>4</v>
      </c>
      <c r="E773" s="3" t="str">
        <f t="shared" si="24"/>
        <v>April</v>
      </c>
      <c r="F773" s="3" t="s">
        <v>8</v>
      </c>
      <c r="G773" s="8">
        <v>831426.28229999996</v>
      </c>
      <c r="H773" s="8">
        <v>759599</v>
      </c>
      <c r="I773" s="8">
        <v>-71934.492079999996</v>
      </c>
      <c r="J773" s="8">
        <v>-75136.790049999996</v>
      </c>
      <c r="K773" s="8">
        <v>-102819.84</v>
      </c>
      <c r="L773" s="8">
        <v>-47088.845569999998</v>
      </c>
      <c r="M773" s="9" t="str">
        <f>IF(A773="",M774,A773)</f>
        <v>China</v>
      </c>
      <c r="N773" s="3" t="str">
        <f t="shared" si="25"/>
        <v>Apr-2020</v>
      </c>
    </row>
    <row r="774" spans="1:14" x14ac:dyDescent="0.3">
      <c r="A774" s="3" t="s">
        <v>72</v>
      </c>
      <c r="B774" s="3" t="s">
        <v>73</v>
      </c>
      <c r="C774" s="8">
        <v>2020</v>
      </c>
      <c r="D774" s="8">
        <v>5</v>
      </c>
      <c r="E774" s="3" t="str">
        <f t="shared" si="24"/>
        <v>May</v>
      </c>
      <c r="F774" s="3" t="s">
        <v>8</v>
      </c>
      <c r="G774" s="8">
        <v>802276.95189999999</v>
      </c>
      <c r="H774" s="8">
        <v>719934</v>
      </c>
      <c r="I774" s="8">
        <v>-82360.412660000002</v>
      </c>
      <c r="J774" s="8">
        <v>-157497.20269999999</v>
      </c>
      <c r="K774" s="8">
        <v>-185070.0306</v>
      </c>
      <c r="L774" s="8">
        <v>-125291.8072</v>
      </c>
      <c r="M774" s="9" t="str">
        <f>IF(A774="",M775,A774)</f>
        <v>China</v>
      </c>
      <c r="N774" s="3" t="str">
        <f t="shared" si="25"/>
        <v>May-2020</v>
      </c>
    </row>
    <row r="775" spans="1:14" x14ac:dyDescent="0.3">
      <c r="A775" s="3" t="s">
        <v>72</v>
      </c>
      <c r="B775" s="3" t="s">
        <v>73</v>
      </c>
      <c r="C775" s="8">
        <v>2020</v>
      </c>
      <c r="D775" s="8">
        <v>6</v>
      </c>
      <c r="E775" s="3" t="str">
        <f t="shared" si="24"/>
        <v>June</v>
      </c>
      <c r="F775" s="3" t="s">
        <v>8</v>
      </c>
      <c r="G775" s="8">
        <v>784137.95539999998</v>
      </c>
      <c r="H775" s="8">
        <v>728314</v>
      </c>
      <c r="I775" s="8">
        <v>-55848.554179999999</v>
      </c>
      <c r="J775" s="8">
        <v>-213345.75690000001</v>
      </c>
      <c r="K775" s="8">
        <v>-241712.76310000001</v>
      </c>
      <c r="L775" s="8">
        <v>-178320.3426</v>
      </c>
      <c r="M775" s="9" t="str">
        <f>IF(A775="",M776,A775)</f>
        <v>China</v>
      </c>
      <c r="N775" s="3" t="str">
        <f t="shared" si="25"/>
        <v>Jun-2020</v>
      </c>
    </row>
    <row r="776" spans="1:14" x14ac:dyDescent="0.3">
      <c r="A776" s="3" t="s">
        <v>72</v>
      </c>
      <c r="B776" s="3" t="s">
        <v>73</v>
      </c>
      <c r="C776" s="8">
        <v>2020</v>
      </c>
      <c r="D776" s="8">
        <v>7</v>
      </c>
      <c r="E776" s="3" t="str">
        <f t="shared" si="24"/>
        <v>July</v>
      </c>
      <c r="F776" s="3" t="s">
        <v>8</v>
      </c>
      <c r="G776" s="8">
        <v>775036.67180000001</v>
      </c>
      <c r="H776" s="8">
        <v>754259</v>
      </c>
      <c r="I776" s="8">
        <v>-20725.74728</v>
      </c>
      <c r="J776" s="8">
        <v>-234071.5042</v>
      </c>
      <c r="K776" s="8">
        <v>-267174.00760000001</v>
      </c>
      <c r="L776" s="8">
        <v>-187850.62770000001</v>
      </c>
      <c r="M776" s="9" t="str">
        <f>IF(A776="",M777,A776)</f>
        <v>China</v>
      </c>
      <c r="N776" s="3" t="str">
        <f t="shared" si="25"/>
        <v>Jul-2020</v>
      </c>
    </row>
    <row r="777" spans="1:14" x14ac:dyDescent="0.3">
      <c r="A777" s="3" t="s">
        <v>72</v>
      </c>
      <c r="B777" s="3" t="s">
        <v>73</v>
      </c>
      <c r="C777" s="8">
        <v>2020</v>
      </c>
      <c r="D777" s="8">
        <v>8</v>
      </c>
      <c r="E777" s="3" t="str">
        <f t="shared" si="24"/>
        <v>August</v>
      </c>
      <c r="F777" s="3" t="s">
        <v>8</v>
      </c>
      <c r="G777" s="8">
        <v>777949.3872</v>
      </c>
      <c r="H777" s="8">
        <v>762889</v>
      </c>
      <c r="I777" s="8">
        <v>-15092.193730000001</v>
      </c>
      <c r="J777" s="8">
        <v>-249163.6979</v>
      </c>
      <c r="K777" s="8">
        <v>-287636.28210000001</v>
      </c>
      <c r="L777" s="8">
        <v>-197830.9074</v>
      </c>
      <c r="M777" s="9" t="str">
        <f>IF(A777="",M778,A777)</f>
        <v>China</v>
      </c>
      <c r="N777" s="3" t="str">
        <f t="shared" si="25"/>
        <v>Aug-2020</v>
      </c>
    </row>
    <row r="778" spans="1:14" x14ac:dyDescent="0.3">
      <c r="A778" s="3" t="s">
        <v>72</v>
      </c>
      <c r="B778" s="3" t="s">
        <v>73</v>
      </c>
      <c r="C778" s="8">
        <v>2020</v>
      </c>
      <c r="D778" s="8">
        <v>9</v>
      </c>
      <c r="E778" s="3" t="str">
        <f t="shared" si="24"/>
        <v>September</v>
      </c>
      <c r="F778" s="3" t="s">
        <v>8</v>
      </c>
      <c r="G778" s="8">
        <v>800351.3469</v>
      </c>
      <c r="H778" s="8">
        <v>805079</v>
      </c>
      <c r="I778" s="8">
        <v>4752.0846080000001</v>
      </c>
      <c r="J778" s="8">
        <v>-244411.6133</v>
      </c>
      <c r="K778" s="8">
        <v>-277373.08299999998</v>
      </c>
      <c r="L778" s="8">
        <v>-204513.0631</v>
      </c>
      <c r="M778" s="9" t="str">
        <f>IF(A778="",M779,A778)</f>
        <v>China</v>
      </c>
      <c r="N778" s="3" t="str">
        <f t="shared" si="25"/>
        <v>Sep-2020</v>
      </c>
    </row>
    <row r="779" spans="1:14" x14ac:dyDescent="0.3">
      <c r="A779" s="3" t="s">
        <v>72</v>
      </c>
      <c r="B779" s="3" t="s">
        <v>73</v>
      </c>
      <c r="C779" s="8">
        <v>2020</v>
      </c>
      <c r="D779" s="8">
        <v>10</v>
      </c>
      <c r="E779" s="3" t="str">
        <f t="shared" si="24"/>
        <v>October</v>
      </c>
      <c r="F779" s="3" t="s">
        <v>8</v>
      </c>
      <c r="G779" s="8">
        <v>836093.85120000003</v>
      </c>
      <c r="H779" s="8">
        <v>878079</v>
      </c>
      <c r="I779" s="8">
        <v>42002.600729999998</v>
      </c>
      <c r="J779" s="8">
        <v>-202409.01259999999</v>
      </c>
      <c r="K779" s="8">
        <v>-230496.17079999999</v>
      </c>
      <c r="L779" s="8">
        <v>-170641.68969999999</v>
      </c>
      <c r="M779" s="9" t="str">
        <f>IF(A779="",M780,A779)</f>
        <v>China</v>
      </c>
      <c r="N779" s="3" t="str">
        <f t="shared" si="25"/>
        <v>Oct-2020</v>
      </c>
    </row>
    <row r="780" spans="1:14" x14ac:dyDescent="0.3">
      <c r="A780" s="3" t="s">
        <v>72</v>
      </c>
      <c r="B780" s="3" t="s">
        <v>73</v>
      </c>
      <c r="C780" s="8">
        <v>2020</v>
      </c>
      <c r="D780" s="8">
        <v>11</v>
      </c>
      <c r="E780" s="3" t="str">
        <f t="shared" si="24"/>
        <v>November</v>
      </c>
      <c r="F780" s="3" t="s">
        <v>8</v>
      </c>
      <c r="G780" s="8">
        <v>871380.99490000005</v>
      </c>
      <c r="H780" s="8">
        <v>940234</v>
      </c>
      <c r="I780" s="8">
        <v>68919.908039999995</v>
      </c>
      <c r="J780" s="8">
        <v>-133489.10449999999</v>
      </c>
      <c r="K780" s="8">
        <v>-159380.15849999999</v>
      </c>
      <c r="L780" s="8">
        <v>-110788.6943</v>
      </c>
      <c r="M780" s="9" t="str">
        <f>IF(A780="",M781,A780)</f>
        <v>China</v>
      </c>
      <c r="N780" s="3" t="str">
        <f t="shared" si="25"/>
        <v>Nov-2020</v>
      </c>
    </row>
    <row r="781" spans="1:14" x14ac:dyDescent="0.3">
      <c r="A781" s="3" t="s">
        <v>72</v>
      </c>
      <c r="B781" s="3" t="s">
        <v>73</v>
      </c>
      <c r="C781" s="8">
        <v>2020</v>
      </c>
      <c r="D781" s="8">
        <v>12</v>
      </c>
      <c r="E781" s="3" t="str">
        <f t="shared" si="24"/>
        <v>December</v>
      </c>
      <c r="F781" s="3" t="s">
        <v>8</v>
      </c>
      <c r="G781" s="8">
        <v>914256.52529999998</v>
      </c>
      <c r="H781" s="8">
        <v>972214</v>
      </c>
      <c r="I781" s="8">
        <v>58016.228130000003</v>
      </c>
      <c r="J781" s="8">
        <v>-75472.876390000005</v>
      </c>
      <c r="K781" s="8">
        <v>-85461.251619999995</v>
      </c>
      <c r="L781" s="8">
        <v>-66096.358200000002</v>
      </c>
      <c r="M781" s="9" t="str">
        <f>IF(A781="",M782,A781)</f>
        <v>China</v>
      </c>
      <c r="N781" s="3" t="str">
        <f t="shared" si="25"/>
        <v>Dec-2020</v>
      </c>
    </row>
    <row r="782" spans="1:14" x14ac:dyDescent="0.3">
      <c r="A782" s="3" t="s">
        <v>72</v>
      </c>
      <c r="B782" s="3" t="s">
        <v>73</v>
      </c>
      <c r="C782" s="8">
        <v>2021</v>
      </c>
      <c r="D782" s="8">
        <v>1</v>
      </c>
      <c r="E782" s="3" t="str">
        <f t="shared" si="24"/>
        <v>January</v>
      </c>
      <c r="F782" s="3" t="s">
        <v>8</v>
      </c>
      <c r="G782" s="8">
        <v>917988.40960000001</v>
      </c>
      <c r="H782" s="8">
        <v>893390.66669999994</v>
      </c>
      <c r="I782" s="8">
        <v>-24553.14273</v>
      </c>
      <c r="J782" s="8">
        <v>-100026.0191</v>
      </c>
      <c r="K782" s="8">
        <v>-117929.8639</v>
      </c>
      <c r="L782" s="8">
        <v>-80776.912809999994</v>
      </c>
      <c r="M782" s="9" t="str">
        <f>IF(A782="",M783,A782)</f>
        <v>China</v>
      </c>
      <c r="N782" s="3" t="str">
        <f t="shared" si="25"/>
        <v>Jan-2021</v>
      </c>
    </row>
    <row r="783" spans="1:14" x14ac:dyDescent="0.3">
      <c r="A783" s="3" t="s">
        <v>72</v>
      </c>
      <c r="B783" s="3" t="s">
        <v>73</v>
      </c>
      <c r="C783" s="8">
        <v>2021</v>
      </c>
      <c r="D783" s="8">
        <v>2</v>
      </c>
      <c r="E783" s="3" t="str">
        <f t="shared" si="24"/>
        <v>February</v>
      </c>
      <c r="F783" s="3" t="s">
        <v>8</v>
      </c>
      <c r="G783" s="8">
        <v>899093.53980000003</v>
      </c>
      <c r="H783" s="8">
        <v>815990.66669999994</v>
      </c>
      <c r="I783" s="8">
        <v>-82968.240579999998</v>
      </c>
      <c r="J783" s="8">
        <v>-182994.2597</v>
      </c>
      <c r="K783" s="8">
        <v>-207492.28769999999</v>
      </c>
      <c r="L783" s="8">
        <v>-157226.97099999999</v>
      </c>
      <c r="M783" s="9" t="str">
        <f>IF(A783="",M784,A783)</f>
        <v>China</v>
      </c>
      <c r="N783" s="3" t="str">
        <f t="shared" si="25"/>
        <v>Feb-2021</v>
      </c>
    </row>
    <row r="784" spans="1:14" x14ac:dyDescent="0.3">
      <c r="A784" s="3" t="s">
        <v>72</v>
      </c>
      <c r="B784" s="3" t="s">
        <v>73</v>
      </c>
      <c r="C784" s="8">
        <v>2021</v>
      </c>
      <c r="D784" s="8">
        <v>3</v>
      </c>
      <c r="E784" s="3" t="str">
        <f t="shared" si="24"/>
        <v>March</v>
      </c>
      <c r="F784" s="3" t="s">
        <v>8</v>
      </c>
      <c r="G784" s="8">
        <v>865275.10600000003</v>
      </c>
      <c r="H784" s="8">
        <v>789740.66669999994</v>
      </c>
      <c r="I784" s="8">
        <v>-75511.199219999995</v>
      </c>
      <c r="J784" s="8">
        <v>-258505.4589</v>
      </c>
      <c r="K784" s="8">
        <v>-287609.35979999998</v>
      </c>
      <c r="L784" s="8">
        <v>-230343.8328</v>
      </c>
      <c r="M784" s="9" t="str">
        <f>IF(A784="",M785,A784)</f>
        <v>China</v>
      </c>
      <c r="N784" s="3" t="str">
        <f t="shared" si="25"/>
        <v>Mar-2021</v>
      </c>
    </row>
    <row r="785" spans="1:14" x14ac:dyDescent="0.3">
      <c r="A785" s="3" t="s">
        <v>72</v>
      </c>
      <c r="B785" s="3" t="s">
        <v>73</v>
      </c>
      <c r="C785" s="8">
        <v>2021</v>
      </c>
      <c r="D785" s="8">
        <v>4</v>
      </c>
      <c r="E785" s="3" t="str">
        <f t="shared" si="24"/>
        <v>April</v>
      </c>
      <c r="F785" s="3" t="s">
        <v>8</v>
      </c>
      <c r="G785" s="8">
        <v>836300.26399999997</v>
      </c>
      <c r="H785" s="8">
        <v>794375.66669999994</v>
      </c>
      <c r="I785" s="8">
        <v>-42149.188620000001</v>
      </c>
      <c r="J785" s="8">
        <v>-300654.64750000002</v>
      </c>
      <c r="K785" s="8">
        <v>-326689.39429999999</v>
      </c>
      <c r="L785" s="8">
        <v>-272151.56550000003</v>
      </c>
      <c r="M785" s="9" t="str">
        <f>IF(A785="",M786,A785)</f>
        <v>China</v>
      </c>
      <c r="N785" s="3" t="str">
        <f t="shared" si="25"/>
        <v>Apr-2021</v>
      </c>
    </row>
    <row r="786" spans="1:14" x14ac:dyDescent="0.3">
      <c r="A786" s="3" t="s">
        <v>72</v>
      </c>
      <c r="B786" s="3" t="s">
        <v>73</v>
      </c>
      <c r="C786" s="8">
        <v>2021</v>
      </c>
      <c r="D786" s="8">
        <v>5</v>
      </c>
      <c r="E786" s="3" t="str">
        <f t="shared" si="24"/>
        <v>May</v>
      </c>
      <c r="F786" s="3" t="s">
        <v>8</v>
      </c>
      <c r="G786" s="8">
        <v>807036.18530000001</v>
      </c>
      <c r="H786" s="8">
        <v>802060.66669999994</v>
      </c>
      <c r="I786" s="8">
        <v>-5072.3976659999998</v>
      </c>
      <c r="J786" s="8">
        <v>-305727.04519999999</v>
      </c>
      <c r="K786" s="8">
        <v>-335258.94520000002</v>
      </c>
      <c r="L786" s="8">
        <v>-273060.8946</v>
      </c>
      <c r="M786" s="9" t="str">
        <f>IF(A786="",M787,A786)</f>
        <v>China</v>
      </c>
      <c r="N786" s="3" t="str">
        <f t="shared" si="25"/>
        <v>May-2021</v>
      </c>
    </row>
    <row r="787" spans="1:14" x14ac:dyDescent="0.3">
      <c r="A787" s="3" t="s">
        <v>72</v>
      </c>
      <c r="B787" s="3" t="s">
        <v>73</v>
      </c>
      <c r="C787" s="8">
        <v>2021</v>
      </c>
      <c r="D787" s="8">
        <v>6</v>
      </c>
      <c r="E787" s="3" t="str">
        <f t="shared" si="24"/>
        <v>June</v>
      </c>
      <c r="F787" s="3" t="s">
        <v>8</v>
      </c>
      <c r="G787" s="8">
        <v>788758.28060000006</v>
      </c>
      <c r="H787" s="8">
        <v>801365.66669999994</v>
      </c>
      <c r="I787" s="8">
        <v>12481.792649999999</v>
      </c>
      <c r="J787" s="8">
        <v>-293245.25260000001</v>
      </c>
      <c r="K787" s="8">
        <v>-325437.84049999999</v>
      </c>
      <c r="L787" s="8">
        <v>-259590.3719</v>
      </c>
      <c r="M787" s="9" t="str">
        <f>IF(A787="",M788,A787)</f>
        <v>China</v>
      </c>
      <c r="N787" s="3" t="str">
        <f t="shared" si="25"/>
        <v>Jun-2021</v>
      </c>
    </row>
    <row r="788" spans="1:14" x14ac:dyDescent="0.3">
      <c r="A788" s="3" t="s">
        <v>72</v>
      </c>
      <c r="B788" s="3" t="s">
        <v>73</v>
      </c>
      <c r="C788" s="8">
        <v>2021</v>
      </c>
      <c r="D788" s="8">
        <v>7</v>
      </c>
      <c r="E788" s="3" t="str">
        <f t="shared" si="24"/>
        <v>July</v>
      </c>
      <c r="F788" s="3" t="s">
        <v>8</v>
      </c>
      <c r="G788" s="8">
        <v>779672.14740000002</v>
      </c>
      <c r="H788" s="8">
        <v>810340.66669999994</v>
      </c>
      <c r="I788" s="8">
        <v>30690.551070000001</v>
      </c>
      <c r="J788" s="8">
        <v>-262554.70150000002</v>
      </c>
      <c r="K788" s="8">
        <v>-294957.39130000002</v>
      </c>
      <c r="L788" s="8">
        <v>-228855.989</v>
      </c>
      <c r="M788" s="9" t="str">
        <f>IF(A788="",M789,A788)</f>
        <v>China</v>
      </c>
      <c r="N788" s="3" t="str">
        <f t="shared" si="25"/>
        <v>Jul-2021</v>
      </c>
    </row>
    <row r="789" spans="1:14" x14ac:dyDescent="0.3">
      <c r="A789" s="3" t="s">
        <v>72</v>
      </c>
      <c r="B789" s="3" t="s">
        <v>73</v>
      </c>
      <c r="C789" s="8">
        <v>2021</v>
      </c>
      <c r="D789" s="8">
        <v>8</v>
      </c>
      <c r="E789" s="3" t="str">
        <f t="shared" si="24"/>
        <v>August</v>
      </c>
      <c r="F789" s="3" t="s">
        <v>8</v>
      </c>
      <c r="G789" s="8">
        <v>782573.43799999997</v>
      </c>
      <c r="H789" s="8">
        <v>823670.66669999994</v>
      </c>
      <c r="I789" s="8">
        <v>41049.760520000003</v>
      </c>
      <c r="J789" s="8">
        <v>-221504.94099999999</v>
      </c>
      <c r="K789" s="8">
        <v>-253791.31570000001</v>
      </c>
      <c r="L789" s="8">
        <v>-178683.22159999999</v>
      </c>
      <c r="M789" s="9" t="str">
        <f>IF(A789="",M790,A789)</f>
        <v>China</v>
      </c>
      <c r="N789" s="3" t="str">
        <f t="shared" si="25"/>
        <v>Aug-2021</v>
      </c>
    </row>
    <row r="790" spans="1:14" x14ac:dyDescent="0.3">
      <c r="A790" s="3" t="s">
        <v>72</v>
      </c>
      <c r="B790" s="3" t="s">
        <v>73</v>
      </c>
      <c r="C790" s="8">
        <v>2021</v>
      </c>
      <c r="D790" s="8">
        <v>9</v>
      </c>
      <c r="E790" s="3" t="str">
        <f t="shared" si="24"/>
        <v>September</v>
      </c>
      <c r="F790" s="3" t="s">
        <v>8</v>
      </c>
      <c r="G790" s="8">
        <v>804896.90410000004</v>
      </c>
      <c r="H790" s="8">
        <v>835010.66669999994</v>
      </c>
      <c r="I790" s="8">
        <v>30033.673790000001</v>
      </c>
      <c r="J790" s="8">
        <v>-191471.2672</v>
      </c>
      <c r="K790" s="8">
        <v>-221392.22279999999</v>
      </c>
      <c r="L790" s="8">
        <v>-159040.3167</v>
      </c>
      <c r="M790" s="9" t="str">
        <f>IF(A790="",M791,A790)</f>
        <v>China</v>
      </c>
      <c r="N790" s="3" t="str">
        <f t="shared" si="25"/>
        <v>Sep-2021</v>
      </c>
    </row>
    <row r="791" spans="1:14" x14ac:dyDescent="0.3">
      <c r="A791" s="3" t="s">
        <v>72</v>
      </c>
      <c r="B791" s="3" t="s">
        <v>73</v>
      </c>
      <c r="C791" s="8">
        <v>2021</v>
      </c>
      <c r="D791" s="8">
        <v>10</v>
      </c>
      <c r="E791" s="3" t="str">
        <f t="shared" si="24"/>
        <v>October</v>
      </c>
      <c r="F791" s="3" t="s">
        <v>8</v>
      </c>
      <c r="G791" s="8">
        <v>841101.70220000006</v>
      </c>
      <c r="H791" s="8">
        <v>883255.66669999994</v>
      </c>
      <c r="I791" s="8">
        <v>42269.543619999997</v>
      </c>
      <c r="J791" s="8">
        <v>-149201.7236</v>
      </c>
      <c r="K791" s="8">
        <v>-178599.2445</v>
      </c>
      <c r="L791" s="8">
        <v>-123429.9703</v>
      </c>
      <c r="M791" s="9" t="str">
        <f>IF(A791="",M792,A791)</f>
        <v>China</v>
      </c>
      <c r="N791" s="3" t="str">
        <f t="shared" si="25"/>
        <v>Oct-2021</v>
      </c>
    </row>
    <row r="792" spans="1:14" x14ac:dyDescent="0.3">
      <c r="A792" s="3" t="s">
        <v>72</v>
      </c>
      <c r="B792" s="3" t="s">
        <v>73</v>
      </c>
      <c r="C792" s="8">
        <v>2021</v>
      </c>
      <c r="D792" s="8">
        <v>11</v>
      </c>
      <c r="E792" s="3" t="str">
        <f t="shared" si="24"/>
        <v>November</v>
      </c>
      <c r="F792" s="3" t="s">
        <v>8</v>
      </c>
      <c r="G792" s="8">
        <v>876593.1189</v>
      </c>
      <c r="H792" s="8">
        <v>930915.66669999994</v>
      </c>
      <c r="I792" s="8">
        <v>54411.237540000002</v>
      </c>
      <c r="J792" s="8">
        <v>-94790.486040000003</v>
      </c>
      <c r="K792" s="8">
        <v>-120874.94530000001</v>
      </c>
      <c r="L792" s="8">
        <v>-72842.352859999999</v>
      </c>
      <c r="M792" s="9" t="str">
        <f>IF(A792="",M793,A792)</f>
        <v>China</v>
      </c>
      <c r="N792" s="3" t="str">
        <f t="shared" si="25"/>
        <v>Nov-2021</v>
      </c>
    </row>
    <row r="793" spans="1:14" x14ac:dyDescent="0.3">
      <c r="A793" s="3" t="s">
        <v>72</v>
      </c>
      <c r="B793" s="3" t="s">
        <v>73</v>
      </c>
      <c r="C793" s="8">
        <v>2021</v>
      </c>
      <c r="D793" s="8">
        <v>12</v>
      </c>
      <c r="E793" s="3" t="str">
        <f t="shared" si="24"/>
        <v>December</v>
      </c>
      <c r="F793" s="3" t="s">
        <v>8</v>
      </c>
      <c r="G793" s="8">
        <v>919738.23239999998</v>
      </c>
      <c r="H793" s="8">
        <v>962350.66669999994</v>
      </c>
      <c r="I793" s="8">
        <v>42685.269679999998</v>
      </c>
      <c r="J793" s="8">
        <v>-52105.216359999999</v>
      </c>
      <c r="K793" s="8">
        <v>-66218.119099999996</v>
      </c>
      <c r="L793" s="8">
        <v>-37101.845809999999</v>
      </c>
      <c r="M793" s="9" t="str">
        <f>IF(A793="",M794,A793)</f>
        <v>China</v>
      </c>
      <c r="N793" s="3" t="str">
        <f t="shared" si="25"/>
        <v>Dec-2021</v>
      </c>
    </row>
    <row r="794" spans="1:14" x14ac:dyDescent="0.3">
      <c r="A794" s="3" t="s">
        <v>74</v>
      </c>
      <c r="B794" s="3" t="s">
        <v>75</v>
      </c>
      <c r="C794" s="8">
        <v>2020</v>
      </c>
      <c r="D794" s="8">
        <v>1</v>
      </c>
      <c r="E794" s="3" t="str">
        <f t="shared" si="24"/>
        <v>January</v>
      </c>
      <c r="F794" s="3" t="s">
        <v>8</v>
      </c>
      <c r="G794" s="8">
        <v>16138.544040000001</v>
      </c>
      <c r="H794" s="8">
        <v>16683.985000000001</v>
      </c>
      <c r="I794" s="8">
        <v>545.44095809999999</v>
      </c>
      <c r="J794" s="8">
        <v>545.44095809999999</v>
      </c>
      <c r="K794" s="8">
        <v>-3442.430758</v>
      </c>
      <c r="L794" s="8">
        <v>5321.3013460000002</v>
      </c>
      <c r="M794" s="9" t="str">
        <f>IF(A794="",M795,A794)</f>
        <v>CÃ´te d'Ivoire</v>
      </c>
      <c r="N794" s="3" t="str">
        <f t="shared" si="25"/>
        <v>Jan-2020</v>
      </c>
    </row>
    <row r="795" spans="1:14" x14ac:dyDescent="0.3">
      <c r="A795" s="3" t="s">
        <v>74</v>
      </c>
      <c r="B795" s="3" t="s">
        <v>75</v>
      </c>
      <c r="C795" s="8">
        <v>2020</v>
      </c>
      <c r="D795" s="8">
        <v>2</v>
      </c>
      <c r="E795" s="3" t="str">
        <f t="shared" si="24"/>
        <v>February</v>
      </c>
      <c r="F795" s="3" t="s">
        <v>8</v>
      </c>
      <c r="G795" s="8">
        <v>15925.55485</v>
      </c>
      <c r="H795" s="8">
        <v>16084.694</v>
      </c>
      <c r="I795" s="8">
        <v>159.13915249999999</v>
      </c>
      <c r="J795" s="8">
        <v>704.58011060000001</v>
      </c>
      <c r="K795" s="8">
        <v>-5323.6848989999999</v>
      </c>
      <c r="L795" s="8">
        <v>7654.8647380000002</v>
      </c>
      <c r="M795" s="9" t="str">
        <f>IF(A795="",M796,A795)</f>
        <v>CÃ´te d'Ivoire</v>
      </c>
      <c r="N795" s="3" t="str">
        <f t="shared" si="25"/>
        <v>Feb-2020</v>
      </c>
    </row>
    <row r="796" spans="1:14" x14ac:dyDescent="0.3">
      <c r="A796" s="3" t="s">
        <v>74</v>
      </c>
      <c r="B796" s="3" t="s">
        <v>75</v>
      </c>
      <c r="C796" s="8">
        <v>2020</v>
      </c>
      <c r="D796" s="8">
        <v>3</v>
      </c>
      <c r="E796" s="3" t="str">
        <f t="shared" si="24"/>
        <v>March</v>
      </c>
      <c r="F796" s="3" t="s">
        <v>8</v>
      </c>
      <c r="G796" s="8">
        <v>15833.666859999999</v>
      </c>
      <c r="H796" s="8">
        <v>15328.130999999999</v>
      </c>
      <c r="I796" s="8">
        <v>-505.53586309999997</v>
      </c>
      <c r="J796" s="8">
        <v>199.04424750000001</v>
      </c>
      <c r="K796" s="8">
        <v>-6811.7980960000004</v>
      </c>
      <c r="L796" s="8">
        <v>8177.8441039999998</v>
      </c>
      <c r="M796" s="9" t="str">
        <f>IF(A796="",M797,A796)</f>
        <v>CÃ´te d'Ivoire</v>
      </c>
      <c r="N796" s="3" t="str">
        <f t="shared" si="25"/>
        <v>Mar-2020</v>
      </c>
    </row>
    <row r="797" spans="1:14" x14ac:dyDescent="0.3">
      <c r="A797" s="3" t="s">
        <v>74</v>
      </c>
      <c r="B797" s="3" t="s">
        <v>75</v>
      </c>
      <c r="C797" s="8">
        <v>2020</v>
      </c>
      <c r="D797" s="8">
        <v>4</v>
      </c>
      <c r="E797" s="3" t="str">
        <f t="shared" si="24"/>
        <v>April</v>
      </c>
      <c r="F797" s="3" t="s">
        <v>8</v>
      </c>
      <c r="G797" s="8">
        <v>15865.97409</v>
      </c>
      <c r="H797" s="8">
        <v>15200.742</v>
      </c>
      <c r="I797" s="8">
        <v>-665.23209359999998</v>
      </c>
      <c r="J797" s="8">
        <v>-466.1878461</v>
      </c>
      <c r="K797" s="8">
        <v>-8878.7418809999999</v>
      </c>
      <c r="L797" s="8">
        <v>9163.6057560000008</v>
      </c>
      <c r="M797" s="9" t="str">
        <f>IF(A797="",M798,A797)</f>
        <v>CÃ´te d'Ivoire</v>
      </c>
      <c r="N797" s="3" t="str">
        <f t="shared" si="25"/>
        <v>Apr-2020</v>
      </c>
    </row>
    <row r="798" spans="1:14" x14ac:dyDescent="0.3">
      <c r="A798" s="3" t="s">
        <v>74</v>
      </c>
      <c r="B798" s="3" t="s">
        <v>75</v>
      </c>
      <c r="C798" s="8">
        <v>2020</v>
      </c>
      <c r="D798" s="8">
        <v>5</v>
      </c>
      <c r="E798" s="3" t="str">
        <f t="shared" si="24"/>
        <v>May</v>
      </c>
      <c r="F798" s="3" t="s">
        <v>8</v>
      </c>
      <c r="G798" s="8">
        <v>15957.426509999999</v>
      </c>
      <c r="H798" s="8">
        <v>16276.136</v>
      </c>
      <c r="I798" s="8">
        <v>318.70948559999999</v>
      </c>
      <c r="J798" s="8">
        <v>-147.47836050000001</v>
      </c>
      <c r="K798" s="8">
        <v>-9383.6783400000004</v>
      </c>
      <c r="L798" s="8">
        <v>10339.96817</v>
      </c>
      <c r="M798" s="9" t="str">
        <f>IF(A798="",M799,A798)</f>
        <v>CÃ´te d'Ivoire</v>
      </c>
      <c r="N798" s="3" t="str">
        <f t="shared" si="25"/>
        <v>May-2020</v>
      </c>
    </row>
    <row r="799" spans="1:14" x14ac:dyDescent="0.3">
      <c r="A799" s="3" t="s">
        <v>74</v>
      </c>
      <c r="B799" s="3" t="s">
        <v>75</v>
      </c>
      <c r="C799" s="8">
        <v>2020</v>
      </c>
      <c r="D799" s="8">
        <v>6</v>
      </c>
      <c r="E799" s="3" t="str">
        <f t="shared" si="24"/>
        <v>June</v>
      </c>
      <c r="F799" s="3" t="s">
        <v>8</v>
      </c>
      <c r="G799" s="8">
        <v>16150.837229999999</v>
      </c>
      <c r="H799" s="8">
        <v>18202.066999999999</v>
      </c>
      <c r="I799" s="8">
        <v>2051.2297659999999</v>
      </c>
      <c r="J799" s="8">
        <v>1903.7514060000001</v>
      </c>
      <c r="K799" s="8">
        <v>-7958.2686560000002</v>
      </c>
      <c r="L799" s="8">
        <v>13210.118850000001</v>
      </c>
      <c r="M799" s="9" t="str">
        <f>IF(A799="",M800,A799)</f>
        <v>CÃ´te d'Ivoire</v>
      </c>
      <c r="N799" s="3" t="str">
        <f t="shared" si="25"/>
        <v>Jun-2020</v>
      </c>
    </row>
    <row r="800" spans="1:14" x14ac:dyDescent="0.3">
      <c r="A800" s="3" t="s">
        <v>74</v>
      </c>
      <c r="B800" s="3" t="s">
        <v>75</v>
      </c>
      <c r="C800" s="8">
        <v>2020</v>
      </c>
      <c r="D800" s="8">
        <v>7</v>
      </c>
      <c r="E800" s="3" t="str">
        <f t="shared" si="24"/>
        <v>July</v>
      </c>
      <c r="F800" s="3" t="s">
        <v>8</v>
      </c>
      <c r="G800" s="8">
        <v>16255.479219999999</v>
      </c>
      <c r="H800" s="8">
        <v>18378.598999999998</v>
      </c>
      <c r="I800" s="8">
        <v>2123.1197820000002</v>
      </c>
      <c r="J800" s="8">
        <v>4026.8711880000001</v>
      </c>
      <c r="K800" s="8">
        <v>-7370.0071619999999</v>
      </c>
      <c r="L800" s="8">
        <v>17130.723010000002</v>
      </c>
      <c r="M800" s="9" t="str">
        <f>IF(A800="",M801,A800)</f>
        <v>CÃ´te d'Ivoire</v>
      </c>
      <c r="N800" s="3" t="str">
        <f t="shared" si="25"/>
        <v>Jul-2020</v>
      </c>
    </row>
    <row r="801" spans="1:14" x14ac:dyDescent="0.3">
      <c r="A801" s="3" t="s">
        <v>74</v>
      </c>
      <c r="B801" s="3" t="s">
        <v>75</v>
      </c>
      <c r="C801" s="8">
        <v>2020</v>
      </c>
      <c r="D801" s="8">
        <v>8</v>
      </c>
      <c r="E801" s="3" t="str">
        <f t="shared" si="24"/>
        <v>August</v>
      </c>
      <c r="F801" s="3" t="s">
        <v>8</v>
      </c>
      <c r="G801" s="8">
        <v>16313.30402</v>
      </c>
      <c r="H801" s="8">
        <v>17401.282999999999</v>
      </c>
      <c r="I801" s="8">
        <v>1087.9789760000001</v>
      </c>
      <c r="J801" s="8">
        <v>5114.8501640000004</v>
      </c>
      <c r="K801" s="8">
        <v>-7739.0788549999997</v>
      </c>
      <c r="L801" s="8">
        <v>18156.882170000001</v>
      </c>
      <c r="M801" s="9" t="str">
        <f>IF(A801="",M802,A801)</f>
        <v>CÃ´te d'Ivoire</v>
      </c>
      <c r="N801" s="3" t="str">
        <f t="shared" si="25"/>
        <v>Aug-2020</v>
      </c>
    </row>
    <row r="802" spans="1:14" x14ac:dyDescent="0.3">
      <c r="A802" s="3" t="s">
        <v>74</v>
      </c>
      <c r="B802" s="3" t="s">
        <v>75</v>
      </c>
      <c r="C802" s="8">
        <v>2020</v>
      </c>
      <c r="D802" s="8">
        <v>9</v>
      </c>
      <c r="E802" s="3" t="str">
        <f t="shared" si="24"/>
        <v>September</v>
      </c>
      <c r="F802" s="3" t="s">
        <v>8</v>
      </c>
      <c r="G802" s="8">
        <v>16272.63992</v>
      </c>
      <c r="H802" s="8">
        <v>16895.687000000002</v>
      </c>
      <c r="I802" s="8">
        <v>623.04707789999998</v>
      </c>
      <c r="J802" s="8">
        <v>5737.897242</v>
      </c>
      <c r="K802" s="8">
        <v>-7446.5144140000002</v>
      </c>
      <c r="L802" s="8">
        <v>20149.139340000002</v>
      </c>
      <c r="M802" s="9" t="str">
        <f>IF(A802="",M803,A802)</f>
        <v>CÃ´te d'Ivoire</v>
      </c>
      <c r="N802" s="3" t="str">
        <f t="shared" si="25"/>
        <v>Sep-2020</v>
      </c>
    </row>
    <row r="803" spans="1:14" x14ac:dyDescent="0.3">
      <c r="A803" s="3" t="s">
        <v>74</v>
      </c>
      <c r="B803" s="3" t="s">
        <v>75</v>
      </c>
      <c r="C803" s="8">
        <v>2020</v>
      </c>
      <c r="D803" s="8">
        <v>10</v>
      </c>
      <c r="E803" s="3" t="str">
        <f t="shared" si="24"/>
        <v>October</v>
      </c>
      <c r="F803" s="3" t="s">
        <v>8</v>
      </c>
      <c r="G803" s="8">
        <v>16226.74797</v>
      </c>
      <c r="H803" s="8">
        <v>16415.272000000001</v>
      </c>
      <c r="I803" s="8">
        <v>188.5240325</v>
      </c>
      <c r="J803" s="8">
        <v>5926.4212740000003</v>
      </c>
      <c r="K803" s="8">
        <v>-7577.9708060000003</v>
      </c>
      <c r="L803" s="8">
        <v>21052.09072</v>
      </c>
      <c r="M803" s="9" t="str">
        <f>IF(A803="",M804,A803)</f>
        <v>CÃ´te d'Ivoire</v>
      </c>
      <c r="N803" s="3" t="str">
        <f t="shared" si="25"/>
        <v>Oct-2020</v>
      </c>
    </row>
    <row r="804" spans="1:14" x14ac:dyDescent="0.3">
      <c r="A804" s="3" t="s">
        <v>74</v>
      </c>
      <c r="B804" s="3" t="s">
        <v>75</v>
      </c>
      <c r="C804" s="8">
        <v>2020</v>
      </c>
      <c r="D804" s="8">
        <v>11</v>
      </c>
      <c r="E804" s="3" t="str">
        <f t="shared" si="24"/>
        <v>November</v>
      </c>
      <c r="F804" s="3" t="s">
        <v>8</v>
      </c>
      <c r="G804" s="8">
        <v>16110.720450000001</v>
      </c>
      <c r="H804" s="8">
        <v>16203.175999999999</v>
      </c>
      <c r="I804" s="8">
        <v>92.455548660000005</v>
      </c>
      <c r="J804" s="8">
        <v>6018.8768229999996</v>
      </c>
      <c r="K804" s="8">
        <v>-8479.1045419999991</v>
      </c>
      <c r="L804" s="8">
        <v>21411.837339999998</v>
      </c>
      <c r="M804" s="9" t="str">
        <f>IF(A804="",M805,A804)</f>
        <v>CÃ´te d'Ivoire</v>
      </c>
      <c r="N804" s="3" t="str">
        <f t="shared" si="25"/>
        <v>Nov-2020</v>
      </c>
    </row>
    <row r="805" spans="1:14" x14ac:dyDescent="0.3">
      <c r="A805" s="3" t="s">
        <v>74</v>
      </c>
      <c r="B805" s="3" t="s">
        <v>75</v>
      </c>
      <c r="C805" s="8">
        <v>2020</v>
      </c>
      <c r="D805" s="8">
        <v>12</v>
      </c>
      <c r="E805" s="3" t="str">
        <f t="shared" si="24"/>
        <v>December</v>
      </c>
      <c r="F805" s="3" t="s">
        <v>8</v>
      </c>
      <c r="G805" s="8">
        <v>16056.30084</v>
      </c>
      <c r="H805" s="8">
        <v>16359.169</v>
      </c>
      <c r="I805" s="8">
        <v>302.86816090000002</v>
      </c>
      <c r="J805" s="8">
        <v>6321.7449839999999</v>
      </c>
      <c r="K805" s="8">
        <v>-8994.618982</v>
      </c>
      <c r="L805" s="8">
        <v>22520.803</v>
      </c>
      <c r="M805" s="9" t="str">
        <f>IF(A805="",M806,A805)</f>
        <v>CÃ´te d'Ivoire</v>
      </c>
      <c r="N805" s="3" t="str">
        <f t="shared" si="25"/>
        <v>Dec-2020</v>
      </c>
    </row>
    <row r="806" spans="1:14" x14ac:dyDescent="0.3">
      <c r="A806" s="3" t="s">
        <v>74</v>
      </c>
      <c r="B806" s="3" t="s">
        <v>75</v>
      </c>
      <c r="C806" s="8">
        <v>2021</v>
      </c>
      <c r="D806" s="8">
        <v>1</v>
      </c>
      <c r="E806" s="3" t="str">
        <f t="shared" si="24"/>
        <v>January</v>
      </c>
      <c r="F806" s="3" t="s">
        <v>8</v>
      </c>
      <c r="G806" s="8">
        <v>15972.491620000001</v>
      </c>
      <c r="H806" s="8">
        <v>16820.169000000002</v>
      </c>
      <c r="I806" s="8">
        <v>847.67737729999999</v>
      </c>
      <c r="J806" s="8">
        <v>7169.4223609999999</v>
      </c>
      <c r="K806" s="8">
        <v>-8940.3285369999994</v>
      </c>
      <c r="L806" s="8">
        <v>24426.416140000001</v>
      </c>
      <c r="M806" s="9" t="str">
        <f>IF(A806="",M807,A806)</f>
        <v>CÃ´te d'Ivoire</v>
      </c>
      <c r="N806" s="3" t="str">
        <f t="shared" si="25"/>
        <v>Jan-2021</v>
      </c>
    </row>
    <row r="807" spans="1:14" x14ac:dyDescent="0.3">
      <c r="A807" s="3" t="s">
        <v>74</v>
      </c>
      <c r="B807" s="3" t="s">
        <v>75</v>
      </c>
      <c r="C807" s="8">
        <v>2021</v>
      </c>
      <c r="D807" s="8">
        <v>2</v>
      </c>
      <c r="E807" s="3" t="str">
        <f t="shared" si="24"/>
        <v>February</v>
      </c>
      <c r="F807" s="3" t="s">
        <v>8</v>
      </c>
      <c r="G807" s="8">
        <v>15763.23201</v>
      </c>
      <c r="H807" s="8">
        <v>17167.037</v>
      </c>
      <c r="I807" s="8">
        <v>1403.8049880000001</v>
      </c>
      <c r="J807" s="8">
        <v>8573.2273490000007</v>
      </c>
      <c r="K807" s="8">
        <v>-8396.0340899999992</v>
      </c>
      <c r="L807" s="8">
        <v>25709.251479999999</v>
      </c>
      <c r="M807" s="9" t="str">
        <f>IF(A807="",M808,A807)</f>
        <v>CÃ´te d'Ivoire</v>
      </c>
      <c r="N807" s="3" t="str">
        <f t="shared" si="25"/>
        <v>Feb-2021</v>
      </c>
    </row>
    <row r="808" spans="1:14" x14ac:dyDescent="0.3">
      <c r="A808" s="3" t="s">
        <v>74</v>
      </c>
      <c r="B808" s="3" t="s">
        <v>75</v>
      </c>
      <c r="C808" s="8">
        <v>2021</v>
      </c>
      <c r="D808" s="8">
        <v>3</v>
      </c>
      <c r="E808" s="3" t="str">
        <f t="shared" si="24"/>
        <v>March</v>
      </c>
      <c r="F808" s="3" t="s">
        <v>8</v>
      </c>
      <c r="G808" s="8">
        <v>15656.148279999999</v>
      </c>
      <c r="H808" s="8">
        <v>17345.945</v>
      </c>
      <c r="I808" s="8">
        <v>1689.7967229999999</v>
      </c>
      <c r="J808" s="8">
        <v>10263.024069999999</v>
      </c>
      <c r="K808" s="8">
        <v>-7556.5753530000002</v>
      </c>
      <c r="L808" s="8">
        <v>27589.070169999999</v>
      </c>
      <c r="M808" s="9" t="str">
        <f>IF(A808="",M809,A808)</f>
        <v>CÃ´te d'Ivoire</v>
      </c>
      <c r="N808" s="3" t="str">
        <f t="shared" si="25"/>
        <v>Mar-2021</v>
      </c>
    </row>
    <row r="809" spans="1:14" x14ac:dyDescent="0.3">
      <c r="A809" s="3" t="s">
        <v>74</v>
      </c>
      <c r="B809" s="3" t="s">
        <v>75</v>
      </c>
      <c r="C809" s="8">
        <v>2021</v>
      </c>
      <c r="D809" s="8">
        <v>4</v>
      </c>
      <c r="E809" s="3" t="str">
        <f t="shared" si="24"/>
        <v>April</v>
      </c>
      <c r="F809" s="3" t="s">
        <v>8</v>
      </c>
      <c r="G809" s="8">
        <v>15700.011490000001</v>
      </c>
      <c r="H809" s="8">
        <v>16564.920999999998</v>
      </c>
      <c r="I809" s="8">
        <v>864.90950699999996</v>
      </c>
      <c r="J809" s="8">
        <v>11127.933580000001</v>
      </c>
      <c r="K809" s="8">
        <v>-6572.6959710000001</v>
      </c>
      <c r="L809" s="8">
        <v>28349.459340000001</v>
      </c>
      <c r="M809" s="9" t="str">
        <f>IF(A809="",M810,A809)</f>
        <v>CÃ´te d'Ivoire</v>
      </c>
      <c r="N809" s="3" t="str">
        <f t="shared" si="25"/>
        <v>Apr-2021</v>
      </c>
    </row>
    <row r="810" spans="1:14" x14ac:dyDescent="0.3">
      <c r="A810" s="3" t="s">
        <v>74</v>
      </c>
      <c r="B810" s="3" t="s">
        <v>75</v>
      </c>
      <c r="C810" s="8">
        <v>2021</v>
      </c>
      <c r="D810" s="8">
        <v>5</v>
      </c>
      <c r="E810" s="3" t="str">
        <f t="shared" si="24"/>
        <v>May</v>
      </c>
      <c r="F810" s="3" t="s">
        <v>8</v>
      </c>
      <c r="G810" s="8">
        <v>15790.369489999999</v>
      </c>
      <c r="H810" s="8">
        <v>16422.576000000001</v>
      </c>
      <c r="I810" s="8">
        <v>632.20651359999999</v>
      </c>
      <c r="J810" s="8">
        <v>11760.140090000001</v>
      </c>
      <c r="K810" s="8">
        <v>-6954.0775569999996</v>
      </c>
      <c r="L810" s="8">
        <v>30656.509760000001</v>
      </c>
      <c r="M810" s="9" t="str">
        <f>IF(A810="",M811,A810)</f>
        <v>CÃ´te d'Ivoire</v>
      </c>
      <c r="N810" s="3" t="str">
        <f t="shared" si="25"/>
        <v>May-2021</v>
      </c>
    </row>
    <row r="811" spans="1:14" x14ac:dyDescent="0.3">
      <c r="A811" s="3" t="s">
        <v>74</v>
      </c>
      <c r="B811" s="3" t="s">
        <v>75</v>
      </c>
      <c r="C811" s="8">
        <v>2021</v>
      </c>
      <c r="D811" s="8">
        <v>6</v>
      </c>
      <c r="E811" s="3" t="str">
        <f t="shared" si="24"/>
        <v>June</v>
      </c>
      <c r="F811" s="3" t="s">
        <v>8</v>
      </c>
      <c r="G811" s="8">
        <v>15987.869119999999</v>
      </c>
      <c r="H811" s="8">
        <v>16640.368999999999</v>
      </c>
      <c r="I811" s="8">
        <v>652.49988480000002</v>
      </c>
      <c r="J811" s="8">
        <v>12412.63998</v>
      </c>
      <c r="K811" s="8">
        <v>-7207.7520290000002</v>
      </c>
      <c r="L811" s="8">
        <v>32632.05759</v>
      </c>
      <c r="M811" s="9" t="str">
        <f>IF(A811="",M812,A811)</f>
        <v>CÃ´te d'Ivoire</v>
      </c>
      <c r="N811" s="3" t="str">
        <f t="shared" si="25"/>
        <v>Jun-2021</v>
      </c>
    </row>
    <row r="812" spans="1:14" x14ac:dyDescent="0.3">
      <c r="A812" s="3" t="s">
        <v>74</v>
      </c>
      <c r="B812" s="3" t="s">
        <v>75</v>
      </c>
      <c r="C812" s="8">
        <v>2021</v>
      </c>
      <c r="D812" s="8">
        <v>7</v>
      </c>
      <c r="E812" s="3" t="str">
        <f t="shared" si="24"/>
        <v>July</v>
      </c>
      <c r="F812" s="3" t="s">
        <v>8</v>
      </c>
      <c r="G812" s="8">
        <v>16082.437239999999</v>
      </c>
      <c r="H812" s="8">
        <v>16693.113000000001</v>
      </c>
      <c r="I812" s="8">
        <v>610.67576180000003</v>
      </c>
      <c r="J812" s="8">
        <v>13023.31574</v>
      </c>
      <c r="K812" s="8">
        <v>-7086.3444049999998</v>
      </c>
      <c r="L812" s="8">
        <v>33339.507089999999</v>
      </c>
      <c r="M812" s="9" t="str">
        <f>IF(A812="",M813,A812)</f>
        <v>CÃ´te d'Ivoire</v>
      </c>
      <c r="N812" s="3" t="str">
        <f t="shared" si="25"/>
        <v>Jul-2021</v>
      </c>
    </row>
    <row r="813" spans="1:14" x14ac:dyDescent="0.3">
      <c r="A813" s="3" t="s">
        <v>74</v>
      </c>
      <c r="B813" s="3" t="s">
        <v>75</v>
      </c>
      <c r="C813" s="8">
        <v>2021</v>
      </c>
      <c r="D813" s="8">
        <v>8</v>
      </c>
      <c r="E813" s="3" t="str">
        <f t="shared" si="24"/>
        <v>August</v>
      </c>
      <c r="F813" s="3" t="s">
        <v>8</v>
      </c>
      <c r="G813" s="8">
        <v>16139.37095</v>
      </c>
      <c r="H813" s="8">
        <v>17191.774000000001</v>
      </c>
      <c r="I813" s="8">
        <v>1052.4030479999999</v>
      </c>
      <c r="J813" s="8">
        <v>14075.718790000001</v>
      </c>
      <c r="K813" s="8">
        <v>-6626.6585009999999</v>
      </c>
      <c r="L813" s="8">
        <v>34513.75387</v>
      </c>
      <c r="M813" s="9" t="str">
        <f>IF(A813="",M814,A813)</f>
        <v>CÃ´te d'Ivoire</v>
      </c>
      <c r="N813" s="3" t="str">
        <f t="shared" si="25"/>
        <v>Aug-2021</v>
      </c>
    </row>
    <row r="814" spans="1:14" x14ac:dyDescent="0.3">
      <c r="A814" s="3" t="s">
        <v>74</v>
      </c>
      <c r="B814" s="3" t="s">
        <v>75</v>
      </c>
      <c r="C814" s="8">
        <v>2021</v>
      </c>
      <c r="D814" s="8">
        <v>9</v>
      </c>
      <c r="E814" s="3" t="str">
        <f t="shared" si="24"/>
        <v>September</v>
      </c>
      <c r="F814" s="3" t="s">
        <v>8</v>
      </c>
      <c r="G814" s="8">
        <v>16100.37005</v>
      </c>
      <c r="H814" s="8">
        <v>17397.415000000001</v>
      </c>
      <c r="I814" s="8">
        <v>1297.044952</v>
      </c>
      <c r="J814" s="8">
        <v>15372.76374</v>
      </c>
      <c r="K814" s="8">
        <v>-6860.8254980000002</v>
      </c>
      <c r="L814" s="8">
        <v>36188.18967</v>
      </c>
      <c r="M814" s="9" t="str">
        <f>IF(A814="",M815,A814)</f>
        <v>CÃ´te d'Ivoire</v>
      </c>
      <c r="N814" s="3" t="str">
        <f t="shared" si="25"/>
        <v>Sep-2021</v>
      </c>
    </row>
    <row r="815" spans="1:14" x14ac:dyDescent="0.3">
      <c r="A815" s="3" t="s">
        <v>74</v>
      </c>
      <c r="B815" s="3" t="s">
        <v>75</v>
      </c>
      <c r="C815" s="8">
        <v>2021</v>
      </c>
      <c r="D815" s="8">
        <v>10</v>
      </c>
      <c r="E815" s="3" t="str">
        <f t="shared" si="24"/>
        <v>October</v>
      </c>
      <c r="F815" s="3" t="s">
        <v>8</v>
      </c>
      <c r="G815" s="8">
        <v>16056.256820000001</v>
      </c>
      <c r="H815" s="8">
        <v>16549.453000000001</v>
      </c>
      <c r="I815" s="8">
        <v>493.1961829</v>
      </c>
      <c r="J815" s="8">
        <v>15865.959919999999</v>
      </c>
      <c r="K815" s="8">
        <v>-6037.9884460000003</v>
      </c>
      <c r="L815" s="8">
        <v>37023.528939999997</v>
      </c>
      <c r="M815" s="9" t="str">
        <f>IF(A815="",M816,A815)</f>
        <v>CÃ´te d'Ivoire</v>
      </c>
      <c r="N815" s="3" t="str">
        <f t="shared" si="25"/>
        <v>Oct-2021</v>
      </c>
    </row>
    <row r="816" spans="1:14" x14ac:dyDescent="0.3">
      <c r="A816" s="3" t="s">
        <v>74</v>
      </c>
      <c r="B816" s="3" t="s">
        <v>75</v>
      </c>
      <c r="C816" s="8">
        <v>2021</v>
      </c>
      <c r="D816" s="8">
        <v>11</v>
      </c>
      <c r="E816" s="3" t="str">
        <f t="shared" si="24"/>
        <v>November</v>
      </c>
      <c r="F816" s="3" t="s">
        <v>8</v>
      </c>
      <c r="G816" s="8">
        <v>15945.60699</v>
      </c>
      <c r="H816" s="8">
        <v>15989.839</v>
      </c>
      <c r="I816" s="8">
        <v>44.232010299999999</v>
      </c>
      <c r="J816" s="8">
        <v>15910.191930000001</v>
      </c>
      <c r="K816" s="8">
        <v>-6919.9535290000003</v>
      </c>
      <c r="L816" s="8">
        <v>38375.794479999997</v>
      </c>
      <c r="M816" s="9" t="str">
        <f>IF(A816="",M817,A816)</f>
        <v>CÃ´te d'Ivoire</v>
      </c>
      <c r="N816" s="3" t="str">
        <f t="shared" si="25"/>
        <v>Nov-2021</v>
      </c>
    </row>
    <row r="817" spans="1:14" x14ac:dyDescent="0.3">
      <c r="A817" s="3" t="s">
        <v>74</v>
      </c>
      <c r="B817" s="3" t="s">
        <v>75</v>
      </c>
      <c r="C817" s="8">
        <v>2021</v>
      </c>
      <c r="D817" s="8">
        <v>12</v>
      </c>
      <c r="E817" s="3" t="str">
        <f t="shared" si="24"/>
        <v>December</v>
      </c>
      <c r="F817" s="3" t="s">
        <v>8</v>
      </c>
      <c r="G817" s="8">
        <v>15891.295760000001</v>
      </c>
      <c r="H817" s="8">
        <v>15969.213</v>
      </c>
      <c r="I817" s="8">
        <v>77.91723786</v>
      </c>
      <c r="J817" s="8">
        <v>15988.10917</v>
      </c>
      <c r="K817" s="8">
        <v>-6726.6369969999996</v>
      </c>
      <c r="L817" s="8">
        <v>39055.974439999998</v>
      </c>
      <c r="M817" s="9" t="str">
        <f>IF(A817="",M818,A817)</f>
        <v>CÃ´te d'Ivoire</v>
      </c>
      <c r="N817" s="3" t="str">
        <f t="shared" si="25"/>
        <v>Dec-2021</v>
      </c>
    </row>
    <row r="818" spans="1:14" x14ac:dyDescent="0.3">
      <c r="A818" s="3" t="s">
        <v>76</v>
      </c>
      <c r="B818" s="3" t="s">
        <v>77</v>
      </c>
      <c r="C818" s="8">
        <v>2020</v>
      </c>
      <c r="D818" s="8">
        <v>1</v>
      </c>
      <c r="E818" s="3" t="str">
        <f t="shared" si="24"/>
        <v>January</v>
      </c>
      <c r="F818" s="3" t="s">
        <v>8</v>
      </c>
      <c r="G818" s="8">
        <v>16208.430120000001</v>
      </c>
      <c r="H818" s="8">
        <v>16667.251</v>
      </c>
      <c r="I818" s="8">
        <v>458.8208813</v>
      </c>
      <c r="J818" s="8">
        <v>458.8208813</v>
      </c>
      <c r="K818" s="8">
        <v>-3402.3653810000001</v>
      </c>
      <c r="L818" s="8">
        <v>5211.3455190000004</v>
      </c>
      <c r="M818" s="9" t="str">
        <f>IF(A818="",M819,A818)</f>
        <v>Cameroon</v>
      </c>
      <c r="N818" s="3" t="str">
        <f t="shared" si="25"/>
        <v>Jan-2020</v>
      </c>
    </row>
    <row r="819" spans="1:14" x14ac:dyDescent="0.3">
      <c r="A819" s="3" t="s">
        <v>76</v>
      </c>
      <c r="B819" s="3" t="s">
        <v>77</v>
      </c>
      <c r="C819" s="8">
        <v>2020</v>
      </c>
      <c r="D819" s="8">
        <v>2</v>
      </c>
      <c r="E819" s="3" t="str">
        <f t="shared" si="24"/>
        <v>February</v>
      </c>
      <c r="F819" s="3" t="s">
        <v>8</v>
      </c>
      <c r="G819" s="8">
        <v>16039.1414</v>
      </c>
      <c r="H819" s="8">
        <v>16206.253000000001</v>
      </c>
      <c r="I819" s="8">
        <v>167.11160039999999</v>
      </c>
      <c r="J819" s="8">
        <v>625.93248170000004</v>
      </c>
      <c r="K819" s="8">
        <v>-5495.8068620000004</v>
      </c>
      <c r="L819" s="8">
        <v>7403.6194320000004</v>
      </c>
      <c r="M819" s="9" t="str">
        <f>IF(A819="",M820,A819)</f>
        <v>Cameroon</v>
      </c>
      <c r="N819" s="3" t="str">
        <f t="shared" si="25"/>
        <v>Feb-2020</v>
      </c>
    </row>
    <row r="820" spans="1:14" x14ac:dyDescent="0.3">
      <c r="A820" s="3" t="s">
        <v>76</v>
      </c>
      <c r="B820" s="3" t="s">
        <v>77</v>
      </c>
      <c r="C820" s="8">
        <v>2020</v>
      </c>
      <c r="D820" s="8">
        <v>3</v>
      </c>
      <c r="E820" s="3" t="str">
        <f t="shared" si="24"/>
        <v>March</v>
      </c>
      <c r="F820" s="3" t="s">
        <v>8</v>
      </c>
      <c r="G820" s="8">
        <v>15912.31623</v>
      </c>
      <c r="H820" s="8">
        <v>16369.906000000001</v>
      </c>
      <c r="I820" s="8">
        <v>457.58976710000002</v>
      </c>
      <c r="J820" s="8">
        <v>1083.5222490000001</v>
      </c>
      <c r="K820" s="8">
        <v>-6196.2626289999998</v>
      </c>
      <c r="L820" s="8">
        <v>9340.0993240000007</v>
      </c>
      <c r="M820" s="9" t="str">
        <f>IF(A820="",M821,A820)</f>
        <v>Cameroon</v>
      </c>
      <c r="N820" s="3" t="str">
        <f t="shared" si="25"/>
        <v>Mar-2020</v>
      </c>
    </row>
    <row r="821" spans="1:14" x14ac:dyDescent="0.3">
      <c r="A821" s="3" t="s">
        <v>76</v>
      </c>
      <c r="B821" s="3" t="s">
        <v>77</v>
      </c>
      <c r="C821" s="8">
        <v>2020</v>
      </c>
      <c r="D821" s="8">
        <v>4</v>
      </c>
      <c r="E821" s="3" t="str">
        <f t="shared" si="24"/>
        <v>April</v>
      </c>
      <c r="F821" s="3" t="s">
        <v>8</v>
      </c>
      <c r="G821" s="8">
        <v>15902.8524</v>
      </c>
      <c r="H821" s="8">
        <v>15703.508</v>
      </c>
      <c r="I821" s="8">
        <v>-199.344404</v>
      </c>
      <c r="J821" s="8">
        <v>884.1778448</v>
      </c>
      <c r="K821" s="8">
        <v>-7199.4801260000004</v>
      </c>
      <c r="L821" s="8">
        <v>9974.6644940000006</v>
      </c>
      <c r="M821" s="9" t="str">
        <f>IF(A821="",M822,A821)</f>
        <v>Cameroon</v>
      </c>
      <c r="N821" s="3" t="str">
        <f t="shared" si="25"/>
        <v>Apr-2020</v>
      </c>
    </row>
    <row r="822" spans="1:14" x14ac:dyDescent="0.3">
      <c r="A822" s="3" t="s">
        <v>76</v>
      </c>
      <c r="B822" s="3" t="s">
        <v>77</v>
      </c>
      <c r="C822" s="8">
        <v>2020</v>
      </c>
      <c r="D822" s="8">
        <v>5</v>
      </c>
      <c r="E822" s="3" t="str">
        <f t="shared" si="24"/>
        <v>May</v>
      </c>
      <c r="F822" s="3" t="s">
        <v>8</v>
      </c>
      <c r="G822" s="8">
        <v>15997.84145</v>
      </c>
      <c r="H822" s="8">
        <v>16734.892</v>
      </c>
      <c r="I822" s="8">
        <v>737.05055140000002</v>
      </c>
      <c r="J822" s="8">
        <v>1621.228396</v>
      </c>
      <c r="K822" s="8">
        <v>-7249.5106880000003</v>
      </c>
      <c r="L822" s="8">
        <v>11366.59679</v>
      </c>
      <c r="M822" s="9" t="str">
        <f>IF(A822="",M823,A822)</f>
        <v>Cameroon</v>
      </c>
      <c r="N822" s="3" t="str">
        <f t="shared" si="25"/>
        <v>May-2020</v>
      </c>
    </row>
    <row r="823" spans="1:14" x14ac:dyDescent="0.3">
      <c r="A823" s="3" t="s">
        <v>76</v>
      </c>
      <c r="B823" s="3" t="s">
        <v>77</v>
      </c>
      <c r="C823" s="8">
        <v>2020</v>
      </c>
      <c r="D823" s="8">
        <v>6</v>
      </c>
      <c r="E823" s="3" t="str">
        <f t="shared" si="24"/>
        <v>June</v>
      </c>
      <c r="F823" s="3" t="s">
        <v>8</v>
      </c>
      <c r="G823" s="8">
        <v>16139.243700000001</v>
      </c>
      <c r="H823" s="8">
        <v>17243.011999999999</v>
      </c>
      <c r="I823" s="8">
        <v>1103.7683030000001</v>
      </c>
      <c r="J823" s="8">
        <v>2724.9966989999998</v>
      </c>
      <c r="K823" s="8">
        <v>-7255.0648490000003</v>
      </c>
      <c r="L823" s="8">
        <v>14161.352860000001</v>
      </c>
      <c r="M823" s="9" t="str">
        <f>IF(A823="",M824,A823)</f>
        <v>Cameroon</v>
      </c>
      <c r="N823" s="3" t="str">
        <f t="shared" si="25"/>
        <v>Jun-2020</v>
      </c>
    </row>
    <row r="824" spans="1:14" x14ac:dyDescent="0.3">
      <c r="A824" s="3" t="s">
        <v>76</v>
      </c>
      <c r="B824" s="3" t="s">
        <v>77</v>
      </c>
      <c r="C824" s="8">
        <v>2020</v>
      </c>
      <c r="D824" s="8">
        <v>7</v>
      </c>
      <c r="E824" s="3" t="str">
        <f t="shared" si="24"/>
        <v>July</v>
      </c>
      <c r="F824" s="3" t="s">
        <v>8</v>
      </c>
      <c r="G824" s="8">
        <v>16252.05946</v>
      </c>
      <c r="H824" s="8">
        <v>17007.327000000001</v>
      </c>
      <c r="I824" s="8">
        <v>755.26754140000003</v>
      </c>
      <c r="J824" s="8">
        <v>3480.2642409999999</v>
      </c>
      <c r="K824" s="8">
        <v>-7255.6395949999996</v>
      </c>
      <c r="L824" s="8">
        <v>15102.95313</v>
      </c>
      <c r="M824" s="9" t="str">
        <f>IF(A824="",M825,A824)</f>
        <v>Cameroon</v>
      </c>
      <c r="N824" s="3" t="str">
        <f t="shared" si="25"/>
        <v>Jul-2020</v>
      </c>
    </row>
    <row r="825" spans="1:14" x14ac:dyDescent="0.3">
      <c r="A825" s="3" t="s">
        <v>76</v>
      </c>
      <c r="B825" s="3" t="s">
        <v>77</v>
      </c>
      <c r="C825" s="8">
        <v>2020</v>
      </c>
      <c r="D825" s="8">
        <v>8</v>
      </c>
      <c r="E825" s="3" t="str">
        <f t="shared" si="24"/>
        <v>August</v>
      </c>
      <c r="F825" s="3" t="s">
        <v>8</v>
      </c>
      <c r="G825" s="8">
        <v>16247.649289999999</v>
      </c>
      <c r="H825" s="8">
        <v>16826.861000000001</v>
      </c>
      <c r="I825" s="8">
        <v>579.21170849999999</v>
      </c>
      <c r="J825" s="8">
        <v>4059.4759490000001</v>
      </c>
      <c r="K825" s="8">
        <v>-7521.034987</v>
      </c>
      <c r="L825" s="8">
        <v>16805.464510000002</v>
      </c>
      <c r="M825" s="9" t="str">
        <f>IF(A825="",M826,A825)</f>
        <v>Cameroon</v>
      </c>
      <c r="N825" s="3" t="str">
        <f t="shared" si="25"/>
        <v>Aug-2020</v>
      </c>
    </row>
    <row r="826" spans="1:14" x14ac:dyDescent="0.3">
      <c r="A826" s="3" t="s">
        <v>76</v>
      </c>
      <c r="B826" s="3" t="s">
        <v>77</v>
      </c>
      <c r="C826" s="8">
        <v>2020</v>
      </c>
      <c r="D826" s="8">
        <v>9</v>
      </c>
      <c r="E826" s="3" t="str">
        <f t="shared" si="24"/>
        <v>September</v>
      </c>
      <c r="F826" s="3" t="s">
        <v>8</v>
      </c>
      <c r="G826" s="8">
        <v>16252.07533</v>
      </c>
      <c r="H826" s="8">
        <v>16590.314999999999</v>
      </c>
      <c r="I826" s="8">
        <v>338.2396698</v>
      </c>
      <c r="J826" s="8">
        <v>4397.7156189999996</v>
      </c>
      <c r="K826" s="8">
        <v>-7901.6007040000004</v>
      </c>
      <c r="L826" s="8">
        <v>18049.0416</v>
      </c>
      <c r="M826" s="9" t="str">
        <f>IF(A826="",M827,A826)</f>
        <v>Cameroon</v>
      </c>
      <c r="N826" s="3" t="str">
        <f t="shared" si="25"/>
        <v>Sep-2020</v>
      </c>
    </row>
    <row r="827" spans="1:14" x14ac:dyDescent="0.3">
      <c r="A827" s="3" t="s">
        <v>76</v>
      </c>
      <c r="B827" s="3" t="s">
        <v>77</v>
      </c>
      <c r="C827" s="8">
        <v>2020</v>
      </c>
      <c r="D827" s="8">
        <v>10</v>
      </c>
      <c r="E827" s="3" t="str">
        <f t="shared" si="24"/>
        <v>October</v>
      </c>
      <c r="F827" s="3" t="s">
        <v>8</v>
      </c>
      <c r="G827" s="8">
        <v>16167.99762</v>
      </c>
      <c r="H827" s="8">
        <v>16157.195</v>
      </c>
      <c r="I827" s="8">
        <v>-10.80262044</v>
      </c>
      <c r="J827" s="8">
        <v>4386.9129979999998</v>
      </c>
      <c r="K827" s="8">
        <v>-8812.0689779999993</v>
      </c>
      <c r="L827" s="8">
        <v>18340.046269999999</v>
      </c>
      <c r="M827" s="9" t="str">
        <f>IF(A827="",M828,A827)</f>
        <v>Cameroon</v>
      </c>
      <c r="N827" s="3" t="str">
        <f t="shared" si="25"/>
        <v>Oct-2020</v>
      </c>
    </row>
    <row r="828" spans="1:14" x14ac:dyDescent="0.3">
      <c r="A828" s="3" t="s">
        <v>76</v>
      </c>
      <c r="B828" s="3" t="s">
        <v>77</v>
      </c>
      <c r="C828" s="8">
        <v>2020</v>
      </c>
      <c r="D828" s="8">
        <v>11</v>
      </c>
      <c r="E828" s="3" t="str">
        <f t="shared" si="24"/>
        <v>November</v>
      </c>
      <c r="F828" s="3" t="s">
        <v>8</v>
      </c>
      <c r="G828" s="8">
        <v>16156.716</v>
      </c>
      <c r="H828" s="8">
        <v>16180.762000000001</v>
      </c>
      <c r="I828" s="8">
        <v>24.046002120000001</v>
      </c>
      <c r="J828" s="8">
        <v>4410.9590010000002</v>
      </c>
      <c r="K828" s="8">
        <v>-9716.3853099999997</v>
      </c>
      <c r="L828" s="8">
        <v>18866.78428</v>
      </c>
      <c r="M828" s="9" t="str">
        <f>IF(A828="",M829,A828)</f>
        <v>Cameroon</v>
      </c>
      <c r="N828" s="3" t="str">
        <f t="shared" si="25"/>
        <v>Nov-2020</v>
      </c>
    </row>
    <row r="829" spans="1:14" x14ac:dyDescent="0.3">
      <c r="A829" s="3" t="s">
        <v>76</v>
      </c>
      <c r="B829" s="3" t="s">
        <v>77</v>
      </c>
      <c r="C829" s="8">
        <v>2020</v>
      </c>
      <c r="D829" s="8">
        <v>12</v>
      </c>
      <c r="E829" s="3" t="str">
        <f t="shared" si="24"/>
        <v>December</v>
      </c>
      <c r="F829" s="3" t="s">
        <v>8</v>
      </c>
      <c r="G829" s="8">
        <v>16191.44902</v>
      </c>
      <c r="H829" s="8">
        <v>16487.602999999999</v>
      </c>
      <c r="I829" s="8">
        <v>296.15398160000001</v>
      </c>
      <c r="J829" s="8">
        <v>4707.1129819999996</v>
      </c>
      <c r="K829" s="8">
        <v>-9487.4924900000005</v>
      </c>
      <c r="L829" s="8">
        <v>19783.036639999998</v>
      </c>
      <c r="M829" s="9" t="str">
        <f>IF(A829="",M830,A829)</f>
        <v>Cameroon</v>
      </c>
      <c r="N829" s="3" t="str">
        <f t="shared" si="25"/>
        <v>Dec-2020</v>
      </c>
    </row>
    <row r="830" spans="1:14" x14ac:dyDescent="0.3">
      <c r="A830" s="3" t="s">
        <v>76</v>
      </c>
      <c r="B830" s="3" t="s">
        <v>77</v>
      </c>
      <c r="C830" s="8">
        <v>2021</v>
      </c>
      <c r="D830" s="8">
        <v>1</v>
      </c>
      <c r="E830" s="3" t="str">
        <f t="shared" si="24"/>
        <v>January</v>
      </c>
      <c r="F830" s="3" t="s">
        <v>8</v>
      </c>
      <c r="G830" s="8">
        <v>15963.42189</v>
      </c>
      <c r="H830" s="8">
        <v>16813.355</v>
      </c>
      <c r="I830" s="8">
        <v>849.9331062</v>
      </c>
      <c r="J830" s="8">
        <v>5557.0460880000001</v>
      </c>
      <c r="K830" s="8">
        <v>-9231.619874</v>
      </c>
      <c r="L830" s="8">
        <v>21297.470600000001</v>
      </c>
      <c r="M830" s="9" t="str">
        <f>IF(A830="",M831,A830)</f>
        <v>Cameroon</v>
      </c>
      <c r="N830" s="3" t="str">
        <f t="shared" si="25"/>
        <v>Jan-2021</v>
      </c>
    </row>
    <row r="831" spans="1:14" x14ac:dyDescent="0.3">
      <c r="A831" s="3" t="s">
        <v>76</v>
      </c>
      <c r="B831" s="3" t="s">
        <v>77</v>
      </c>
      <c r="C831" s="8">
        <v>2021</v>
      </c>
      <c r="D831" s="8">
        <v>2</v>
      </c>
      <c r="E831" s="3" t="str">
        <f t="shared" si="24"/>
        <v>February</v>
      </c>
      <c r="F831" s="3" t="s">
        <v>8</v>
      </c>
      <c r="G831" s="8">
        <v>15793.13839</v>
      </c>
      <c r="H831" s="8">
        <v>17531.956999999999</v>
      </c>
      <c r="I831" s="8">
        <v>1738.818614</v>
      </c>
      <c r="J831" s="8">
        <v>7295.8647030000002</v>
      </c>
      <c r="K831" s="8">
        <v>-8113.008793</v>
      </c>
      <c r="L831" s="8">
        <v>23806.763419999999</v>
      </c>
      <c r="M831" s="9" t="str">
        <f>IF(A831="",M832,A831)</f>
        <v>Cameroon</v>
      </c>
      <c r="N831" s="3" t="str">
        <f t="shared" si="25"/>
        <v>Feb-2021</v>
      </c>
    </row>
    <row r="832" spans="1:14" x14ac:dyDescent="0.3">
      <c r="A832" s="3" t="s">
        <v>76</v>
      </c>
      <c r="B832" s="3" t="s">
        <v>77</v>
      </c>
      <c r="C832" s="8">
        <v>2021</v>
      </c>
      <c r="D832" s="8">
        <v>3</v>
      </c>
      <c r="E832" s="3" t="str">
        <f t="shared" si="24"/>
        <v>March</v>
      </c>
      <c r="F832" s="3" t="s">
        <v>8</v>
      </c>
      <c r="G832" s="8">
        <v>15670.34873</v>
      </c>
      <c r="H832" s="8">
        <v>18045.609</v>
      </c>
      <c r="I832" s="8">
        <v>2375.2602729999999</v>
      </c>
      <c r="J832" s="8">
        <v>9671.1249759999992</v>
      </c>
      <c r="K832" s="8">
        <v>-6931.898064</v>
      </c>
      <c r="L832" s="8">
        <v>27560.449830000001</v>
      </c>
      <c r="M832" s="9" t="str">
        <f>IF(A832="",M833,A832)</f>
        <v>Cameroon</v>
      </c>
      <c r="N832" s="3" t="str">
        <f t="shared" si="25"/>
        <v>Mar-2021</v>
      </c>
    </row>
    <row r="833" spans="1:14" x14ac:dyDescent="0.3">
      <c r="A833" s="3" t="s">
        <v>76</v>
      </c>
      <c r="B833" s="3" t="s">
        <v>77</v>
      </c>
      <c r="C833" s="8">
        <v>2021</v>
      </c>
      <c r="D833" s="8">
        <v>4</v>
      </c>
      <c r="E833" s="3" t="str">
        <f t="shared" si="24"/>
        <v>April</v>
      </c>
      <c r="F833" s="3" t="s">
        <v>8</v>
      </c>
      <c r="G833" s="8">
        <v>15668.48201</v>
      </c>
      <c r="H833" s="8">
        <v>18124.137999999999</v>
      </c>
      <c r="I833" s="8">
        <v>2455.6559870000001</v>
      </c>
      <c r="J833" s="8">
        <v>12126.78096</v>
      </c>
      <c r="K833" s="8">
        <v>-4796.7247170000001</v>
      </c>
      <c r="L833" s="8">
        <v>31372.229189999998</v>
      </c>
      <c r="M833" s="9" t="str">
        <f>IF(A833="",M834,A833)</f>
        <v>Cameroon</v>
      </c>
      <c r="N833" s="3" t="str">
        <f t="shared" si="25"/>
        <v>Apr-2021</v>
      </c>
    </row>
    <row r="834" spans="1:14" x14ac:dyDescent="0.3">
      <c r="A834" s="3" t="s">
        <v>76</v>
      </c>
      <c r="B834" s="3" t="s">
        <v>77</v>
      </c>
      <c r="C834" s="8">
        <v>2021</v>
      </c>
      <c r="D834" s="8">
        <v>5</v>
      </c>
      <c r="E834" s="3" t="str">
        <f t="shared" ref="E834:E897" si="26">TEXT(DATE(C834,D834,1),"MMMM")</f>
        <v>May</v>
      </c>
      <c r="F834" s="3" t="s">
        <v>8</v>
      </c>
      <c r="G834" s="8">
        <v>15757.302820000001</v>
      </c>
      <c r="H834" s="8">
        <v>17526.931</v>
      </c>
      <c r="I834" s="8">
        <v>1769.6281839999999</v>
      </c>
      <c r="J834" s="8">
        <v>13896.409149999999</v>
      </c>
      <c r="K834" s="8">
        <v>-3089.1683370000001</v>
      </c>
      <c r="L834" s="8">
        <v>33402.061199999996</v>
      </c>
      <c r="M834" s="9" t="str">
        <f>IF(A834="",M835,A834)</f>
        <v>Cameroon</v>
      </c>
      <c r="N834" s="3" t="str">
        <f t="shared" ref="N834:N897" si="27">TEXT(DATE(C834,D834,1),"MMM-YYYY")</f>
        <v>May-2021</v>
      </c>
    </row>
    <row r="835" spans="1:14" x14ac:dyDescent="0.3">
      <c r="A835" s="3" t="s">
        <v>76</v>
      </c>
      <c r="B835" s="3" t="s">
        <v>77</v>
      </c>
      <c r="C835" s="8">
        <v>2021</v>
      </c>
      <c r="D835" s="8">
        <v>6</v>
      </c>
      <c r="E835" s="3" t="str">
        <f t="shared" si="26"/>
        <v>June</v>
      </c>
      <c r="F835" s="3" t="s">
        <v>8</v>
      </c>
      <c r="G835" s="8">
        <v>15894.24185</v>
      </c>
      <c r="H835" s="8">
        <v>17220.796999999999</v>
      </c>
      <c r="I835" s="8">
        <v>1326.5551539999999</v>
      </c>
      <c r="J835" s="8">
        <v>15222.9643</v>
      </c>
      <c r="K835" s="8">
        <v>-2516.096783</v>
      </c>
      <c r="L835" s="8">
        <v>35610.99871</v>
      </c>
      <c r="M835" s="9" t="str">
        <f>IF(A835="",M836,A835)</f>
        <v>Cameroon</v>
      </c>
      <c r="N835" s="3" t="str">
        <f t="shared" si="27"/>
        <v>Jun-2021</v>
      </c>
    </row>
    <row r="836" spans="1:14" x14ac:dyDescent="0.3">
      <c r="A836" s="3" t="s">
        <v>76</v>
      </c>
      <c r="B836" s="3" t="s">
        <v>77</v>
      </c>
      <c r="C836" s="8">
        <v>2021</v>
      </c>
      <c r="D836" s="8">
        <v>7</v>
      </c>
      <c r="E836" s="3" t="str">
        <f t="shared" si="26"/>
        <v>July</v>
      </c>
      <c r="F836" s="3" t="s">
        <v>8</v>
      </c>
      <c r="G836" s="8">
        <v>16005.777700000001</v>
      </c>
      <c r="H836" s="8">
        <v>17263.558000000001</v>
      </c>
      <c r="I836" s="8">
        <v>1257.7802999999999</v>
      </c>
      <c r="J836" s="8">
        <v>16480.744600000002</v>
      </c>
      <c r="K836" s="8">
        <v>-1761.2686160000001</v>
      </c>
      <c r="L836" s="8">
        <v>36589.64372</v>
      </c>
      <c r="M836" s="9" t="str">
        <f>IF(A836="",M837,A836)</f>
        <v>Cameroon</v>
      </c>
      <c r="N836" s="3" t="str">
        <f t="shared" si="27"/>
        <v>Jul-2021</v>
      </c>
    </row>
    <row r="837" spans="1:14" x14ac:dyDescent="0.3">
      <c r="A837" s="3" t="s">
        <v>76</v>
      </c>
      <c r="B837" s="3" t="s">
        <v>77</v>
      </c>
      <c r="C837" s="8">
        <v>2021</v>
      </c>
      <c r="D837" s="8">
        <v>8</v>
      </c>
      <c r="E837" s="3" t="str">
        <f t="shared" si="26"/>
        <v>August</v>
      </c>
      <c r="F837" s="3" t="s">
        <v>8</v>
      </c>
      <c r="G837" s="8">
        <v>16000.387500000001</v>
      </c>
      <c r="H837" s="8">
        <v>16743.116999999998</v>
      </c>
      <c r="I837" s="8">
        <v>742.7295001</v>
      </c>
      <c r="J837" s="8">
        <v>17223.474099999999</v>
      </c>
      <c r="K837" s="8">
        <v>-1996.386383</v>
      </c>
      <c r="L837" s="8">
        <v>37582.940199999997</v>
      </c>
      <c r="M837" s="9" t="str">
        <f>IF(A837="",M838,A837)</f>
        <v>Cameroon</v>
      </c>
      <c r="N837" s="3" t="str">
        <f t="shared" si="27"/>
        <v>Aug-2021</v>
      </c>
    </row>
    <row r="838" spans="1:14" x14ac:dyDescent="0.3">
      <c r="A838" s="3" t="s">
        <v>76</v>
      </c>
      <c r="B838" s="3" t="s">
        <v>77</v>
      </c>
      <c r="C838" s="8">
        <v>2021</v>
      </c>
      <c r="D838" s="8">
        <v>9</v>
      </c>
      <c r="E838" s="3" t="str">
        <f t="shared" si="26"/>
        <v>September</v>
      </c>
      <c r="F838" s="3" t="s">
        <v>8</v>
      </c>
      <c r="G838" s="8">
        <v>16006.271549999999</v>
      </c>
      <c r="H838" s="8">
        <v>17235.647000000001</v>
      </c>
      <c r="I838" s="8">
        <v>1229.3754469999999</v>
      </c>
      <c r="J838" s="8">
        <v>18452.849549999999</v>
      </c>
      <c r="K838" s="8">
        <v>-1596.1117449999999</v>
      </c>
      <c r="L838" s="8">
        <v>40005.524299999997</v>
      </c>
      <c r="M838" s="9" t="str">
        <f>IF(A838="",M839,A838)</f>
        <v>Cameroon</v>
      </c>
      <c r="N838" s="3" t="str">
        <f t="shared" si="27"/>
        <v>Sep-2021</v>
      </c>
    </row>
    <row r="839" spans="1:14" x14ac:dyDescent="0.3">
      <c r="A839" s="3" t="s">
        <v>76</v>
      </c>
      <c r="B839" s="3" t="s">
        <v>77</v>
      </c>
      <c r="C839" s="8">
        <v>2021</v>
      </c>
      <c r="D839" s="8">
        <v>10</v>
      </c>
      <c r="E839" s="3" t="str">
        <f t="shared" si="26"/>
        <v>October</v>
      </c>
      <c r="F839" s="3" t="s">
        <v>8</v>
      </c>
      <c r="G839" s="8">
        <v>15925.41221</v>
      </c>
      <c r="H839" s="8">
        <v>16936.824000000001</v>
      </c>
      <c r="I839" s="8">
        <v>1011.411785</v>
      </c>
      <c r="J839" s="8">
        <v>19464.261330000001</v>
      </c>
      <c r="K839" s="8">
        <v>-301.7292453</v>
      </c>
      <c r="L839" s="8">
        <v>41188.792139999998</v>
      </c>
      <c r="M839" s="9" t="str">
        <f>IF(A839="",M840,A839)</f>
        <v>Cameroon</v>
      </c>
      <c r="N839" s="3" t="str">
        <f t="shared" si="27"/>
        <v>Oct-2021</v>
      </c>
    </row>
    <row r="840" spans="1:14" x14ac:dyDescent="0.3">
      <c r="A840" s="3" t="s">
        <v>76</v>
      </c>
      <c r="B840" s="3" t="s">
        <v>77</v>
      </c>
      <c r="C840" s="8">
        <v>2021</v>
      </c>
      <c r="D840" s="8">
        <v>11</v>
      </c>
      <c r="E840" s="3" t="str">
        <f t="shared" si="26"/>
        <v>November</v>
      </c>
      <c r="F840" s="3" t="s">
        <v>8</v>
      </c>
      <c r="G840" s="8">
        <v>15921.10902</v>
      </c>
      <c r="H840" s="8">
        <v>16391.856</v>
      </c>
      <c r="I840" s="8">
        <v>470.74697900000001</v>
      </c>
      <c r="J840" s="8">
        <v>19935.008310000001</v>
      </c>
      <c r="K840" s="8">
        <v>-775.72509349999996</v>
      </c>
      <c r="L840" s="8">
        <v>42054.978349999998</v>
      </c>
      <c r="M840" s="9" t="str">
        <f>IF(A840="",M841,A840)</f>
        <v>Cameroon</v>
      </c>
      <c r="N840" s="3" t="str">
        <f t="shared" si="27"/>
        <v>Nov-2021</v>
      </c>
    </row>
    <row r="841" spans="1:14" x14ac:dyDescent="0.3">
      <c r="A841" s="3" t="s">
        <v>76</v>
      </c>
      <c r="B841" s="3" t="s">
        <v>77</v>
      </c>
      <c r="C841" s="8">
        <v>2021</v>
      </c>
      <c r="D841" s="8">
        <v>12</v>
      </c>
      <c r="E841" s="3" t="str">
        <f t="shared" si="26"/>
        <v>December</v>
      </c>
      <c r="F841" s="3" t="s">
        <v>8</v>
      </c>
      <c r="G841" s="8">
        <v>15945.78334</v>
      </c>
      <c r="H841" s="8">
        <v>16875.282999999999</v>
      </c>
      <c r="I841" s="8">
        <v>929.49965640000005</v>
      </c>
      <c r="J841" s="8">
        <v>20864.507969999999</v>
      </c>
      <c r="K841" s="8">
        <v>-264.75594410000002</v>
      </c>
      <c r="L841" s="8">
        <v>42902.497719999999</v>
      </c>
      <c r="M841" s="9" t="str">
        <f>IF(A841="",M842,A841)</f>
        <v>Cameroon</v>
      </c>
      <c r="N841" s="3" t="str">
        <f t="shared" si="27"/>
        <v>Dec-2021</v>
      </c>
    </row>
    <row r="842" spans="1:14" x14ac:dyDescent="0.3">
      <c r="A842" s="3" t="s">
        <v>78</v>
      </c>
      <c r="B842" s="3" t="s">
        <v>79</v>
      </c>
      <c r="C842" s="8">
        <v>2020</v>
      </c>
      <c r="D842" s="8">
        <v>1</v>
      </c>
      <c r="E842" s="3" t="str">
        <f t="shared" si="26"/>
        <v>January</v>
      </c>
      <c r="F842" s="3" t="s">
        <v>8</v>
      </c>
      <c r="G842" s="8">
        <v>60138.682220000002</v>
      </c>
      <c r="H842" s="8">
        <v>61370.633999999998</v>
      </c>
      <c r="I842" s="8">
        <v>1231.951777</v>
      </c>
      <c r="J842" s="8">
        <v>1231.951777</v>
      </c>
      <c r="K842" s="8">
        <v>-12967.93795</v>
      </c>
      <c r="L842" s="8">
        <v>19785.723180000001</v>
      </c>
      <c r="M842" s="9" t="str">
        <f>IF(A842="",M843,A842)</f>
        <v>Democratic Republic of the Congo</v>
      </c>
      <c r="N842" s="3" t="str">
        <f t="shared" si="27"/>
        <v>Jan-2020</v>
      </c>
    </row>
    <row r="843" spans="1:14" x14ac:dyDescent="0.3">
      <c r="A843" s="3" t="s">
        <v>78</v>
      </c>
      <c r="B843" s="3" t="s">
        <v>79</v>
      </c>
      <c r="C843" s="8">
        <v>2020</v>
      </c>
      <c r="D843" s="8">
        <v>2</v>
      </c>
      <c r="E843" s="3" t="str">
        <f t="shared" si="26"/>
        <v>February</v>
      </c>
      <c r="F843" s="3" t="s">
        <v>8</v>
      </c>
      <c r="G843" s="8">
        <v>60001.475350000001</v>
      </c>
      <c r="H843" s="8">
        <v>60324.56</v>
      </c>
      <c r="I843" s="8">
        <v>323.084654</v>
      </c>
      <c r="J843" s="8">
        <v>1555.036431</v>
      </c>
      <c r="K843" s="8">
        <v>-17987.815419999999</v>
      </c>
      <c r="L843" s="8">
        <v>26645.196919999998</v>
      </c>
      <c r="M843" s="9" t="str">
        <f>IF(A843="",M844,A843)</f>
        <v>Democratic Republic of the Congo</v>
      </c>
      <c r="N843" s="3" t="str">
        <f t="shared" si="27"/>
        <v>Feb-2020</v>
      </c>
    </row>
    <row r="844" spans="1:14" x14ac:dyDescent="0.3">
      <c r="A844" s="3" t="s">
        <v>78</v>
      </c>
      <c r="B844" s="3" t="s">
        <v>79</v>
      </c>
      <c r="C844" s="8">
        <v>2020</v>
      </c>
      <c r="D844" s="8">
        <v>3</v>
      </c>
      <c r="E844" s="3" t="str">
        <f t="shared" si="26"/>
        <v>March</v>
      </c>
      <c r="F844" s="3" t="s">
        <v>8</v>
      </c>
      <c r="G844" s="8">
        <v>59954.78802</v>
      </c>
      <c r="H844" s="8">
        <v>59751.718999999997</v>
      </c>
      <c r="I844" s="8">
        <v>-203.0690223</v>
      </c>
      <c r="J844" s="8">
        <v>1351.9674090000001</v>
      </c>
      <c r="K844" s="8">
        <v>-23409.618190000001</v>
      </c>
      <c r="L844" s="8">
        <v>31773.72839</v>
      </c>
      <c r="M844" s="9" t="str">
        <f>IF(A844="",M845,A844)</f>
        <v>Democratic Republic of the Congo</v>
      </c>
      <c r="N844" s="3" t="str">
        <f t="shared" si="27"/>
        <v>Mar-2020</v>
      </c>
    </row>
    <row r="845" spans="1:14" x14ac:dyDescent="0.3">
      <c r="A845" s="3" t="s">
        <v>78</v>
      </c>
      <c r="B845" s="3" t="s">
        <v>79</v>
      </c>
      <c r="C845" s="8">
        <v>2020</v>
      </c>
      <c r="D845" s="8">
        <v>4</v>
      </c>
      <c r="E845" s="3" t="str">
        <f t="shared" si="26"/>
        <v>April</v>
      </c>
      <c r="F845" s="3" t="s">
        <v>8</v>
      </c>
      <c r="G845" s="8">
        <v>59993.495269999999</v>
      </c>
      <c r="H845" s="8">
        <v>59109.705000000002</v>
      </c>
      <c r="I845" s="8">
        <v>-883.79026629999998</v>
      </c>
      <c r="J845" s="8">
        <v>468.17714269999999</v>
      </c>
      <c r="K845" s="8">
        <v>-28454.962930000002</v>
      </c>
      <c r="L845" s="8">
        <v>33053.409699999997</v>
      </c>
      <c r="M845" s="9" t="str">
        <f>IF(A845="",M846,A845)</f>
        <v>Democratic Republic of the Congo</v>
      </c>
      <c r="N845" s="3" t="str">
        <f t="shared" si="27"/>
        <v>Apr-2020</v>
      </c>
    </row>
    <row r="846" spans="1:14" x14ac:dyDescent="0.3">
      <c r="A846" s="3" t="s">
        <v>78</v>
      </c>
      <c r="B846" s="3" t="s">
        <v>79</v>
      </c>
      <c r="C846" s="8">
        <v>2020</v>
      </c>
      <c r="D846" s="8">
        <v>5</v>
      </c>
      <c r="E846" s="3" t="str">
        <f t="shared" si="26"/>
        <v>May</v>
      </c>
      <c r="F846" s="3" t="s">
        <v>8</v>
      </c>
      <c r="G846" s="8">
        <v>60038.413780000003</v>
      </c>
      <c r="H846" s="8">
        <v>58538.894999999997</v>
      </c>
      <c r="I846" s="8">
        <v>-1499.518777</v>
      </c>
      <c r="J846" s="8">
        <v>-1031.3416340000001</v>
      </c>
      <c r="K846" s="8">
        <v>-34052.557769999999</v>
      </c>
      <c r="L846" s="8">
        <v>33296.793530000003</v>
      </c>
      <c r="M846" s="9" t="str">
        <f>IF(A846="",M847,A846)</f>
        <v>Democratic Republic of the Congo</v>
      </c>
      <c r="N846" s="3" t="str">
        <f t="shared" si="27"/>
        <v>May-2020</v>
      </c>
    </row>
    <row r="847" spans="1:14" x14ac:dyDescent="0.3">
      <c r="A847" s="3" t="s">
        <v>78</v>
      </c>
      <c r="B847" s="3" t="s">
        <v>79</v>
      </c>
      <c r="C847" s="8">
        <v>2020</v>
      </c>
      <c r="D847" s="8">
        <v>6</v>
      </c>
      <c r="E847" s="3" t="str">
        <f t="shared" si="26"/>
        <v>June</v>
      </c>
      <c r="F847" s="3" t="s">
        <v>8</v>
      </c>
      <c r="G847" s="8">
        <v>60485.262089999997</v>
      </c>
      <c r="H847" s="8">
        <v>62319.561999999998</v>
      </c>
      <c r="I847" s="8">
        <v>1834.2999090000001</v>
      </c>
      <c r="J847" s="8">
        <v>802.95827540000005</v>
      </c>
      <c r="K847" s="8">
        <v>-36029.74194</v>
      </c>
      <c r="L847" s="8">
        <v>38846.257610000001</v>
      </c>
      <c r="M847" s="9" t="str">
        <f>IF(A847="",M848,A847)</f>
        <v>Democratic Republic of the Congo</v>
      </c>
      <c r="N847" s="3" t="str">
        <f t="shared" si="27"/>
        <v>Jun-2020</v>
      </c>
    </row>
    <row r="848" spans="1:14" x14ac:dyDescent="0.3">
      <c r="A848" s="3" t="s">
        <v>78</v>
      </c>
      <c r="B848" s="3" t="s">
        <v>79</v>
      </c>
      <c r="C848" s="8">
        <v>2020</v>
      </c>
      <c r="D848" s="8">
        <v>7</v>
      </c>
      <c r="E848" s="3" t="str">
        <f t="shared" si="26"/>
        <v>July</v>
      </c>
      <c r="F848" s="3" t="s">
        <v>8</v>
      </c>
      <c r="G848" s="8">
        <v>60588.210010000003</v>
      </c>
      <c r="H848" s="8">
        <v>63282.959000000003</v>
      </c>
      <c r="I848" s="8">
        <v>2694.74899</v>
      </c>
      <c r="J848" s="8">
        <v>3497.7072659999999</v>
      </c>
      <c r="K848" s="8">
        <v>-35716.222280000002</v>
      </c>
      <c r="L848" s="8">
        <v>46983.820180000002</v>
      </c>
      <c r="M848" s="9" t="str">
        <f>IF(A848="",M849,A848)</f>
        <v>Democratic Republic of the Congo</v>
      </c>
      <c r="N848" s="3" t="str">
        <f t="shared" si="27"/>
        <v>Jul-2020</v>
      </c>
    </row>
    <row r="849" spans="1:14" x14ac:dyDescent="0.3">
      <c r="A849" s="3" t="s">
        <v>78</v>
      </c>
      <c r="B849" s="3" t="s">
        <v>79</v>
      </c>
      <c r="C849" s="8">
        <v>2020</v>
      </c>
      <c r="D849" s="8">
        <v>8</v>
      </c>
      <c r="E849" s="3" t="str">
        <f t="shared" si="26"/>
        <v>August</v>
      </c>
      <c r="F849" s="3" t="s">
        <v>8</v>
      </c>
      <c r="G849" s="8">
        <v>60328.962249999997</v>
      </c>
      <c r="H849" s="8">
        <v>63100.796000000002</v>
      </c>
      <c r="I849" s="8">
        <v>2771.8337529999999</v>
      </c>
      <c r="J849" s="8">
        <v>6269.5410190000002</v>
      </c>
      <c r="K849" s="8">
        <v>-37145.058449999997</v>
      </c>
      <c r="L849" s="8">
        <v>50875.372710000003</v>
      </c>
      <c r="M849" s="9" t="str">
        <f>IF(A849="",M850,A849)</f>
        <v>Democratic Republic of the Congo</v>
      </c>
      <c r="N849" s="3" t="str">
        <f t="shared" si="27"/>
        <v>Aug-2020</v>
      </c>
    </row>
    <row r="850" spans="1:14" x14ac:dyDescent="0.3">
      <c r="A850" s="3" t="s">
        <v>78</v>
      </c>
      <c r="B850" s="3" t="s">
        <v>79</v>
      </c>
      <c r="C850" s="8">
        <v>2020</v>
      </c>
      <c r="D850" s="8">
        <v>9</v>
      </c>
      <c r="E850" s="3" t="str">
        <f t="shared" si="26"/>
        <v>September</v>
      </c>
      <c r="F850" s="3" t="s">
        <v>8</v>
      </c>
      <c r="G850" s="8">
        <v>60224.630830000002</v>
      </c>
      <c r="H850" s="8">
        <v>62263.459000000003</v>
      </c>
      <c r="I850" s="8">
        <v>2038.8281710000001</v>
      </c>
      <c r="J850" s="8">
        <v>8308.3691899999994</v>
      </c>
      <c r="K850" s="8">
        <v>-38812.742120000003</v>
      </c>
      <c r="L850" s="8">
        <v>58649.656730000002</v>
      </c>
      <c r="M850" s="9" t="str">
        <f>IF(A850="",M851,A850)</f>
        <v>Democratic Republic of the Congo</v>
      </c>
      <c r="N850" s="3" t="str">
        <f t="shared" si="27"/>
        <v>Sep-2020</v>
      </c>
    </row>
    <row r="851" spans="1:14" x14ac:dyDescent="0.3">
      <c r="A851" s="3" t="s">
        <v>78</v>
      </c>
      <c r="B851" s="3" t="s">
        <v>79</v>
      </c>
      <c r="C851" s="8">
        <v>2020</v>
      </c>
      <c r="D851" s="8">
        <v>10</v>
      </c>
      <c r="E851" s="3" t="str">
        <f t="shared" si="26"/>
        <v>October</v>
      </c>
      <c r="F851" s="3" t="s">
        <v>8</v>
      </c>
      <c r="G851" s="8">
        <v>60158.439890000001</v>
      </c>
      <c r="H851" s="8">
        <v>61128.135000000002</v>
      </c>
      <c r="I851" s="8">
        <v>969.69511020000004</v>
      </c>
      <c r="J851" s="8">
        <v>9278.0643</v>
      </c>
      <c r="K851" s="8">
        <v>-42251.609880000004</v>
      </c>
      <c r="L851" s="8">
        <v>60161.991240000003</v>
      </c>
      <c r="M851" s="9" t="str">
        <f>IF(A851="",M852,A851)</f>
        <v>Democratic Republic of the Congo</v>
      </c>
      <c r="N851" s="3" t="str">
        <f t="shared" si="27"/>
        <v>Oct-2020</v>
      </c>
    </row>
    <row r="852" spans="1:14" x14ac:dyDescent="0.3">
      <c r="A852" s="3" t="s">
        <v>78</v>
      </c>
      <c r="B852" s="3" t="s">
        <v>79</v>
      </c>
      <c r="C852" s="8">
        <v>2020</v>
      </c>
      <c r="D852" s="8">
        <v>11</v>
      </c>
      <c r="E852" s="3" t="str">
        <f t="shared" si="26"/>
        <v>November</v>
      </c>
      <c r="F852" s="3" t="s">
        <v>8</v>
      </c>
      <c r="G852" s="8">
        <v>60210.826679999998</v>
      </c>
      <c r="H852" s="8">
        <v>60569.364999999998</v>
      </c>
      <c r="I852" s="8">
        <v>358.5383195</v>
      </c>
      <c r="J852" s="8">
        <v>9636.6026189999993</v>
      </c>
      <c r="K852" s="8">
        <v>-42821.217629999999</v>
      </c>
      <c r="L852" s="8">
        <v>61032.193809999997</v>
      </c>
      <c r="M852" s="9" t="str">
        <f>IF(A852="",M853,A852)</f>
        <v>Democratic Republic of the Congo</v>
      </c>
      <c r="N852" s="3" t="str">
        <f t="shared" si="27"/>
        <v>Nov-2020</v>
      </c>
    </row>
    <row r="853" spans="1:14" x14ac:dyDescent="0.3">
      <c r="A853" s="3" t="s">
        <v>78</v>
      </c>
      <c r="B853" s="3" t="s">
        <v>79</v>
      </c>
      <c r="C853" s="8">
        <v>2020</v>
      </c>
      <c r="D853" s="8">
        <v>12</v>
      </c>
      <c r="E853" s="3" t="str">
        <f t="shared" si="26"/>
        <v>December</v>
      </c>
      <c r="F853" s="3" t="s">
        <v>8</v>
      </c>
      <c r="G853" s="8">
        <v>60153.155180000002</v>
      </c>
      <c r="H853" s="8">
        <v>62111.103999999999</v>
      </c>
      <c r="I853" s="8">
        <v>1957.9488160000001</v>
      </c>
      <c r="J853" s="8">
        <v>11594.551439999999</v>
      </c>
      <c r="K853" s="8">
        <v>-44056.366000000002</v>
      </c>
      <c r="L853" s="8">
        <v>68260.551730000007</v>
      </c>
      <c r="M853" s="9" t="str">
        <f>IF(A853="",M854,A853)</f>
        <v>Democratic Republic of the Congo</v>
      </c>
      <c r="N853" s="3" t="str">
        <f t="shared" si="27"/>
        <v>Dec-2020</v>
      </c>
    </row>
    <row r="854" spans="1:14" x14ac:dyDescent="0.3">
      <c r="A854" s="3" t="s">
        <v>78</v>
      </c>
      <c r="B854" s="3" t="s">
        <v>79</v>
      </c>
      <c r="C854" s="8">
        <v>2021</v>
      </c>
      <c r="D854" s="8">
        <v>1</v>
      </c>
      <c r="E854" s="3" t="str">
        <f t="shared" si="26"/>
        <v>January</v>
      </c>
      <c r="F854" s="3" t="s">
        <v>8</v>
      </c>
      <c r="G854" s="8">
        <v>60271.971469999997</v>
      </c>
      <c r="H854" s="8">
        <v>64066.161</v>
      </c>
      <c r="I854" s="8">
        <v>3794.189531</v>
      </c>
      <c r="J854" s="8">
        <v>15388.740970000001</v>
      </c>
      <c r="K854" s="8">
        <v>-41588.060360000003</v>
      </c>
      <c r="L854" s="8">
        <v>73633.671489999993</v>
      </c>
      <c r="M854" s="9" t="str">
        <f>IF(A854="",M855,A854)</f>
        <v>Democratic Republic of the Congo</v>
      </c>
      <c r="N854" s="3" t="str">
        <f t="shared" si="27"/>
        <v>Jan-2021</v>
      </c>
    </row>
    <row r="855" spans="1:14" x14ac:dyDescent="0.3">
      <c r="A855" s="3" t="s">
        <v>78</v>
      </c>
      <c r="B855" s="3" t="s">
        <v>79</v>
      </c>
      <c r="C855" s="8">
        <v>2021</v>
      </c>
      <c r="D855" s="8">
        <v>2</v>
      </c>
      <c r="E855" s="3" t="str">
        <f t="shared" si="26"/>
        <v>February</v>
      </c>
      <c r="F855" s="3" t="s">
        <v>8</v>
      </c>
      <c r="G855" s="8">
        <v>60117.398710000001</v>
      </c>
      <c r="H855" s="8">
        <v>63486.114999999998</v>
      </c>
      <c r="I855" s="8">
        <v>3368.7162910000002</v>
      </c>
      <c r="J855" s="8">
        <v>18757.457259999999</v>
      </c>
      <c r="K855" s="8">
        <v>-40511.761789999997</v>
      </c>
      <c r="L855" s="8">
        <v>82617.050600000002</v>
      </c>
      <c r="M855" s="9" t="str">
        <f>IF(A855="",M856,A855)</f>
        <v>Democratic Republic of the Congo</v>
      </c>
      <c r="N855" s="3" t="str">
        <f t="shared" si="27"/>
        <v>Feb-2021</v>
      </c>
    </row>
    <row r="856" spans="1:14" x14ac:dyDescent="0.3">
      <c r="A856" s="3" t="s">
        <v>78</v>
      </c>
      <c r="B856" s="3" t="s">
        <v>79</v>
      </c>
      <c r="C856" s="8">
        <v>2021</v>
      </c>
      <c r="D856" s="8">
        <v>3</v>
      </c>
      <c r="E856" s="3" t="str">
        <f t="shared" si="26"/>
        <v>March</v>
      </c>
      <c r="F856" s="3" t="s">
        <v>8</v>
      </c>
      <c r="G856" s="8">
        <v>60086.007230000003</v>
      </c>
      <c r="H856" s="8">
        <v>64613.764000000003</v>
      </c>
      <c r="I856" s="8">
        <v>4527.7567689999996</v>
      </c>
      <c r="J856" s="8">
        <v>23285.214029999999</v>
      </c>
      <c r="K856" s="8">
        <v>-37652.673889999998</v>
      </c>
      <c r="L856" s="8">
        <v>89036.510209999993</v>
      </c>
      <c r="M856" s="9" t="str">
        <f>IF(A856="",M857,A856)</f>
        <v>Democratic Republic of the Congo</v>
      </c>
      <c r="N856" s="3" t="str">
        <f t="shared" si="27"/>
        <v>Mar-2021</v>
      </c>
    </row>
    <row r="857" spans="1:14" x14ac:dyDescent="0.3">
      <c r="A857" s="3" t="s">
        <v>78</v>
      </c>
      <c r="B857" s="3" t="s">
        <v>79</v>
      </c>
      <c r="C857" s="8">
        <v>2021</v>
      </c>
      <c r="D857" s="8">
        <v>4</v>
      </c>
      <c r="E857" s="3" t="str">
        <f t="shared" si="26"/>
        <v>April</v>
      </c>
      <c r="F857" s="3" t="s">
        <v>8</v>
      </c>
      <c r="G857" s="8">
        <v>60113.550159999999</v>
      </c>
      <c r="H857" s="8">
        <v>62725.417999999998</v>
      </c>
      <c r="I857" s="8">
        <v>2611.867839</v>
      </c>
      <c r="J857" s="8">
        <v>25897.081859999998</v>
      </c>
      <c r="K857" s="8">
        <v>-37153.00836</v>
      </c>
      <c r="L857" s="8">
        <v>90270.791729999997</v>
      </c>
      <c r="M857" s="9" t="str">
        <f>IF(A857="",M858,A857)</f>
        <v>Democratic Republic of the Congo</v>
      </c>
      <c r="N857" s="3" t="str">
        <f t="shared" si="27"/>
        <v>Apr-2021</v>
      </c>
    </row>
    <row r="858" spans="1:14" x14ac:dyDescent="0.3">
      <c r="A858" s="3" t="s">
        <v>78</v>
      </c>
      <c r="B858" s="3" t="s">
        <v>79</v>
      </c>
      <c r="C858" s="8">
        <v>2021</v>
      </c>
      <c r="D858" s="8">
        <v>5</v>
      </c>
      <c r="E858" s="3" t="str">
        <f t="shared" si="26"/>
        <v>May</v>
      </c>
      <c r="F858" s="3" t="s">
        <v>8</v>
      </c>
      <c r="G858" s="8">
        <v>60170.889949999997</v>
      </c>
      <c r="H858" s="8">
        <v>63260.864999999998</v>
      </c>
      <c r="I858" s="8">
        <v>3089.9750479999998</v>
      </c>
      <c r="J858" s="8">
        <v>28987.056909999999</v>
      </c>
      <c r="K858" s="8">
        <v>-36601.75937</v>
      </c>
      <c r="L858" s="8">
        <v>93679.933350000007</v>
      </c>
      <c r="M858" s="9" t="str">
        <f>IF(A858="",M859,A858)</f>
        <v>Democratic Republic of the Congo</v>
      </c>
      <c r="N858" s="3" t="str">
        <f t="shared" si="27"/>
        <v>May-2021</v>
      </c>
    </row>
    <row r="859" spans="1:14" x14ac:dyDescent="0.3">
      <c r="A859" s="3" t="s">
        <v>78</v>
      </c>
      <c r="B859" s="3" t="s">
        <v>79</v>
      </c>
      <c r="C859" s="8">
        <v>2021</v>
      </c>
      <c r="D859" s="8">
        <v>6</v>
      </c>
      <c r="E859" s="3" t="str">
        <f t="shared" si="26"/>
        <v>June</v>
      </c>
      <c r="F859" s="3" t="s">
        <v>8</v>
      </c>
      <c r="G859" s="8">
        <v>60604.970600000001</v>
      </c>
      <c r="H859" s="8">
        <v>65076.493000000002</v>
      </c>
      <c r="I859" s="8">
        <v>4471.5223999999998</v>
      </c>
      <c r="J859" s="8">
        <v>33458.579310000001</v>
      </c>
      <c r="K859" s="8">
        <v>-32300.38451</v>
      </c>
      <c r="L859" s="8">
        <v>99759.858699999997</v>
      </c>
      <c r="M859" s="9" t="str">
        <f>IF(A859="",M860,A859)</f>
        <v>Democratic Republic of the Congo</v>
      </c>
      <c r="N859" s="3" t="str">
        <f t="shared" si="27"/>
        <v>Jun-2021</v>
      </c>
    </row>
    <row r="860" spans="1:14" x14ac:dyDescent="0.3">
      <c r="A860" s="3" t="s">
        <v>78</v>
      </c>
      <c r="B860" s="3" t="s">
        <v>79</v>
      </c>
      <c r="C860" s="8">
        <v>2021</v>
      </c>
      <c r="D860" s="8">
        <v>7</v>
      </c>
      <c r="E860" s="3" t="str">
        <f t="shared" si="26"/>
        <v>July</v>
      </c>
      <c r="F860" s="3" t="s">
        <v>8</v>
      </c>
      <c r="G860" s="8">
        <v>60705.370849999999</v>
      </c>
      <c r="H860" s="8">
        <v>66625.531000000003</v>
      </c>
      <c r="I860" s="8">
        <v>5920.1601520000004</v>
      </c>
      <c r="J860" s="8">
        <v>39378.739459999997</v>
      </c>
      <c r="K860" s="8">
        <v>-27103.238410000002</v>
      </c>
      <c r="L860" s="8">
        <v>108421.1639</v>
      </c>
      <c r="M860" s="9" t="str">
        <f>IF(A860="",M861,A860)</f>
        <v>Democratic Republic of the Congo</v>
      </c>
      <c r="N860" s="3" t="str">
        <f t="shared" si="27"/>
        <v>Jul-2021</v>
      </c>
    </row>
    <row r="861" spans="1:14" x14ac:dyDescent="0.3">
      <c r="A861" s="3" t="s">
        <v>78</v>
      </c>
      <c r="B861" s="3" t="s">
        <v>79</v>
      </c>
      <c r="C861" s="8">
        <v>2021</v>
      </c>
      <c r="D861" s="8">
        <v>8</v>
      </c>
      <c r="E861" s="3" t="str">
        <f t="shared" si="26"/>
        <v>August</v>
      </c>
      <c r="F861" s="3" t="s">
        <v>8</v>
      </c>
      <c r="G861" s="8">
        <v>60456.70048</v>
      </c>
      <c r="H861" s="8">
        <v>63528.972999999998</v>
      </c>
      <c r="I861" s="8">
        <v>3072.2725190000001</v>
      </c>
      <c r="J861" s="8">
        <v>42451.011980000003</v>
      </c>
      <c r="K861" s="8">
        <v>-31309.33841</v>
      </c>
      <c r="L861" s="8">
        <v>112745.37549999999</v>
      </c>
      <c r="M861" s="9" t="str">
        <f>IF(A861="",M862,A861)</f>
        <v>Democratic Republic of the Congo</v>
      </c>
      <c r="N861" s="3" t="str">
        <f t="shared" si="27"/>
        <v>Aug-2021</v>
      </c>
    </row>
    <row r="862" spans="1:14" x14ac:dyDescent="0.3">
      <c r="A862" s="3" t="s">
        <v>78</v>
      </c>
      <c r="B862" s="3" t="s">
        <v>79</v>
      </c>
      <c r="C862" s="8">
        <v>2021</v>
      </c>
      <c r="D862" s="8">
        <v>9</v>
      </c>
      <c r="E862" s="3" t="str">
        <f t="shared" si="26"/>
        <v>September</v>
      </c>
      <c r="F862" s="3" t="s">
        <v>8</v>
      </c>
      <c r="G862" s="8">
        <v>60356.465880000003</v>
      </c>
      <c r="H862" s="8">
        <v>62306.031999999999</v>
      </c>
      <c r="I862" s="8">
        <v>1949.5661239999999</v>
      </c>
      <c r="J862" s="8">
        <v>44400.578110000002</v>
      </c>
      <c r="K862" s="8">
        <v>-29199.618340000001</v>
      </c>
      <c r="L862" s="8">
        <v>115520.5223</v>
      </c>
      <c r="M862" s="9" t="str">
        <f>IF(A862="",M863,A862)</f>
        <v>Democratic Republic of the Congo</v>
      </c>
      <c r="N862" s="3" t="str">
        <f t="shared" si="27"/>
        <v>Sep-2021</v>
      </c>
    </row>
    <row r="863" spans="1:14" x14ac:dyDescent="0.3">
      <c r="A863" s="3" t="s">
        <v>78</v>
      </c>
      <c r="B863" s="3" t="s">
        <v>79</v>
      </c>
      <c r="C863" s="8">
        <v>2021</v>
      </c>
      <c r="D863" s="8">
        <v>10</v>
      </c>
      <c r="E863" s="3" t="str">
        <f t="shared" si="26"/>
        <v>October</v>
      </c>
      <c r="F863" s="3" t="s">
        <v>8</v>
      </c>
      <c r="G863" s="8">
        <v>60276.080999999998</v>
      </c>
      <c r="H863" s="8">
        <v>61147.644</v>
      </c>
      <c r="I863" s="8">
        <v>871.56300099999999</v>
      </c>
      <c r="J863" s="8">
        <v>45272.141109999997</v>
      </c>
      <c r="K863" s="8">
        <v>-32325.393100000001</v>
      </c>
      <c r="L863" s="8">
        <v>121129.3906</v>
      </c>
      <c r="M863" s="9" t="str">
        <f>IF(A863="",M864,A863)</f>
        <v>Democratic Republic of the Congo</v>
      </c>
      <c r="N863" s="3" t="str">
        <f t="shared" si="27"/>
        <v>Oct-2021</v>
      </c>
    </row>
    <row r="864" spans="1:14" x14ac:dyDescent="0.3">
      <c r="A864" s="3" t="s">
        <v>78</v>
      </c>
      <c r="B864" s="3" t="s">
        <v>79</v>
      </c>
      <c r="C864" s="8">
        <v>2021</v>
      </c>
      <c r="D864" s="8">
        <v>11</v>
      </c>
      <c r="E864" s="3" t="str">
        <f t="shared" si="26"/>
        <v>November</v>
      </c>
      <c r="F864" s="3" t="s">
        <v>8</v>
      </c>
      <c r="G864" s="8">
        <v>60352.336710000003</v>
      </c>
      <c r="H864" s="8">
        <v>61312.98</v>
      </c>
      <c r="I864" s="8">
        <v>960.64329069999997</v>
      </c>
      <c r="J864" s="8">
        <v>46232.784399999997</v>
      </c>
      <c r="K864" s="8">
        <v>-33341.933449999997</v>
      </c>
      <c r="L864" s="8">
        <v>124290.4991</v>
      </c>
      <c r="M864" s="9" t="str">
        <f>IF(A864="",M865,A864)</f>
        <v>Democratic Republic of the Congo</v>
      </c>
      <c r="N864" s="3" t="str">
        <f t="shared" si="27"/>
        <v>Nov-2021</v>
      </c>
    </row>
    <row r="865" spans="1:14" x14ac:dyDescent="0.3">
      <c r="A865" s="3" t="s">
        <v>78</v>
      </c>
      <c r="B865" s="3" t="s">
        <v>79</v>
      </c>
      <c r="C865" s="8">
        <v>2021</v>
      </c>
      <c r="D865" s="8">
        <v>12</v>
      </c>
      <c r="E865" s="3" t="str">
        <f t="shared" si="26"/>
        <v>December</v>
      </c>
      <c r="F865" s="3" t="s">
        <v>8</v>
      </c>
      <c r="G865" s="8">
        <v>60269.961799999997</v>
      </c>
      <c r="H865" s="8">
        <v>63890.932000000001</v>
      </c>
      <c r="I865" s="8">
        <v>3620.9701960000002</v>
      </c>
      <c r="J865" s="8">
        <v>49853.7546</v>
      </c>
      <c r="K865" s="8">
        <v>-30294.76698</v>
      </c>
      <c r="L865" s="8">
        <v>130578.82279999999</v>
      </c>
      <c r="M865" s="9" t="str">
        <f>IF(A865="",M866,A865)</f>
        <v>Democratic Republic of the Congo</v>
      </c>
      <c r="N865" s="3" t="str">
        <f t="shared" si="27"/>
        <v>Dec-2021</v>
      </c>
    </row>
    <row r="866" spans="1:14" x14ac:dyDescent="0.3">
      <c r="A866" s="3" t="s">
        <v>80</v>
      </c>
      <c r="B866" s="3" t="s">
        <v>81</v>
      </c>
      <c r="C866" s="8">
        <v>2020</v>
      </c>
      <c r="D866" s="8">
        <v>1</v>
      </c>
      <c r="E866" s="3" t="str">
        <f t="shared" si="26"/>
        <v>January</v>
      </c>
      <c r="F866" s="3" t="s">
        <v>8</v>
      </c>
      <c r="G866" s="8">
        <v>2933.618504</v>
      </c>
      <c r="H866" s="8">
        <v>2997.806</v>
      </c>
      <c r="I866" s="8">
        <v>64.187496170000003</v>
      </c>
      <c r="J866" s="8">
        <v>64.187496170000003</v>
      </c>
      <c r="K866" s="8">
        <v>-659.00827159999994</v>
      </c>
      <c r="L866" s="8">
        <v>909.07903409999994</v>
      </c>
      <c r="M866" s="9" t="str">
        <f>IF(A866="",M867,A866)</f>
        <v>Congo</v>
      </c>
      <c r="N866" s="3" t="str">
        <f t="shared" si="27"/>
        <v>Jan-2020</v>
      </c>
    </row>
    <row r="867" spans="1:14" x14ac:dyDescent="0.3">
      <c r="A867" s="3" t="s">
        <v>80</v>
      </c>
      <c r="B867" s="3" t="s">
        <v>81</v>
      </c>
      <c r="C867" s="8">
        <v>2020</v>
      </c>
      <c r="D867" s="8">
        <v>2</v>
      </c>
      <c r="E867" s="3" t="str">
        <f t="shared" si="26"/>
        <v>February</v>
      </c>
      <c r="F867" s="3" t="s">
        <v>8</v>
      </c>
      <c r="G867" s="8">
        <v>2919.856882</v>
      </c>
      <c r="H867" s="8">
        <v>2944.3</v>
      </c>
      <c r="I867" s="8">
        <v>24.443118210000002</v>
      </c>
      <c r="J867" s="8">
        <v>88.630614379999997</v>
      </c>
      <c r="K867" s="8">
        <v>-1036.167115</v>
      </c>
      <c r="L867" s="8">
        <v>1319.2864219999999</v>
      </c>
      <c r="M867" s="9" t="str">
        <f>IF(A867="",M868,A867)</f>
        <v>Congo</v>
      </c>
      <c r="N867" s="3" t="str">
        <f t="shared" si="27"/>
        <v>Feb-2020</v>
      </c>
    </row>
    <row r="868" spans="1:14" x14ac:dyDescent="0.3">
      <c r="A868" s="3" t="s">
        <v>80</v>
      </c>
      <c r="B868" s="3" t="s">
        <v>81</v>
      </c>
      <c r="C868" s="8">
        <v>2020</v>
      </c>
      <c r="D868" s="8">
        <v>3</v>
      </c>
      <c r="E868" s="3" t="str">
        <f t="shared" si="26"/>
        <v>March</v>
      </c>
      <c r="F868" s="3" t="s">
        <v>8</v>
      </c>
      <c r="G868" s="8">
        <v>2916.6392620000001</v>
      </c>
      <c r="H868" s="8">
        <v>2903.1320000000001</v>
      </c>
      <c r="I868" s="8">
        <v>-13.507261890000001</v>
      </c>
      <c r="J868" s="8">
        <v>75.123352490000002</v>
      </c>
      <c r="K868" s="8">
        <v>-1238.2938280000001</v>
      </c>
      <c r="L868" s="8">
        <v>1504.1589879999999</v>
      </c>
      <c r="M868" s="9" t="str">
        <f>IF(A868="",M869,A868)</f>
        <v>Congo</v>
      </c>
      <c r="N868" s="3" t="str">
        <f t="shared" si="27"/>
        <v>Mar-2020</v>
      </c>
    </row>
    <row r="869" spans="1:14" x14ac:dyDescent="0.3">
      <c r="A869" s="3" t="s">
        <v>80</v>
      </c>
      <c r="B869" s="3" t="s">
        <v>81</v>
      </c>
      <c r="C869" s="8">
        <v>2020</v>
      </c>
      <c r="D869" s="8">
        <v>4</v>
      </c>
      <c r="E869" s="3" t="str">
        <f t="shared" si="26"/>
        <v>April</v>
      </c>
      <c r="F869" s="3" t="s">
        <v>8</v>
      </c>
      <c r="G869" s="8">
        <v>2915.2349989999998</v>
      </c>
      <c r="H869" s="8">
        <v>2721.0949999999998</v>
      </c>
      <c r="I869" s="8">
        <v>-194.13999920000001</v>
      </c>
      <c r="J869" s="8">
        <v>-119.0166467</v>
      </c>
      <c r="K869" s="8">
        <v>-1567.033193</v>
      </c>
      <c r="L869" s="8">
        <v>1526.5869250000001</v>
      </c>
      <c r="M869" s="9" t="str">
        <f>IF(A869="",M870,A869)</f>
        <v>Congo</v>
      </c>
      <c r="N869" s="3" t="str">
        <f t="shared" si="27"/>
        <v>Apr-2020</v>
      </c>
    </row>
    <row r="870" spans="1:14" x14ac:dyDescent="0.3">
      <c r="A870" s="3" t="s">
        <v>80</v>
      </c>
      <c r="B870" s="3" t="s">
        <v>81</v>
      </c>
      <c r="C870" s="8">
        <v>2020</v>
      </c>
      <c r="D870" s="8">
        <v>5</v>
      </c>
      <c r="E870" s="3" t="str">
        <f t="shared" si="26"/>
        <v>May</v>
      </c>
      <c r="F870" s="3" t="s">
        <v>8</v>
      </c>
      <c r="G870" s="8">
        <v>2923.1201120000001</v>
      </c>
      <c r="H870" s="8">
        <v>2878.5509999999999</v>
      </c>
      <c r="I870" s="8">
        <v>-44.569112349999997</v>
      </c>
      <c r="J870" s="8">
        <v>-163.58575909999999</v>
      </c>
      <c r="K870" s="8">
        <v>-1866.9008309999999</v>
      </c>
      <c r="L870" s="8">
        <v>1650.7320729999999</v>
      </c>
      <c r="M870" s="9" t="str">
        <f>IF(A870="",M871,A870)</f>
        <v>Congo</v>
      </c>
      <c r="N870" s="3" t="str">
        <f t="shared" si="27"/>
        <v>May-2020</v>
      </c>
    </row>
    <row r="871" spans="1:14" x14ac:dyDescent="0.3">
      <c r="A871" s="3" t="s">
        <v>80</v>
      </c>
      <c r="B871" s="3" t="s">
        <v>81</v>
      </c>
      <c r="C871" s="8">
        <v>2020</v>
      </c>
      <c r="D871" s="8">
        <v>6</v>
      </c>
      <c r="E871" s="3" t="str">
        <f t="shared" si="26"/>
        <v>June</v>
      </c>
      <c r="F871" s="3" t="s">
        <v>8</v>
      </c>
      <c r="G871" s="8">
        <v>2952.8375970000002</v>
      </c>
      <c r="H871" s="8">
        <v>3177.31</v>
      </c>
      <c r="I871" s="8">
        <v>224.47240339999999</v>
      </c>
      <c r="J871" s="8">
        <v>60.886644310000001</v>
      </c>
      <c r="K871" s="8">
        <v>-1763.149656</v>
      </c>
      <c r="L871" s="8">
        <v>2124.170897</v>
      </c>
      <c r="M871" s="9" t="str">
        <f>IF(A871="",M872,A871)</f>
        <v>Congo</v>
      </c>
      <c r="N871" s="3" t="str">
        <f t="shared" si="27"/>
        <v>Jun-2020</v>
      </c>
    </row>
    <row r="872" spans="1:14" x14ac:dyDescent="0.3">
      <c r="A872" s="3" t="s">
        <v>80</v>
      </c>
      <c r="B872" s="3" t="s">
        <v>81</v>
      </c>
      <c r="C872" s="8">
        <v>2020</v>
      </c>
      <c r="D872" s="8">
        <v>7</v>
      </c>
      <c r="E872" s="3" t="str">
        <f t="shared" si="26"/>
        <v>July</v>
      </c>
      <c r="F872" s="3" t="s">
        <v>8</v>
      </c>
      <c r="G872" s="8">
        <v>2958.4592809999999</v>
      </c>
      <c r="H872" s="8">
        <v>3193.319</v>
      </c>
      <c r="I872" s="8">
        <v>234.85971910000001</v>
      </c>
      <c r="J872" s="8">
        <v>295.74636349999997</v>
      </c>
      <c r="K872" s="8">
        <v>-1686.0686989999999</v>
      </c>
      <c r="L872" s="8">
        <v>2523.0708989999998</v>
      </c>
      <c r="M872" s="9" t="str">
        <f>IF(A872="",M873,A872)</f>
        <v>Congo</v>
      </c>
      <c r="N872" s="3" t="str">
        <f t="shared" si="27"/>
        <v>Jul-2020</v>
      </c>
    </row>
    <row r="873" spans="1:14" x14ac:dyDescent="0.3">
      <c r="A873" s="3" t="s">
        <v>80</v>
      </c>
      <c r="B873" s="3" t="s">
        <v>81</v>
      </c>
      <c r="C873" s="8">
        <v>2020</v>
      </c>
      <c r="D873" s="8">
        <v>8</v>
      </c>
      <c r="E873" s="3" t="str">
        <f t="shared" si="26"/>
        <v>August</v>
      </c>
      <c r="F873" s="3" t="s">
        <v>8</v>
      </c>
      <c r="G873" s="8">
        <v>2953.690486</v>
      </c>
      <c r="H873" s="8">
        <v>3192.9859999999999</v>
      </c>
      <c r="I873" s="8">
        <v>239.29551359999999</v>
      </c>
      <c r="J873" s="8">
        <v>535.04187709999997</v>
      </c>
      <c r="K873" s="8">
        <v>-1531.561704</v>
      </c>
      <c r="L873" s="8">
        <v>2781.4863270000001</v>
      </c>
      <c r="M873" s="9" t="str">
        <f>IF(A873="",M874,A873)</f>
        <v>Congo</v>
      </c>
      <c r="N873" s="3" t="str">
        <f t="shared" si="27"/>
        <v>Aug-2020</v>
      </c>
    </row>
    <row r="874" spans="1:14" x14ac:dyDescent="0.3">
      <c r="A874" s="3" t="s">
        <v>80</v>
      </c>
      <c r="B874" s="3" t="s">
        <v>81</v>
      </c>
      <c r="C874" s="8">
        <v>2020</v>
      </c>
      <c r="D874" s="8">
        <v>9</v>
      </c>
      <c r="E874" s="3" t="str">
        <f t="shared" si="26"/>
        <v>September</v>
      </c>
      <c r="F874" s="3" t="s">
        <v>8</v>
      </c>
      <c r="G874" s="8">
        <v>2954.1894889999999</v>
      </c>
      <c r="H874" s="8">
        <v>3184.4349999999999</v>
      </c>
      <c r="I874" s="8">
        <v>230.24551059999999</v>
      </c>
      <c r="J874" s="8">
        <v>765.28738759999999</v>
      </c>
      <c r="K874" s="8">
        <v>-1509.7666850000001</v>
      </c>
      <c r="L874" s="8">
        <v>3164.4044389999999</v>
      </c>
      <c r="M874" s="9" t="str">
        <f>IF(A874="",M875,A874)</f>
        <v>Congo</v>
      </c>
      <c r="N874" s="3" t="str">
        <f t="shared" si="27"/>
        <v>Sep-2020</v>
      </c>
    </row>
    <row r="875" spans="1:14" x14ac:dyDescent="0.3">
      <c r="A875" s="3" t="s">
        <v>80</v>
      </c>
      <c r="B875" s="3" t="s">
        <v>81</v>
      </c>
      <c r="C875" s="8">
        <v>2020</v>
      </c>
      <c r="D875" s="8">
        <v>10</v>
      </c>
      <c r="E875" s="3" t="str">
        <f t="shared" si="26"/>
        <v>October</v>
      </c>
      <c r="F875" s="3" t="s">
        <v>8</v>
      </c>
      <c r="G875" s="8">
        <v>2941.6504399999999</v>
      </c>
      <c r="H875" s="8">
        <v>3025.2139999999999</v>
      </c>
      <c r="I875" s="8">
        <v>83.563560150000001</v>
      </c>
      <c r="J875" s="8">
        <v>848.85094779999997</v>
      </c>
      <c r="K875" s="8">
        <v>-1552.6151769999999</v>
      </c>
      <c r="L875" s="8">
        <v>3430.4360109999998</v>
      </c>
      <c r="M875" s="9" t="str">
        <f>IF(A875="",M876,A875)</f>
        <v>Congo</v>
      </c>
      <c r="N875" s="3" t="str">
        <f t="shared" si="27"/>
        <v>Oct-2020</v>
      </c>
    </row>
    <row r="876" spans="1:14" x14ac:dyDescent="0.3">
      <c r="A876" s="3" t="s">
        <v>80</v>
      </c>
      <c r="B876" s="3" t="s">
        <v>81</v>
      </c>
      <c r="C876" s="8">
        <v>2020</v>
      </c>
      <c r="D876" s="8">
        <v>11</v>
      </c>
      <c r="E876" s="3" t="str">
        <f t="shared" si="26"/>
        <v>November</v>
      </c>
      <c r="F876" s="3" t="s">
        <v>8</v>
      </c>
      <c r="G876" s="8">
        <v>2943.9727459999999</v>
      </c>
      <c r="H876" s="8">
        <v>3023.5129999999999</v>
      </c>
      <c r="I876" s="8">
        <v>79.540254099999999</v>
      </c>
      <c r="J876" s="8">
        <v>928.39120190000006</v>
      </c>
      <c r="K876" s="8">
        <v>-1598.5037139999999</v>
      </c>
      <c r="L876" s="8">
        <v>3735.974119</v>
      </c>
      <c r="M876" s="9" t="str">
        <f>IF(A876="",M877,A876)</f>
        <v>Congo</v>
      </c>
      <c r="N876" s="3" t="str">
        <f t="shared" si="27"/>
        <v>Nov-2020</v>
      </c>
    </row>
    <row r="877" spans="1:14" x14ac:dyDescent="0.3">
      <c r="A877" s="3" t="s">
        <v>80</v>
      </c>
      <c r="B877" s="3" t="s">
        <v>81</v>
      </c>
      <c r="C877" s="8">
        <v>2020</v>
      </c>
      <c r="D877" s="8">
        <v>12</v>
      </c>
      <c r="E877" s="3" t="str">
        <f t="shared" si="26"/>
        <v>December</v>
      </c>
      <c r="F877" s="3" t="s">
        <v>8</v>
      </c>
      <c r="G877" s="8">
        <v>2938.8992109999999</v>
      </c>
      <c r="H877" s="8">
        <v>3032.1320000000001</v>
      </c>
      <c r="I877" s="8">
        <v>93.232789249999996</v>
      </c>
      <c r="J877" s="8">
        <v>1021.623991</v>
      </c>
      <c r="K877" s="8">
        <v>-1702.711618</v>
      </c>
      <c r="L877" s="8">
        <v>3919.9291880000001</v>
      </c>
      <c r="M877" s="9" t="str">
        <f>IF(A877="",M878,A877)</f>
        <v>Congo</v>
      </c>
      <c r="N877" s="3" t="str">
        <f t="shared" si="27"/>
        <v>Dec-2020</v>
      </c>
    </row>
    <row r="878" spans="1:14" x14ac:dyDescent="0.3">
      <c r="A878" s="3" t="s">
        <v>80</v>
      </c>
      <c r="B878" s="3" t="s">
        <v>81</v>
      </c>
      <c r="C878" s="8">
        <v>2021</v>
      </c>
      <c r="D878" s="8">
        <v>1</v>
      </c>
      <c r="E878" s="3" t="str">
        <f t="shared" si="26"/>
        <v>January</v>
      </c>
      <c r="F878" s="3" t="s">
        <v>8</v>
      </c>
      <c r="G878" s="8">
        <v>2953.3683850000002</v>
      </c>
      <c r="H878" s="8">
        <v>3196.9609999999998</v>
      </c>
      <c r="I878" s="8">
        <v>243.59261549999999</v>
      </c>
      <c r="J878" s="8">
        <v>1265.2166070000001</v>
      </c>
      <c r="K878" s="8">
        <v>-1538.1324179999999</v>
      </c>
      <c r="L878" s="8">
        <v>4283.5869030000003</v>
      </c>
      <c r="M878" s="9" t="str">
        <f>IF(A878="",M879,A878)</f>
        <v>Congo</v>
      </c>
      <c r="N878" s="3" t="str">
        <f t="shared" si="27"/>
        <v>Jan-2021</v>
      </c>
    </row>
    <row r="879" spans="1:14" x14ac:dyDescent="0.3">
      <c r="A879" s="3" t="s">
        <v>80</v>
      </c>
      <c r="B879" s="3" t="s">
        <v>81</v>
      </c>
      <c r="C879" s="8">
        <v>2021</v>
      </c>
      <c r="D879" s="8">
        <v>2</v>
      </c>
      <c r="E879" s="3" t="str">
        <f t="shared" si="26"/>
        <v>February</v>
      </c>
      <c r="F879" s="3" t="s">
        <v>8</v>
      </c>
      <c r="G879" s="8">
        <v>2943.5558299999998</v>
      </c>
      <c r="H879" s="8">
        <v>3154.5830000000001</v>
      </c>
      <c r="I879" s="8">
        <v>211.02717029999999</v>
      </c>
      <c r="J879" s="8">
        <v>1476.2437769999999</v>
      </c>
      <c r="K879" s="8">
        <v>-1468.451701</v>
      </c>
      <c r="L879" s="8">
        <v>4506.0499289999998</v>
      </c>
      <c r="M879" s="9" t="str">
        <f>IF(A879="",M880,A879)</f>
        <v>Congo</v>
      </c>
      <c r="N879" s="3" t="str">
        <f t="shared" si="27"/>
        <v>Feb-2021</v>
      </c>
    </row>
    <row r="880" spans="1:14" x14ac:dyDescent="0.3">
      <c r="A880" s="3" t="s">
        <v>80</v>
      </c>
      <c r="B880" s="3" t="s">
        <v>81</v>
      </c>
      <c r="C880" s="8">
        <v>2021</v>
      </c>
      <c r="D880" s="8">
        <v>3</v>
      </c>
      <c r="E880" s="3" t="str">
        <f t="shared" si="26"/>
        <v>March</v>
      </c>
      <c r="F880" s="3" t="s">
        <v>8</v>
      </c>
      <c r="G880" s="8">
        <v>2941.1745759999999</v>
      </c>
      <c r="H880" s="8">
        <v>3143.7930000000001</v>
      </c>
      <c r="I880" s="8">
        <v>202.61842390000001</v>
      </c>
      <c r="J880" s="8">
        <v>1678.8622009999999</v>
      </c>
      <c r="K880" s="8">
        <v>-1386.8870850000001</v>
      </c>
      <c r="L880" s="8">
        <v>4854.2152100000003</v>
      </c>
      <c r="M880" s="9" t="str">
        <f>IF(A880="",M881,A880)</f>
        <v>Congo</v>
      </c>
      <c r="N880" s="3" t="str">
        <f t="shared" si="27"/>
        <v>Mar-2021</v>
      </c>
    </row>
    <row r="881" spans="1:14" x14ac:dyDescent="0.3">
      <c r="A881" s="3" t="s">
        <v>80</v>
      </c>
      <c r="B881" s="3" t="s">
        <v>81</v>
      </c>
      <c r="C881" s="8">
        <v>2021</v>
      </c>
      <c r="D881" s="8">
        <v>4</v>
      </c>
      <c r="E881" s="3" t="str">
        <f t="shared" si="26"/>
        <v>April</v>
      </c>
      <c r="F881" s="3" t="s">
        <v>8</v>
      </c>
      <c r="G881" s="8">
        <v>2938.7083819999998</v>
      </c>
      <c r="H881" s="8">
        <v>3057.3319999999999</v>
      </c>
      <c r="I881" s="8">
        <v>118.6236183</v>
      </c>
      <c r="J881" s="8">
        <v>1797.485819</v>
      </c>
      <c r="K881" s="8">
        <v>-1432.593521</v>
      </c>
      <c r="L881" s="8">
        <v>5120.6442189999998</v>
      </c>
      <c r="M881" s="9" t="str">
        <f>IF(A881="",M882,A881)</f>
        <v>Congo</v>
      </c>
      <c r="N881" s="3" t="str">
        <f t="shared" si="27"/>
        <v>Apr-2021</v>
      </c>
    </row>
    <row r="882" spans="1:14" x14ac:dyDescent="0.3">
      <c r="A882" s="3" t="s">
        <v>80</v>
      </c>
      <c r="B882" s="3" t="s">
        <v>81</v>
      </c>
      <c r="C882" s="8">
        <v>2021</v>
      </c>
      <c r="D882" s="8">
        <v>5</v>
      </c>
      <c r="E882" s="3" t="str">
        <f t="shared" si="26"/>
        <v>May</v>
      </c>
      <c r="F882" s="3" t="s">
        <v>8</v>
      </c>
      <c r="G882" s="8">
        <v>2942.1177710000002</v>
      </c>
      <c r="H882" s="8">
        <v>3001.835</v>
      </c>
      <c r="I882" s="8">
        <v>59.717229099999997</v>
      </c>
      <c r="J882" s="8">
        <v>1857.2030480000001</v>
      </c>
      <c r="K882" s="8">
        <v>-1573.8045010000001</v>
      </c>
      <c r="L882" s="8">
        <v>5362.5488139999998</v>
      </c>
      <c r="M882" s="9" t="str">
        <f>IF(A882="",M883,A882)</f>
        <v>Congo</v>
      </c>
      <c r="N882" s="3" t="str">
        <f t="shared" si="27"/>
        <v>May-2021</v>
      </c>
    </row>
    <row r="883" spans="1:14" x14ac:dyDescent="0.3">
      <c r="A883" s="3" t="s">
        <v>80</v>
      </c>
      <c r="B883" s="3" t="s">
        <v>81</v>
      </c>
      <c r="C883" s="8">
        <v>2021</v>
      </c>
      <c r="D883" s="8">
        <v>6</v>
      </c>
      <c r="E883" s="3" t="str">
        <f t="shared" si="26"/>
        <v>June</v>
      </c>
      <c r="F883" s="3" t="s">
        <v>8</v>
      </c>
      <c r="G883" s="8">
        <v>2974.0093470000002</v>
      </c>
      <c r="H883" s="8">
        <v>3113.029</v>
      </c>
      <c r="I883" s="8">
        <v>139.01965290000001</v>
      </c>
      <c r="J883" s="8">
        <v>1996.2227009999999</v>
      </c>
      <c r="K883" s="8">
        <v>-1497.421529</v>
      </c>
      <c r="L883" s="8">
        <v>5564.5244460000004</v>
      </c>
      <c r="M883" s="9" t="str">
        <f>IF(A883="",M884,A883)</f>
        <v>Congo</v>
      </c>
      <c r="N883" s="3" t="str">
        <f t="shared" si="27"/>
        <v>Jun-2021</v>
      </c>
    </row>
    <row r="884" spans="1:14" x14ac:dyDescent="0.3">
      <c r="A884" s="3" t="s">
        <v>80</v>
      </c>
      <c r="B884" s="3" t="s">
        <v>81</v>
      </c>
      <c r="C884" s="8">
        <v>2021</v>
      </c>
      <c r="D884" s="8">
        <v>7</v>
      </c>
      <c r="E884" s="3" t="str">
        <f t="shared" si="26"/>
        <v>July</v>
      </c>
      <c r="F884" s="3" t="s">
        <v>8</v>
      </c>
      <c r="G884" s="8">
        <v>2978.2582510000002</v>
      </c>
      <c r="H884" s="8">
        <v>3212.1759999999999</v>
      </c>
      <c r="I884" s="8">
        <v>233.91774899999999</v>
      </c>
      <c r="J884" s="8">
        <v>2230.1404499999999</v>
      </c>
      <c r="K884" s="8">
        <v>-1405.6587959999999</v>
      </c>
      <c r="L884" s="8">
        <v>6059.7180420000004</v>
      </c>
      <c r="M884" s="9" t="str">
        <f>IF(A884="",M885,A884)</f>
        <v>Congo</v>
      </c>
      <c r="N884" s="3" t="str">
        <f t="shared" si="27"/>
        <v>Jul-2021</v>
      </c>
    </row>
    <row r="885" spans="1:14" x14ac:dyDescent="0.3">
      <c r="A885" s="3" t="s">
        <v>80</v>
      </c>
      <c r="B885" s="3" t="s">
        <v>81</v>
      </c>
      <c r="C885" s="8">
        <v>2021</v>
      </c>
      <c r="D885" s="8">
        <v>8</v>
      </c>
      <c r="E885" s="3" t="str">
        <f t="shared" si="26"/>
        <v>August</v>
      </c>
      <c r="F885" s="3" t="s">
        <v>8</v>
      </c>
      <c r="G885" s="8">
        <v>2976.7714059999998</v>
      </c>
      <c r="H885" s="8">
        <v>3132.7289999999998</v>
      </c>
      <c r="I885" s="8">
        <v>155.9575945</v>
      </c>
      <c r="J885" s="8">
        <v>2386.0980450000002</v>
      </c>
      <c r="K885" s="8">
        <v>-1169.321148</v>
      </c>
      <c r="L885" s="8">
        <v>6407.3181649999997</v>
      </c>
      <c r="M885" s="9" t="str">
        <f>IF(A885="",M886,A885)</f>
        <v>Congo</v>
      </c>
      <c r="N885" s="3" t="str">
        <f t="shared" si="27"/>
        <v>Aug-2021</v>
      </c>
    </row>
    <row r="886" spans="1:14" x14ac:dyDescent="0.3">
      <c r="A886" s="3" t="s">
        <v>80</v>
      </c>
      <c r="B886" s="3" t="s">
        <v>81</v>
      </c>
      <c r="C886" s="8">
        <v>2021</v>
      </c>
      <c r="D886" s="8">
        <v>9</v>
      </c>
      <c r="E886" s="3" t="str">
        <f t="shared" si="26"/>
        <v>September</v>
      </c>
      <c r="F886" s="3" t="s">
        <v>8</v>
      </c>
      <c r="G886" s="8">
        <v>2973.8287789999999</v>
      </c>
      <c r="H886" s="8">
        <v>3191.855</v>
      </c>
      <c r="I886" s="8">
        <v>218.02622059999999</v>
      </c>
      <c r="J886" s="8">
        <v>2604.1242649999999</v>
      </c>
      <c r="K886" s="8">
        <v>-1013.671839</v>
      </c>
      <c r="L886" s="8">
        <v>6425.3681909999996</v>
      </c>
      <c r="M886" s="9" t="str">
        <f>IF(A886="",M887,A886)</f>
        <v>Congo</v>
      </c>
      <c r="N886" s="3" t="str">
        <f t="shared" si="27"/>
        <v>Sep-2021</v>
      </c>
    </row>
    <row r="887" spans="1:14" x14ac:dyDescent="0.3">
      <c r="A887" s="3" t="s">
        <v>80</v>
      </c>
      <c r="B887" s="3" t="s">
        <v>81</v>
      </c>
      <c r="C887" s="8">
        <v>2021</v>
      </c>
      <c r="D887" s="8">
        <v>10</v>
      </c>
      <c r="E887" s="3" t="str">
        <f t="shared" si="26"/>
        <v>October</v>
      </c>
      <c r="F887" s="3" t="s">
        <v>8</v>
      </c>
      <c r="G887" s="8">
        <v>2965.0114159999998</v>
      </c>
      <c r="H887" s="8">
        <v>3300.22</v>
      </c>
      <c r="I887" s="8">
        <v>335.20858370000002</v>
      </c>
      <c r="J887" s="8">
        <v>2939.3328489999999</v>
      </c>
      <c r="K887" s="8">
        <v>-890.53953620000004</v>
      </c>
      <c r="L887" s="8">
        <v>6971.7900920000002</v>
      </c>
      <c r="M887" s="9" t="str">
        <f>IF(A887="",M888,A887)</f>
        <v>Congo</v>
      </c>
      <c r="N887" s="3" t="str">
        <f t="shared" si="27"/>
        <v>Oct-2021</v>
      </c>
    </row>
    <row r="888" spans="1:14" x14ac:dyDescent="0.3">
      <c r="A888" s="3" t="s">
        <v>80</v>
      </c>
      <c r="B888" s="3" t="s">
        <v>81</v>
      </c>
      <c r="C888" s="8">
        <v>2021</v>
      </c>
      <c r="D888" s="8">
        <v>11</v>
      </c>
      <c r="E888" s="3" t="str">
        <f t="shared" si="26"/>
        <v>November</v>
      </c>
      <c r="F888" s="3" t="s">
        <v>8</v>
      </c>
      <c r="G888" s="8">
        <v>2963.747942</v>
      </c>
      <c r="H888" s="8">
        <v>3278.0070000000001</v>
      </c>
      <c r="I888" s="8">
        <v>314.25905760000001</v>
      </c>
      <c r="J888" s="8">
        <v>3253.5919060000001</v>
      </c>
      <c r="K888" s="8">
        <v>-637.88238769999998</v>
      </c>
      <c r="L888" s="8">
        <v>7145.9185230000003</v>
      </c>
      <c r="M888" s="9" t="str">
        <f>IF(A888="",M889,A888)</f>
        <v>Congo</v>
      </c>
      <c r="N888" s="3" t="str">
        <f t="shared" si="27"/>
        <v>Nov-2021</v>
      </c>
    </row>
    <row r="889" spans="1:14" x14ac:dyDescent="0.3">
      <c r="A889" s="3" t="s">
        <v>80</v>
      </c>
      <c r="B889" s="3" t="s">
        <v>81</v>
      </c>
      <c r="C889" s="8">
        <v>2021</v>
      </c>
      <c r="D889" s="8">
        <v>12</v>
      </c>
      <c r="E889" s="3" t="str">
        <f t="shared" si="26"/>
        <v>December</v>
      </c>
      <c r="F889" s="3" t="s">
        <v>8</v>
      </c>
      <c r="G889" s="8">
        <v>2962.33187</v>
      </c>
      <c r="H889" s="8">
        <v>3205.7570000000001</v>
      </c>
      <c r="I889" s="8">
        <v>243.4251304</v>
      </c>
      <c r="J889" s="8">
        <v>3497.0170370000001</v>
      </c>
      <c r="K889" s="8">
        <v>-474.14046139999999</v>
      </c>
      <c r="L889" s="8">
        <v>7533.047579</v>
      </c>
      <c r="M889" s="9" t="str">
        <f>IF(A889="",M890,A889)</f>
        <v>Congo</v>
      </c>
      <c r="N889" s="3" t="str">
        <f t="shared" si="27"/>
        <v>Dec-2021</v>
      </c>
    </row>
    <row r="890" spans="1:14" x14ac:dyDescent="0.3">
      <c r="A890" s="3" t="s">
        <v>82</v>
      </c>
      <c r="B890" s="3" t="s">
        <v>83</v>
      </c>
      <c r="C890" s="8">
        <v>2020</v>
      </c>
      <c r="D890" s="8">
        <v>1</v>
      </c>
      <c r="E890" s="3" t="str">
        <f t="shared" si="26"/>
        <v>January</v>
      </c>
      <c r="F890" s="3" t="s">
        <v>8</v>
      </c>
      <c r="G890" s="8">
        <v>10.748435410000001</v>
      </c>
      <c r="H890" s="8">
        <v>11.287000000000001</v>
      </c>
      <c r="I890" s="8">
        <v>0.53856458500000004</v>
      </c>
      <c r="J890" s="8">
        <v>0.53856458500000004</v>
      </c>
      <c r="K890" s="8">
        <v>-5.857711653</v>
      </c>
      <c r="L890" s="8">
        <v>8.1508434380000008</v>
      </c>
      <c r="M890" s="9" t="str">
        <f>IF(A890="",M891,A890)</f>
        <v>Cook Islands</v>
      </c>
      <c r="N890" s="3" t="str">
        <f t="shared" si="27"/>
        <v>Jan-2020</v>
      </c>
    </row>
    <row r="891" spans="1:14" x14ac:dyDescent="0.3">
      <c r="A891" s="3" t="s">
        <v>82</v>
      </c>
      <c r="B891" s="3" t="s">
        <v>83</v>
      </c>
      <c r="C891" s="8">
        <v>2020</v>
      </c>
      <c r="D891" s="8">
        <v>2</v>
      </c>
      <c r="E891" s="3" t="str">
        <f t="shared" si="26"/>
        <v>February</v>
      </c>
      <c r="F891" s="3" t="s">
        <v>8</v>
      </c>
      <c r="G891" s="8">
        <v>10.74708309</v>
      </c>
      <c r="H891" s="8">
        <v>10.944000000000001</v>
      </c>
      <c r="I891" s="8">
        <v>0.196916913</v>
      </c>
      <c r="J891" s="8">
        <v>0.73548149900000004</v>
      </c>
      <c r="K891" s="8">
        <v>-8.7961323030000003</v>
      </c>
      <c r="L891" s="8">
        <v>12.18826235</v>
      </c>
      <c r="M891" s="9" t="str">
        <f>IF(A891="",M892,A891)</f>
        <v>Cook Islands</v>
      </c>
      <c r="N891" s="3" t="str">
        <f t="shared" si="27"/>
        <v>Feb-2020</v>
      </c>
    </row>
    <row r="892" spans="1:14" x14ac:dyDescent="0.3">
      <c r="A892" s="3" t="s">
        <v>82</v>
      </c>
      <c r="B892" s="3" t="s">
        <v>83</v>
      </c>
      <c r="C892" s="8">
        <v>2020</v>
      </c>
      <c r="D892" s="8">
        <v>3</v>
      </c>
      <c r="E892" s="3" t="str">
        <f t="shared" si="26"/>
        <v>March</v>
      </c>
      <c r="F892" s="3" t="s">
        <v>8</v>
      </c>
      <c r="G892" s="8">
        <v>10.801410199999999</v>
      </c>
      <c r="H892" s="8">
        <v>10.68</v>
      </c>
      <c r="I892" s="8">
        <v>-0.121410199</v>
      </c>
      <c r="J892" s="8">
        <v>0.61407129999999999</v>
      </c>
      <c r="K892" s="8">
        <v>-11.78325267</v>
      </c>
      <c r="L892" s="8">
        <v>13.793368539999999</v>
      </c>
      <c r="M892" s="9" t="str">
        <f>IF(A892="",M893,A892)</f>
        <v>Cook Islands</v>
      </c>
      <c r="N892" s="3" t="str">
        <f t="shared" si="27"/>
        <v>Mar-2020</v>
      </c>
    </row>
    <row r="893" spans="1:14" x14ac:dyDescent="0.3">
      <c r="A893" s="3" t="s">
        <v>82</v>
      </c>
      <c r="B893" s="3" t="s">
        <v>83</v>
      </c>
      <c r="C893" s="8">
        <v>2020</v>
      </c>
      <c r="D893" s="8">
        <v>4</v>
      </c>
      <c r="E893" s="3" t="str">
        <f t="shared" si="26"/>
        <v>April</v>
      </c>
      <c r="F893" s="3" t="s">
        <v>8</v>
      </c>
      <c r="G893" s="8">
        <v>10.81528924</v>
      </c>
      <c r="H893" s="8">
        <v>11.106</v>
      </c>
      <c r="I893" s="8">
        <v>0.29071076299999998</v>
      </c>
      <c r="J893" s="8">
        <v>0.90478206299999997</v>
      </c>
      <c r="K893" s="8">
        <v>-13.867174779999999</v>
      </c>
      <c r="L893" s="8">
        <v>15.46934727</v>
      </c>
      <c r="M893" s="9" t="str">
        <f>IF(A893="",M894,A893)</f>
        <v>Cook Islands</v>
      </c>
      <c r="N893" s="3" t="str">
        <f t="shared" si="27"/>
        <v>Apr-2020</v>
      </c>
    </row>
    <row r="894" spans="1:14" x14ac:dyDescent="0.3">
      <c r="A894" s="3" t="s">
        <v>82</v>
      </c>
      <c r="B894" s="3" t="s">
        <v>83</v>
      </c>
      <c r="C894" s="8">
        <v>2020</v>
      </c>
      <c r="D894" s="8">
        <v>5</v>
      </c>
      <c r="E894" s="3" t="str">
        <f t="shared" si="26"/>
        <v>May</v>
      </c>
      <c r="F894" s="3" t="s">
        <v>8</v>
      </c>
      <c r="G894" s="8">
        <v>10.89599774</v>
      </c>
      <c r="H894" s="8">
        <v>11.208</v>
      </c>
      <c r="I894" s="8">
        <v>0.312002263</v>
      </c>
      <c r="J894" s="8">
        <v>1.216784326</v>
      </c>
      <c r="K894" s="8">
        <v>-14.975071570000001</v>
      </c>
      <c r="L894" s="8">
        <v>17.34150838</v>
      </c>
      <c r="M894" s="9" t="str">
        <f>IF(A894="",M895,A894)</f>
        <v>Cook Islands</v>
      </c>
      <c r="N894" s="3" t="str">
        <f t="shared" si="27"/>
        <v>May-2020</v>
      </c>
    </row>
    <row r="895" spans="1:14" x14ac:dyDescent="0.3">
      <c r="A895" s="3" t="s">
        <v>82</v>
      </c>
      <c r="B895" s="3" t="s">
        <v>83</v>
      </c>
      <c r="C895" s="8">
        <v>2020</v>
      </c>
      <c r="D895" s="8">
        <v>6</v>
      </c>
      <c r="E895" s="3" t="str">
        <f t="shared" si="26"/>
        <v>June</v>
      </c>
      <c r="F895" s="3" t="s">
        <v>8</v>
      </c>
      <c r="G895" s="8">
        <v>10.997227130000001</v>
      </c>
      <c r="H895" s="8">
        <v>10.962</v>
      </c>
      <c r="I895" s="8">
        <v>-3.5227126999999997E-2</v>
      </c>
      <c r="J895" s="8">
        <v>1.181557199</v>
      </c>
      <c r="K895" s="8">
        <v>-16.53057175</v>
      </c>
      <c r="L895" s="8">
        <v>19.434692720000001</v>
      </c>
      <c r="M895" s="9" t="str">
        <f>IF(A895="",M896,A895)</f>
        <v>Cook Islands</v>
      </c>
      <c r="N895" s="3" t="str">
        <f t="shared" si="27"/>
        <v>Jun-2020</v>
      </c>
    </row>
    <row r="896" spans="1:14" x14ac:dyDescent="0.3">
      <c r="A896" s="3" t="s">
        <v>82</v>
      </c>
      <c r="B896" s="3" t="s">
        <v>83</v>
      </c>
      <c r="C896" s="8">
        <v>2020</v>
      </c>
      <c r="D896" s="8">
        <v>7</v>
      </c>
      <c r="E896" s="3" t="str">
        <f t="shared" si="26"/>
        <v>July</v>
      </c>
      <c r="F896" s="3" t="s">
        <v>8</v>
      </c>
      <c r="G896" s="8">
        <v>11.053077549999999</v>
      </c>
      <c r="H896" s="8">
        <v>10.94</v>
      </c>
      <c r="I896" s="8">
        <v>-0.113077547</v>
      </c>
      <c r="J896" s="8">
        <v>1.0684796519999999</v>
      </c>
      <c r="K896" s="8">
        <v>-19.04661849</v>
      </c>
      <c r="L896" s="8">
        <v>19.393104959999999</v>
      </c>
      <c r="M896" s="9" t="str">
        <f>IF(A896="",M897,A896)</f>
        <v>Cook Islands</v>
      </c>
      <c r="N896" s="3" t="str">
        <f t="shared" si="27"/>
        <v>Jul-2020</v>
      </c>
    </row>
    <row r="897" spans="1:14" x14ac:dyDescent="0.3">
      <c r="A897" s="3" t="s">
        <v>82</v>
      </c>
      <c r="B897" s="3" t="s">
        <v>83</v>
      </c>
      <c r="C897" s="8">
        <v>2020</v>
      </c>
      <c r="D897" s="8">
        <v>8</v>
      </c>
      <c r="E897" s="3" t="str">
        <f t="shared" si="26"/>
        <v>August</v>
      </c>
      <c r="F897" s="3" t="s">
        <v>8</v>
      </c>
      <c r="G897" s="8">
        <v>11.03375434</v>
      </c>
      <c r="H897" s="8">
        <v>10.836</v>
      </c>
      <c r="I897" s="8">
        <v>-0.197754343</v>
      </c>
      <c r="J897" s="8">
        <v>0.870725309</v>
      </c>
      <c r="K897" s="8">
        <v>-19.42860005</v>
      </c>
      <c r="L897" s="8">
        <v>20.101654629999999</v>
      </c>
      <c r="M897" s="9" t="str">
        <f>IF(A897="",M898,A897)</f>
        <v>Cook Islands</v>
      </c>
      <c r="N897" s="3" t="str">
        <f t="shared" si="27"/>
        <v>Aug-2020</v>
      </c>
    </row>
    <row r="898" spans="1:14" x14ac:dyDescent="0.3">
      <c r="A898" s="3" t="s">
        <v>82</v>
      </c>
      <c r="B898" s="3" t="s">
        <v>83</v>
      </c>
      <c r="C898" s="8">
        <v>2020</v>
      </c>
      <c r="D898" s="8">
        <v>9</v>
      </c>
      <c r="E898" s="3" t="str">
        <f t="shared" ref="E898:E961" si="28">TEXT(DATE(C898,D898,1),"MMMM")</f>
        <v>September</v>
      </c>
      <c r="F898" s="3" t="s">
        <v>8</v>
      </c>
      <c r="G898" s="8">
        <v>10.979903050000001</v>
      </c>
      <c r="H898" s="8">
        <v>11.102</v>
      </c>
      <c r="I898" s="8">
        <v>0.12209695199999999</v>
      </c>
      <c r="J898" s="8">
        <v>0.99282226100000004</v>
      </c>
      <c r="K898" s="8">
        <v>-20.360062410000001</v>
      </c>
      <c r="L898" s="8">
        <v>22.083438789999999</v>
      </c>
      <c r="M898" s="9" t="str">
        <f>IF(A898="",M899,A898)</f>
        <v>Cook Islands</v>
      </c>
      <c r="N898" s="3" t="str">
        <f t="shared" ref="N898:N961" si="29">TEXT(DATE(C898,D898,1),"MMM-YYYY")</f>
        <v>Sep-2020</v>
      </c>
    </row>
    <row r="899" spans="1:14" x14ac:dyDescent="0.3">
      <c r="A899" s="3" t="s">
        <v>82</v>
      </c>
      <c r="B899" s="3" t="s">
        <v>83</v>
      </c>
      <c r="C899" s="8">
        <v>2020</v>
      </c>
      <c r="D899" s="8">
        <v>10</v>
      </c>
      <c r="E899" s="3" t="str">
        <f t="shared" si="28"/>
        <v>October</v>
      </c>
      <c r="F899" s="3" t="s">
        <v>8</v>
      </c>
      <c r="G899" s="8">
        <v>10.995344810000001</v>
      </c>
      <c r="H899" s="8">
        <v>11.074999999999999</v>
      </c>
      <c r="I899" s="8">
        <v>7.9655189000000001E-2</v>
      </c>
      <c r="J899" s="8">
        <v>1.0724774500000001</v>
      </c>
      <c r="K899" s="8">
        <v>-21.48827103</v>
      </c>
      <c r="L899" s="8">
        <v>24.362446819999999</v>
      </c>
      <c r="M899" s="9" t="str">
        <f>IF(A899="",M900,A899)</f>
        <v>Cook Islands</v>
      </c>
      <c r="N899" s="3" t="str">
        <f t="shared" si="29"/>
        <v>Oct-2020</v>
      </c>
    </row>
    <row r="900" spans="1:14" x14ac:dyDescent="0.3">
      <c r="A900" s="3" t="s">
        <v>82</v>
      </c>
      <c r="B900" s="3" t="s">
        <v>83</v>
      </c>
      <c r="C900" s="8">
        <v>2020</v>
      </c>
      <c r="D900" s="8">
        <v>11</v>
      </c>
      <c r="E900" s="3" t="str">
        <f t="shared" si="28"/>
        <v>November</v>
      </c>
      <c r="F900" s="3" t="s">
        <v>8</v>
      </c>
      <c r="G900" s="8">
        <v>10.88985609</v>
      </c>
      <c r="H900" s="8">
        <v>11.096</v>
      </c>
      <c r="I900" s="8">
        <v>0.20614391400000001</v>
      </c>
      <c r="J900" s="8">
        <v>1.2786213639999999</v>
      </c>
      <c r="K900" s="8">
        <v>-22.57874932</v>
      </c>
      <c r="L900" s="8">
        <v>25.023447449999999</v>
      </c>
      <c r="M900" s="9" t="str">
        <f>IF(A900="",M901,A900)</f>
        <v>Cook Islands</v>
      </c>
      <c r="N900" s="3" t="str">
        <f t="shared" si="29"/>
        <v>Nov-2020</v>
      </c>
    </row>
    <row r="901" spans="1:14" x14ac:dyDescent="0.3">
      <c r="A901" s="3" t="s">
        <v>82</v>
      </c>
      <c r="B901" s="3" t="s">
        <v>83</v>
      </c>
      <c r="C901" s="8">
        <v>2020</v>
      </c>
      <c r="D901" s="8">
        <v>12</v>
      </c>
      <c r="E901" s="3" t="str">
        <f t="shared" si="28"/>
        <v>December</v>
      </c>
      <c r="F901" s="3" t="s">
        <v>8</v>
      </c>
      <c r="G901" s="8">
        <v>10.85304973</v>
      </c>
      <c r="H901" s="8">
        <v>11.034000000000001</v>
      </c>
      <c r="I901" s="8">
        <v>0.180950266</v>
      </c>
      <c r="J901" s="8">
        <v>1.4595716299999999</v>
      </c>
      <c r="K901" s="8">
        <v>-23.724960169999999</v>
      </c>
      <c r="L901" s="8">
        <v>26.95077611</v>
      </c>
      <c r="M901" s="9" t="str">
        <f>IF(A901="",M902,A901)</f>
        <v>Cook Islands</v>
      </c>
      <c r="N901" s="3" t="str">
        <f t="shared" si="29"/>
        <v>Dec-2020</v>
      </c>
    </row>
    <row r="902" spans="1:14" x14ac:dyDescent="0.3">
      <c r="A902" s="3" t="s">
        <v>82</v>
      </c>
      <c r="B902" s="3" t="s">
        <v>83</v>
      </c>
      <c r="C902" s="8">
        <v>2021</v>
      </c>
      <c r="D902" s="8">
        <v>1</v>
      </c>
      <c r="E902" s="3" t="str">
        <f t="shared" si="28"/>
        <v>January</v>
      </c>
      <c r="F902" s="3" t="s">
        <v>8</v>
      </c>
      <c r="G902" s="8">
        <v>11.02612459</v>
      </c>
      <c r="H902" s="8">
        <v>10.951000000000001</v>
      </c>
      <c r="I902" s="8">
        <v>-7.5124592000000004E-2</v>
      </c>
      <c r="J902" s="8">
        <v>1.384447038</v>
      </c>
      <c r="K902" s="8">
        <v>-23.127525169999998</v>
      </c>
      <c r="L902" s="8">
        <v>27.468065979999999</v>
      </c>
      <c r="M902" s="9" t="str">
        <f>IF(A902="",M903,A902)</f>
        <v>Cook Islands</v>
      </c>
      <c r="N902" s="3" t="str">
        <f t="shared" si="29"/>
        <v>Jan-2021</v>
      </c>
    </row>
    <row r="903" spans="1:14" x14ac:dyDescent="0.3">
      <c r="A903" s="3" t="s">
        <v>82</v>
      </c>
      <c r="B903" s="3" t="s">
        <v>83</v>
      </c>
      <c r="C903" s="8">
        <v>2021</v>
      </c>
      <c r="D903" s="8">
        <v>2</v>
      </c>
      <c r="E903" s="3" t="str">
        <f t="shared" si="28"/>
        <v>February</v>
      </c>
      <c r="F903" s="3" t="s">
        <v>8</v>
      </c>
      <c r="G903" s="8">
        <v>11.0352008</v>
      </c>
      <c r="H903" s="8">
        <v>11.077</v>
      </c>
      <c r="I903" s="8">
        <v>4.1799201000000001E-2</v>
      </c>
      <c r="J903" s="8">
        <v>1.42624624</v>
      </c>
      <c r="K903" s="8">
        <v>-24.723131070000001</v>
      </c>
      <c r="L903" s="8">
        <v>29.14290037</v>
      </c>
      <c r="M903" s="9" t="str">
        <f>IF(A903="",M904,A903)</f>
        <v>Cook Islands</v>
      </c>
      <c r="N903" s="3" t="str">
        <f t="shared" si="29"/>
        <v>Feb-2021</v>
      </c>
    </row>
    <row r="904" spans="1:14" x14ac:dyDescent="0.3">
      <c r="A904" s="3" t="s">
        <v>82</v>
      </c>
      <c r="B904" s="3" t="s">
        <v>83</v>
      </c>
      <c r="C904" s="8">
        <v>2021</v>
      </c>
      <c r="D904" s="8">
        <v>3</v>
      </c>
      <c r="E904" s="3" t="str">
        <f t="shared" si="28"/>
        <v>March</v>
      </c>
      <c r="F904" s="3" t="s">
        <v>8</v>
      </c>
      <c r="G904" s="8">
        <v>11.04751766</v>
      </c>
      <c r="H904" s="8">
        <v>10.981999999999999</v>
      </c>
      <c r="I904" s="8">
        <v>-6.5517660000000005E-2</v>
      </c>
      <c r="J904" s="8">
        <v>1.3607285790000001</v>
      </c>
      <c r="K904" s="8">
        <v>-26.15306223</v>
      </c>
      <c r="L904" s="8">
        <v>29.128652630000001</v>
      </c>
      <c r="M904" s="9" t="str">
        <f>IF(A904="",M905,A904)</f>
        <v>Cook Islands</v>
      </c>
      <c r="N904" s="3" t="str">
        <f t="shared" si="29"/>
        <v>Mar-2021</v>
      </c>
    </row>
    <row r="905" spans="1:14" x14ac:dyDescent="0.3">
      <c r="A905" s="3" t="s">
        <v>82</v>
      </c>
      <c r="B905" s="3" t="s">
        <v>83</v>
      </c>
      <c r="C905" s="8">
        <v>2021</v>
      </c>
      <c r="D905" s="8">
        <v>4</v>
      </c>
      <c r="E905" s="3" t="str">
        <f t="shared" si="28"/>
        <v>April</v>
      </c>
      <c r="F905" s="3" t="s">
        <v>8</v>
      </c>
      <c r="G905" s="8">
        <v>11.09387474</v>
      </c>
      <c r="H905" s="8">
        <v>11.057</v>
      </c>
      <c r="I905" s="8">
        <v>-3.6874742000000002E-2</v>
      </c>
      <c r="J905" s="8">
        <v>1.3238538369999999</v>
      </c>
      <c r="K905" s="8">
        <v>-29.47862559</v>
      </c>
      <c r="L905" s="8">
        <v>30.666495619999999</v>
      </c>
      <c r="M905" s="9" t="str">
        <f>IF(A905="",M906,A905)</f>
        <v>Cook Islands</v>
      </c>
      <c r="N905" s="3" t="str">
        <f t="shared" si="29"/>
        <v>Apr-2021</v>
      </c>
    </row>
    <row r="906" spans="1:14" x14ac:dyDescent="0.3">
      <c r="A906" s="3" t="s">
        <v>82</v>
      </c>
      <c r="B906" s="3" t="s">
        <v>83</v>
      </c>
      <c r="C906" s="8">
        <v>2021</v>
      </c>
      <c r="D906" s="8">
        <v>5</v>
      </c>
      <c r="E906" s="3" t="str">
        <f t="shared" si="28"/>
        <v>May</v>
      </c>
      <c r="F906" s="3" t="s">
        <v>8</v>
      </c>
      <c r="G906" s="8">
        <v>11.21870279</v>
      </c>
      <c r="H906" s="8">
        <v>11.068</v>
      </c>
      <c r="I906" s="8">
        <v>-0.150702792</v>
      </c>
      <c r="J906" s="8">
        <v>1.173151045</v>
      </c>
      <c r="K906" s="8">
        <v>-29.295697759999999</v>
      </c>
      <c r="L906" s="8">
        <v>31.400107729999998</v>
      </c>
      <c r="M906" s="9" t="str">
        <f>IF(A906="",M907,A906)</f>
        <v>Cook Islands</v>
      </c>
      <c r="N906" s="3" t="str">
        <f t="shared" si="29"/>
        <v>May-2021</v>
      </c>
    </row>
    <row r="907" spans="1:14" x14ac:dyDescent="0.3">
      <c r="A907" s="3" t="s">
        <v>82</v>
      </c>
      <c r="B907" s="3" t="s">
        <v>83</v>
      </c>
      <c r="C907" s="8">
        <v>2021</v>
      </c>
      <c r="D907" s="8">
        <v>6</v>
      </c>
      <c r="E907" s="3" t="str">
        <f t="shared" si="28"/>
        <v>June</v>
      </c>
      <c r="F907" s="3" t="s">
        <v>8</v>
      </c>
      <c r="G907" s="8">
        <v>11.28485234</v>
      </c>
      <c r="H907" s="8">
        <v>11.092000000000001</v>
      </c>
      <c r="I907" s="8">
        <v>-0.19285234300000001</v>
      </c>
      <c r="J907" s="8">
        <v>0.98029870200000002</v>
      </c>
      <c r="K907" s="8">
        <v>-31.269746059999999</v>
      </c>
      <c r="L907" s="8">
        <v>33.746923559999999</v>
      </c>
      <c r="M907" s="9" t="str">
        <f>IF(A907="",M908,A907)</f>
        <v>Cook Islands</v>
      </c>
      <c r="N907" s="3" t="str">
        <f t="shared" si="29"/>
        <v>Jun-2021</v>
      </c>
    </row>
    <row r="908" spans="1:14" x14ac:dyDescent="0.3">
      <c r="A908" s="3" t="s">
        <v>82</v>
      </c>
      <c r="B908" s="3" t="s">
        <v>83</v>
      </c>
      <c r="C908" s="8">
        <v>2021</v>
      </c>
      <c r="D908" s="8">
        <v>7</v>
      </c>
      <c r="E908" s="3" t="str">
        <f t="shared" si="28"/>
        <v>July</v>
      </c>
      <c r="F908" s="3" t="s">
        <v>8</v>
      </c>
      <c r="G908" s="8">
        <v>11.330500389999999</v>
      </c>
      <c r="H908" s="8">
        <v>11.076000000000001</v>
      </c>
      <c r="I908" s="8">
        <v>-0.254500385</v>
      </c>
      <c r="J908" s="8">
        <v>0.72579831699999997</v>
      </c>
      <c r="K908" s="8">
        <v>-31.053528060000001</v>
      </c>
      <c r="L908" s="8">
        <v>33.788107310000001</v>
      </c>
      <c r="M908" s="9" t="str">
        <f>IF(A908="",M909,A908)</f>
        <v>Cook Islands</v>
      </c>
      <c r="N908" s="3" t="str">
        <f t="shared" si="29"/>
        <v>Jul-2021</v>
      </c>
    </row>
    <row r="909" spans="1:14" x14ac:dyDescent="0.3">
      <c r="A909" s="3" t="s">
        <v>82</v>
      </c>
      <c r="B909" s="3" t="s">
        <v>83</v>
      </c>
      <c r="C909" s="8">
        <v>2021</v>
      </c>
      <c r="D909" s="8">
        <v>8</v>
      </c>
      <c r="E909" s="3" t="str">
        <f t="shared" si="28"/>
        <v>August</v>
      </c>
      <c r="F909" s="3" t="s">
        <v>8</v>
      </c>
      <c r="G909" s="8">
        <v>11.29576421</v>
      </c>
      <c r="H909" s="8">
        <v>11.333</v>
      </c>
      <c r="I909" s="8">
        <v>3.7235790999999997E-2</v>
      </c>
      <c r="J909" s="8">
        <v>0.76303410900000002</v>
      </c>
      <c r="K909" s="8">
        <v>-32.158707659999997</v>
      </c>
      <c r="L909" s="8">
        <v>33.769040760000003</v>
      </c>
      <c r="M909" s="9" t="str">
        <f>IF(A909="",M910,A909)</f>
        <v>Cook Islands</v>
      </c>
      <c r="N909" s="3" t="str">
        <f t="shared" si="29"/>
        <v>Aug-2021</v>
      </c>
    </row>
    <row r="910" spans="1:14" x14ac:dyDescent="0.3">
      <c r="A910" s="3" t="s">
        <v>82</v>
      </c>
      <c r="B910" s="3" t="s">
        <v>83</v>
      </c>
      <c r="C910" s="8">
        <v>2021</v>
      </c>
      <c r="D910" s="8">
        <v>9</v>
      </c>
      <c r="E910" s="3" t="str">
        <f t="shared" si="28"/>
        <v>September</v>
      </c>
      <c r="F910" s="3" t="s">
        <v>8</v>
      </c>
      <c r="G910" s="8">
        <v>11.302334269999999</v>
      </c>
      <c r="H910" s="8">
        <v>11.433999999999999</v>
      </c>
      <c r="I910" s="8">
        <v>0.13166573000000001</v>
      </c>
      <c r="J910" s="8">
        <v>0.89469983799999997</v>
      </c>
      <c r="K910" s="8">
        <v>-31.51631892</v>
      </c>
      <c r="L910" s="8">
        <v>35.460676890000002</v>
      </c>
      <c r="M910" s="9" t="str">
        <f>IF(A910="",M911,A910)</f>
        <v>Cook Islands</v>
      </c>
      <c r="N910" s="3" t="str">
        <f t="shared" si="29"/>
        <v>Sep-2021</v>
      </c>
    </row>
    <row r="911" spans="1:14" x14ac:dyDescent="0.3">
      <c r="A911" s="3" t="s">
        <v>82</v>
      </c>
      <c r="B911" s="3" t="s">
        <v>83</v>
      </c>
      <c r="C911" s="8">
        <v>2021</v>
      </c>
      <c r="D911" s="8">
        <v>10</v>
      </c>
      <c r="E911" s="3" t="str">
        <f t="shared" si="28"/>
        <v>October</v>
      </c>
      <c r="F911" s="3" t="s">
        <v>8</v>
      </c>
      <c r="G911" s="8">
        <v>11.21543357</v>
      </c>
      <c r="H911" s="8">
        <v>11.583</v>
      </c>
      <c r="I911" s="8">
        <v>0.367566428</v>
      </c>
      <c r="J911" s="8">
        <v>1.2622662659999999</v>
      </c>
      <c r="K911" s="8">
        <v>-32.599248230000001</v>
      </c>
      <c r="L911" s="8">
        <v>37.136285260000001</v>
      </c>
      <c r="M911" s="9" t="str">
        <f>IF(A911="",M912,A911)</f>
        <v>Cook Islands</v>
      </c>
      <c r="N911" s="3" t="str">
        <f t="shared" si="29"/>
        <v>Oct-2021</v>
      </c>
    </row>
    <row r="912" spans="1:14" x14ac:dyDescent="0.3">
      <c r="A912" s="3" t="s">
        <v>82</v>
      </c>
      <c r="B912" s="3" t="s">
        <v>83</v>
      </c>
      <c r="C912" s="8">
        <v>2021</v>
      </c>
      <c r="D912" s="8">
        <v>11</v>
      </c>
      <c r="E912" s="3" t="str">
        <f t="shared" si="28"/>
        <v>November</v>
      </c>
      <c r="F912" s="3" t="s">
        <v>8</v>
      </c>
      <c r="G912" s="8">
        <v>11.15452097</v>
      </c>
      <c r="H912" s="8">
        <v>11.659000000000001</v>
      </c>
      <c r="I912" s="8">
        <v>0.50447902600000005</v>
      </c>
      <c r="J912" s="8">
        <v>1.766745292</v>
      </c>
      <c r="K912" s="8">
        <v>-32.469191240000001</v>
      </c>
      <c r="L912" s="8">
        <v>37.897653140000003</v>
      </c>
      <c r="M912" s="9" t="str">
        <f>IF(A912="",M913,A912)</f>
        <v>Cook Islands</v>
      </c>
      <c r="N912" s="3" t="str">
        <f t="shared" si="29"/>
        <v>Nov-2021</v>
      </c>
    </row>
    <row r="913" spans="1:14" x14ac:dyDescent="0.3">
      <c r="A913" s="3" t="s">
        <v>82</v>
      </c>
      <c r="B913" s="3" t="s">
        <v>83</v>
      </c>
      <c r="C913" s="8">
        <v>2021</v>
      </c>
      <c r="D913" s="8">
        <v>12</v>
      </c>
      <c r="E913" s="3" t="str">
        <f t="shared" si="28"/>
        <v>December</v>
      </c>
      <c r="F913" s="3" t="s">
        <v>8</v>
      </c>
      <c r="G913" s="8">
        <v>11.09441865</v>
      </c>
      <c r="H913" s="8">
        <v>11.840999999999999</v>
      </c>
      <c r="I913" s="8">
        <v>0.74658135199999998</v>
      </c>
      <c r="J913" s="8">
        <v>2.5133266440000002</v>
      </c>
      <c r="K913" s="8">
        <v>-32.186912900000003</v>
      </c>
      <c r="L913" s="8">
        <v>39.266348409999999</v>
      </c>
      <c r="M913" s="9" t="str">
        <f>IF(A913="",M914,A913)</f>
        <v>Cook Islands</v>
      </c>
      <c r="N913" s="3" t="str">
        <f t="shared" si="29"/>
        <v>Dec-2021</v>
      </c>
    </row>
    <row r="914" spans="1:14" x14ac:dyDescent="0.3">
      <c r="A914" s="3" t="s">
        <v>84</v>
      </c>
      <c r="B914" s="3" t="s">
        <v>85</v>
      </c>
      <c r="C914" s="8">
        <v>2020</v>
      </c>
      <c r="D914" s="8">
        <v>1</v>
      </c>
      <c r="E914" s="3" t="str">
        <f t="shared" si="28"/>
        <v>January</v>
      </c>
      <c r="F914" s="3" t="s">
        <v>13</v>
      </c>
      <c r="G914" s="8">
        <v>21570.6397</v>
      </c>
      <c r="H914" s="8">
        <v>21687</v>
      </c>
      <c r="I914" s="8">
        <v>62.943637379999998</v>
      </c>
      <c r="J914" s="8">
        <v>62.943637379999998</v>
      </c>
      <c r="K914" s="8">
        <v>-271.48824560000003</v>
      </c>
      <c r="L914" s="8">
        <v>392.93701320000002</v>
      </c>
      <c r="M914" s="9" t="str">
        <f>IF(A914="",M915,A914)</f>
        <v>Colombia</v>
      </c>
      <c r="N914" s="3" t="str">
        <f t="shared" si="29"/>
        <v>Jan-2020</v>
      </c>
    </row>
    <row r="915" spans="1:14" x14ac:dyDescent="0.3">
      <c r="A915" s="3" t="s">
        <v>84</v>
      </c>
      <c r="B915" s="3" t="s">
        <v>85</v>
      </c>
      <c r="C915" s="8">
        <v>2020</v>
      </c>
      <c r="D915" s="8">
        <v>2</v>
      </c>
      <c r="E915" s="3" t="str">
        <f t="shared" si="28"/>
        <v>February</v>
      </c>
      <c r="F915" s="3" t="s">
        <v>13</v>
      </c>
      <c r="G915" s="8">
        <v>18532.988430000001</v>
      </c>
      <c r="H915" s="8">
        <v>19467</v>
      </c>
      <c r="I915" s="8">
        <v>880.59490000000005</v>
      </c>
      <c r="J915" s="8">
        <v>943.5385374</v>
      </c>
      <c r="K915" s="8">
        <v>422.75995</v>
      </c>
      <c r="L915" s="8">
        <v>1437.13402</v>
      </c>
      <c r="M915" s="9" t="str">
        <f>IF(A915="",M916,A915)</f>
        <v>Colombia</v>
      </c>
      <c r="N915" s="3" t="str">
        <f t="shared" si="29"/>
        <v>Feb-2020</v>
      </c>
    </row>
    <row r="916" spans="1:14" x14ac:dyDescent="0.3">
      <c r="A916" s="3" t="s">
        <v>84</v>
      </c>
      <c r="B916" s="3" t="s">
        <v>85</v>
      </c>
      <c r="C916" s="8">
        <v>2020</v>
      </c>
      <c r="D916" s="8">
        <v>3</v>
      </c>
      <c r="E916" s="3" t="str">
        <f t="shared" si="28"/>
        <v>March</v>
      </c>
      <c r="F916" s="3" t="s">
        <v>13</v>
      </c>
      <c r="G916" s="8">
        <v>20428.83798</v>
      </c>
      <c r="H916" s="8">
        <v>19792</v>
      </c>
      <c r="I916" s="8">
        <v>-690.25465069999996</v>
      </c>
      <c r="J916" s="8">
        <v>253.28388670000001</v>
      </c>
      <c r="K916" s="8">
        <v>-444.56103130000002</v>
      </c>
      <c r="L916" s="8">
        <v>889.85855949999996</v>
      </c>
      <c r="M916" s="9" t="str">
        <f>IF(A916="",M917,A916)</f>
        <v>Colombia</v>
      </c>
      <c r="N916" s="3" t="str">
        <f t="shared" si="29"/>
        <v>Mar-2020</v>
      </c>
    </row>
    <row r="917" spans="1:14" x14ac:dyDescent="0.3">
      <c r="A917" s="3" t="s">
        <v>84</v>
      </c>
      <c r="B917" s="3" t="s">
        <v>85</v>
      </c>
      <c r="C917" s="8">
        <v>2020</v>
      </c>
      <c r="D917" s="8">
        <v>4</v>
      </c>
      <c r="E917" s="3" t="str">
        <f t="shared" si="28"/>
        <v>April</v>
      </c>
      <c r="F917" s="3" t="s">
        <v>13</v>
      </c>
      <c r="G917" s="8">
        <v>19714.536510000002</v>
      </c>
      <c r="H917" s="8">
        <v>18484</v>
      </c>
      <c r="I917" s="8">
        <v>-1283.953174</v>
      </c>
      <c r="J917" s="8">
        <v>-1030.6692869999999</v>
      </c>
      <c r="K917" s="8">
        <v>-1811.5482959999999</v>
      </c>
      <c r="L917" s="8">
        <v>-304.57197910000002</v>
      </c>
      <c r="M917" s="9" t="str">
        <f>IF(A917="",M918,A917)</f>
        <v>Colombia</v>
      </c>
      <c r="N917" s="3" t="str">
        <f t="shared" si="29"/>
        <v>Apr-2020</v>
      </c>
    </row>
    <row r="918" spans="1:14" x14ac:dyDescent="0.3">
      <c r="A918" s="3" t="s">
        <v>84</v>
      </c>
      <c r="B918" s="3" t="s">
        <v>85</v>
      </c>
      <c r="C918" s="8">
        <v>2020</v>
      </c>
      <c r="D918" s="8">
        <v>5</v>
      </c>
      <c r="E918" s="3" t="str">
        <f t="shared" si="28"/>
        <v>May</v>
      </c>
      <c r="F918" s="3" t="s">
        <v>13</v>
      </c>
      <c r="G918" s="8">
        <v>21000.176940000001</v>
      </c>
      <c r="H918" s="8">
        <v>20445</v>
      </c>
      <c r="I918" s="8">
        <v>-608.59360519999996</v>
      </c>
      <c r="J918" s="8">
        <v>-1639.2628930000001</v>
      </c>
      <c r="K918" s="8">
        <v>-2581.2942419999999</v>
      </c>
      <c r="L918" s="8">
        <v>-745.12444240000002</v>
      </c>
      <c r="M918" s="9" t="str">
        <f>IF(A918="",M919,A918)</f>
        <v>Colombia</v>
      </c>
      <c r="N918" s="3" t="str">
        <f t="shared" si="29"/>
        <v>May-2020</v>
      </c>
    </row>
    <row r="919" spans="1:14" x14ac:dyDescent="0.3">
      <c r="A919" s="3" t="s">
        <v>84</v>
      </c>
      <c r="B919" s="3" t="s">
        <v>85</v>
      </c>
      <c r="C919" s="8">
        <v>2020</v>
      </c>
      <c r="D919" s="8">
        <v>6</v>
      </c>
      <c r="E919" s="3" t="str">
        <f t="shared" si="28"/>
        <v>June</v>
      </c>
      <c r="F919" s="3" t="s">
        <v>13</v>
      </c>
      <c r="G919" s="8">
        <v>20949.161970000001</v>
      </c>
      <c r="H919" s="8">
        <v>24366</v>
      </c>
      <c r="I919" s="8">
        <v>3363.4213589999999</v>
      </c>
      <c r="J919" s="8">
        <v>1724.1584660000001</v>
      </c>
      <c r="K919" s="8">
        <v>720.51893259999997</v>
      </c>
      <c r="L919" s="8">
        <v>2701.0973509999999</v>
      </c>
      <c r="M919" s="9" t="str">
        <f>IF(A919="",M920,A919)</f>
        <v>Colombia</v>
      </c>
      <c r="N919" s="3" t="str">
        <f t="shared" si="29"/>
        <v>Jun-2020</v>
      </c>
    </row>
    <row r="920" spans="1:14" x14ac:dyDescent="0.3">
      <c r="A920" s="3" t="s">
        <v>84</v>
      </c>
      <c r="B920" s="3" t="s">
        <v>85</v>
      </c>
      <c r="C920" s="8">
        <v>2020</v>
      </c>
      <c r="D920" s="8">
        <v>7</v>
      </c>
      <c r="E920" s="3" t="str">
        <f t="shared" si="28"/>
        <v>July</v>
      </c>
      <c r="F920" s="3" t="s">
        <v>13</v>
      </c>
      <c r="G920" s="8">
        <v>21209.701639999999</v>
      </c>
      <c r="H920" s="8">
        <v>32241</v>
      </c>
      <c r="I920" s="8">
        <v>10977.88169</v>
      </c>
      <c r="J920" s="8">
        <v>12702.04016</v>
      </c>
      <c r="K920" s="8">
        <v>11556.02693</v>
      </c>
      <c r="L920" s="8">
        <v>13779.026599999999</v>
      </c>
      <c r="M920" s="9" t="str">
        <f>IF(A920="",M921,A920)</f>
        <v>Colombia</v>
      </c>
      <c r="N920" s="3" t="str">
        <f t="shared" si="29"/>
        <v>Jul-2020</v>
      </c>
    </row>
    <row r="921" spans="1:14" x14ac:dyDescent="0.3">
      <c r="A921" s="3" t="s">
        <v>84</v>
      </c>
      <c r="B921" s="3" t="s">
        <v>85</v>
      </c>
      <c r="C921" s="8">
        <v>2020</v>
      </c>
      <c r="D921" s="8">
        <v>8</v>
      </c>
      <c r="E921" s="3" t="str">
        <f t="shared" si="28"/>
        <v>August</v>
      </c>
      <c r="F921" s="3" t="s">
        <v>13</v>
      </c>
      <c r="G921" s="8">
        <v>20793.874049999999</v>
      </c>
      <c r="H921" s="8">
        <v>32925</v>
      </c>
      <c r="I921" s="8">
        <v>12077.709279999999</v>
      </c>
      <c r="J921" s="8">
        <v>24779.74944</v>
      </c>
      <c r="K921" s="8">
        <v>23557.733100000001</v>
      </c>
      <c r="L921" s="8">
        <v>25980.407350000001</v>
      </c>
      <c r="M921" s="9" t="str">
        <f>IF(A921="",M922,A921)</f>
        <v>Colombia</v>
      </c>
      <c r="N921" s="3" t="str">
        <f t="shared" si="29"/>
        <v>Aug-2020</v>
      </c>
    </row>
    <row r="922" spans="1:14" x14ac:dyDescent="0.3">
      <c r="A922" s="3" t="s">
        <v>84</v>
      </c>
      <c r="B922" s="3" t="s">
        <v>85</v>
      </c>
      <c r="C922" s="8">
        <v>2020</v>
      </c>
      <c r="D922" s="8">
        <v>9</v>
      </c>
      <c r="E922" s="3" t="str">
        <f t="shared" si="28"/>
        <v>September</v>
      </c>
      <c r="F922" s="3" t="s">
        <v>13</v>
      </c>
      <c r="G922" s="8">
        <v>19914.219140000001</v>
      </c>
      <c r="H922" s="8">
        <v>27179</v>
      </c>
      <c r="I922" s="8">
        <v>7211.3641909999997</v>
      </c>
      <c r="J922" s="8">
        <v>31991.11363</v>
      </c>
      <c r="K922" s="8">
        <v>30700.274229999999</v>
      </c>
      <c r="L922" s="8">
        <v>33272.02865</v>
      </c>
      <c r="M922" s="9" t="str">
        <f>IF(A922="",M923,A922)</f>
        <v>Colombia</v>
      </c>
      <c r="N922" s="3" t="str">
        <f t="shared" si="29"/>
        <v>Sep-2020</v>
      </c>
    </row>
    <row r="923" spans="1:14" x14ac:dyDescent="0.3">
      <c r="A923" s="3" t="s">
        <v>84</v>
      </c>
      <c r="B923" s="3" t="s">
        <v>85</v>
      </c>
      <c r="C923" s="8">
        <v>2020</v>
      </c>
      <c r="D923" s="8">
        <v>10</v>
      </c>
      <c r="E923" s="3" t="str">
        <f t="shared" si="28"/>
        <v>October</v>
      </c>
      <c r="F923" s="3" t="s">
        <v>13</v>
      </c>
      <c r="G923" s="8">
        <v>20433.0501</v>
      </c>
      <c r="H923" s="8">
        <v>27510</v>
      </c>
      <c r="I923" s="8">
        <v>7023.5332340000004</v>
      </c>
      <c r="J923" s="8">
        <v>39014.646860000001</v>
      </c>
      <c r="K923" s="8">
        <v>37668.410089999998</v>
      </c>
      <c r="L923" s="8">
        <v>40351.373469999999</v>
      </c>
      <c r="M923" s="9" t="str">
        <f>IF(A923="",M924,A923)</f>
        <v>Colombia</v>
      </c>
      <c r="N923" s="3" t="str">
        <f t="shared" si="29"/>
        <v>Oct-2020</v>
      </c>
    </row>
    <row r="924" spans="1:14" x14ac:dyDescent="0.3">
      <c r="A924" s="3" t="s">
        <v>84</v>
      </c>
      <c r="B924" s="3" t="s">
        <v>85</v>
      </c>
      <c r="C924" s="8">
        <v>2020</v>
      </c>
      <c r="D924" s="8">
        <v>11</v>
      </c>
      <c r="E924" s="3" t="str">
        <f t="shared" si="28"/>
        <v>November</v>
      </c>
      <c r="F924" s="3" t="s">
        <v>13</v>
      </c>
      <c r="G924" s="8">
        <v>20261.810320000001</v>
      </c>
      <c r="H924" s="8">
        <v>26832</v>
      </c>
      <c r="I924" s="8">
        <v>6516.7730099999999</v>
      </c>
      <c r="J924" s="8">
        <v>45531.419869999998</v>
      </c>
      <c r="K924" s="8">
        <v>44068.698859999997</v>
      </c>
      <c r="L924" s="8">
        <v>46908.28815</v>
      </c>
      <c r="M924" s="9" t="str">
        <f>IF(A924="",M925,A924)</f>
        <v>Colombia</v>
      </c>
      <c r="N924" s="3" t="str">
        <f t="shared" si="29"/>
        <v>Nov-2020</v>
      </c>
    </row>
    <row r="925" spans="1:14" x14ac:dyDescent="0.3">
      <c r="A925" s="3" t="s">
        <v>84</v>
      </c>
      <c r="B925" s="3" t="s">
        <v>85</v>
      </c>
      <c r="C925" s="8">
        <v>2020</v>
      </c>
      <c r="D925" s="8">
        <v>12</v>
      </c>
      <c r="E925" s="3" t="str">
        <f t="shared" si="28"/>
        <v>December</v>
      </c>
      <c r="F925" s="3" t="s">
        <v>13</v>
      </c>
      <c r="G925" s="8">
        <v>22095.83959</v>
      </c>
      <c r="H925" s="8">
        <v>30504</v>
      </c>
      <c r="I925" s="8">
        <v>8354.7437439999994</v>
      </c>
      <c r="J925" s="8">
        <v>53886.163610000003</v>
      </c>
      <c r="K925" s="8">
        <v>52416.112370000003</v>
      </c>
      <c r="L925" s="8">
        <v>55308.773439999997</v>
      </c>
      <c r="M925" s="9" t="str">
        <f>IF(A925="",M926,A925)</f>
        <v>Colombia</v>
      </c>
      <c r="N925" s="3" t="str">
        <f t="shared" si="29"/>
        <v>Dec-2020</v>
      </c>
    </row>
    <row r="926" spans="1:14" x14ac:dyDescent="0.3">
      <c r="A926" s="3" t="s">
        <v>84</v>
      </c>
      <c r="B926" s="3" t="s">
        <v>85</v>
      </c>
      <c r="C926" s="8">
        <v>2021</v>
      </c>
      <c r="D926" s="8">
        <v>1</v>
      </c>
      <c r="E926" s="3" t="str">
        <f t="shared" si="28"/>
        <v>January</v>
      </c>
      <c r="F926" s="3" t="s">
        <v>13</v>
      </c>
      <c r="G926" s="8">
        <v>22148.329699999998</v>
      </c>
      <c r="H926" s="8">
        <v>36295</v>
      </c>
      <c r="I926" s="8">
        <v>14039.003629999999</v>
      </c>
      <c r="J926" s="8">
        <v>67925.167249999999</v>
      </c>
      <c r="K926" s="8">
        <v>66386.576749999993</v>
      </c>
      <c r="L926" s="8">
        <v>69424.89589</v>
      </c>
      <c r="M926" s="9" t="str">
        <f>IF(A926="",M927,A926)</f>
        <v>Colombia</v>
      </c>
      <c r="N926" s="3" t="str">
        <f t="shared" si="29"/>
        <v>Jan-2021</v>
      </c>
    </row>
    <row r="927" spans="1:14" x14ac:dyDescent="0.3">
      <c r="A927" s="3" t="s">
        <v>84</v>
      </c>
      <c r="B927" s="3" t="s">
        <v>85</v>
      </c>
      <c r="C927" s="8">
        <v>2021</v>
      </c>
      <c r="D927" s="8">
        <v>2</v>
      </c>
      <c r="E927" s="3" t="str">
        <f t="shared" si="28"/>
        <v>February</v>
      </c>
      <c r="F927" s="3" t="s">
        <v>13</v>
      </c>
      <c r="G927" s="8">
        <v>19016.031729999999</v>
      </c>
      <c r="H927" s="8">
        <v>25093</v>
      </c>
      <c r="I927" s="8">
        <v>5969.3016049999997</v>
      </c>
      <c r="J927" s="8">
        <v>73894.468850000005</v>
      </c>
      <c r="K927" s="8">
        <v>72316.398060000007</v>
      </c>
      <c r="L927" s="8">
        <v>75444.11361</v>
      </c>
      <c r="M927" s="9" t="str">
        <f>IF(A927="",M928,A927)</f>
        <v>Colombia</v>
      </c>
      <c r="N927" s="3" t="str">
        <f t="shared" si="29"/>
        <v>Feb-2021</v>
      </c>
    </row>
    <row r="928" spans="1:14" x14ac:dyDescent="0.3">
      <c r="A928" s="3" t="s">
        <v>84</v>
      </c>
      <c r="B928" s="3" t="s">
        <v>85</v>
      </c>
      <c r="C928" s="8">
        <v>2021</v>
      </c>
      <c r="D928" s="8">
        <v>3</v>
      </c>
      <c r="E928" s="3" t="str">
        <f t="shared" si="28"/>
        <v>March</v>
      </c>
      <c r="F928" s="3" t="s">
        <v>13</v>
      </c>
      <c r="G928" s="8">
        <v>20957.228439999999</v>
      </c>
      <c r="H928" s="8">
        <v>25471</v>
      </c>
      <c r="I928" s="8">
        <v>4406.1048979999996</v>
      </c>
      <c r="J928" s="8">
        <v>78300.573749999996</v>
      </c>
      <c r="K928" s="8">
        <v>76540.25288</v>
      </c>
      <c r="L928" s="8">
        <v>80033.312569999995</v>
      </c>
      <c r="M928" s="9" t="str">
        <f>IF(A928="",M929,A928)</f>
        <v>Colombia</v>
      </c>
      <c r="N928" s="3" t="str">
        <f t="shared" si="29"/>
        <v>Mar-2021</v>
      </c>
    </row>
    <row r="929" spans="1:14" x14ac:dyDescent="0.3">
      <c r="A929" s="3" t="s">
        <v>84</v>
      </c>
      <c r="B929" s="3" t="s">
        <v>85</v>
      </c>
      <c r="C929" s="8">
        <v>2021</v>
      </c>
      <c r="D929" s="8">
        <v>4</v>
      </c>
      <c r="E929" s="3" t="str">
        <f t="shared" si="28"/>
        <v>April</v>
      </c>
      <c r="F929" s="3" t="s">
        <v>13</v>
      </c>
      <c r="G929" s="8">
        <v>20237.9823</v>
      </c>
      <c r="H929" s="8">
        <v>34738</v>
      </c>
      <c r="I929" s="8">
        <v>14392.35103</v>
      </c>
      <c r="J929" s="8">
        <v>92692.924780000001</v>
      </c>
      <c r="K929" s="8">
        <v>90885.803950000001</v>
      </c>
      <c r="L929" s="8">
        <v>94485.955709999995</v>
      </c>
      <c r="M929" s="9" t="str">
        <f>IF(A929="",M930,A929)</f>
        <v>Colombia</v>
      </c>
      <c r="N929" s="3" t="str">
        <f t="shared" si="29"/>
        <v>Apr-2021</v>
      </c>
    </row>
    <row r="930" spans="1:14" x14ac:dyDescent="0.3">
      <c r="A930" s="3" t="s">
        <v>84</v>
      </c>
      <c r="B930" s="3" t="s">
        <v>85</v>
      </c>
      <c r="C930" s="8">
        <v>2021</v>
      </c>
      <c r="D930" s="8">
        <v>5</v>
      </c>
      <c r="E930" s="3" t="str">
        <f t="shared" si="28"/>
        <v>May</v>
      </c>
      <c r="F930" s="3" t="s">
        <v>13</v>
      </c>
      <c r="G930" s="8">
        <v>21564.317230000001</v>
      </c>
      <c r="H930" s="8">
        <v>40497</v>
      </c>
      <c r="I930" s="8">
        <v>18825.01611</v>
      </c>
      <c r="J930" s="8">
        <v>111517.9409</v>
      </c>
      <c r="K930" s="8">
        <v>109571.5143</v>
      </c>
      <c r="L930" s="8">
        <v>113301.9455</v>
      </c>
      <c r="M930" s="9" t="str">
        <f>IF(A930="",M931,A930)</f>
        <v>Colombia</v>
      </c>
      <c r="N930" s="3" t="str">
        <f t="shared" si="29"/>
        <v>May-2021</v>
      </c>
    </row>
    <row r="931" spans="1:14" x14ac:dyDescent="0.3">
      <c r="A931" s="3" t="s">
        <v>84</v>
      </c>
      <c r="B931" s="3" t="s">
        <v>85</v>
      </c>
      <c r="C931" s="8">
        <v>2021</v>
      </c>
      <c r="D931" s="8">
        <v>6</v>
      </c>
      <c r="E931" s="3" t="str">
        <f t="shared" si="28"/>
        <v>June</v>
      </c>
      <c r="F931" s="3" t="s">
        <v>13</v>
      </c>
      <c r="G931" s="8">
        <v>21506.092929999999</v>
      </c>
      <c r="H931" s="8">
        <v>44289</v>
      </c>
      <c r="I931" s="8">
        <v>22675.240409999999</v>
      </c>
      <c r="J931" s="8">
        <v>134193.1813</v>
      </c>
      <c r="K931" s="8">
        <v>132105.31580000001</v>
      </c>
      <c r="L931" s="8">
        <v>136030.20929999999</v>
      </c>
      <c r="M931" s="9" t="str">
        <f>IF(A931="",M932,A931)</f>
        <v>Colombia</v>
      </c>
      <c r="N931" s="3" t="str">
        <f t="shared" si="29"/>
        <v>Jun-2021</v>
      </c>
    </row>
    <row r="932" spans="1:14" x14ac:dyDescent="0.3">
      <c r="A932" s="3" t="s">
        <v>84</v>
      </c>
      <c r="B932" s="3" t="s">
        <v>85</v>
      </c>
      <c r="C932" s="8">
        <v>2021</v>
      </c>
      <c r="D932" s="8">
        <v>7</v>
      </c>
      <c r="E932" s="3" t="str">
        <f t="shared" si="28"/>
        <v>July</v>
      </c>
      <c r="F932" s="3" t="s">
        <v>13</v>
      </c>
      <c r="G932" s="8">
        <v>21750.832350000001</v>
      </c>
      <c r="H932" s="8">
        <v>38439</v>
      </c>
      <c r="I932" s="8">
        <v>16580.500980000001</v>
      </c>
      <c r="J932" s="8">
        <v>150773.68229999999</v>
      </c>
      <c r="K932" s="8">
        <v>148707.6127</v>
      </c>
      <c r="L932" s="8">
        <v>152757.14019999999</v>
      </c>
      <c r="M932" s="9" t="str">
        <f>IF(A932="",M933,A932)</f>
        <v>Colombia</v>
      </c>
      <c r="N932" s="3" t="str">
        <f t="shared" si="29"/>
        <v>Jul-2021</v>
      </c>
    </row>
    <row r="933" spans="1:14" x14ac:dyDescent="0.3">
      <c r="A933" s="3" t="s">
        <v>84</v>
      </c>
      <c r="B933" s="3" t="s">
        <v>85</v>
      </c>
      <c r="C933" s="8">
        <v>2021</v>
      </c>
      <c r="D933" s="8">
        <v>8</v>
      </c>
      <c r="E933" s="3" t="str">
        <f t="shared" si="28"/>
        <v>August</v>
      </c>
      <c r="F933" s="3" t="s">
        <v>13</v>
      </c>
      <c r="G933" s="8">
        <v>21357.717710000001</v>
      </c>
      <c r="H933" s="8">
        <v>25821</v>
      </c>
      <c r="I933" s="8">
        <v>4355.6156209999999</v>
      </c>
      <c r="J933" s="8">
        <v>155129.29790000001</v>
      </c>
      <c r="K933" s="8">
        <v>153006.5667</v>
      </c>
      <c r="L933" s="8">
        <v>157234.818</v>
      </c>
      <c r="M933" s="9" t="str">
        <f>IF(A933="",M934,A933)</f>
        <v>Colombia</v>
      </c>
      <c r="N933" s="3" t="str">
        <f t="shared" si="29"/>
        <v>Aug-2021</v>
      </c>
    </row>
    <row r="934" spans="1:14" x14ac:dyDescent="0.3">
      <c r="A934" s="3" t="s">
        <v>84</v>
      </c>
      <c r="B934" s="3" t="s">
        <v>85</v>
      </c>
      <c r="C934" s="8">
        <v>2021</v>
      </c>
      <c r="D934" s="8">
        <v>9</v>
      </c>
      <c r="E934" s="3" t="str">
        <f t="shared" si="28"/>
        <v>September</v>
      </c>
      <c r="F934" s="3" t="s">
        <v>13</v>
      </c>
      <c r="G934" s="8">
        <v>20433.485939999999</v>
      </c>
      <c r="H934" s="8">
        <v>21941</v>
      </c>
      <c r="I934" s="8">
        <v>1399.8473980000001</v>
      </c>
      <c r="J934" s="8">
        <v>156529.1453</v>
      </c>
      <c r="K934" s="8">
        <v>154385.01730000001</v>
      </c>
      <c r="L934" s="8">
        <v>158645.20300000001</v>
      </c>
      <c r="M934" s="9" t="str">
        <f>IF(A934="",M935,A934)</f>
        <v>Colombia</v>
      </c>
      <c r="N934" s="3" t="str">
        <f t="shared" si="29"/>
        <v>Sep-2021</v>
      </c>
    </row>
    <row r="935" spans="1:14" x14ac:dyDescent="0.3">
      <c r="A935" s="3" t="s">
        <v>84</v>
      </c>
      <c r="B935" s="3" t="s">
        <v>85</v>
      </c>
      <c r="C935" s="8">
        <v>2021</v>
      </c>
      <c r="D935" s="8">
        <v>10</v>
      </c>
      <c r="E935" s="3" t="str">
        <f t="shared" si="28"/>
        <v>October</v>
      </c>
      <c r="F935" s="3" t="s">
        <v>13</v>
      </c>
      <c r="G935" s="8">
        <v>20985.147280000001</v>
      </c>
      <c r="H935" s="8">
        <v>22571</v>
      </c>
      <c r="I935" s="8">
        <v>1478.1860509999999</v>
      </c>
      <c r="J935" s="8">
        <v>158007.3314</v>
      </c>
      <c r="K935" s="8">
        <v>155822.6526</v>
      </c>
      <c r="L935" s="8">
        <v>160357.55410000001</v>
      </c>
      <c r="M935" s="9" t="str">
        <f>IF(A935="",M936,A935)</f>
        <v>Colombia</v>
      </c>
      <c r="N935" s="3" t="str">
        <f t="shared" si="29"/>
        <v>Oct-2021</v>
      </c>
    </row>
    <row r="936" spans="1:14" x14ac:dyDescent="0.3">
      <c r="A936" s="3" t="s">
        <v>84</v>
      </c>
      <c r="B936" s="3" t="s">
        <v>85</v>
      </c>
      <c r="C936" s="8">
        <v>2021</v>
      </c>
      <c r="D936" s="8">
        <v>11</v>
      </c>
      <c r="E936" s="3" t="str">
        <f t="shared" si="28"/>
        <v>November</v>
      </c>
      <c r="F936" s="3" t="s">
        <v>13</v>
      </c>
      <c r="G936" s="8">
        <v>20812.886829999999</v>
      </c>
      <c r="H936" s="8">
        <v>22676</v>
      </c>
      <c r="I936" s="8">
        <v>1755.4465009999999</v>
      </c>
      <c r="J936" s="8">
        <v>159762.77789999999</v>
      </c>
      <c r="K936" s="8">
        <v>157479.09450000001</v>
      </c>
      <c r="L936" s="8">
        <v>162158.43909999999</v>
      </c>
      <c r="M936" s="9" t="str">
        <f>IF(A936="",M937,A936)</f>
        <v>Colombia</v>
      </c>
      <c r="N936" s="3" t="str">
        <f t="shared" si="29"/>
        <v>Nov-2021</v>
      </c>
    </row>
    <row r="937" spans="1:14" x14ac:dyDescent="0.3">
      <c r="A937" s="3" t="s">
        <v>84</v>
      </c>
      <c r="B937" s="3" t="s">
        <v>85</v>
      </c>
      <c r="C937" s="8">
        <v>2021</v>
      </c>
      <c r="D937" s="8">
        <v>12</v>
      </c>
      <c r="E937" s="3" t="str">
        <f t="shared" si="28"/>
        <v>December</v>
      </c>
      <c r="F937" s="3" t="s">
        <v>13</v>
      </c>
      <c r="G937" s="8">
        <v>22683.540410000001</v>
      </c>
      <c r="H937" s="8">
        <v>25247</v>
      </c>
      <c r="I937" s="8">
        <v>2455.7929220000001</v>
      </c>
      <c r="J937" s="8">
        <v>162218.57079999999</v>
      </c>
      <c r="K937" s="8">
        <v>159894.37830000001</v>
      </c>
      <c r="L937" s="8">
        <v>164612.94140000001</v>
      </c>
      <c r="M937" s="9" t="str">
        <f>IF(A937="",M938,A937)</f>
        <v>Colombia</v>
      </c>
      <c r="N937" s="3" t="str">
        <f t="shared" si="29"/>
        <v>Dec-2021</v>
      </c>
    </row>
    <row r="938" spans="1:14" x14ac:dyDescent="0.3">
      <c r="A938" s="3" t="s">
        <v>86</v>
      </c>
      <c r="B938" s="3" t="s">
        <v>87</v>
      </c>
      <c r="C938" s="8">
        <v>2020</v>
      </c>
      <c r="D938" s="8">
        <v>1</v>
      </c>
      <c r="E938" s="3" t="str">
        <f t="shared" si="28"/>
        <v>January</v>
      </c>
      <c r="F938" s="3" t="s">
        <v>8</v>
      </c>
      <c r="G938" s="8">
        <v>419.58644079999999</v>
      </c>
      <c r="H938" s="8">
        <v>429.95699999999999</v>
      </c>
      <c r="I938" s="8">
        <v>10.370559200000001</v>
      </c>
      <c r="J938" s="8">
        <v>10.370559200000001</v>
      </c>
      <c r="K938" s="8">
        <v>-97.749812210000002</v>
      </c>
      <c r="L938" s="8">
        <v>145.1934541</v>
      </c>
      <c r="M938" s="9" t="str">
        <f>IF(A938="",M939,A938)</f>
        <v>Comoros</v>
      </c>
      <c r="N938" s="3" t="str">
        <f t="shared" si="29"/>
        <v>Jan-2020</v>
      </c>
    </row>
    <row r="939" spans="1:14" x14ac:dyDescent="0.3">
      <c r="A939" s="3" t="s">
        <v>86</v>
      </c>
      <c r="B939" s="3" t="s">
        <v>87</v>
      </c>
      <c r="C939" s="8">
        <v>2020</v>
      </c>
      <c r="D939" s="8">
        <v>2</v>
      </c>
      <c r="E939" s="3" t="str">
        <f t="shared" si="28"/>
        <v>February</v>
      </c>
      <c r="F939" s="3" t="s">
        <v>8</v>
      </c>
      <c r="G939" s="8">
        <v>418.5784127</v>
      </c>
      <c r="H939" s="8">
        <v>422.85199999999998</v>
      </c>
      <c r="I939" s="8">
        <v>4.2735872989999999</v>
      </c>
      <c r="J939" s="8">
        <v>14.6441465</v>
      </c>
      <c r="K939" s="8">
        <v>-143.06320099999999</v>
      </c>
      <c r="L939" s="8">
        <v>192.90565219999999</v>
      </c>
      <c r="M939" s="9" t="str">
        <f>IF(A939="",M940,A939)</f>
        <v>Comoros</v>
      </c>
      <c r="N939" s="3" t="str">
        <f t="shared" si="29"/>
        <v>Feb-2020</v>
      </c>
    </row>
    <row r="940" spans="1:14" x14ac:dyDescent="0.3">
      <c r="A940" s="3" t="s">
        <v>86</v>
      </c>
      <c r="B940" s="3" t="s">
        <v>87</v>
      </c>
      <c r="C940" s="8">
        <v>2020</v>
      </c>
      <c r="D940" s="8">
        <v>3</v>
      </c>
      <c r="E940" s="3" t="str">
        <f t="shared" si="28"/>
        <v>March</v>
      </c>
      <c r="F940" s="3" t="s">
        <v>8</v>
      </c>
      <c r="G940" s="8">
        <v>418.11490149999997</v>
      </c>
      <c r="H940" s="8">
        <v>423.39299999999997</v>
      </c>
      <c r="I940" s="8">
        <v>5.2780984870000003</v>
      </c>
      <c r="J940" s="8">
        <v>19.922244989999999</v>
      </c>
      <c r="K940" s="8">
        <v>-177.27514450000001</v>
      </c>
      <c r="L940" s="8">
        <v>238.21471310000001</v>
      </c>
      <c r="M940" s="9" t="str">
        <f>IF(A940="",M941,A940)</f>
        <v>Comoros</v>
      </c>
      <c r="N940" s="3" t="str">
        <f t="shared" si="29"/>
        <v>Mar-2020</v>
      </c>
    </row>
    <row r="941" spans="1:14" x14ac:dyDescent="0.3">
      <c r="A941" s="3" t="s">
        <v>86</v>
      </c>
      <c r="B941" s="3" t="s">
        <v>87</v>
      </c>
      <c r="C941" s="8">
        <v>2020</v>
      </c>
      <c r="D941" s="8">
        <v>4</v>
      </c>
      <c r="E941" s="3" t="str">
        <f t="shared" si="28"/>
        <v>April</v>
      </c>
      <c r="F941" s="3" t="s">
        <v>8</v>
      </c>
      <c r="G941" s="8">
        <v>418.3298054</v>
      </c>
      <c r="H941" s="8">
        <v>429.92</v>
      </c>
      <c r="I941" s="8">
        <v>11.590194609999999</v>
      </c>
      <c r="J941" s="8">
        <v>31.51243959</v>
      </c>
      <c r="K941" s="8">
        <v>-199.64792299999999</v>
      </c>
      <c r="L941" s="8">
        <v>276.3053951</v>
      </c>
      <c r="M941" s="9" t="str">
        <f>IF(A941="",M942,A941)</f>
        <v>Comoros</v>
      </c>
      <c r="N941" s="3" t="str">
        <f t="shared" si="29"/>
        <v>Apr-2020</v>
      </c>
    </row>
    <row r="942" spans="1:14" x14ac:dyDescent="0.3">
      <c r="A942" s="3" t="s">
        <v>86</v>
      </c>
      <c r="B942" s="3" t="s">
        <v>87</v>
      </c>
      <c r="C942" s="8">
        <v>2020</v>
      </c>
      <c r="D942" s="8">
        <v>5</v>
      </c>
      <c r="E942" s="3" t="str">
        <f t="shared" si="28"/>
        <v>May</v>
      </c>
      <c r="F942" s="3" t="s">
        <v>8</v>
      </c>
      <c r="G942" s="8">
        <v>420.92151689999997</v>
      </c>
      <c r="H942" s="8">
        <v>459.077</v>
      </c>
      <c r="I942" s="8">
        <v>38.155483070000002</v>
      </c>
      <c r="J942" s="8">
        <v>69.667922660000002</v>
      </c>
      <c r="K942" s="8">
        <v>-182.6914812</v>
      </c>
      <c r="L942" s="8">
        <v>351.9848265</v>
      </c>
      <c r="M942" s="9" t="str">
        <f>IF(A942="",M943,A942)</f>
        <v>Comoros</v>
      </c>
      <c r="N942" s="3" t="str">
        <f t="shared" si="29"/>
        <v>May-2020</v>
      </c>
    </row>
    <row r="943" spans="1:14" x14ac:dyDescent="0.3">
      <c r="A943" s="3" t="s">
        <v>86</v>
      </c>
      <c r="B943" s="3" t="s">
        <v>87</v>
      </c>
      <c r="C943" s="8">
        <v>2020</v>
      </c>
      <c r="D943" s="8">
        <v>6</v>
      </c>
      <c r="E943" s="3" t="str">
        <f t="shared" si="28"/>
        <v>June</v>
      </c>
      <c r="F943" s="3" t="s">
        <v>8</v>
      </c>
      <c r="G943" s="8">
        <v>424.2657724</v>
      </c>
      <c r="H943" s="8">
        <v>463.95600000000002</v>
      </c>
      <c r="I943" s="8">
        <v>39.6902276</v>
      </c>
      <c r="J943" s="8">
        <v>109.35815030000001</v>
      </c>
      <c r="K943" s="8">
        <v>-177.34786740000001</v>
      </c>
      <c r="L943" s="8">
        <v>439.79395520000003</v>
      </c>
      <c r="M943" s="9" t="str">
        <f>IF(A943="",M944,A943)</f>
        <v>Comoros</v>
      </c>
      <c r="N943" s="3" t="str">
        <f t="shared" si="29"/>
        <v>Jun-2020</v>
      </c>
    </row>
    <row r="944" spans="1:14" x14ac:dyDescent="0.3">
      <c r="A944" s="3" t="s">
        <v>86</v>
      </c>
      <c r="B944" s="3" t="s">
        <v>87</v>
      </c>
      <c r="C944" s="8">
        <v>2020</v>
      </c>
      <c r="D944" s="8">
        <v>7</v>
      </c>
      <c r="E944" s="3" t="str">
        <f t="shared" si="28"/>
        <v>July</v>
      </c>
      <c r="F944" s="3" t="s">
        <v>8</v>
      </c>
      <c r="G944" s="8">
        <v>426.71176029999998</v>
      </c>
      <c r="H944" s="8">
        <v>416.42500000000001</v>
      </c>
      <c r="I944" s="8">
        <v>-10.28676029</v>
      </c>
      <c r="J944" s="8">
        <v>99.071389980000006</v>
      </c>
      <c r="K944" s="8">
        <v>-197.99595389999999</v>
      </c>
      <c r="L944" s="8">
        <v>446.27249469999998</v>
      </c>
      <c r="M944" s="9" t="str">
        <f>IF(A944="",M945,A944)</f>
        <v>Comoros</v>
      </c>
      <c r="N944" s="3" t="str">
        <f t="shared" si="29"/>
        <v>Jul-2020</v>
      </c>
    </row>
    <row r="945" spans="1:14" x14ac:dyDescent="0.3">
      <c r="A945" s="3" t="s">
        <v>86</v>
      </c>
      <c r="B945" s="3" t="s">
        <v>87</v>
      </c>
      <c r="C945" s="8">
        <v>2020</v>
      </c>
      <c r="D945" s="8">
        <v>8</v>
      </c>
      <c r="E945" s="3" t="str">
        <f t="shared" si="28"/>
        <v>August</v>
      </c>
      <c r="F945" s="3" t="s">
        <v>8</v>
      </c>
      <c r="G945" s="8">
        <v>425.9490088</v>
      </c>
      <c r="H945" s="8">
        <v>420.06799999999998</v>
      </c>
      <c r="I945" s="8">
        <v>-5.8810087649999998</v>
      </c>
      <c r="J945" s="8">
        <v>93.190381220000006</v>
      </c>
      <c r="K945" s="8">
        <v>-240.34186940000001</v>
      </c>
      <c r="L945" s="8">
        <v>472.62470300000001</v>
      </c>
      <c r="M945" s="9" t="str">
        <f>IF(A945="",M946,A945)</f>
        <v>Comoros</v>
      </c>
      <c r="N945" s="3" t="str">
        <f t="shared" si="29"/>
        <v>Aug-2020</v>
      </c>
    </row>
    <row r="946" spans="1:14" x14ac:dyDescent="0.3">
      <c r="A946" s="3" t="s">
        <v>86</v>
      </c>
      <c r="B946" s="3" t="s">
        <v>87</v>
      </c>
      <c r="C946" s="8">
        <v>2020</v>
      </c>
      <c r="D946" s="8">
        <v>9</v>
      </c>
      <c r="E946" s="3" t="str">
        <f t="shared" si="28"/>
        <v>September</v>
      </c>
      <c r="F946" s="3" t="s">
        <v>8</v>
      </c>
      <c r="G946" s="8">
        <v>425.19196599999998</v>
      </c>
      <c r="H946" s="8">
        <v>422.11799999999999</v>
      </c>
      <c r="I946" s="8">
        <v>-3.0739659580000001</v>
      </c>
      <c r="J946" s="8">
        <v>90.116415259999997</v>
      </c>
      <c r="K946" s="8">
        <v>-266.2021221</v>
      </c>
      <c r="L946" s="8">
        <v>488.96182670000002</v>
      </c>
      <c r="M946" s="9" t="str">
        <f>IF(A946="",M947,A946)</f>
        <v>Comoros</v>
      </c>
      <c r="N946" s="3" t="str">
        <f t="shared" si="29"/>
        <v>Sep-2020</v>
      </c>
    </row>
    <row r="947" spans="1:14" x14ac:dyDescent="0.3">
      <c r="A947" s="3" t="s">
        <v>86</v>
      </c>
      <c r="B947" s="3" t="s">
        <v>87</v>
      </c>
      <c r="C947" s="8">
        <v>2020</v>
      </c>
      <c r="D947" s="8">
        <v>10</v>
      </c>
      <c r="E947" s="3" t="str">
        <f t="shared" si="28"/>
        <v>October</v>
      </c>
      <c r="F947" s="3" t="s">
        <v>8</v>
      </c>
      <c r="G947" s="8">
        <v>421.1367869</v>
      </c>
      <c r="H947" s="8">
        <v>417.88200000000001</v>
      </c>
      <c r="I947" s="8">
        <v>-3.2547869299999999</v>
      </c>
      <c r="J947" s="8">
        <v>86.861628330000002</v>
      </c>
      <c r="K947" s="8">
        <v>-301.32912950000002</v>
      </c>
      <c r="L947" s="8">
        <v>513.12985960000003</v>
      </c>
      <c r="M947" s="9" t="str">
        <f>IF(A947="",M948,A947)</f>
        <v>Comoros</v>
      </c>
      <c r="N947" s="3" t="str">
        <f t="shared" si="29"/>
        <v>Oct-2020</v>
      </c>
    </row>
    <row r="948" spans="1:14" x14ac:dyDescent="0.3">
      <c r="A948" s="3" t="s">
        <v>86</v>
      </c>
      <c r="B948" s="3" t="s">
        <v>87</v>
      </c>
      <c r="C948" s="8">
        <v>2020</v>
      </c>
      <c r="D948" s="8">
        <v>11</v>
      </c>
      <c r="E948" s="3" t="str">
        <f t="shared" si="28"/>
        <v>November</v>
      </c>
      <c r="F948" s="3" t="s">
        <v>8</v>
      </c>
      <c r="G948" s="8">
        <v>418.8081722</v>
      </c>
      <c r="H948" s="8">
        <v>412.63299999999998</v>
      </c>
      <c r="I948" s="8">
        <v>-6.1751721750000002</v>
      </c>
      <c r="J948" s="8">
        <v>80.686456149999998</v>
      </c>
      <c r="K948" s="8">
        <v>-328.99009030000002</v>
      </c>
      <c r="L948" s="8">
        <v>509.3492172</v>
      </c>
      <c r="M948" s="9" t="str">
        <f>IF(A948="",M949,A948)</f>
        <v>Comoros</v>
      </c>
      <c r="N948" s="3" t="str">
        <f t="shared" si="29"/>
        <v>Nov-2020</v>
      </c>
    </row>
    <row r="949" spans="1:14" x14ac:dyDescent="0.3">
      <c r="A949" s="3" t="s">
        <v>86</v>
      </c>
      <c r="B949" s="3" t="s">
        <v>87</v>
      </c>
      <c r="C949" s="8">
        <v>2020</v>
      </c>
      <c r="D949" s="8">
        <v>12</v>
      </c>
      <c r="E949" s="3" t="str">
        <f t="shared" si="28"/>
        <v>December</v>
      </c>
      <c r="F949" s="3" t="s">
        <v>8</v>
      </c>
      <c r="G949" s="8">
        <v>418.46154159999998</v>
      </c>
      <c r="H949" s="8">
        <v>439.83600000000001</v>
      </c>
      <c r="I949" s="8">
        <v>21.37445838</v>
      </c>
      <c r="J949" s="8">
        <v>102.0609145</v>
      </c>
      <c r="K949" s="8">
        <v>-306.83075100000002</v>
      </c>
      <c r="L949" s="8">
        <v>548.76287239999999</v>
      </c>
      <c r="M949" s="9" t="str">
        <f>IF(A949="",M950,A949)</f>
        <v>Comoros</v>
      </c>
      <c r="N949" s="3" t="str">
        <f t="shared" si="29"/>
        <v>Dec-2020</v>
      </c>
    </row>
    <row r="950" spans="1:14" x14ac:dyDescent="0.3">
      <c r="A950" s="3" t="s">
        <v>86</v>
      </c>
      <c r="B950" s="3" t="s">
        <v>87</v>
      </c>
      <c r="C950" s="8">
        <v>2021</v>
      </c>
      <c r="D950" s="8">
        <v>1</v>
      </c>
      <c r="E950" s="3" t="str">
        <f t="shared" si="28"/>
        <v>January</v>
      </c>
      <c r="F950" s="3" t="s">
        <v>8</v>
      </c>
      <c r="G950" s="8">
        <v>421.45010660000003</v>
      </c>
      <c r="H950" s="8">
        <v>570.81899999999996</v>
      </c>
      <c r="I950" s="8">
        <v>149.36889339999999</v>
      </c>
      <c r="J950" s="8">
        <v>251.42980789999999</v>
      </c>
      <c r="K950" s="8">
        <v>-185.1118323</v>
      </c>
      <c r="L950" s="8">
        <v>728.60314059999996</v>
      </c>
      <c r="M950" s="9" t="str">
        <f>IF(A950="",M951,A950)</f>
        <v>Comoros</v>
      </c>
      <c r="N950" s="3" t="str">
        <f t="shared" si="29"/>
        <v>Jan-2021</v>
      </c>
    </row>
    <row r="951" spans="1:14" x14ac:dyDescent="0.3">
      <c r="A951" s="3" t="s">
        <v>86</v>
      </c>
      <c r="B951" s="3" t="s">
        <v>87</v>
      </c>
      <c r="C951" s="8">
        <v>2021</v>
      </c>
      <c r="D951" s="8">
        <v>2</v>
      </c>
      <c r="E951" s="3" t="str">
        <f t="shared" si="28"/>
        <v>February</v>
      </c>
      <c r="F951" s="3" t="s">
        <v>8</v>
      </c>
      <c r="G951" s="8">
        <v>420.36164389999999</v>
      </c>
      <c r="H951" s="8">
        <v>546.298</v>
      </c>
      <c r="I951" s="8">
        <v>125.9363561</v>
      </c>
      <c r="J951" s="8">
        <v>377.36616409999999</v>
      </c>
      <c r="K951" s="8">
        <v>-77.960359850000003</v>
      </c>
      <c r="L951" s="8">
        <v>879.22258620000002</v>
      </c>
      <c r="M951" s="9" t="str">
        <f>IF(A951="",M952,A951)</f>
        <v>Comoros</v>
      </c>
      <c r="N951" s="3" t="str">
        <f t="shared" si="29"/>
        <v>Feb-2021</v>
      </c>
    </row>
    <row r="952" spans="1:14" x14ac:dyDescent="0.3">
      <c r="A952" s="3" t="s">
        <v>86</v>
      </c>
      <c r="B952" s="3" t="s">
        <v>87</v>
      </c>
      <c r="C952" s="8">
        <v>2021</v>
      </c>
      <c r="D952" s="8">
        <v>3</v>
      </c>
      <c r="E952" s="3" t="str">
        <f t="shared" si="28"/>
        <v>March</v>
      </c>
      <c r="F952" s="3" t="s">
        <v>8</v>
      </c>
      <c r="G952" s="8">
        <v>419.67736589999998</v>
      </c>
      <c r="H952" s="8">
        <v>447.791</v>
      </c>
      <c r="I952" s="8">
        <v>28.113634090000001</v>
      </c>
      <c r="J952" s="8">
        <v>405.4797982</v>
      </c>
      <c r="K952" s="8">
        <v>-71.674744189999998</v>
      </c>
      <c r="L952" s="8">
        <v>938.13432320000004</v>
      </c>
      <c r="M952" s="9" t="str">
        <f>IF(A952="",M953,A952)</f>
        <v>Comoros</v>
      </c>
      <c r="N952" s="3" t="str">
        <f t="shared" si="29"/>
        <v>Mar-2021</v>
      </c>
    </row>
    <row r="953" spans="1:14" x14ac:dyDescent="0.3">
      <c r="A953" s="3" t="s">
        <v>86</v>
      </c>
      <c r="B953" s="3" t="s">
        <v>87</v>
      </c>
      <c r="C953" s="8">
        <v>2021</v>
      </c>
      <c r="D953" s="8">
        <v>4</v>
      </c>
      <c r="E953" s="3" t="str">
        <f t="shared" si="28"/>
        <v>April</v>
      </c>
      <c r="F953" s="3" t="s">
        <v>8</v>
      </c>
      <c r="G953" s="8">
        <v>420.04583159999999</v>
      </c>
      <c r="H953" s="8">
        <v>420.01299999999998</v>
      </c>
      <c r="I953" s="8">
        <v>-3.2831568999999998E-2</v>
      </c>
      <c r="J953" s="8">
        <v>405.4469666</v>
      </c>
      <c r="K953" s="8">
        <v>-68.534713600000003</v>
      </c>
      <c r="L953" s="8">
        <v>935.93643880000002</v>
      </c>
      <c r="M953" s="9" t="str">
        <f>IF(A953="",M954,A953)</f>
        <v>Comoros</v>
      </c>
      <c r="N953" s="3" t="str">
        <f t="shared" si="29"/>
        <v>Apr-2021</v>
      </c>
    </row>
    <row r="954" spans="1:14" x14ac:dyDescent="0.3">
      <c r="A954" s="3" t="s">
        <v>86</v>
      </c>
      <c r="B954" s="3" t="s">
        <v>87</v>
      </c>
      <c r="C954" s="8">
        <v>2021</v>
      </c>
      <c r="D954" s="8">
        <v>5</v>
      </c>
      <c r="E954" s="3" t="str">
        <f t="shared" si="28"/>
        <v>May</v>
      </c>
      <c r="F954" s="3" t="s">
        <v>8</v>
      </c>
      <c r="G954" s="8">
        <v>422.5490332</v>
      </c>
      <c r="H954" s="8">
        <v>420.00900000000001</v>
      </c>
      <c r="I954" s="8">
        <v>-2.5400331860000001</v>
      </c>
      <c r="J954" s="8">
        <v>402.90693340000001</v>
      </c>
      <c r="K954" s="8">
        <v>-100.8882148</v>
      </c>
      <c r="L954" s="8">
        <v>953.38178749999997</v>
      </c>
      <c r="M954" s="9" t="str">
        <f>IF(A954="",M955,A954)</f>
        <v>Comoros</v>
      </c>
      <c r="N954" s="3" t="str">
        <f t="shared" si="29"/>
        <v>May-2021</v>
      </c>
    </row>
    <row r="955" spans="1:14" x14ac:dyDescent="0.3">
      <c r="A955" s="3" t="s">
        <v>86</v>
      </c>
      <c r="B955" s="3" t="s">
        <v>87</v>
      </c>
      <c r="C955" s="8">
        <v>2021</v>
      </c>
      <c r="D955" s="8">
        <v>6</v>
      </c>
      <c r="E955" s="3" t="str">
        <f t="shared" si="28"/>
        <v>June</v>
      </c>
      <c r="F955" s="3" t="s">
        <v>8</v>
      </c>
      <c r="G955" s="8">
        <v>425.97576350000003</v>
      </c>
      <c r="H955" s="8">
        <v>429.17599999999999</v>
      </c>
      <c r="I955" s="8">
        <v>3.2002365359999998</v>
      </c>
      <c r="J955" s="8">
        <v>406.10716989999997</v>
      </c>
      <c r="K955" s="8">
        <v>-132.29530539999999</v>
      </c>
      <c r="L955" s="8">
        <v>976.54459599999996</v>
      </c>
      <c r="M955" s="9" t="str">
        <f>IF(A955="",M956,A955)</f>
        <v>Comoros</v>
      </c>
      <c r="N955" s="3" t="str">
        <f t="shared" si="29"/>
        <v>Jun-2021</v>
      </c>
    </row>
    <row r="956" spans="1:14" x14ac:dyDescent="0.3">
      <c r="A956" s="3" t="s">
        <v>86</v>
      </c>
      <c r="B956" s="3" t="s">
        <v>87</v>
      </c>
      <c r="C956" s="8">
        <v>2021</v>
      </c>
      <c r="D956" s="8">
        <v>7</v>
      </c>
      <c r="E956" s="3" t="str">
        <f t="shared" si="28"/>
        <v>July</v>
      </c>
      <c r="F956" s="3" t="s">
        <v>8</v>
      </c>
      <c r="G956" s="8">
        <v>428.3354539</v>
      </c>
      <c r="H956" s="8">
        <v>455.12299999999999</v>
      </c>
      <c r="I956" s="8">
        <v>26.78754605</v>
      </c>
      <c r="J956" s="8">
        <v>432.89471600000002</v>
      </c>
      <c r="K956" s="8">
        <v>-104.53001810000001</v>
      </c>
      <c r="L956" s="8">
        <v>1001.166557</v>
      </c>
      <c r="M956" s="9" t="str">
        <f>IF(A956="",M957,A956)</f>
        <v>Comoros</v>
      </c>
      <c r="N956" s="3" t="str">
        <f t="shared" si="29"/>
        <v>Jul-2021</v>
      </c>
    </row>
    <row r="957" spans="1:14" x14ac:dyDescent="0.3">
      <c r="A957" s="3" t="s">
        <v>86</v>
      </c>
      <c r="B957" s="3" t="s">
        <v>87</v>
      </c>
      <c r="C957" s="8">
        <v>2021</v>
      </c>
      <c r="D957" s="8">
        <v>8</v>
      </c>
      <c r="E957" s="3" t="str">
        <f t="shared" si="28"/>
        <v>August</v>
      </c>
      <c r="F957" s="3" t="s">
        <v>8</v>
      </c>
      <c r="G957" s="8">
        <v>427.494326</v>
      </c>
      <c r="H957" s="8">
        <v>432.10199999999998</v>
      </c>
      <c r="I957" s="8">
        <v>4.6076739760000001</v>
      </c>
      <c r="J957" s="8">
        <v>437.50238999999999</v>
      </c>
      <c r="K957" s="8">
        <v>-105.79900960000001</v>
      </c>
      <c r="L957" s="8">
        <v>1057.454753</v>
      </c>
      <c r="M957" s="9" t="str">
        <f>IF(A957="",M958,A957)</f>
        <v>Comoros</v>
      </c>
      <c r="N957" s="3" t="str">
        <f t="shared" si="29"/>
        <v>Aug-2021</v>
      </c>
    </row>
    <row r="958" spans="1:14" x14ac:dyDescent="0.3">
      <c r="A958" s="3" t="s">
        <v>86</v>
      </c>
      <c r="B958" s="3" t="s">
        <v>87</v>
      </c>
      <c r="C958" s="8">
        <v>2021</v>
      </c>
      <c r="D958" s="8">
        <v>9</v>
      </c>
      <c r="E958" s="3" t="str">
        <f t="shared" si="28"/>
        <v>September</v>
      </c>
      <c r="F958" s="3" t="s">
        <v>8</v>
      </c>
      <c r="G958" s="8">
        <v>426.65173179999999</v>
      </c>
      <c r="H958" s="8">
        <v>429.73599999999999</v>
      </c>
      <c r="I958" s="8">
        <v>3.0842681729999999</v>
      </c>
      <c r="J958" s="8">
        <v>440.58665810000002</v>
      </c>
      <c r="K958" s="8">
        <v>-87.660151139999996</v>
      </c>
      <c r="L958" s="8">
        <v>1067.6398139999999</v>
      </c>
      <c r="M958" s="9" t="str">
        <f>IF(A958="",M959,A958)</f>
        <v>Comoros</v>
      </c>
      <c r="N958" s="3" t="str">
        <f t="shared" si="29"/>
        <v>Sep-2021</v>
      </c>
    </row>
    <row r="959" spans="1:14" x14ac:dyDescent="0.3">
      <c r="A959" s="3" t="s">
        <v>86</v>
      </c>
      <c r="B959" s="3" t="s">
        <v>87</v>
      </c>
      <c r="C959" s="8">
        <v>2021</v>
      </c>
      <c r="D959" s="8">
        <v>10</v>
      </c>
      <c r="E959" s="3" t="str">
        <f t="shared" si="28"/>
        <v>October</v>
      </c>
      <c r="F959" s="3" t="s">
        <v>8</v>
      </c>
      <c r="G959" s="8">
        <v>423.01670530000001</v>
      </c>
      <c r="H959" s="8">
        <v>431.81200000000001</v>
      </c>
      <c r="I959" s="8">
        <v>8.7952947350000006</v>
      </c>
      <c r="J959" s="8">
        <v>449.38195289999999</v>
      </c>
      <c r="K959" s="8">
        <v>-111.2918095</v>
      </c>
      <c r="L959" s="8">
        <v>1087.9395010000001</v>
      </c>
      <c r="M959" s="9" t="str">
        <f>IF(A959="",M960,A959)</f>
        <v>Comoros</v>
      </c>
      <c r="N959" s="3" t="str">
        <f t="shared" si="29"/>
        <v>Oct-2021</v>
      </c>
    </row>
    <row r="960" spans="1:14" x14ac:dyDescent="0.3">
      <c r="A960" s="3" t="s">
        <v>86</v>
      </c>
      <c r="B960" s="3" t="s">
        <v>87</v>
      </c>
      <c r="C960" s="8">
        <v>2021</v>
      </c>
      <c r="D960" s="8">
        <v>11</v>
      </c>
      <c r="E960" s="3" t="str">
        <f t="shared" si="28"/>
        <v>November</v>
      </c>
      <c r="F960" s="3" t="s">
        <v>8</v>
      </c>
      <c r="G960" s="8">
        <v>420.48062570000002</v>
      </c>
      <c r="H960" s="8">
        <v>451.48700000000002</v>
      </c>
      <c r="I960" s="8">
        <v>31.00637425</v>
      </c>
      <c r="J960" s="8">
        <v>480.38832710000003</v>
      </c>
      <c r="K960" s="8">
        <v>-82.373051099999998</v>
      </c>
      <c r="L960" s="8">
        <v>1122.7001829999999</v>
      </c>
      <c r="M960" s="9" t="str">
        <f>IF(A960="",M961,A960)</f>
        <v>Comoros</v>
      </c>
      <c r="N960" s="3" t="str">
        <f t="shared" si="29"/>
        <v>Nov-2021</v>
      </c>
    </row>
    <row r="961" spans="1:14" x14ac:dyDescent="0.3">
      <c r="A961" s="3" t="s">
        <v>86</v>
      </c>
      <c r="B961" s="3" t="s">
        <v>87</v>
      </c>
      <c r="C961" s="8">
        <v>2021</v>
      </c>
      <c r="D961" s="8">
        <v>12</v>
      </c>
      <c r="E961" s="3" t="str">
        <f t="shared" si="28"/>
        <v>December</v>
      </c>
      <c r="F961" s="3" t="s">
        <v>8</v>
      </c>
      <c r="G961" s="8">
        <v>420.04509760000002</v>
      </c>
      <c r="H961" s="8">
        <v>468.88200000000001</v>
      </c>
      <c r="I961" s="8">
        <v>48.836902379999998</v>
      </c>
      <c r="J961" s="8">
        <v>529.22522949999995</v>
      </c>
      <c r="K961" s="8">
        <v>-66.938031659999993</v>
      </c>
      <c r="L961" s="8">
        <v>1170.487001</v>
      </c>
      <c r="M961" s="9" t="str">
        <f>IF(A961="",M962,A961)</f>
        <v>Comoros</v>
      </c>
      <c r="N961" s="3" t="str">
        <f t="shared" si="29"/>
        <v>Dec-2021</v>
      </c>
    </row>
    <row r="962" spans="1:14" x14ac:dyDescent="0.3">
      <c r="A962" s="3" t="s">
        <v>88</v>
      </c>
      <c r="B962" s="3" t="s">
        <v>89</v>
      </c>
      <c r="C962" s="8">
        <v>2020</v>
      </c>
      <c r="D962" s="8">
        <v>1</v>
      </c>
      <c r="E962" s="3" t="str">
        <f t="shared" ref="E962:E1025" si="30">TEXT(DATE(C962,D962,1),"MMMM")</f>
        <v>January</v>
      </c>
      <c r="F962" s="3" t="s">
        <v>13</v>
      </c>
      <c r="G962" s="8">
        <v>238.51387389999999</v>
      </c>
      <c r="H962" s="8">
        <v>250</v>
      </c>
      <c r="I962" s="8">
        <v>11.4861261</v>
      </c>
      <c r="J962" s="8">
        <v>11.4861261</v>
      </c>
      <c r="K962" s="8">
        <v>-3.9547441669999999</v>
      </c>
      <c r="L962" s="8">
        <v>26.850999760000001</v>
      </c>
      <c r="M962" s="9" t="str">
        <f>IF(A962="",M963,A962)</f>
        <v>Cabo Verde</v>
      </c>
      <c r="N962" s="3" t="str">
        <f t="shared" ref="N962:N1025" si="31">TEXT(DATE(C962,D962,1),"MMM-YYYY")</f>
        <v>Jan-2020</v>
      </c>
    </row>
    <row r="963" spans="1:14" x14ac:dyDescent="0.3">
      <c r="A963" s="3" t="s">
        <v>88</v>
      </c>
      <c r="B963" s="3" t="s">
        <v>89</v>
      </c>
      <c r="C963" s="8">
        <v>2020</v>
      </c>
      <c r="D963" s="8">
        <v>2</v>
      </c>
      <c r="E963" s="3" t="str">
        <f t="shared" si="30"/>
        <v>February</v>
      </c>
      <c r="F963" s="3" t="s">
        <v>13</v>
      </c>
      <c r="G963" s="8">
        <v>238.41428139999999</v>
      </c>
      <c r="H963" s="8">
        <v>226</v>
      </c>
      <c r="I963" s="8">
        <v>-12.414281369999999</v>
      </c>
      <c r="J963" s="8">
        <v>-0.92815526400000004</v>
      </c>
      <c r="K963" s="8">
        <v>-25.654093150000001</v>
      </c>
      <c r="L963" s="8">
        <v>22.805968480000001</v>
      </c>
      <c r="M963" s="9" t="str">
        <f>IF(A963="",M964,A963)</f>
        <v>Cabo Verde</v>
      </c>
      <c r="N963" s="3" t="str">
        <f t="shared" si="31"/>
        <v>Feb-2020</v>
      </c>
    </row>
    <row r="964" spans="1:14" x14ac:dyDescent="0.3">
      <c r="A964" s="3" t="s">
        <v>88</v>
      </c>
      <c r="B964" s="3" t="s">
        <v>89</v>
      </c>
      <c r="C964" s="8">
        <v>2020</v>
      </c>
      <c r="D964" s="8">
        <v>3</v>
      </c>
      <c r="E964" s="3" t="str">
        <f t="shared" si="30"/>
        <v>March</v>
      </c>
      <c r="F964" s="3" t="s">
        <v>13</v>
      </c>
      <c r="G964" s="8">
        <v>234.47220770000001</v>
      </c>
      <c r="H964" s="8">
        <v>212</v>
      </c>
      <c r="I964" s="8">
        <v>-22.472207699999998</v>
      </c>
      <c r="J964" s="8">
        <v>-23.40036297</v>
      </c>
      <c r="K964" s="8">
        <v>-54.492401059999999</v>
      </c>
      <c r="L964" s="8">
        <v>8.532063205</v>
      </c>
      <c r="M964" s="9" t="str">
        <f>IF(A964="",M965,A964)</f>
        <v>Cabo Verde</v>
      </c>
      <c r="N964" s="3" t="str">
        <f t="shared" si="31"/>
        <v>Mar-2020</v>
      </c>
    </row>
    <row r="965" spans="1:14" x14ac:dyDescent="0.3">
      <c r="A965" s="3" t="s">
        <v>88</v>
      </c>
      <c r="B965" s="3" t="s">
        <v>89</v>
      </c>
      <c r="C965" s="8">
        <v>2020</v>
      </c>
      <c r="D965" s="8">
        <v>4</v>
      </c>
      <c r="E965" s="3" t="str">
        <f t="shared" si="30"/>
        <v>April</v>
      </c>
      <c r="F965" s="3" t="s">
        <v>13</v>
      </c>
      <c r="G965" s="8">
        <v>220.81566269999999</v>
      </c>
      <c r="H965" s="8">
        <v>221</v>
      </c>
      <c r="I965" s="8">
        <v>0.18433729500000001</v>
      </c>
      <c r="J965" s="8">
        <v>-23.216025670000001</v>
      </c>
      <c r="K965" s="8">
        <v>-58.483083469999997</v>
      </c>
      <c r="L965" s="8">
        <v>11.87745576</v>
      </c>
      <c r="M965" s="9" t="str">
        <f>IF(A965="",M966,A965)</f>
        <v>Cabo Verde</v>
      </c>
      <c r="N965" s="3" t="str">
        <f t="shared" si="31"/>
        <v>Apr-2020</v>
      </c>
    </row>
    <row r="966" spans="1:14" x14ac:dyDescent="0.3">
      <c r="A966" s="3" t="s">
        <v>88</v>
      </c>
      <c r="B966" s="3" t="s">
        <v>89</v>
      </c>
      <c r="C966" s="8">
        <v>2020</v>
      </c>
      <c r="D966" s="8">
        <v>5</v>
      </c>
      <c r="E966" s="3" t="str">
        <f t="shared" si="30"/>
        <v>May</v>
      </c>
      <c r="F966" s="3" t="s">
        <v>13</v>
      </c>
      <c r="G966" s="8">
        <v>211.4837225</v>
      </c>
      <c r="H966" s="8">
        <v>206</v>
      </c>
      <c r="I966" s="8">
        <v>-5.4837224600000001</v>
      </c>
      <c r="J966" s="8">
        <v>-28.69974813</v>
      </c>
      <c r="K966" s="8">
        <v>-68.767273720000006</v>
      </c>
      <c r="L966" s="8">
        <v>11.748505339999999</v>
      </c>
      <c r="M966" s="9" t="str">
        <f>IF(A966="",M967,A966)</f>
        <v>Cabo Verde</v>
      </c>
      <c r="N966" s="3" t="str">
        <f t="shared" si="31"/>
        <v>May-2020</v>
      </c>
    </row>
    <row r="967" spans="1:14" x14ac:dyDescent="0.3">
      <c r="A967" s="3" t="s">
        <v>88</v>
      </c>
      <c r="B967" s="3" t="s">
        <v>89</v>
      </c>
      <c r="C967" s="8">
        <v>2020</v>
      </c>
      <c r="D967" s="8">
        <v>6</v>
      </c>
      <c r="E967" s="3" t="str">
        <f t="shared" si="30"/>
        <v>June</v>
      </c>
      <c r="F967" s="3" t="s">
        <v>13</v>
      </c>
      <c r="G967" s="8">
        <v>210.9861358</v>
      </c>
      <c r="H967" s="8">
        <v>245</v>
      </c>
      <c r="I967" s="8">
        <v>34.013864230000003</v>
      </c>
      <c r="J967" s="8">
        <v>5.3141160999999997</v>
      </c>
      <c r="K967" s="8">
        <v>-39.242539960000002</v>
      </c>
      <c r="L967" s="8">
        <v>48.83517423</v>
      </c>
      <c r="M967" s="9" t="str">
        <f>IF(A967="",M968,A967)</f>
        <v>Cabo Verde</v>
      </c>
      <c r="N967" s="3" t="str">
        <f t="shared" si="31"/>
        <v>Jun-2020</v>
      </c>
    </row>
    <row r="968" spans="1:14" x14ac:dyDescent="0.3">
      <c r="A968" s="3" t="s">
        <v>88</v>
      </c>
      <c r="B968" s="3" t="s">
        <v>89</v>
      </c>
      <c r="C968" s="8">
        <v>2020</v>
      </c>
      <c r="D968" s="8">
        <v>7</v>
      </c>
      <c r="E968" s="3" t="str">
        <f t="shared" si="30"/>
        <v>July</v>
      </c>
      <c r="F968" s="3" t="s">
        <v>13</v>
      </c>
      <c r="G968" s="8">
        <v>222.17731019999999</v>
      </c>
      <c r="H968" s="8">
        <v>227</v>
      </c>
      <c r="I968" s="8">
        <v>4.8226898230000002</v>
      </c>
      <c r="J968" s="8">
        <v>10.13680592</v>
      </c>
      <c r="K968" s="8">
        <v>-39.74576948</v>
      </c>
      <c r="L968" s="8">
        <v>56.913899710000003</v>
      </c>
      <c r="M968" s="9" t="str">
        <f>IF(A968="",M969,A968)</f>
        <v>Cabo Verde</v>
      </c>
      <c r="N968" s="3" t="str">
        <f t="shared" si="31"/>
        <v>Jul-2020</v>
      </c>
    </row>
    <row r="969" spans="1:14" x14ac:dyDescent="0.3">
      <c r="A969" s="3" t="s">
        <v>88</v>
      </c>
      <c r="B969" s="3" t="s">
        <v>89</v>
      </c>
      <c r="C969" s="8">
        <v>2020</v>
      </c>
      <c r="D969" s="8">
        <v>8</v>
      </c>
      <c r="E969" s="3" t="str">
        <f t="shared" si="30"/>
        <v>August</v>
      </c>
      <c r="F969" s="3" t="s">
        <v>13</v>
      </c>
      <c r="G969" s="8">
        <v>234.0966335</v>
      </c>
      <c r="H969" s="8">
        <v>259</v>
      </c>
      <c r="I969" s="8">
        <v>24.903366479999999</v>
      </c>
      <c r="J969" s="8">
        <v>35.040172400000003</v>
      </c>
      <c r="K969" s="8">
        <v>-14.926091</v>
      </c>
      <c r="L969" s="8">
        <v>85.009934220000005</v>
      </c>
      <c r="M969" s="9" t="str">
        <f>IF(A969="",M970,A969)</f>
        <v>Cabo Verde</v>
      </c>
      <c r="N969" s="3" t="str">
        <f t="shared" si="31"/>
        <v>Aug-2020</v>
      </c>
    </row>
    <row r="970" spans="1:14" x14ac:dyDescent="0.3">
      <c r="A970" s="3" t="s">
        <v>88</v>
      </c>
      <c r="B970" s="3" t="s">
        <v>89</v>
      </c>
      <c r="C970" s="8">
        <v>2020</v>
      </c>
      <c r="D970" s="8">
        <v>9</v>
      </c>
      <c r="E970" s="3" t="str">
        <f t="shared" si="30"/>
        <v>September</v>
      </c>
      <c r="F970" s="3" t="s">
        <v>13</v>
      </c>
      <c r="G970" s="8">
        <v>237.0169147</v>
      </c>
      <c r="H970" s="8">
        <v>283</v>
      </c>
      <c r="I970" s="8">
        <v>45.983085289999998</v>
      </c>
      <c r="J970" s="8">
        <v>81.023257689999994</v>
      </c>
      <c r="K970" s="8">
        <v>29.804324189999999</v>
      </c>
      <c r="L970" s="8">
        <v>136.82079630000001</v>
      </c>
      <c r="M970" s="9" t="str">
        <f>IF(A970="",M971,A970)</f>
        <v>Cabo Verde</v>
      </c>
      <c r="N970" s="3" t="str">
        <f t="shared" si="31"/>
        <v>Sep-2020</v>
      </c>
    </row>
    <row r="971" spans="1:14" x14ac:dyDescent="0.3">
      <c r="A971" s="3" t="s">
        <v>88</v>
      </c>
      <c r="B971" s="3" t="s">
        <v>89</v>
      </c>
      <c r="C971" s="8">
        <v>2020</v>
      </c>
      <c r="D971" s="8">
        <v>10</v>
      </c>
      <c r="E971" s="3" t="str">
        <f t="shared" si="30"/>
        <v>October</v>
      </c>
      <c r="F971" s="3" t="s">
        <v>13</v>
      </c>
      <c r="G971" s="8">
        <v>235.5761267</v>
      </c>
      <c r="H971" s="8">
        <v>293</v>
      </c>
      <c r="I971" s="8">
        <v>57.423873350000001</v>
      </c>
      <c r="J971" s="8">
        <v>138.44713100000001</v>
      </c>
      <c r="K971" s="8">
        <v>81.296434000000005</v>
      </c>
      <c r="L971" s="8">
        <v>200.53910049999999</v>
      </c>
      <c r="M971" s="9" t="str">
        <f>IF(A971="",M972,A971)</f>
        <v>Cabo Verde</v>
      </c>
      <c r="N971" s="3" t="str">
        <f t="shared" si="31"/>
        <v>Oct-2020</v>
      </c>
    </row>
    <row r="972" spans="1:14" x14ac:dyDescent="0.3">
      <c r="A972" s="3" t="s">
        <v>88</v>
      </c>
      <c r="B972" s="3" t="s">
        <v>89</v>
      </c>
      <c r="C972" s="8">
        <v>2020</v>
      </c>
      <c r="D972" s="8">
        <v>11</v>
      </c>
      <c r="E972" s="3" t="str">
        <f t="shared" si="30"/>
        <v>November</v>
      </c>
      <c r="F972" s="3" t="s">
        <v>13</v>
      </c>
      <c r="G972" s="8">
        <v>235.98403980000001</v>
      </c>
      <c r="H972" s="8">
        <v>264</v>
      </c>
      <c r="I972" s="8">
        <v>28.015960199999999</v>
      </c>
      <c r="J972" s="8">
        <v>166.46309120000001</v>
      </c>
      <c r="K972" s="8">
        <v>107.32601099999999</v>
      </c>
      <c r="L972" s="8">
        <v>229.59446600000001</v>
      </c>
      <c r="M972" s="9" t="str">
        <f>IF(A972="",M973,A972)</f>
        <v>Cabo Verde</v>
      </c>
      <c r="N972" s="3" t="str">
        <f t="shared" si="31"/>
        <v>Nov-2020</v>
      </c>
    </row>
    <row r="973" spans="1:14" x14ac:dyDescent="0.3">
      <c r="A973" s="3" t="s">
        <v>88</v>
      </c>
      <c r="B973" s="3" t="s">
        <v>89</v>
      </c>
      <c r="C973" s="8">
        <v>2020</v>
      </c>
      <c r="D973" s="8">
        <v>12</v>
      </c>
      <c r="E973" s="3" t="str">
        <f t="shared" si="30"/>
        <v>December</v>
      </c>
      <c r="F973" s="3" t="s">
        <v>13</v>
      </c>
      <c r="G973" s="8">
        <v>240.3419744</v>
      </c>
      <c r="H973" s="8">
        <v>273</v>
      </c>
      <c r="I973" s="8">
        <v>32.658025559999999</v>
      </c>
      <c r="J973" s="8">
        <v>199.12111680000001</v>
      </c>
      <c r="K973" s="8">
        <v>133.44930239999999</v>
      </c>
      <c r="L973" s="8">
        <v>263.5116458</v>
      </c>
      <c r="M973" s="9" t="str">
        <f>IF(A973="",M974,A973)</f>
        <v>Cabo Verde</v>
      </c>
      <c r="N973" s="3" t="str">
        <f t="shared" si="31"/>
        <v>Dec-2020</v>
      </c>
    </row>
    <row r="974" spans="1:14" x14ac:dyDescent="0.3">
      <c r="A974" s="3" t="s">
        <v>88</v>
      </c>
      <c r="B974" s="3" t="s">
        <v>89</v>
      </c>
      <c r="C974" s="8">
        <v>2021</v>
      </c>
      <c r="D974" s="8">
        <v>1</v>
      </c>
      <c r="E974" s="3" t="str">
        <f t="shared" si="30"/>
        <v>January</v>
      </c>
      <c r="F974" s="3" t="s">
        <v>8</v>
      </c>
      <c r="G974" s="8">
        <v>240.5933718</v>
      </c>
      <c r="H974" s="8">
        <v>284.24799999999999</v>
      </c>
      <c r="I974" s="8">
        <v>43.654628160000001</v>
      </c>
      <c r="J974" s="8">
        <v>242.775745</v>
      </c>
      <c r="K974" s="8">
        <v>134.36084049999999</v>
      </c>
      <c r="L974" s="8">
        <v>363.3917404</v>
      </c>
      <c r="M974" s="9" t="str">
        <f>IF(A974="",M975,A974)</f>
        <v>Cabo Verde</v>
      </c>
      <c r="N974" s="3" t="str">
        <f t="shared" si="31"/>
        <v>Jan-2021</v>
      </c>
    </row>
    <row r="975" spans="1:14" x14ac:dyDescent="0.3">
      <c r="A975" s="3" t="s">
        <v>88</v>
      </c>
      <c r="B975" s="3" t="s">
        <v>89</v>
      </c>
      <c r="C975" s="8">
        <v>2021</v>
      </c>
      <c r="D975" s="8">
        <v>2</v>
      </c>
      <c r="E975" s="3" t="str">
        <f t="shared" si="30"/>
        <v>February</v>
      </c>
      <c r="F975" s="3" t="s">
        <v>8</v>
      </c>
      <c r="G975" s="8">
        <v>240.36123559999999</v>
      </c>
      <c r="H975" s="8">
        <v>276.89999999999998</v>
      </c>
      <c r="I975" s="8">
        <v>36.538764440000001</v>
      </c>
      <c r="J975" s="8">
        <v>279.31450940000002</v>
      </c>
      <c r="K975" s="8">
        <v>130.04656750000001</v>
      </c>
      <c r="L975" s="8">
        <v>441.05991649999999</v>
      </c>
      <c r="M975" s="9" t="str">
        <f>IF(A975="",M976,A975)</f>
        <v>Cabo Verde</v>
      </c>
      <c r="N975" s="3" t="str">
        <f t="shared" si="31"/>
        <v>Feb-2021</v>
      </c>
    </row>
    <row r="976" spans="1:14" x14ac:dyDescent="0.3">
      <c r="A976" s="3" t="s">
        <v>88</v>
      </c>
      <c r="B976" s="3" t="s">
        <v>89</v>
      </c>
      <c r="C976" s="8">
        <v>2021</v>
      </c>
      <c r="D976" s="8">
        <v>3</v>
      </c>
      <c r="E976" s="3" t="str">
        <f t="shared" si="30"/>
        <v>March</v>
      </c>
      <c r="F976" s="3" t="s">
        <v>8</v>
      </c>
      <c r="G976" s="8">
        <v>235.9098414</v>
      </c>
      <c r="H976" s="8">
        <v>286.49900000000002</v>
      </c>
      <c r="I976" s="8">
        <v>50.589158599999998</v>
      </c>
      <c r="J976" s="8">
        <v>329.90366799999998</v>
      </c>
      <c r="K976" s="8">
        <v>143.45895010000001</v>
      </c>
      <c r="L976" s="8">
        <v>538.57675099999994</v>
      </c>
      <c r="M976" s="9" t="str">
        <f>IF(A976="",M977,A976)</f>
        <v>Cabo Verde</v>
      </c>
      <c r="N976" s="3" t="str">
        <f t="shared" si="31"/>
        <v>Mar-2021</v>
      </c>
    </row>
    <row r="977" spans="1:14" x14ac:dyDescent="0.3">
      <c r="A977" s="3" t="s">
        <v>88</v>
      </c>
      <c r="B977" s="3" t="s">
        <v>89</v>
      </c>
      <c r="C977" s="8">
        <v>2021</v>
      </c>
      <c r="D977" s="8">
        <v>4</v>
      </c>
      <c r="E977" s="3" t="str">
        <f t="shared" si="30"/>
        <v>April</v>
      </c>
      <c r="F977" s="3" t="s">
        <v>8</v>
      </c>
      <c r="G977" s="8">
        <v>223.16864720000001</v>
      </c>
      <c r="H977" s="8">
        <v>283.67599999999999</v>
      </c>
      <c r="I977" s="8">
        <v>60.507352840000003</v>
      </c>
      <c r="J977" s="8">
        <v>390.41102080000002</v>
      </c>
      <c r="K977" s="8">
        <v>174.5966114</v>
      </c>
      <c r="L977" s="8">
        <v>649.67699819999996</v>
      </c>
      <c r="M977" s="9" t="str">
        <f>IF(A977="",M978,A977)</f>
        <v>Cabo Verde</v>
      </c>
      <c r="N977" s="3" t="str">
        <f t="shared" si="31"/>
        <v>Apr-2021</v>
      </c>
    </row>
    <row r="978" spans="1:14" x14ac:dyDescent="0.3">
      <c r="A978" s="3" t="s">
        <v>88</v>
      </c>
      <c r="B978" s="3" t="s">
        <v>89</v>
      </c>
      <c r="C978" s="8">
        <v>2021</v>
      </c>
      <c r="D978" s="8">
        <v>5</v>
      </c>
      <c r="E978" s="3" t="str">
        <f t="shared" si="30"/>
        <v>May</v>
      </c>
      <c r="F978" s="3" t="s">
        <v>8</v>
      </c>
      <c r="G978" s="8">
        <v>212.89454449999999</v>
      </c>
      <c r="H978" s="8">
        <v>271.05799999999999</v>
      </c>
      <c r="I978" s="8">
        <v>58.163455470000002</v>
      </c>
      <c r="J978" s="8">
        <v>448.57447630000001</v>
      </c>
      <c r="K978" s="8">
        <v>188.15218899999999</v>
      </c>
      <c r="L978" s="8">
        <v>743.63148899999999</v>
      </c>
      <c r="M978" s="9" t="str">
        <f>IF(A978="",M979,A978)</f>
        <v>Cabo Verde</v>
      </c>
      <c r="N978" s="3" t="str">
        <f t="shared" si="31"/>
        <v>May-2021</v>
      </c>
    </row>
    <row r="979" spans="1:14" x14ac:dyDescent="0.3">
      <c r="A979" s="3" t="s">
        <v>88</v>
      </c>
      <c r="B979" s="3" t="s">
        <v>89</v>
      </c>
      <c r="C979" s="8">
        <v>2021</v>
      </c>
      <c r="D979" s="8">
        <v>6</v>
      </c>
      <c r="E979" s="3" t="str">
        <f t="shared" si="30"/>
        <v>June</v>
      </c>
      <c r="F979" s="3" t="s">
        <v>8</v>
      </c>
      <c r="G979" s="8">
        <v>213.27406920000001</v>
      </c>
      <c r="H979" s="8">
        <v>249.65</v>
      </c>
      <c r="I979" s="8">
        <v>36.375930779999997</v>
      </c>
      <c r="J979" s="8">
        <v>484.95040710000001</v>
      </c>
      <c r="K979" s="8">
        <v>192.10137889999999</v>
      </c>
      <c r="L979" s="8">
        <v>815.65525239999999</v>
      </c>
      <c r="M979" s="9" t="str">
        <f>IF(A979="",M980,A979)</f>
        <v>Cabo Verde</v>
      </c>
      <c r="N979" s="3" t="str">
        <f t="shared" si="31"/>
        <v>Jun-2021</v>
      </c>
    </row>
    <row r="980" spans="1:14" x14ac:dyDescent="0.3">
      <c r="A980" s="3" t="s">
        <v>88</v>
      </c>
      <c r="B980" s="3" t="s">
        <v>89</v>
      </c>
      <c r="C980" s="8">
        <v>2021</v>
      </c>
      <c r="D980" s="8">
        <v>7</v>
      </c>
      <c r="E980" s="3" t="str">
        <f t="shared" si="30"/>
        <v>July</v>
      </c>
      <c r="F980" s="3" t="s">
        <v>8</v>
      </c>
      <c r="G980" s="8">
        <v>223.74368000000001</v>
      </c>
      <c r="H980" s="8">
        <v>255.34</v>
      </c>
      <c r="I980" s="8">
        <v>31.596319990000001</v>
      </c>
      <c r="J980" s="8">
        <v>516.5467271</v>
      </c>
      <c r="K980" s="8">
        <v>200.0845242</v>
      </c>
      <c r="L980" s="8">
        <v>883.4317873</v>
      </c>
      <c r="M980" s="9" t="str">
        <f>IF(A980="",M981,A980)</f>
        <v>Cabo Verde</v>
      </c>
      <c r="N980" s="3" t="str">
        <f t="shared" si="31"/>
        <v>Jul-2021</v>
      </c>
    </row>
    <row r="981" spans="1:14" x14ac:dyDescent="0.3">
      <c r="A981" s="3" t="s">
        <v>88</v>
      </c>
      <c r="B981" s="3" t="s">
        <v>89</v>
      </c>
      <c r="C981" s="8">
        <v>2021</v>
      </c>
      <c r="D981" s="8">
        <v>8</v>
      </c>
      <c r="E981" s="3" t="str">
        <f t="shared" si="30"/>
        <v>August</v>
      </c>
      <c r="F981" s="3" t="s">
        <v>8</v>
      </c>
      <c r="G981" s="8">
        <v>235.76295089999999</v>
      </c>
      <c r="H981" s="8">
        <v>272.51799999999997</v>
      </c>
      <c r="I981" s="8">
        <v>36.75504909</v>
      </c>
      <c r="J981" s="8">
        <v>553.30177619999995</v>
      </c>
      <c r="K981" s="8">
        <v>207.826109</v>
      </c>
      <c r="L981" s="8">
        <v>953.28641719999996</v>
      </c>
      <c r="M981" s="9" t="str">
        <f>IF(A981="",M982,A981)</f>
        <v>Cabo Verde</v>
      </c>
      <c r="N981" s="3" t="str">
        <f t="shared" si="31"/>
        <v>Aug-2021</v>
      </c>
    </row>
    <row r="982" spans="1:14" x14ac:dyDescent="0.3">
      <c r="A982" s="3" t="s">
        <v>88</v>
      </c>
      <c r="B982" s="3" t="s">
        <v>89</v>
      </c>
      <c r="C982" s="8">
        <v>2021</v>
      </c>
      <c r="D982" s="8">
        <v>9</v>
      </c>
      <c r="E982" s="3" t="str">
        <f t="shared" si="30"/>
        <v>September</v>
      </c>
      <c r="F982" s="3" t="s">
        <v>8</v>
      </c>
      <c r="G982" s="8">
        <v>238.36277380000001</v>
      </c>
      <c r="H982" s="8">
        <v>284.30599999999998</v>
      </c>
      <c r="I982" s="8">
        <v>45.943226199999998</v>
      </c>
      <c r="J982" s="8">
        <v>599.24500239999998</v>
      </c>
      <c r="K982" s="8">
        <v>210.9457069</v>
      </c>
      <c r="L982" s="8">
        <v>1040.0257650000001</v>
      </c>
      <c r="M982" s="9" t="str">
        <f>IF(A982="",M983,A982)</f>
        <v>Cabo Verde</v>
      </c>
      <c r="N982" s="3" t="str">
        <f t="shared" si="31"/>
        <v>Sep-2021</v>
      </c>
    </row>
    <row r="983" spans="1:14" x14ac:dyDescent="0.3">
      <c r="A983" s="3" t="s">
        <v>88</v>
      </c>
      <c r="B983" s="3" t="s">
        <v>89</v>
      </c>
      <c r="C983" s="8">
        <v>2021</v>
      </c>
      <c r="D983" s="8">
        <v>10</v>
      </c>
      <c r="E983" s="3" t="str">
        <f t="shared" si="30"/>
        <v>October</v>
      </c>
      <c r="F983" s="3" t="s">
        <v>8</v>
      </c>
      <c r="G983" s="8">
        <v>237.2576962</v>
      </c>
      <c r="H983" s="8">
        <v>256.70600000000002</v>
      </c>
      <c r="I983" s="8">
        <v>19.448303840000001</v>
      </c>
      <c r="J983" s="8">
        <v>618.69330620000005</v>
      </c>
      <c r="K983" s="8">
        <v>205.10237900000001</v>
      </c>
      <c r="L983" s="8">
        <v>1078.985915</v>
      </c>
      <c r="M983" s="9" t="str">
        <f>IF(A983="",M984,A983)</f>
        <v>Cabo Verde</v>
      </c>
      <c r="N983" s="3" t="str">
        <f t="shared" si="31"/>
        <v>Oct-2021</v>
      </c>
    </row>
    <row r="984" spans="1:14" x14ac:dyDescent="0.3">
      <c r="A984" s="3" t="s">
        <v>88</v>
      </c>
      <c r="B984" s="3" t="s">
        <v>89</v>
      </c>
      <c r="C984" s="8">
        <v>2021</v>
      </c>
      <c r="D984" s="8">
        <v>11</v>
      </c>
      <c r="E984" s="3" t="str">
        <f t="shared" si="30"/>
        <v>November</v>
      </c>
      <c r="F984" s="3" t="s">
        <v>8</v>
      </c>
      <c r="G984" s="8">
        <v>237.85101929999999</v>
      </c>
      <c r="H984" s="8">
        <v>235.20400000000001</v>
      </c>
      <c r="I984" s="8">
        <v>-2.6470193069999999</v>
      </c>
      <c r="J984" s="8">
        <v>616.04628690000004</v>
      </c>
      <c r="K984" s="8">
        <v>173.2677305</v>
      </c>
      <c r="L984" s="8">
        <v>1097.0835259999999</v>
      </c>
      <c r="M984" s="9" t="str">
        <f>IF(A984="",M985,A984)</f>
        <v>Cabo Verde</v>
      </c>
      <c r="N984" s="3" t="str">
        <f t="shared" si="31"/>
        <v>Nov-2021</v>
      </c>
    </row>
    <row r="985" spans="1:14" x14ac:dyDescent="0.3">
      <c r="A985" s="3" t="s">
        <v>88</v>
      </c>
      <c r="B985" s="3" t="s">
        <v>89</v>
      </c>
      <c r="C985" s="8">
        <v>2021</v>
      </c>
      <c r="D985" s="8">
        <v>12</v>
      </c>
      <c r="E985" s="3" t="str">
        <f t="shared" si="30"/>
        <v>December</v>
      </c>
      <c r="F985" s="3" t="s">
        <v>8</v>
      </c>
      <c r="G985" s="8">
        <v>242.61200579999999</v>
      </c>
      <c r="H985" s="8">
        <v>260.75700000000001</v>
      </c>
      <c r="I985" s="8">
        <v>18.144994189999998</v>
      </c>
      <c r="J985" s="8">
        <v>634.19128109999997</v>
      </c>
      <c r="K985" s="8">
        <v>160.8139031</v>
      </c>
      <c r="L985" s="8">
        <v>1144.539679</v>
      </c>
      <c r="M985" s="9" t="str">
        <f>IF(A985="",M986,A985)</f>
        <v>Cabo Verde</v>
      </c>
      <c r="N985" s="3" t="str">
        <f t="shared" si="31"/>
        <v>Dec-2021</v>
      </c>
    </row>
    <row r="986" spans="1:14" x14ac:dyDescent="0.3">
      <c r="A986" s="3" t="s">
        <v>90</v>
      </c>
      <c r="B986" s="3" t="s">
        <v>91</v>
      </c>
      <c r="C986" s="8">
        <v>2020</v>
      </c>
      <c r="D986" s="8">
        <v>1</v>
      </c>
      <c r="E986" s="3" t="str">
        <f t="shared" si="30"/>
        <v>January</v>
      </c>
      <c r="F986" s="3" t="s">
        <v>13</v>
      </c>
      <c r="G986" s="8">
        <v>2251.2165879999998</v>
      </c>
      <c r="H986" s="8">
        <v>2160</v>
      </c>
      <c r="I986" s="8">
        <v>-91.216588299999998</v>
      </c>
      <c r="J986" s="8">
        <v>-91.216588299999998</v>
      </c>
      <c r="K986" s="8">
        <v>-163.6853112</v>
      </c>
      <c r="L986" s="8">
        <v>-18.888326679999999</v>
      </c>
      <c r="M986" s="9" t="str">
        <f>IF(A986="",M987,A986)</f>
        <v>Costa Rica</v>
      </c>
      <c r="N986" s="3" t="str">
        <f t="shared" si="31"/>
        <v>Jan-2020</v>
      </c>
    </row>
    <row r="987" spans="1:14" x14ac:dyDescent="0.3">
      <c r="A987" s="3" t="s">
        <v>90</v>
      </c>
      <c r="B987" s="3" t="s">
        <v>91</v>
      </c>
      <c r="C987" s="8">
        <v>2020</v>
      </c>
      <c r="D987" s="8">
        <v>2</v>
      </c>
      <c r="E987" s="3" t="str">
        <f t="shared" si="30"/>
        <v>February</v>
      </c>
      <c r="F987" s="3" t="s">
        <v>13</v>
      </c>
      <c r="G987" s="8">
        <v>1914.3786439999999</v>
      </c>
      <c r="H987" s="8">
        <v>1914</v>
      </c>
      <c r="I987" s="8">
        <v>-0.37864355399999999</v>
      </c>
      <c r="J987" s="8">
        <v>-91.595231850000005</v>
      </c>
      <c r="K987" s="8">
        <v>-206.22500629999999</v>
      </c>
      <c r="L987" s="8">
        <v>21.0626243</v>
      </c>
      <c r="M987" s="9" t="str">
        <f>IF(A987="",M988,A987)</f>
        <v>Costa Rica</v>
      </c>
      <c r="N987" s="3" t="str">
        <f t="shared" si="31"/>
        <v>Feb-2020</v>
      </c>
    </row>
    <row r="988" spans="1:14" x14ac:dyDescent="0.3">
      <c r="A988" s="3" t="s">
        <v>90</v>
      </c>
      <c r="B988" s="3" t="s">
        <v>91</v>
      </c>
      <c r="C988" s="8">
        <v>2020</v>
      </c>
      <c r="D988" s="8">
        <v>3</v>
      </c>
      <c r="E988" s="3" t="str">
        <f t="shared" si="30"/>
        <v>March</v>
      </c>
      <c r="F988" s="3" t="s">
        <v>13</v>
      </c>
      <c r="G988" s="8">
        <v>2044.116268</v>
      </c>
      <c r="H988" s="8">
        <v>2003</v>
      </c>
      <c r="I988" s="8">
        <v>-41.116267929999999</v>
      </c>
      <c r="J988" s="8">
        <v>-132.71149980000001</v>
      </c>
      <c r="K988" s="8">
        <v>-276.71957120000002</v>
      </c>
      <c r="L988" s="8">
        <v>2.4469867920000001</v>
      </c>
      <c r="M988" s="9" t="str">
        <f>IF(A988="",M989,A988)</f>
        <v>Costa Rica</v>
      </c>
      <c r="N988" s="3" t="str">
        <f t="shared" si="31"/>
        <v>Mar-2020</v>
      </c>
    </row>
    <row r="989" spans="1:14" x14ac:dyDescent="0.3">
      <c r="A989" s="3" t="s">
        <v>90</v>
      </c>
      <c r="B989" s="3" t="s">
        <v>91</v>
      </c>
      <c r="C989" s="8">
        <v>2020</v>
      </c>
      <c r="D989" s="8">
        <v>4</v>
      </c>
      <c r="E989" s="3" t="str">
        <f t="shared" si="30"/>
        <v>April</v>
      </c>
      <c r="F989" s="3" t="s">
        <v>13</v>
      </c>
      <c r="G989" s="8">
        <v>2047.618692</v>
      </c>
      <c r="H989" s="8">
        <v>1881</v>
      </c>
      <c r="I989" s="8">
        <v>-166.61869200000001</v>
      </c>
      <c r="J989" s="8">
        <v>-299.3301917</v>
      </c>
      <c r="K989" s="8">
        <v>-471.44897450000002</v>
      </c>
      <c r="L989" s="8">
        <v>-134.27143280000001</v>
      </c>
      <c r="M989" s="9" t="str">
        <f>IF(A989="",M990,A989)</f>
        <v>Costa Rica</v>
      </c>
      <c r="N989" s="3" t="str">
        <f t="shared" si="31"/>
        <v>Apr-2020</v>
      </c>
    </row>
    <row r="990" spans="1:14" x14ac:dyDescent="0.3">
      <c r="A990" s="3" t="s">
        <v>90</v>
      </c>
      <c r="B990" s="3" t="s">
        <v>91</v>
      </c>
      <c r="C990" s="8">
        <v>2020</v>
      </c>
      <c r="D990" s="8">
        <v>5</v>
      </c>
      <c r="E990" s="3" t="str">
        <f t="shared" si="30"/>
        <v>May</v>
      </c>
      <c r="F990" s="3" t="s">
        <v>13</v>
      </c>
      <c r="G990" s="8">
        <v>2104.0465009999998</v>
      </c>
      <c r="H990" s="8">
        <v>1862</v>
      </c>
      <c r="I990" s="8">
        <v>-242.04650079999999</v>
      </c>
      <c r="J990" s="8">
        <v>-541.37669259999996</v>
      </c>
      <c r="K990" s="8">
        <v>-741.31909499999995</v>
      </c>
      <c r="L990" s="8">
        <v>-346.86368299999998</v>
      </c>
      <c r="M990" s="9" t="str">
        <f>IF(A990="",M991,A990)</f>
        <v>Costa Rica</v>
      </c>
      <c r="N990" s="3" t="str">
        <f t="shared" si="31"/>
        <v>May-2020</v>
      </c>
    </row>
    <row r="991" spans="1:14" x14ac:dyDescent="0.3">
      <c r="A991" s="3" t="s">
        <v>90</v>
      </c>
      <c r="B991" s="3" t="s">
        <v>91</v>
      </c>
      <c r="C991" s="8">
        <v>2020</v>
      </c>
      <c r="D991" s="8">
        <v>6</v>
      </c>
      <c r="E991" s="3" t="str">
        <f t="shared" si="30"/>
        <v>June</v>
      </c>
      <c r="F991" s="3" t="s">
        <v>13</v>
      </c>
      <c r="G991" s="8">
        <v>2116.8160400000002</v>
      </c>
      <c r="H991" s="8">
        <v>1857</v>
      </c>
      <c r="I991" s="8">
        <v>-259.81604010000001</v>
      </c>
      <c r="J991" s="8">
        <v>-801.19273269999997</v>
      </c>
      <c r="K991" s="8">
        <v>-1017.660566</v>
      </c>
      <c r="L991" s="8">
        <v>-581.52637240000001</v>
      </c>
      <c r="M991" s="9" t="str">
        <f>IF(A991="",M992,A991)</f>
        <v>Costa Rica</v>
      </c>
      <c r="N991" s="3" t="str">
        <f t="shared" si="31"/>
        <v>Jun-2020</v>
      </c>
    </row>
    <row r="992" spans="1:14" x14ac:dyDescent="0.3">
      <c r="A992" s="3" t="s">
        <v>90</v>
      </c>
      <c r="B992" s="3" t="s">
        <v>91</v>
      </c>
      <c r="C992" s="8">
        <v>2020</v>
      </c>
      <c r="D992" s="8">
        <v>7</v>
      </c>
      <c r="E992" s="3" t="str">
        <f t="shared" si="30"/>
        <v>July</v>
      </c>
      <c r="F992" s="3" t="s">
        <v>13</v>
      </c>
      <c r="G992" s="8">
        <v>2111.1693919999998</v>
      </c>
      <c r="H992" s="8">
        <v>2059</v>
      </c>
      <c r="I992" s="8">
        <v>-52.169392360000003</v>
      </c>
      <c r="J992" s="8">
        <v>-853.36212499999999</v>
      </c>
      <c r="K992" s="8">
        <v>-1102.978376</v>
      </c>
      <c r="L992" s="8">
        <v>-621.81391989999997</v>
      </c>
      <c r="M992" s="9" t="str">
        <f>IF(A992="",M993,A992)</f>
        <v>Costa Rica</v>
      </c>
      <c r="N992" s="3" t="str">
        <f t="shared" si="31"/>
        <v>Jul-2020</v>
      </c>
    </row>
    <row r="993" spans="1:14" x14ac:dyDescent="0.3">
      <c r="A993" s="3" t="s">
        <v>90</v>
      </c>
      <c r="B993" s="3" t="s">
        <v>91</v>
      </c>
      <c r="C993" s="8">
        <v>2020</v>
      </c>
      <c r="D993" s="8">
        <v>8</v>
      </c>
      <c r="E993" s="3" t="str">
        <f t="shared" si="30"/>
        <v>August</v>
      </c>
      <c r="F993" s="3" t="s">
        <v>13</v>
      </c>
      <c r="G993" s="8">
        <v>2123.5125720000001</v>
      </c>
      <c r="H993" s="8">
        <v>2273</v>
      </c>
      <c r="I993" s="8">
        <v>149.48742820000001</v>
      </c>
      <c r="J993" s="8">
        <v>-703.87469680000004</v>
      </c>
      <c r="K993" s="8">
        <v>-966.17291990000001</v>
      </c>
      <c r="L993" s="8">
        <v>-440.09540390000001</v>
      </c>
      <c r="M993" s="9" t="str">
        <f>IF(A993="",M994,A993)</f>
        <v>Costa Rica</v>
      </c>
      <c r="N993" s="3" t="str">
        <f t="shared" si="31"/>
        <v>Aug-2020</v>
      </c>
    </row>
    <row r="994" spans="1:14" x14ac:dyDescent="0.3">
      <c r="A994" s="3" t="s">
        <v>90</v>
      </c>
      <c r="B994" s="3" t="s">
        <v>91</v>
      </c>
      <c r="C994" s="8">
        <v>2020</v>
      </c>
      <c r="D994" s="8">
        <v>9</v>
      </c>
      <c r="E994" s="3" t="str">
        <f t="shared" si="30"/>
        <v>September</v>
      </c>
      <c r="F994" s="3" t="s">
        <v>13</v>
      </c>
      <c r="G994" s="8">
        <v>2088.3941460000001</v>
      </c>
      <c r="H994" s="8">
        <v>2536</v>
      </c>
      <c r="I994" s="8">
        <v>447.6058539</v>
      </c>
      <c r="J994" s="8">
        <v>-256.26884289999998</v>
      </c>
      <c r="K994" s="8">
        <v>-542.44501539999999</v>
      </c>
      <c r="L994" s="8">
        <v>26.870226250000002</v>
      </c>
      <c r="M994" s="9" t="str">
        <f>IF(A994="",M995,A994)</f>
        <v>Costa Rica</v>
      </c>
      <c r="N994" s="3" t="str">
        <f t="shared" si="31"/>
        <v>Sep-2020</v>
      </c>
    </row>
    <row r="995" spans="1:14" x14ac:dyDescent="0.3">
      <c r="A995" s="3" t="s">
        <v>90</v>
      </c>
      <c r="B995" s="3" t="s">
        <v>91</v>
      </c>
      <c r="C995" s="8">
        <v>2020</v>
      </c>
      <c r="D995" s="8">
        <v>10</v>
      </c>
      <c r="E995" s="3" t="str">
        <f t="shared" si="30"/>
        <v>October</v>
      </c>
      <c r="F995" s="3" t="s">
        <v>13</v>
      </c>
      <c r="G995" s="8">
        <v>2150.0261350000001</v>
      </c>
      <c r="H995" s="8">
        <v>2467</v>
      </c>
      <c r="I995" s="8">
        <v>316.97386460000001</v>
      </c>
      <c r="J995" s="8">
        <v>60.705021760000001</v>
      </c>
      <c r="K995" s="8">
        <v>-248.7605585</v>
      </c>
      <c r="L995" s="8">
        <v>354.6202811</v>
      </c>
      <c r="M995" s="9" t="str">
        <f>IF(A995="",M996,A995)</f>
        <v>Costa Rica</v>
      </c>
      <c r="N995" s="3" t="str">
        <f t="shared" si="31"/>
        <v>Oct-2020</v>
      </c>
    </row>
    <row r="996" spans="1:14" x14ac:dyDescent="0.3">
      <c r="A996" s="3" t="s">
        <v>90</v>
      </c>
      <c r="B996" s="3" t="s">
        <v>91</v>
      </c>
      <c r="C996" s="8">
        <v>2020</v>
      </c>
      <c r="D996" s="8">
        <v>11</v>
      </c>
      <c r="E996" s="3" t="str">
        <f t="shared" si="30"/>
        <v>November</v>
      </c>
      <c r="F996" s="3" t="s">
        <v>13</v>
      </c>
      <c r="G996" s="8">
        <v>2196.5643770000001</v>
      </c>
      <c r="H996" s="8">
        <v>2300</v>
      </c>
      <c r="I996" s="8">
        <v>103.43562319999999</v>
      </c>
      <c r="J996" s="8">
        <v>164.14064500000001</v>
      </c>
      <c r="K996" s="8">
        <v>-165.8773353</v>
      </c>
      <c r="L996" s="8">
        <v>457.00517500000001</v>
      </c>
      <c r="M996" s="9" t="str">
        <f>IF(A996="",M997,A996)</f>
        <v>Costa Rica</v>
      </c>
      <c r="N996" s="3" t="str">
        <f t="shared" si="31"/>
        <v>Nov-2020</v>
      </c>
    </row>
    <row r="997" spans="1:14" x14ac:dyDescent="0.3">
      <c r="A997" s="3" t="s">
        <v>90</v>
      </c>
      <c r="B997" s="3" t="s">
        <v>91</v>
      </c>
      <c r="C997" s="8">
        <v>2020</v>
      </c>
      <c r="D997" s="8">
        <v>12</v>
      </c>
      <c r="E997" s="3" t="str">
        <f t="shared" si="30"/>
        <v>December</v>
      </c>
      <c r="F997" s="3" t="s">
        <v>13</v>
      </c>
      <c r="G997" s="8">
        <v>2323.090072</v>
      </c>
      <c r="H997" s="8">
        <v>2897</v>
      </c>
      <c r="I997" s="8">
        <v>573.90992779999999</v>
      </c>
      <c r="J997" s="8">
        <v>738.05057280000005</v>
      </c>
      <c r="K997" s="8">
        <v>416.93749609999998</v>
      </c>
      <c r="L997" s="8">
        <v>1040.6395680000001</v>
      </c>
      <c r="M997" s="9" t="str">
        <f>IF(A997="",M998,A997)</f>
        <v>Costa Rica</v>
      </c>
      <c r="N997" s="3" t="str">
        <f t="shared" si="31"/>
        <v>Dec-2020</v>
      </c>
    </row>
    <row r="998" spans="1:14" x14ac:dyDescent="0.3">
      <c r="A998" s="3" t="s">
        <v>90</v>
      </c>
      <c r="B998" s="3" t="s">
        <v>91</v>
      </c>
      <c r="C998" s="8">
        <v>2021</v>
      </c>
      <c r="D998" s="8">
        <v>1</v>
      </c>
      <c r="E998" s="3" t="str">
        <f t="shared" si="30"/>
        <v>January</v>
      </c>
      <c r="F998" s="3" t="s">
        <v>13</v>
      </c>
      <c r="G998" s="8">
        <v>2329.271299</v>
      </c>
      <c r="H998" s="8">
        <v>2676</v>
      </c>
      <c r="I998" s="8">
        <v>346.14536779999997</v>
      </c>
      <c r="J998" s="8">
        <v>1084.1959409999999</v>
      </c>
      <c r="K998" s="8">
        <v>746.64471590000005</v>
      </c>
      <c r="L998" s="8">
        <v>1410.0502240000001</v>
      </c>
      <c r="M998" s="9" t="str">
        <f>IF(A998="",M999,A998)</f>
        <v>Costa Rica</v>
      </c>
      <c r="N998" s="3" t="str">
        <f t="shared" si="31"/>
        <v>Jan-2021</v>
      </c>
    </row>
    <row r="999" spans="1:14" x14ac:dyDescent="0.3">
      <c r="A999" s="3" t="s">
        <v>90</v>
      </c>
      <c r="B999" s="3" t="s">
        <v>91</v>
      </c>
      <c r="C999" s="8">
        <v>2021</v>
      </c>
      <c r="D999" s="8">
        <v>2</v>
      </c>
      <c r="E999" s="3" t="str">
        <f t="shared" si="30"/>
        <v>February</v>
      </c>
      <c r="F999" s="3" t="s">
        <v>13</v>
      </c>
      <c r="G999" s="8">
        <v>1985.2270269999999</v>
      </c>
      <c r="H999" s="8">
        <v>2076</v>
      </c>
      <c r="I999" s="8">
        <v>90.189639880000001</v>
      </c>
      <c r="J999" s="8">
        <v>1174.3855799999999</v>
      </c>
      <c r="K999" s="8">
        <v>824.23264329999995</v>
      </c>
      <c r="L999" s="8">
        <v>1509.066423</v>
      </c>
      <c r="M999" s="9" t="str">
        <f>IF(A999="",M1000,A999)</f>
        <v>Costa Rica</v>
      </c>
      <c r="N999" s="3" t="str">
        <f t="shared" si="31"/>
        <v>Feb-2021</v>
      </c>
    </row>
    <row r="1000" spans="1:14" x14ac:dyDescent="0.3">
      <c r="A1000" s="3" t="s">
        <v>90</v>
      </c>
      <c r="B1000" s="3" t="s">
        <v>91</v>
      </c>
      <c r="C1000" s="8">
        <v>2021</v>
      </c>
      <c r="D1000" s="8">
        <v>3</v>
      </c>
      <c r="E1000" s="3" t="str">
        <f t="shared" si="30"/>
        <v>March</v>
      </c>
      <c r="F1000" s="3" t="s">
        <v>13</v>
      </c>
      <c r="G1000" s="8">
        <v>2117.268826</v>
      </c>
      <c r="H1000" s="8">
        <v>2274</v>
      </c>
      <c r="I1000" s="8">
        <v>156.14784069999999</v>
      </c>
      <c r="J1000" s="8">
        <v>1330.5334210000001</v>
      </c>
      <c r="K1000" s="8">
        <v>976.63509069999998</v>
      </c>
      <c r="L1000" s="8">
        <v>1690.0151269999999</v>
      </c>
      <c r="M1000" s="9" t="str">
        <f>IF(A1000="",M1001,A1000)</f>
        <v>Costa Rica</v>
      </c>
      <c r="N1000" s="3" t="str">
        <f t="shared" si="31"/>
        <v>Mar-2021</v>
      </c>
    </row>
    <row r="1001" spans="1:14" x14ac:dyDescent="0.3">
      <c r="A1001" s="3" t="s">
        <v>90</v>
      </c>
      <c r="B1001" s="3" t="s">
        <v>91</v>
      </c>
      <c r="C1001" s="8">
        <v>2021</v>
      </c>
      <c r="D1001" s="8">
        <v>4</v>
      </c>
      <c r="E1001" s="3" t="str">
        <f t="shared" si="30"/>
        <v>April</v>
      </c>
      <c r="F1001" s="3" t="s">
        <v>13</v>
      </c>
      <c r="G1001" s="8">
        <v>2119.1042379999999</v>
      </c>
      <c r="H1001" s="8">
        <v>2314</v>
      </c>
      <c r="I1001" s="8">
        <v>194.31242900000001</v>
      </c>
      <c r="J1001" s="8">
        <v>1524.8458499999999</v>
      </c>
      <c r="K1001" s="8">
        <v>1149.1480300000001</v>
      </c>
      <c r="L1001" s="8">
        <v>1887.10392</v>
      </c>
      <c r="M1001" s="9" t="str">
        <f>IF(A1001="",M1002,A1001)</f>
        <v>Costa Rica</v>
      </c>
      <c r="N1001" s="3" t="str">
        <f t="shared" si="31"/>
        <v>Apr-2021</v>
      </c>
    </row>
    <row r="1002" spans="1:14" x14ac:dyDescent="0.3">
      <c r="A1002" s="3" t="s">
        <v>90</v>
      </c>
      <c r="B1002" s="3" t="s">
        <v>91</v>
      </c>
      <c r="C1002" s="8">
        <v>2021</v>
      </c>
      <c r="D1002" s="8">
        <v>5</v>
      </c>
      <c r="E1002" s="3" t="str">
        <f t="shared" si="30"/>
        <v>May</v>
      </c>
      <c r="F1002" s="3" t="s">
        <v>13</v>
      </c>
      <c r="G1002" s="8">
        <v>2179.5241599999999</v>
      </c>
      <c r="H1002" s="8">
        <v>3022</v>
      </c>
      <c r="I1002" s="8">
        <v>841.89250660000005</v>
      </c>
      <c r="J1002" s="8">
        <v>2366.7383570000002</v>
      </c>
      <c r="K1002" s="8">
        <v>1987.6349809999999</v>
      </c>
      <c r="L1002" s="8">
        <v>2764.4692639999998</v>
      </c>
      <c r="M1002" s="9" t="str">
        <f>IF(A1002="",M1003,A1002)</f>
        <v>Costa Rica</v>
      </c>
      <c r="N1002" s="3" t="str">
        <f t="shared" si="31"/>
        <v>May-2021</v>
      </c>
    </row>
    <row r="1003" spans="1:14" x14ac:dyDescent="0.3">
      <c r="A1003" s="3" t="s">
        <v>90</v>
      </c>
      <c r="B1003" s="3" t="s">
        <v>91</v>
      </c>
      <c r="C1003" s="8">
        <v>2021</v>
      </c>
      <c r="D1003" s="8">
        <v>6</v>
      </c>
      <c r="E1003" s="3" t="str">
        <f t="shared" si="30"/>
        <v>June</v>
      </c>
      <c r="F1003" s="3" t="s">
        <v>13</v>
      </c>
      <c r="G1003" s="8">
        <v>2188.9735529999998</v>
      </c>
      <c r="H1003" s="8">
        <v>2636</v>
      </c>
      <c r="I1003" s="8">
        <v>446.44311320000003</v>
      </c>
      <c r="J1003" s="8">
        <v>2813.18147</v>
      </c>
      <c r="K1003" s="8">
        <v>2406.812156</v>
      </c>
      <c r="L1003" s="8">
        <v>3218.92454</v>
      </c>
      <c r="M1003" s="9" t="str">
        <f>IF(A1003="",M1004,A1003)</f>
        <v>Costa Rica</v>
      </c>
      <c r="N1003" s="3" t="str">
        <f t="shared" si="31"/>
        <v>Jun-2021</v>
      </c>
    </row>
    <row r="1004" spans="1:14" x14ac:dyDescent="0.3">
      <c r="A1004" s="3" t="s">
        <v>90</v>
      </c>
      <c r="B1004" s="3" t="s">
        <v>91</v>
      </c>
      <c r="C1004" s="8">
        <v>2021</v>
      </c>
      <c r="D1004" s="8">
        <v>7</v>
      </c>
      <c r="E1004" s="3" t="str">
        <f t="shared" si="30"/>
        <v>July</v>
      </c>
      <c r="F1004" s="3" t="s">
        <v>13</v>
      </c>
      <c r="G1004" s="8">
        <v>2185.534255</v>
      </c>
      <c r="H1004" s="8">
        <v>2486</v>
      </c>
      <c r="I1004" s="8">
        <v>299.88241149999999</v>
      </c>
      <c r="J1004" s="8">
        <v>3113.063881</v>
      </c>
      <c r="K1004" s="8">
        <v>2680.1824230000002</v>
      </c>
      <c r="L1004" s="8">
        <v>3536.323684</v>
      </c>
      <c r="M1004" s="9" t="str">
        <f>IF(A1004="",M1005,A1004)</f>
        <v>Costa Rica</v>
      </c>
      <c r="N1004" s="3" t="str">
        <f t="shared" si="31"/>
        <v>Jul-2021</v>
      </c>
    </row>
    <row r="1005" spans="1:14" x14ac:dyDescent="0.3">
      <c r="A1005" s="3" t="s">
        <v>90</v>
      </c>
      <c r="B1005" s="3" t="s">
        <v>91</v>
      </c>
      <c r="C1005" s="8">
        <v>2021</v>
      </c>
      <c r="D1005" s="8">
        <v>8</v>
      </c>
      <c r="E1005" s="3" t="str">
        <f t="shared" si="30"/>
        <v>August</v>
      </c>
      <c r="F1005" s="3" t="s">
        <v>13</v>
      </c>
      <c r="G1005" s="8">
        <v>2197.8773099999999</v>
      </c>
      <c r="H1005" s="8">
        <v>2742</v>
      </c>
      <c r="I1005" s="8">
        <v>543.53935679999995</v>
      </c>
      <c r="J1005" s="8">
        <v>3656.6032380000001</v>
      </c>
      <c r="K1005" s="8">
        <v>3234.4927389999998</v>
      </c>
      <c r="L1005" s="8">
        <v>4100.027951</v>
      </c>
      <c r="M1005" s="9" t="str">
        <f>IF(A1005="",M1006,A1005)</f>
        <v>Costa Rica</v>
      </c>
      <c r="N1005" s="3" t="str">
        <f t="shared" si="31"/>
        <v>Aug-2021</v>
      </c>
    </row>
    <row r="1006" spans="1:14" x14ac:dyDescent="0.3">
      <c r="A1006" s="3" t="s">
        <v>90</v>
      </c>
      <c r="B1006" s="3" t="s">
        <v>91</v>
      </c>
      <c r="C1006" s="8">
        <v>2021</v>
      </c>
      <c r="D1006" s="8">
        <v>9</v>
      </c>
      <c r="E1006" s="3" t="str">
        <f t="shared" si="30"/>
        <v>September</v>
      </c>
      <c r="F1006" s="3" t="s">
        <v>13</v>
      </c>
      <c r="G1006" s="8">
        <v>2158.814018</v>
      </c>
      <c r="H1006" s="8">
        <v>3169</v>
      </c>
      <c r="I1006" s="8">
        <v>1009.602649</v>
      </c>
      <c r="J1006" s="8">
        <v>4666.2058870000001</v>
      </c>
      <c r="K1006" s="8">
        <v>4211.4238960000002</v>
      </c>
      <c r="L1006" s="8">
        <v>5112.3375429999996</v>
      </c>
      <c r="M1006" s="9" t="str">
        <f>IF(A1006="",M1007,A1006)</f>
        <v>Costa Rica</v>
      </c>
      <c r="N1006" s="3" t="str">
        <f t="shared" si="31"/>
        <v>Sep-2021</v>
      </c>
    </row>
    <row r="1007" spans="1:14" x14ac:dyDescent="0.3">
      <c r="A1007" s="3" t="s">
        <v>90</v>
      </c>
      <c r="B1007" s="3" t="s">
        <v>91</v>
      </c>
      <c r="C1007" s="8">
        <v>2021</v>
      </c>
      <c r="D1007" s="8">
        <v>10</v>
      </c>
      <c r="E1007" s="3" t="str">
        <f t="shared" si="30"/>
        <v>October</v>
      </c>
      <c r="F1007" s="3" t="s">
        <v>13</v>
      </c>
      <c r="G1007" s="8">
        <v>2229.7884989999998</v>
      </c>
      <c r="H1007" s="8">
        <v>2958</v>
      </c>
      <c r="I1007" s="8">
        <v>727.62816729999997</v>
      </c>
      <c r="J1007" s="8">
        <v>5393.8340539999999</v>
      </c>
      <c r="K1007" s="8">
        <v>4933.1382020000001</v>
      </c>
      <c r="L1007" s="8">
        <v>5852.577303</v>
      </c>
      <c r="M1007" s="9" t="str">
        <f>IF(A1007="",M1008,A1007)</f>
        <v>Costa Rica</v>
      </c>
      <c r="N1007" s="3" t="str">
        <f t="shared" si="31"/>
        <v>Oct-2021</v>
      </c>
    </row>
    <row r="1008" spans="1:14" x14ac:dyDescent="0.3">
      <c r="A1008" s="3" t="s">
        <v>90</v>
      </c>
      <c r="B1008" s="3" t="s">
        <v>91</v>
      </c>
      <c r="C1008" s="8">
        <v>2021</v>
      </c>
      <c r="D1008" s="8">
        <v>11</v>
      </c>
      <c r="E1008" s="3" t="str">
        <f t="shared" si="30"/>
        <v>November</v>
      </c>
      <c r="F1008" s="3" t="s">
        <v>13</v>
      </c>
      <c r="G1008" s="8">
        <v>2272.9159030000001</v>
      </c>
      <c r="H1008" s="8">
        <v>2360</v>
      </c>
      <c r="I1008" s="8">
        <v>86.500764059999995</v>
      </c>
      <c r="J1008" s="8">
        <v>5480.3348180000003</v>
      </c>
      <c r="K1008" s="8">
        <v>5000.6312209999996</v>
      </c>
      <c r="L1008" s="8">
        <v>5948.9578879999999</v>
      </c>
      <c r="M1008" s="9" t="str">
        <f>IF(A1008="",M1009,A1008)</f>
        <v>Costa Rica</v>
      </c>
      <c r="N1008" s="3" t="str">
        <f t="shared" si="31"/>
        <v>Nov-2021</v>
      </c>
    </row>
    <row r="1009" spans="1:14" x14ac:dyDescent="0.3">
      <c r="A1009" s="3" t="s">
        <v>90</v>
      </c>
      <c r="B1009" s="3" t="s">
        <v>91</v>
      </c>
      <c r="C1009" s="8">
        <v>2021</v>
      </c>
      <c r="D1009" s="8">
        <v>12</v>
      </c>
      <c r="E1009" s="3" t="str">
        <f t="shared" si="30"/>
        <v>December</v>
      </c>
      <c r="F1009" s="3" t="s">
        <v>13</v>
      </c>
      <c r="G1009" s="8">
        <v>2405.3644140000001</v>
      </c>
      <c r="H1009" s="8">
        <v>2368</v>
      </c>
      <c r="I1009" s="8">
        <v>-37.947747530000001</v>
      </c>
      <c r="J1009" s="8">
        <v>5442.3870710000001</v>
      </c>
      <c r="K1009" s="8">
        <v>4980.5695669999996</v>
      </c>
      <c r="L1009" s="8">
        <v>5924.9055120000003</v>
      </c>
      <c r="M1009" s="9" t="str">
        <f>IF(A1009="",M1010,A1009)</f>
        <v>Costa Rica</v>
      </c>
      <c r="N1009" s="3" t="str">
        <f t="shared" si="31"/>
        <v>Dec-2021</v>
      </c>
    </row>
    <row r="1010" spans="1:14" x14ac:dyDescent="0.3">
      <c r="A1010" s="3" t="s">
        <v>92</v>
      </c>
      <c r="B1010" s="3" t="s">
        <v>93</v>
      </c>
      <c r="C1010" s="8">
        <v>2020</v>
      </c>
      <c r="D1010" s="8">
        <v>1</v>
      </c>
      <c r="E1010" s="3" t="str">
        <f t="shared" si="30"/>
        <v>January</v>
      </c>
      <c r="F1010" s="3" t="s">
        <v>13</v>
      </c>
      <c r="G1010" s="8">
        <v>9565.7307149999997</v>
      </c>
      <c r="H1010" s="8">
        <v>9920</v>
      </c>
      <c r="I1010" s="8">
        <v>353.93595199999999</v>
      </c>
      <c r="J1010" s="8">
        <v>353.93595199999999</v>
      </c>
      <c r="K1010" s="8">
        <v>11.3532218</v>
      </c>
      <c r="L1010" s="8">
        <v>695.58457490000001</v>
      </c>
      <c r="M1010" s="9" t="str">
        <f>IF(A1010="",M1011,A1010)</f>
        <v>Cuba</v>
      </c>
      <c r="N1010" s="3" t="str">
        <f t="shared" si="31"/>
        <v>Jan-2020</v>
      </c>
    </row>
    <row r="1011" spans="1:14" x14ac:dyDescent="0.3">
      <c r="A1011" s="3" t="s">
        <v>92</v>
      </c>
      <c r="B1011" s="3" t="s">
        <v>93</v>
      </c>
      <c r="C1011" s="8">
        <v>2020</v>
      </c>
      <c r="D1011" s="8">
        <v>2</v>
      </c>
      <c r="E1011" s="3" t="str">
        <f t="shared" si="30"/>
        <v>February</v>
      </c>
      <c r="F1011" s="3" t="s">
        <v>13</v>
      </c>
      <c r="G1011" s="8">
        <v>9362.9779849999995</v>
      </c>
      <c r="H1011" s="8">
        <v>9134</v>
      </c>
      <c r="I1011" s="8">
        <v>-229.31131830000001</v>
      </c>
      <c r="J1011" s="8">
        <v>124.6246337</v>
      </c>
      <c r="K1011" s="8">
        <v>-435.59960100000001</v>
      </c>
      <c r="L1011" s="8">
        <v>671.29379700000004</v>
      </c>
      <c r="M1011" s="9" t="str">
        <f>IF(A1011="",M1012,A1011)</f>
        <v>Cuba</v>
      </c>
      <c r="N1011" s="3" t="str">
        <f t="shared" si="31"/>
        <v>Feb-2020</v>
      </c>
    </row>
    <row r="1012" spans="1:14" x14ac:dyDescent="0.3">
      <c r="A1012" s="3" t="s">
        <v>92</v>
      </c>
      <c r="B1012" s="3" t="s">
        <v>93</v>
      </c>
      <c r="C1012" s="8">
        <v>2020</v>
      </c>
      <c r="D1012" s="8">
        <v>3</v>
      </c>
      <c r="E1012" s="3" t="str">
        <f t="shared" si="30"/>
        <v>March</v>
      </c>
      <c r="F1012" s="3" t="s">
        <v>13</v>
      </c>
      <c r="G1012" s="8">
        <v>9097.0686029999997</v>
      </c>
      <c r="H1012" s="8">
        <v>10022</v>
      </c>
      <c r="I1012" s="8">
        <v>924.59806400000002</v>
      </c>
      <c r="J1012" s="8">
        <v>1049.222698</v>
      </c>
      <c r="K1012" s="8">
        <v>368.57419440000001</v>
      </c>
      <c r="L1012" s="8">
        <v>1759.4227490000001</v>
      </c>
      <c r="M1012" s="9" t="str">
        <f>IF(A1012="",M1013,A1012)</f>
        <v>Cuba</v>
      </c>
      <c r="N1012" s="3" t="str">
        <f t="shared" si="31"/>
        <v>Mar-2020</v>
      </c>
    </row>
    <row r="1013" spans="1:14" x14ac:dyDescent="0.3">
      <c r="A1013" s="3" t="s">
        <v>92</v>
      </c>
      <c r="B1013" s="3" t="s">
        <v>93</v>
      </c>
      <c r="C1013" s="8">
        <v>2020</v>
      </c>
      <c r="D1013" s="8">
        <v>4</v>
      </c>
      <c r="E1013" s="3" t="str">
        <f t="shared" si="30"/>
        <v>April</v>
      </c>
      <c r="F1013" s="3" t="s">
        <v>13</v>
      </c>
      <c r="G1013" s="8">
        <v>8884.4186389999995</v>
      </c>
      <c r="H1013" s="8">
        <v>9330</v>
      </c>
      <c r="I1013" s="8">
        <v>445.24802729999999</v>
      </c>
      <c r="J1013" s="8">
        <v>1494.4707249999999</v>
      </c>
      <c r="K1013" s="8">
        <v>713.71660280000003</v>
      </c>
      <c r="L1013" s="8">
        <v>2280.2467830000001</v>
      </c>
      <c r="M1013" s="9" t="str">
        <f>IF(A1013="",M1014,A1013)</f>
        <v>Cuba</v>
      </c>
      <c r="N1013" s="3" t="str">
        <f t="shared" si="31"/>
        <v>Apr-2020</v>
      </c>
    </row>
    <row r="1014" spans="1:14" x14ac:dyDescent="0.3">
      <c r="A1014" s="3" t="s">
        <v>92</v>
      </c>
      <c r="B1014" s="3" t="s">
        <v>93</v>
      </c>
      <c r="C1014" s="8">
        <v>2020</v>
      </c>
      <c r="D1014" s="8">
        <v>5</v>
      </c>
      <c r="E1014" s="3" t="str">
        <f t="shared" si="30"/>
        <v>May</v>
      </c>
      <c r="F1014" s="3" t="s">
        <v>13</v>
      </c>
      <c r="G1014" s="8">
        <v>8976.9068979999993</v>
      </c>
      <c r="H1014" s="8">
        <v>8544</v>
      </c>
      <c r="I1014" s="8">
        <v>-433.24023089999997</v>
      </c>
      <c r="J1014" s="8">
        <v>1061.2304939999999</v>
      </c>
      <c r="K1014" s="8">
        <v>106.2105047</v>
      </c>
      <c r="L1014" s="8">
        <v>1943.1526260000001</v>
      </c>
      <c r="M1014" s="9" t="str">
        <f>IF(A1014="",M1015,A1014)</f>
        <v>Cuba</v>
      </c>
      <c r="N1014" s="3" t="str">
        <f t="shared" si="31"/>
        <v>May-2020</v>
      </c>
    </row>
    <row r="1015" spans="1:14" x14ac:dyDescent="0.3">
      <c r="A1015" s="3" t="s">
        <v>92</v>
      </c>
      <c r="B1015" s="3" t="s">
        <v>93</v>
      </c>
      <c r="C1015" s="8">
        <v>2020</v>
      </c>
      <c r="D1015" s="8">
        <v>6</v>
      </c>
      <c r="E1015" s="3" t="str">
        <f t="shared" si="30"/>
        <v>June</v>
      </c>
      <c r="F1015" s="3" t="s">
        <v>13</v>
      </c>
      <c r="G1015" s="8">
        <v>9301.3189259999999</v>
      </c>
      <c r="H1015" s="8">
        <v>8722</v>
      </c>
      <c r="I1015" s="8">
        <v>-579.6522592</v>
      </c>
      <c r="J1015" s="8">
        <v>481.57823500000001</v>
      </c>
      <c r="K1015" s="8">
        <v>-482.5379026</v>
      </c>
      <c r="L1015" s="8">
        <v>1408.9809270000001</v>
      </c>
      <c r="M1015" s="9" t="str">
        <f>IF(A1015="",M1016,A1015)</f>
        <v>Cuba</v>
      </c>
      <c r="N1015" s="3" t="str">
        <f t="shared" si="31"/>
        <v>Jun-2020</v>
      </c>
    </row>
    <row r="1016" spans="1:14" x14ac:dyDescent="0.3">
      <c r="A1016" s="3" t="s">
        <v>92</v>
      </c>
      <c r="B1016" s="3" t="s">
        <v>93</v>
      </c>
      <c r="C1016" s="8">
        <v>2020</v>
      </c>
      <c r="D1016" s="8">
        <v>7</v>
      </c>
      <c r="E1016" s="3" t="str">
        <f t="shared" si="30"/>
        <v>July</v>
      </c>
      <c r="F1016" s="3" t="s">
        <v>13</v>
      </c>
      <c r="G1016" s="8">
        <v>9621.1952340000007</v>
      </c>
      <c r="H1016" s="8">
        <v>9290</v>
      </c>
      <c r="I1016" s="8">
        <v>-331.52856680000002</v>
      </c>
      <c r="J1016" s="8">
        <v>150.04966809999999</v>
      </c>
      <c r="K1016" s="8">
        <v>-884.64692649999995</v>
      </c>
      <c r="L1016" s="8">
        <v>1160.0093770000001</v>
      </c>
      <c r="M1016" s="9" t="str">
        <f>IF(A1016="",M1017,A1016)</f>
        <v>Cuba</v>
      </c>
      <c r="N1016" s="3" t="str">
        <f t="shared" si="31"/>
        <v>Jul-2020</v>
      </c>
    </row>
    <row r="1017" spans="1:14" x14ac:dyDescent="0.3">
      <c r="A1017" s="3" t="s">
        <v>92</v>
      </c>
      <c r="B1017" s="3" t="s">
        <v>93</v>
      </c>
      <c r="C1017" s="8">
        <v>2020</v>
      </c>
      <c r="D1017" s="8">
        <v>8</v>
      </c>
      <c r="E1017" s="3" t="str">
        <f t="shared" si="30"/>
        <v>August</v>
      </c>
      <c r="F1017" s="3" t="s">
        <v>13</v>
      </c>
      <c r="G1017" s="8">
        <v>9472.1111619999992</v>
      </c>
      <c r="H1017" s="8">
        <v>9405</v>
      </c>
      <c r="I1017" s="8">
        <v>-67.444495200000006</v>
      </c>
      <c r="J1017" s="8">
        <v>82.605172929999995</v>
      </c>
      <c r="K1017" s="8">
        <v>-992.16245530000003</v>
      </c>
      <c r="L1017" s="8">
        <v>1224.378404</v>
      </c>
      <c r="M1017" s="9" t="str">
        <f>IF(A1017="",M1018,A1017)</f>
        <v>Cuba</v>
      </c>
      <c r="N1017" s="3" t="str">
        <f t="shared" si="31"/>
        <v>Aug-2020</v>
      </c>
    </row>
    <row r="1018" spans="1:14" x14ac:dyDescent="0.3">
      <c r="A1018" s="3" t="s">
        <v>92</v>
      </c>
      <c r="B1018" s="3" t="s">
        <v>93</v>
      </c>
      <c r="C1018" s="8">
        <v>2020</v>
      </c>
      <c r="D1018" s="8">
        <v>9</v>
      </c>
      <c r="E1018" s="3" t="str">
        <f t="shared" si="30"/>
        <v>September</v>
      </c>
      <c r="F1018" s="3" t="s">
        <v>13</v>
      </c>
      <c r="G1018" s="8">
        <v>9152.9767749999992</v>
      </c>
      <c r="H1018" s="8">
        <v>8349</v>
      </c>
      <c r="I1018" s="8">
        <v>-804.31010860000004</v>
      </c>
      <c r="J1018" s="8">
        <v>-721.70493569999996</v>
      </c>
      <c r="K1018" s="8">
        <v>-1877.796208</v>
      </c>
      <c r="L1018" s="8">
        <v>467.87615169999998</v>
      </c>
      <c r="M1018" s="9" t="str">
        <f>IF(A1018="",M1019,A1018)</f>
        <v>Cuba</v>
      </c>
      <c r="N1018" s="3" t="str">
        <f t="shared" si="31"/>
        <v>Sep-2020</v>
      </c>
    </row>
    <row r="1019" spans="1:14" x14ac:dyDescent="0.3">
      <c r="A1019" s="3" t="s">
        <v>92</v>
      </c>
      <c r="B1019" s="3" t="s">
        <v>93</v>
      </c>
      <c r="C1019" s="8">
        <v>2020</v>
      </c>
      <c r="D1019" s="8">
        <v>10</v>
      </c>
      <c r="E1019" s="3" t="str">
        <f t="shared" si="30"/>
        <v>October</v>
      </c>
      <c r="F1019" s="3" t="s">
        <v>13</v>
      </c>
      <c r="G1019" s="8">
        <v>9189.6434730000001</v>
      </c>
      <c r="H1019" s="8">
        <v>9081</v>
      </c>
      <c r="I1019" s="8">
        <v>-108.9768067</v>
      </c>
      <c r="J1019" s="8">
        <v>-830.68174239999996</v>
      </c>
      <c r="K1019" s="8">
        <v>-2062.3617509999999</v>
      </c>
      <c r="L1019" s="8">
        <v>430.19524910000001</v>
      </c>
      <c r="M1019" s="9" t="str">
        <f>IF(A1019="",M1020,A1019)</f>
        <v>Cuba</v>
      </c>
      <c r="N1019" s="3" t="str">
        <f t="shared" si="31"/>
        <v>Oct-2020</v>
      </c>
    </row>
    <row r="1020" spans="1:14" x14ac:dyDescent="0.3">
      <c r="A1020" s="3" t="s">
        <v>92</v>
      </c>
      <c r="B1020" s="3" t="s">
        <v>93</v>
      </c>
      <c r="C1020" s="8">
        <v>2020</v>
      </c>
      <c r="D1020" s="8">
        <v>11</v>
      </c>
      <c r="E1020" s="3" t="str">
        <f t="shared" si="30"/>
        <v>November</v>
      </c>
      <c r="F1020" s="3" t="s">
        <v>13</v>
      </c>
      <c r="G1020" s="8">
        <v>9470.1050300000006</v>
      </c>
      <c r="H1020" s="8">
        <v>9460</v>
      </c>
      <c r="I1020" s="8">
        <v>-10.438363470000001</v>
      </c>
      <c r="J1020" s="8">
        <v>-841.1201059</v>
      </c>
      <c r="K1020" s="8">
        <v>-2168.0535209999998</v>
      </c>
      <c r="L1020" s="8">
        <v>477.35629089999998</v>
      </c>
      <c r="M1020" s="9" t="str">
        <f>IF(A1020="",M1021,A1020)</f>
        <v>Cuba</v>
      </c>
      <c r="N1020" s="3" t="str">
        <f t="shared" si="31"/>
        <v>Nov-2020</v>
      </c>
    </row>
    <row r="1021" spans="1:14" x14ac:dyDescent="0.3">
      <c r="A1021" s="3" t="s">
        <v>92</v>
      </c>
      <c r="B1021" s="3" t="s">
        <v>93</v>
      </c>
      <c r="C1021" s="8">
        <v>2020</v>
      </c>
      <c r="D1021" s="8">
        <v>12</v>
      </c>
      <c r="E1021" s="3" t="str">
        <f t="shared" si="30"/>
        <v>December</v>
      </c>
      <c r="F1021" s="3" t="s">
        <v>13</v>
      </c>
      <c r="G1021" s="8">
        <v>9774.2065210000001</v>
      </c>
      <c r="H1021" s="8">
        <v>11192</v>
      </c>
      <c r="I1021" s="8">
        <v>1417.4601459999999</v>
      </c>
      <c r="J1021" s="8">
        <v>576.34004010000001</v>
      </c>
      <c r="K1021" s="8">
        <v>-801.35337800000002</v>
      </c>
      <c r="L1021" s="8">
        <v>1930.3996079999999</v>
      </c>
      <c r="M1021" s="9" t="str">
        <f>IF(A1021="",M1022,A1021)</f>
        <v>Cuba</v>
      </c>
      <c r="N1021" s="3" t="str">
        <f t="shared" si="31"/>
        <v>Dec-2020</v>
      </c>
    </row>
    <row r="1022" spans="1:14" x14ac:dyDescent="0.3">
      <c r="A1022" s="3" t="s">
        <v>92</v>
      </c>
      <c r="B1022" s="3" t="s">
        <v>93</v>
      </c>
      <c r="C1022" s="8">
        <v>2021</v>
      </c>
      <c r="D1022" s="8">
        <v>1</v>
      </c>
      <c r="E1022" s="3" t="str">
        <f t="shared" si="30"/>
        <v>January</v>
      </c>
      <c r="F1022" s="3" t="s">
        <v>13</v>
      </c>
      <c r="G1022" s="8">
        <v>9790.8815900000009</v>
      </c>
      <c r="H1022" s="8">
        <v>11968</v>
      </c>
      <c r="I1022" s="8">
        <v>2176.2017430000001</v>
      </c>
      <c r="J1022" s="8">
        <v>2752.5417830000001</v>
      </c>
      <c r="K1022" s="8">
        <v>1315.089039</v>
      </c>
      <c r="L1022" s="8">
        <v>4195.4226740000004</v>
      </c>
      <c r="M1022" s="9" t="str">
        <f>IF(A1022="",M1023,A1022)</f>
        <v>Cuba</v>
      </c>
      <c r="N1022" s="3" t="str">
        <f t="shared" si="31"/>
        <v>Jan-2021</v>
      </c>
    </row>
    <row r="1023" spans="1:14" x14ac:dyDescent="0.3">
      <c r="A1023" s="3" t="s">
        <v>92</v>
      </c>
      <c r="B1023" s="3" t="s">
        <v>93</v>
      </c>
      <c r="C1023" s="8">
        <v>2021</v>
      </c>
      <c r="D1023" s="8">
        <v>2</v>
      </c>
      <c r="E1023" s="3" t="str">
        <f t="shared" si="30"/>
        <v>February</v>
      </c>
      <c r="F1023" s="3" t="s">
        <v>13</v>
      </c>
      <c r="G1023" s="8">
        <v>9586.6580630000008</v>
      </c>
      <c r="H1023" s="8">
        <v>10689</v>
      </c>
      <c r="I1023" s="8">
        <v>1101.42527</v>
      </c>
      <c r="J1023" s="8">
        <v>3853.9670529999999</v>
      </c>
      <c r="K1023" s="8">
        <v>2358.9880589999998</v>
      </c>
      <c r="L1023" s="8">
        <v>5399.7858770000003</v>
      </c>
      <c r="M1023" s="9" t="str">
        <f>IF(A1023="",M1024,A1023)</f>
        <v>Cuba</v>
      </c>
      <c r="N1023" s="3" t="str">
        <f t="shared" si="31"/>
        <v>Feb-2021</v>
      </c>
    </row>
    <row r="1024" spans="1:14" x14ac:dyDescent="0.3">
      <c r="A1024" s="3" t="s">
        <v>92</v>
      </c>
      <c r="B1024" s="3" t="s">
        <v>93</v>
      </c>
      <c r="C1024" s="8">
        <v>2021</v>
      </c>
      <c r="D1024" s="8">
        <v>3</v>
      </c>
      <c r="E1024" s="3" t="str">
        <f t="shared" si="30"/>
        <v>March</v>
      </c>
      <c r="F1024" s="3" t="s">
        <v>13</v>
      </c>
      <c r="G1024" s="8">
        <v>9313.4219940000003</v>
      </c>
      <c r="H1024" s="8">
        <v>10610</v>
      </c>
      <c r="I1024" s="8">
        <v>1295.661339</v>
      </c>
      <c r="J1024" s="8">
        <v>5149.6283919999996</v>
      </c>
      <c r="K1024" s="8">
        <v>3553.8231919999998</v>
      </c>
      <c r="L1024" s="8">
        <v>6707.0095060000003</v>
      </c>
      <c r="M1024" s="9" t="str">
        <f>IF(A1024="",M1025,A1024)</f>
        <v>Cuba</v>
      </c>
      <c r="N1024" s="3" t="str">
        <f t="shared" si="31"/>
        <v>Mar-2021</v>
      </c>
    </row>
    <row r="1025" spans="1:14" x14ac:dyDescent="0.3">
      <c r="A1025" s="3" t="s">
        <v>92</v>
      </c>
      <c r="B1025" s="3" t="s">
        <v>93</v>
      </c>
      <c r="C1025" s="8">
        <v>2021</v>
      </c>
      <c r="D1025" s="8">
        <v>4</v>
      </c>
      <c r="E1025" s="3" t="str">
        <f t="shared" si="30"/>
        <v>April</v>
      </c>
      <c r="F1025" s="3" t="s">
        <v>13</v>
      </c>
      <c r="G1025" s="8">
        <v>9098.7738040000004</v>
      </c>
      <c r="H1025" s="8">
        <v>10332</v>
      </c>
      <c r="I1025" s="8">
        <v>1232.30953</v>
      </c>
      <c r="J1025" s="8">
        <v>6381.9379209999997</v>
      </c>
      <c r="K1025" s="8">
        <v>4718.0636869999998</v>
      </c>
      <c r="L1025" s="8">
        <v>8071.808771</v>
      </c>
      <c r="M1025" s="9" t="str">
        <f>IF(A1025="",M1026,A1025)</f>
        <v>Cuba</v>
      </c>
      <c r="N1025" s="3" t="str">
        <f t="shared" si="31"/>
        <v>Apr-2021</v>
      </c>
    </row>
    <row r="1026" spans="1:14" x14ac:dyDescent="0.3">
      <c r="A1026" s="3" t="s">
        <v>92</v>
      </c>
      <c r="B1026" s="3" t="s">
        <v>93</v>
      </c>
      <c r="C1026" s="8">
        <v>2021</v>
      </c>
      <c r="D1026" s="8">
        <v>5</v>
      </c>
      <c r="E1026" s="3" t="str">
        <f t="shared" ref="E1026:E1089" si="32">TEXT(DATE(C1026,D1026,1),"MMMM")</f>
        <v>May</v>
      </c>
      <c r="F1026" s="3" t="s">
        <v>13</v>
      </c>
      <c r="G1026" s="8">
        <v>9178.9957310000009</v>
      </c>
      <c r="H1026" s="8">
        <v>10542</v>
      </c>
      <c r="I1026" s="8">
        <v>1362.0876020000001</v>
      </c>
      <c r="J1026" s="8">
        <v>7744.0255239999997</v>
      </c>
      <c r="K1026" s="8">
        <v>5966.3383540000004</v>
      </c>
      <c r="L1026" s="8">
        <v>9540.1551369999997</v>
      </c>
      <c r="M1026" s="9" t="str">
        <f>IF(A1026="",M1027,A1026)</f>
        <v>Cuba</v>
      </c>
      <c r="N1026" s="3" t="str">
        <f t="shared" ref="N1026:N1089" si="33">TEXT(DATE(C1026,D1026,1),"MMM-YYYY")</f>
        <v>May-2021</v>
      </c>
    </row>
    <row r="1027" spans="1:14" x14ac:dyDescent="0.3">
      <c r="A1027" s="3" t="s">
        <v>92</v>
      </c>
      <c r="B1027" s="3" t="s">
        <v>93</v>
      </c>
      <c r="C1027" s="8">
        <v>2021</v>
      </c>
      <c r="D1027" s="8">
        <v>6</v>
      </c>
      <c r="E1027" s="3" t="str">
        <f t="shared" si="32"/>
        <v>June</v>
      </c>
      <c r="F1027" s="3" t="s">
        <v>13</v>
      </c>
      <c r="G1027" s="8">
        <v>9515.4085489999998</v>
      </c>
      <c r="H1027" s="8">
        <v>10641</v>
      </c>
      <c r="I1027" s="8">
        <v>1124.6747849999999</v>
      </c>
      <c r="J1027" s="8">
        <v>8868.7003089999998</v>
      </c>
      <c r="K1027" s="8">
        <v>6999.3908869999996</v>
      </c>
      <c r="L1027" s="8">
        <v>10669.173220000001</v>
      </c>
      <c r="M1027" s="9" t="str">
        <f>IF(A1027="",M1028,A1027)</f>
        <v>Cuba</v>
      </c>
      <c r="N1027" s="3" t="str">
        <f t="shared" si="33"/>
        <v>Jun-2021</v>
      </c>
    </row>
    <row r="1028" spans="1:14" x14ac:dyDescent="0.3">
      <c r="A1028" s="3" t="s">
        <v>92</v>
      </c>
      <c r="B1028" s="3" t="s">
        <v>93</v>
      </c>
      <c r="C1028" s="8">
        <v>2021</v>
      </c>
      <c r="D1028" s="8">
        <v>7</v>
      </c>
      <c r="E1028" s="3" t="str">
        <f t="shared" si="32"/>
        <v>July</v>
      </c>
      <c r="F1028" s="3" t="s">
        <v>13</v>
      </c>
      <c r="G1028" s="8">
        <v>9859.7241740000009</v>
      </c>
      <c r="H1028" s="8">
        <v>18450</v>
      </c>
      <c r="I1028" s="8">
        <v>8589.35916</v>
      </c>
      <c r="J1028" s="8">
        <v>17458.05947</v>
      </c>
      <c r="K1028" s="8">
        <v>15509.73525</v>
      </c>
      <c r="L1028" s="8">
        <v>19301.249749999999</v>
      </c>
      <c r="M1028" s="9" t="str">
        <f>IF(A1028="",M1029,A1028)</f>
        <v>Cuba</v>
      </c>
      <c r="N1028" s="3" t="str">
        <f t="shared" si="33"/>
        <v>Jul-2021</v>
      </c>
    </row>
    <row r="1029" spans="1:14" x14ac:dyDescent="0.3">
      <c r="A1029" s="3" t="s">
        <v>92</v>
      </c>
      <c r="B1029" s="3" t="s">
        <v>93</v>
      </c>
      <c r="C1029" s="8">
        <v>2021</v>
      </c>
      <c r="D1029" s="8">
        <v>8</v>
      </c>
      <c r="E1029" s="3" t="str">
        <f t="shared" si="32"/>
        <v>August</v>
      </c>
      <c r="F1029" s="3" t="s">
        <v>13</v>
      </c>
      <c r="G1029" s="8">
        <v>9687.0639080000001</v>
      </c>
      <c r="H1029" s="8">
        <v>28655</v>
      </c>
      <c r="I1029" s="8">
        <v>18967.019420000001</v>
      </c>
      <c r="J1029" s="8">
        <v>36425.078889999997</v>
      </c>
      <c r="K1029" s="8">
        <v>34474.722269999998</v>
      </c>
      <c r="L1029" s="8">
        <v>38312.449930000002</v>
      </c>
      <c r="M1029" s="9" t="str">
        <f>IF(A1029="",M1030,A1029)</f>
        <v>Cuba</v>
      </c>
      <c r="N1029" s="3" t="str">
        <f t="shared" si="33"/>
        <v>Aug-2021</v>
      </c>
    </row>
    <row r="1030" spans="1:14" x14ac:dyDescent="0.3">
      <c r="A1030" s="3" t="s">
        <v>92</v>
      </c>
      <c r="B1030" s="3" t="s">
        <v>93</v>
      </c>
      <c r="C1030" s="8">
        <v>2021</v>
      </c>
      <c r="D1030" s="8">
        <v>9</v>
      </c>
      <c r="E1030" s="3" t="str">
        <f t="shared" si="32"/>
        <v>September</v>
      </c>
      <c r="F1030" s="3" t="s">
        <v>13</v>
      </c>
      <c r="G1030" s="8">
        <v>9355.1110189999999</v>
      </c>
      <c r="H1030" s="8">
        <v>22921</v>
      </c>
      <c r="I1030" s="8">
        <v>13564.972309999999</v>
      </c>
      <c r="J1030" s="8">
        <v>49990.051209999998</v>
      </c>
      <c r="K1030" s="8">
        <v>47951.555540000001</v>
      </c>
      <c r="L1030" s="8">
        <v>51978.987820000002</v>
      </c>
      <c r="M1030" s="9" t="str">
        <f>IF(A1030="",M1031,A1030)</f>
        <v>Cuba</v>
      </c>
      <c r="N1030" s="3" t="str">
        <f t="shared" si="33"/>
        <v>Sep-2021</v>
      </c>
    </row>
    <row r="1031" spans="1:14" x14ac:dyDescent="0.3">
      <c r="A1031" s="3" t="s">
        <v>92</v>
      </c>
      <c r="B1031" s="3" t="s">
        <v>93</v>
      </c>
      <c r="C1031" s="8">
        <v>2021</v>
      </c>
      <c r="D1031" s="8">
        <v>10</v>
      </c>
      <c r="E1031" s="3" t="str">
        <f t="shared" si="32"/>
        <v>October</v>
      </c>
      <c r="F1031" s="3" t="s">
        <v>13</v>
      </c>
      <c r="G1031" s="8">
        <v>9426.0841110000001</v>
      </c>
      <c r="H1031" s="8">
        <v>12583</v>
      </c>
      <c r="I1031" s="8">
        <v>3155.9992219999999</v>
      </c>
      <c r="J1031" s="8">
        <v>53146.050430000003</v>
      </c>
      <c r="K1031" s="8">
        <v>51019.312299999998</v>
      </c>
      <c r="L1031" s="8">
        <v>55077.249730000003</v>
      </c>
      <c r="M1031" s="9" t="str">
        <f>IF(A1031="",M1032,A1031)</f>
        <v>Cuba</v>
      </c>
      <c r="N1031" s="3" t="str">
        <f t="shared" si="33"/>
        <v>Oct-2021</v>
      </c>
    </row>
    <row r="1032" spans="1:14" x14ac:dyDescent="0.3">
      <c r="A1032" s="3" t="s">
        <v>92</v>
      </c>
      <c r="B1032" s="3" t="s">
        <v>93</v>
      </c>
      <c r="C1032" s="8">
        <v>2021</v>
      </c>
      <c r="D1032" s="8">
        <v>11</v>
      </c>
      <c r="E1032" s="3" t="str">
        <f t="shared" si="32"/>
        <v>November</v>
      </c>
      <c r="F1032" s="3" t="s">
        <v>13</v>
      </c>
      <c r="G1032" s="8">
        <v>9712.6995019999995</v>
      </c>
      <c r="H1032" s="8">
        <v>10008</v>
      </c>
      <c r="I1032" s="8">
        <v>294.3838318</v>
      </c>
      <c r="J1032" s="8">
        <v>53440.434260000002</v>
      </c>
      <c r="K1032" s="8">
        <v>51283.740660000003</v>
      </c>
      <c r="L1032" s="8">
        <v>55461.295639999997</v>
      </c>
      <c r="M1032" s="9" t="str">
        <f>IF(A1032="",M1033,A1032)</f>
        <v>Cuba</v>
      </c>
      <c r="N1032" s="3" t="str">
        <f t="shared" si="33"/>
        <v>Nov-2021</v>
      </c>
    </row>
    <row r="1033" spans="1:14" x14ac:dyDescent="0.3">
      <c r="A1033" s="3" t="s">
        <v>92</v>
      </c>
      <c r="B1033" s="3" t="s">
        <v>93</v>
      </c>
      <c r="C1033" s="8">
        <v>2021</v>
      </c>
      <c r="D1033" s="8">
        <v>12</v>
      </c>
      <c r="E1033" s="3" t="str">
        <f t="shared" si="32"/>
        <v>December</v>
      </c>
      <c r="F1033" s="3" t="s">
        <v>13</v>
      </c>
      <c r="G1033" s="8">
        <v>10012.293890000001</v>
      </c>
      <c r="H1033" s="8">
        <v>10246</v>
      </c>
      <c r="I1033" s="8">
        <v>232.78943960000001</v>
      </c>
      <c r="J1033" s="8">
        <v>53673.223700000002</v>
      </c>
      <c r="K1033" s="8">
        <v>51371.33799</v>
      </c>
      <c r="L1033" s="8">
        <v>55711.695820000001</v>
      </c>
      <c r="M1033" s="9" t="str">
        <f>IF(A1033="",M1034,A1033)</f>
        <v>Cuba</v>
      </c>
      <c r="N1033" s="3" t="str">
        <f t="shared" si="33"/>
        <v>Dec-2021</v>
      </c>
    </row>
    <row r="1034" spans="1:14" x14ac:dyDescent="0.3">
      <c r="A1034" s="3" t="s">
        <v>94</v>
      </c>
      <c r="B1034" s="3" t="s">
        <v>95</v>
      </c>
      <c r="C1034" s="8">
        <v>2020</v>
      </c>
      <c r="D1034" s="8">
        <v>1</v>
      </c>
      <c r="E1034" s="3" t="str">
        <f t="shared" si="32"/>
        <v>January</v>
      </c>
      <c r="F1034" s="3" t="s">
        <v>13</v>
      </c>
      <c r="G1034" s="8">
        <v>598.18995729999995</v>
      </c>
      <c r="H1034" s="8">
        <v>718</v>
      </c>
      <c r="I1034" s="8">
        <v>119.8100427</v>
      </c>
      <c r="J1034" s="8">
        <v>119.8100427</v>
      </c>
      <c r="K1034" s="8">
        <v>87.907522450000002</v>
      </c>
      <c r="L1034" s="8">
        <v>152.1079819</v>
      </c>
      <c r="M1034" s="9" t="str">
        <f>IF(A1034="",M1035,A1034)</f>
        <v>Cyprus</v>
      </c>
      <c r="N1034" s="3" t="str">
        <f t="shared" si="33"/>
        <v>Jan-2020</v>
      </c>
    </row>
    <row r="1035" spans="1:14" x14ac:dyDescent="0.3">
      <c r="A1035" s="3" t="s">
        <v>94</v>
      </c>
      <c r="B1035" s="3" t="s">
        <v>95</v>
      </c>
      <c r="C1035" s="8">
        <v>2020</v>
      </c>
      <c r="D1035" s="8">
        <v>2</v>
      </c>
      <c r="E1035" s="3" t="str">
        <f t="shared" si="32"/>
        <v>February</v>
      </c>
      <c r="F1035" s="3" t="s">
        <v>13</v>
      </c>
      <c r="G1035" s="8">
        <v>617.74132320000001</v>
      </c>
      <c r="H1035" s="8">
        <v>592</v>
      </c>
      <c r="I1035" s="8">
        <v>-25.741323170000001</v>
      </c>
      <c r="J1035" s="8">
        <v>94.0687195</v>
      </c>
      <c r="K1035" s="8">
        <v>41.109136280000001</v>
      </c>
      <c r="L1035" s="8">
        <v>143.68079929999999</v>
      </c>
      <c r="M1035" s="9" t="str">
        <f>IF(A1035="",M1036,A1035)</f>
        <v>Cyprus</v>
      </c>
      <c r="N1035" s="3" t="str">
        <f t="shared" si="33"/>
        <v>Feb-2020</v>
      </c>
    </row>
    <row r="1036" spans="1:14" x14ac:dyDescent="0.3">
      <c r="A1036" s="3" t="s">
        <v>94</v>
      </c>
      <c r="B1036" s="3" t="s">
        <v>95</v>
      </c>
      <c r="C1036" s="8">
        <v>2020</v>
      </c>
      <c r="D1036" s="8">
        <v>3</v>
      </c>
      <c r="E1036" s="3" t="str">
        <f t="shared" si="32"/>
        <v>March</v>
      </c>
      <c r="F1036" s="3" t="s">
        <v>13</v>
      </c>
      <c r="G1036" s="8">
        <v>583.50733149999996</v>
      </c>
      <c r="H1036" s="8">
        <v>599</v>
      </c>
      <c r="I1036" s="8">
        <v>15.492668500000001</v>
      </c>
      <c r="J1036" s="8">
        <v>109.56138799999999</v>
      </c>
      <c r="K1036" s="8">
        <v>42.202696150000001</v>
      </c>
      <c r="L1036" s="8">
        <v>170.71733649999999</v>
      </c>
      <c r="M1036" s="9" t="str">
        <f>IF(A1036="",M1037,A1036)</f>
        <v>Cyprus</v>
      </c>
      <c r="N1036" s="3" t="str">
        <f t="shared" si="33"/>
        <v>Mar-2020</v>
      </c>
    </row>
    <row r="1037" spans="1:14" x14ac:dyDescent="0.3">
      <c r="A1037" s="3" t="s">
        <v>94</v>
      </c>
      <c r="B1037" s="3" t="s">
        <v>95</v>
      </c>
      <c r="C1037" s="8">
        <v>2020</v>
      </c>
      <c r="D1037" s="8">
        <v>4</v>
      </c>
      <c r="E1037" s="3" t="str">
        <f t="shared" si="32"/>
        <v>April</v>
      </c>
      <c r="F1037" s="3" t="s">
        <v>13</v>
      </c>
      <c r="G1037" s="8">
        <v>533.49800159999995</v>
      </c>
      <c r="H1037" s="8">
        <v>525</v>
      </c>
      <c r="I1037" s="8">
        <v>-8.4980015980000001</v>
      </c>
      <c r="J1037" s="8">
        <v>101.0633864</v>
      </c>
      <c r="K1037" s="8">
        <v>25.289829099999999</v>
      </c>
      <c r="L1037" s="8">
        <v>171.403468</v>
      </c>
      <c r="M1037" s="9" t="str">
        <f>IF(A1037="",M1038,A1037)</f>
        <v>Cyprus</v>
      </c>
      <c r="N1037" s="3" t="str">
        <f t="shared" si="33"/>
        <v>Apr-2020</v>
      </c>
    </row>
    <row r="1038" spans="1:14" x14ac:dyDescent="0.3">
      <c r="A1038" s="3" t="s">
        <v>94</v>
      </c>
      <c r="B1038" s="3" t="s">
        <v>95</v>
      </c>
      <c r="C1038" s="8">
        <v>2020</v>
      </c>
      <c r="D1038" s="8">
        <v>5</v>
      </c>
      <c r="E1038" s="3" t="str">
        <f t="shared" si="32"/>
        <v>May</v>
      </c>
      <c r="F1038" s="3" t="s">
        <v>13</v>
      </c>
      <c r="G1038" s="8">
        <v>491.26931439999998</v>
      </c>
      <c r="H1038" s="8">
        <v>609</v>
      </c>
      <c r="I1038" s="8">
        <v>117.7306856</v>
      </c>
      <c r="J1038" s="8">
        <v>218.794072</v>
      </c>
      <c r="K1038" s="8">
        <v>135.29831050000001</v>
      </c>
      <c r="L1038" s="8">
        <v>297.61850199999998</v>
      </c>
      <c r="M1038" s="9" t="str">
        <f>IF(A1038="",M1039,A1038)</f>
        <v>Cyprus</v>
      </c>
      <c r="N1038" s="3" t="str">
        <f t="shared" si="33"/>
        <v>May-2020</v>
      </c>
    </row>
    <row r="1039" spans="1:14" x14ac:dyDescent="0.3">
      <c r="A1039" s="3" t="s">
        <v>94</v>
      </c>
      <c r="B1039" s="3" t="s">
        <v>95</v>
      </c>
      <c r="C1039" s="8">
        <v>2020</v>
      </c>
      <c r="D1039" s="8">
        <v>6</v>
      </c>
      <c r="E1039" s="3" t="str">
        <f t="shared" si="32"/>
        <v>June</v>
      </c>
      <c r="F1039" s="3" t="s">
        <v>13</v>
      </c>
      <c r="G1039" s="8">
        <v>466.6910029</v>
      </c>
      <c r="H1039" s="8">
        <v>468</v>
      </c>
      <c r="I1039" s="8">
        <v>1.308997108</v>
      </c>
      <c r="J1039" s="8">
        <v>220.1030691</v>
      </c>
      <c r="K1039" s="8">
        <v>129.35068039999999</v>
      </c>
      <c r="L1039" s="8">
        <v>303.47189700000001</v>
      </c>
      <c r="M1039" s="9" t="str">
        <f>IF(A1039="",M1040,A1039)</f>
        <v>Cyprus</v>
      </c>
      <c r="N1039" s="3" t="str">
        <f t="shared" si="33"/>
        <v>Jun-2020</v>
      </c>
    </row>
    <row r="1040" spans="1:14" x14ac:dyDescent="0.3">
      <c r="A1040" s="3" t="s">
        <v>94</v>
      </c>
      <c r="B1040" s="3" t="s">
        <v>95</v>
      </c>
      <c r="C1040" s="8">
        <v>2020</v>
      </c>
      <c r="D1040" s="8">
        <v>7</v>
      </c>
      <c r="E1040" s="3" t="str">
        <f t="shared" si="32"/>
        <v>July</v>
      </c>
      <c r="F1040" s="3" t="s">
        <v>13</v>
      </c>
      <c r="G1040" s="8">
        <v>477.65717330000001</v>
      </c>
      <c r="H1040" s="8">
        <v>509</v>
      </c>
      <c r="I1040" s="8">
        <v>31.342826710000001</v>
      </c>
      <c r="J1040" s="8">
        <v>251.44589579999999</v>
      </c>
      <c r="K1040" s="8">
        <v>155.47221379999999</v>
      </c>
      <c r="L1040" s="8">
        <v>335.82061069999997</v>
      </c>
      <c r="M1040" s="9" t="str">
        <f>IF(A1040="",M1041,A1040)</f>
        <v>Cyprus</v>
      </c>
      <c r="N1040" s="3" t="str">
        <f t="shared" si="33"/>
        <v>Jul-2020</v>
      </c>
    </row>
    <row r="1041" spans="1:14" x14ac:dyDescent="0.3">
      <c r="A1041" s="3" t="s">
        <v>94</v>
      </c>
      <c r="B1041" s="3" t="s">
        <v>95</v>
      </c>
      <c r="C1041" s="8">
        <v>2020</v>
      </c>
      <c r="D1041" s="8">
        <v>8</v>
      </c>
      <c r="E1041" s="3" t="str">
        <f t="shared" si="32"/>
        <v>August</v>
      </c>
      <c r="F1041" s="3" t="s">
        <v>13</v>
      </c>
      <c r="G1041" s="8">
        <v>475.42581469999999</v>
      </c>
      <c r="H1041" s="8">
        <v>468</v>
      </c>
      <c r="I1041" s="8">
        <v>-7.4258147409999999</v>
      </c>
      <c r="J1041" s="8">
        <v>244.0200811</v>
      </c>
      <c r="K1041" s="8">
        <v>141.14252909999999</v>
      </c>
      <c r="L1041" s="8">
        <v>337.15413719999998</v>
      </c>
      <c r="M1041" s="9" t="str">
        <f>IF(A1041="",M1042,A1041)</f>
        <v>Cyprus</v>
      </c>
      <c r="N1041" s="3" t="str">
        <f t="shared" si="33"/>
        <v>Aug-2020</v>
      </c>
    </row>
    <row r="1042" spans="1:14" x14ac:dyDescent="0.3">
      <c r="A1042" s="3" t="s">
        <v>94</v>
      </c>
      <c r="B1042" s="3" t="s">
        <v>95</v>
      </c>
      <c r="C1042" s="8">
        <v>2020</v>
      </c>
      <c r="D1042" s="8">
        <v>9</v>
      </c>
      <c r="E1042" s="3" t="str">
        <f t="shared" si="32"/>
        <v>September</v>
      </c>
      <c r="F1042" s="3" t="s">
        <v>13</v>
      </c>
      <c r="G1042" s="8">
        <v>459.19834750000001</v>
      </c>
      <c r="H1042" s="8">
        <v>470</v>
      </c>
      <c r="I1042" s="8">
        <v>10.80165253</v>
      </c>
      <c r="J1042" s="8">
        <v>254.82173359999999</v>
      </c>
      <c r="K1042" s="8">
        <v>146.5847594</v>
      </c>
      <c r="L1042" s="8">
        <v>356.83877289999998</v>
      </c>
      <c r="M1042" s="9" t="str">
        <f>IF(A1042="",M1043,A1042)</f>
        <v>Cyprus</v>
      </c>
      <c r="N1042" s="3" t="str">
        <f t="shared" si="33"/>
        <v>Sep-2020</v>
      </c>
    </row>
    <row r="1043" spans="1:14" x14ac:dyDescent="0.3">
      <c r="A1043" s="3" t="s">
        <v>94</v>
      </c>
      <c r="B1043" s="3" t="s">
        <v>95</v>
      </c>
      <c r="C1043" s="8">
        <v>2020</v>
      </c>
      <c r="D1043" s="8">
        <v>10</v>
      </c>
      <c r="E1043" s="3" t="str">
        <f t="shared" si="32"/>
        <v>October</v>
      </c>
      <c r="F1043" s="3" t="s">
        <v>13</v>
      </c>
      <c r="G1043" s="8">
        <v>469.45898749999998</v>
      </c>
      <c r="H1043" s="8">
        <v>500</v>
      </c>
      <c r="I1043" s="8">
        <v>30.541012479999999</v>
      </c>
      <c r="J1043" s="8">
        <v>285.36274609999998</v>
      </c>
      <c r="K1043" s="8">
        <v>177.93082899999999</v>
      </c>
      <c r="L1043" s="8">
        <v>391.61212069999999</v>
      </c>
      <c r="M1043" s="9" t="str">
        <f>IF(A1043="",M1044,A1043)</f>
        <v>Cyprus</v>
      </c>
      <c r="N1043" s="3" t="str">
        <f t="shared" si="33"/>
        <v>Oct-2020</v>
      </c>
    </row>
    <row r="1044" spans="1:14" x14ac:dyDescent="0.3">
      <c r="A1044" s="3" t="s">
        <v>94</v>
      </c>
      <c r="B1044" s="3" t="s">
        <v>95</v>
      </c>
      <c r="C1044" s="8">
        <v>2020</v>
      </c>
      <c r="D1044" s="8">
        <v>11</v>
      </c>
      <c r="E1044" s="3" t="str">
        <f t="shared" si="32"/>
        <v>November</v>
      </c>
      <c r="F1044" s="3" t="s">
        <v>13</v>
      </c>
      <c r="G1044" s="8">
        <v>518.02215539999997</v>
      </c>
      <c r="H1044" s="8">
        <v>543</v>
      </c>
      <c r="I1044" s="8">
        <v>24.977844600000001</v>
      </c>
      <c r="J1044" s="8">
        <v>310.34059070000001</v>
      </c>
      <c r="K1044" s="8">
        <v>198.5502572</v>
      </c>
      <c r="L1044" s="8">
        <v>425.26939529999999</v>
      </c>
      <c r="M1044" s="9" t="str">
        <f>IF(A1044="",M1045,A1044)</f>
        <v>Cyprus</v>
      </c>
      <c r="N1044" s="3" t="str">
        <f t="shared" si="33"/>
        <v>Nov-2020</v>
      </c>
    </row>
    <row r="1045" spans="1:14" x14ac:dyDescent="0.3">
      <c r="A1045" s="3" t="s">
        <v>94</v>
      </c>
      <c r="B1045" s="3" t="s">
        <v>95</v>
      </c>
      <c r="C1045" s="8">
        <v>2020</v>
      </c>
      <c r="D1045" s="8">
        <v>12</v>
      </c>
      <c r="E1045" s="3" t="str">
        <f t="shared" si="32"/>
        <v>December</v>
      </c>
      <c r="F1045" s="3" t="s">
        <v>13</v>
      </c>
      <c r="G1045" s="8">
        <v>607.5358162</v>
      </c>
      <c r="H1045" s="8">
        <v>687</v>
      </c>
      <c r="I1045" s="8">
        <v>79.464183770000005</v>
      </c>
      <c r="J1045" s="8">
        <v>389.80477450000001</v>
      </c>
      <c r="K1045" s="8">
        <v>273.75934489999997</v>
      </c>
      <c r="L1045" s="8">
        <v>510.7960003</v>
      </c>
      <c r="M1045" s="9" t="str">
        <f>IF(A1045="",M1046,A1045)</f>
        <v>Cyprus</v>
      </c>
      <c r="N1045" s="3" t="str">
        <f t="shared" si="33"/>
        <v>Dec-2020</v>
      </c>
    </row>
    <row r="1046" spans="1:14" x14ac:dyDescent="0.3">
      <c r="A1046" s="3" t="s">
        <v>94</v>
      </c>
      <c r="B1046" s="3" t="s">
        <v>95</v>
      </c>
      <c r="C1046" s="8">
        <v>2021</v>
      </c>
      <c r="D1046" s="8">
        <v>1</v>
      </c>
      <c r="E1046" s="3" t="str">
        <f t="shared" si="32"/>
        <v>January</v>
      </c>
      <c r="F1046" s="3" t="s">
        <v>13</v>
      </c>
      <c r="G1046" s="8">
        <v>607.2108485</v>
      </c>
      <c r="H1046" s="8">
        <v>694</v>
      </c>
      <c r="I1046" s="8">
        <v>86.447670059999993</v>
      </c>
      <c r="J1046" s="8">
        <v>476.25244450000002</v>
      </c>
      <c r="K1046" s="8">
        <v>348.42459170000001</v>
      </c>
      <c r="L1046" s="8">
        <v>603.8487672</v>
      </c>
      <c r="M1046" s="9" t="str">
        <f>IF(A1046="",M1047,A1046)</f>
        <v>Cyprus</v>
      </c>
      <c r="N1046" s="3" t="str">
        <f t="shared" si="33"/>
        <v>Jan-2021</v>
      </c>
    </row>
    <row r="1047" spans="1:14" x14ac:dyDescent="0.3">
      <c r="A1047" s="3" t="s">
        <v>94</v>
      </c>
      <c r="B1047" s="3" t="s">
        <v>95</v>
      </c>
      <c r="C1047" s="8">
        <v>2021</v>
      </c>
      <c r="D1047" s="8">
        <v>2</v>
      </c>
      <c r="E1047" s="3" t="str">
        <f t="shared" si="32"/>
        <v>February</v>
      </c>
      <c r="F1047" s="3" t="s">
        <v>13</v>
      </c>
      <c r="G1047" s="8">
        <v>626.40882299999998</v>
      </c>
      <c r="H1047" s="8">
        <v>566</v>
      </c>
      <c r="I1047" s="8">
        <v>-60.750304409999998</v>
      </c>
      <c r="J1047" s="8">
        <v>415.50214010000002</v>
      </c>
      <c r="K1047" s="8">
        <v>273.34472879999998</v>
      </c>
      <c r="L1047" s="8">
        <v>545.58388160000004</v>
      </c>
      <c r="M1047" s="9" t="str">
        <f>IF(A1047="",M1048,A1047)</f>
        <v>Cyprus</v>
      </c>
      <c r="N1047" s="3" t="str">
        <f t="shared" si="33"/>
        <v>Feb-2021</v>
      </c>
    </row>
    <row r="1048" spans="1:14" x14ac:dyDescent="0.3">
      <c r="A1048" s="3" t="s">
        <v>94</v>
      </c>
      <c r="B1048" s="3" t="s">
        <v>95</v>
      </c>
      <c r="C1048" s="8">
        <v>2021</v>
      </c>
      <c r="D1048" s="8">
        <v>3</v>
      </c>
      <c r="E1048" s="3" t="str">
        <f t="shared" si="32"/>
        <v>March</v>
      </c>
      <c r="F1048" s="3" t="s">
        <v>13</v>
      </c>
      <c r="G1048" s="8">
        <v>592.40680550000002</v>
      </c>
      <c r="H1048" s="8">
        <v>585</v>
      </c>
      <c r="I1048" s="8">
        <v>-7.7482869579999996</v>
      </c>
      <c r="J1048" s="8">
        <v>407.75385319999998</v>
      </c>
      <c r="K1048" s="8">
        <v>259.0099128</v>
      </c>
      <c r="L1048" s="8">
        <v>547.61494440000001</v>
      </c>
      <c r="M1048" s="9" t="str">
        <f>IF(A1048="",M1049,A1048)</f>
        <v>Cyprus</v>
      </c>
      <c r="N1048" s="3" t="str">
        <f t="shared" si="33"/>
        <v>Mar-2021</v>
      </c>
    </row>
    <row r="1049" spans="1:14" x14ac:dyDescent="0.3">
      <c r="A1049" s="3" t="s">
        <v>94</v>
      </c>
      <c r="B1049" s="3" t="s">
        <v>95</v>
      </c>
      <c r="C1049" s="8">
        <v>2021</v>
      </c>
      <c r="D1049" s="8">
        <v>4</v>
      </c>
      <c r="E1049" s="3" t="str">
        <f t="shared" si="32"/>
        <v>April</v>
      </c>
      <c r="F1049" s="3" t="s">
        <v>13</v>
      </c>
      <c r="G1049" s="8">
        <v>542.7087272</v>
      </c>
      <c r="H1049" s="8">
        <v>666</v>
      </c>
      <c r="I1049" s="8">
        <v>122.9497914</v>
      </c>
      <c r="J1049" s="8">
        <v>530.7036445</v>
      </c>
      <c r="K1049" s="8">
        <v>377.34313980000002</v>
      </c>
      <c r="L1049" s="8">
        <v>676.44818150000003</v>
      </c>
      <c r="M1049" s="9" t="str">
        <f>IF(A1049="",M1050,A1049)</f>
        <v>Cyprus</v>
      </c>
      <c r="N1049" s="3" t="str">
        <f t="shared" si="33"/>
        <v>Apr-2021</v>
      </c>
    </row>
    <row r="1050" spans="1:14" x14ac:dyDescent="0.3">
      <c r="A1050" s="3" t="s">
        <v>94</v>
      </c>
      <c r="B1050" s="3" t="s">
        <v>95</v>
      </c>
      <c r="C1050" s="8">
        <v>2021</v>
      </c>
      <c r="D1050" s="8">
        <v>5</v>
      </c>
      <c r="E1050" s="3" t="str">
        <f t="shared" si="32"/>
        <v>May</v>
      </c>
      <c r="F1050" s="3" t="s">
        <v>13</v>
      </c>
      <c r="G1050" s="8">
        <v>496.92107720000001</v>
      </c>
      <c r="H1050" s="8">
        <v>561</v>
      </c>
      <c r="I1050" s="8">
        <v>63.737441320000002</v>
      </c>
      <c r="J1050" s="8">
        <v>594.44108589999996</v>
      </c>
      <c r="K1050" s="8">
        <v>441.13174249999997</v>
      </c>
      <c r="L1050" s="8">
        <v>749.3334261</v>
      </c>
      <c r="M1050" s="9" t="str">
        <f>IF(A1050="",M1051,A1050)</f>
        <v>Cyprus</v>
      </c>
      <c r="N1050" s="3" t="str">
        <f t="shared" si="33"/>
        <v>May-2021</v>
      </c>
    </row>
    <row r="1051" spans="1:14" x14ac:dyDescent="0.3">
      <c r="A1051" s="3" t="s">
        <v>94</v>
      </c>
      <c r="B1051" s="3" t="s">
        <v>95</v>
      </c>
      <c r="C1051" s="8">
        <v>2021</v>
      </c>
      <c r="D1051" s="8">
        <v>6</v>
      </c>
      <c r="E1051" s="3" t="str">
        <f t="shared" si="32"/>
        <v>June</v>
      </c>
      <c r="F1051" s="3" t="s">
        <v>13</v>
      </c>
      <c r="G1051" s="8">
        <v>472.62533580000002</v>
      </c>
      <c r="H1051" s="8">
        <v>510</v>
      </c>
      <c r="I1051" s="8">
        <v>37.033182750000002</v>
      </c>
      <c r="J1051" s="8">
        <v>631.47426859999996</v>
      </c>
      <c r="K1051" s="8">
        <v>477.59949360000002</v>
      </c>
      <c r="L1051" s="8">
        <v>790.08316709999997</v>
      </c>
      <c r="M1051" s="9" t="str">
        <f>IF(A1051="",M1052,A1051)</f>
        <v>Cyprus</v>
      </c>
      <c r="N1051" s="3" t="str">
        <f t="shared" si="33"/>
        <v>Jun-2021</v>
      </c>
    </row>
    <row r="1052" spans="1:14" x14ac:dyDescent="0.3">
      <c r="A1052" s="3" t="s">
        <v>94</v>
      </c>
      <c r="B1052" s="3" t="s">
        <v>95</v>
      </c>
      <c r="C1052" s="8">
        <v>2021</v>
      </c>
      <c r="D1052" s="8">
        <v>7</v>
      </c>
      <c r="E1052" s="3" t="str">
        <f t="shared" si="32"/>
        <v>July</v>
      </c>
      <c r="F1052" s="3" t="s">
        <v>13</v>
      </c>
      <c r="G1052" s="8">
        <v>484.76032370000001</v>
      </c>
      <c r="H1052" s="8">
        <v>661</v>
      </c>
      <c r="I1052" s="8">
        <v>175.89819489999999</v>
      </c>
      <c r="J1052" s="8">
        <v>807.37246349999998</v>
      </c>
      <c r="K1052" s="8">
        <v>650.78819099999998</v>
      </c>
      <c r="L1052" s="8">
        <v>972.60608569999999</v>
      </c>
      <c r="M1052" s="9" t="str">
        <f>IF(A1052="",M1053,A1052)</f>
        <v>Cyprus</v>
      </c>
      <c r="N1052" s="3" t="str">
        <f t="shared" si="33"/>
        <v>Jul-2021</v>
      </c>
    </row>
    <row r="1053" spans="1:14" x14ac:dyDescent="0.3">
      <c r="A1053" s="3" t="s">
        <v>94</v>
      </c>
      <c r="B1053" s="3" t="s">
        <v>95</v>
      </c>
      <c r="C1053" s="8">
        <v>2021</v>
      </c>
      <c r="D1053" s="8">
        <v>8</v>
      </c>
      <c r="E1053" s="3" t="str">
        <f t="shared" si="32"/>
        <v>August</v>
      </c>
      <c r="F1053" s="3" t="s">
        <v>13</v>
      </c>
      <c r="G1053" s="8">
        <v>482.79835750000001</v>
      </c>
      <c r="H1053" s="8">
        <v>711</v>
      </c>
      <c r="I1053" s="8">
        <v>227.86016100000001</v>
      </c>
      <c r="J1053" s="8">
        <v>1035.2326250000001</v>
      </c>
      <c r="K1053" s="8">
        <v>876.29342880000002</v>
      </c>
      <c r="L1053" s="8">
        <v>1205.0791859999999</v>
      </c>
      <c r="M1053" s="9" t="str">
        <f>IF(A1053="",M1054,A1053)</f>
        <v>Cyprus</v>
      </c>
      <c r="N1053" s="3" t="str">
        <f t="shared" si="33"/>
        <v>Aug-2021</v>
      </c>
    </row>
    <row r="1054" spans="1:14" x14ac:dyDescent="0.3">
      <c r="A1054" s="3" t="s">
        <v>94</v>
      </c>
      <c r="B1054" s="3" t="s">
        <v>95</v>
      </c>
      <c r="C1054" s="8">
        <v>2021</v>
      </c>
      <c r="D1054" s="8">
        <v>9</v>
      </c>
      <c r="E1054" s="3" t="str">
        <f t="shared" si="32"/>
        <v>September</v>
      </c>
      <c r="F1054" s="3" t="s">
        <v>13</v>
      </c>
      <c r="G1054" s="8">
        <v>468.66392669999999</v>
      </c>
      <c r="H1054" s="8">
        <v>570</v>
      </c>
      <c r="I1054" s="8">
        <v>100.99459179999999</v>
      </c>
      <c r="J1054" s="8">
        <v>1136.227216</v>
      </c>
      <c r="K1054" s="8">
        <v>971.4620208</v>
      </c>
      <c r="L1054" s="8">
        <v>1306.5850379999999</v>
      </c>
      <c r="M1054" s="9" t="str">
        <f>IF(A1054="",M1055,A1054)</f>
        <v>Cyprus</v>
      </c>
      <c r="N1054" s="3" t="str">
        <f t="shared" si="33"/>
        <v>Sep-2021</v>
      </c>
    </row>
    <row r="1055" spans="1:14" x14ac:dyDescent="0.3">
      <c r="A1055" s="3" t="s">
        <v>94</v>
      </c>
      <c r="B1055" s="3" t="s">
        <v>95</v>
      </c>
      <c r="C1055" s="8">
        <v>2021</v>
      </c>
      <c r="D1055" s="8">
        <v>10</v>
      </c>
      <c r="E1055" s="3" t="str">
        <f t="shared" si="32"/>
        <v>October</v>
      </c>
      <c r="F1055" s="3" t="s">
        <v>13</v>
      </c>
      <c r="G1055" s="8">
        <v>476.19901490000001</v>
      </c>
      <c r="H1055" s="8">
        <v>555</v>
      </c>
      <c r="I1055" s="8">
        <v>78.459503639999994</v>
      </c>
      <c r="J1055" s="8">
        <v>1214.6867199999999</v>
      </c>
      <c r="K1055" s="8">
        <v>1046.9988470000001</v>
      </c>
      <c r="L1055" s="8">
        <v>1381.6670959999999</v>
      </c>
      <c r="M1055" s="9" t="str">
        <f>IF(A1055="",M1056,A1055)</f>
        <v>Cyprus</v>
      </c>
      <c r="N1055" s="3" t="str">
        <f t="shared" si="33"/>
        <v>Oct-2021</v>
      </c>
    </row>
    <row r="1056" spans="1:14" x14ac:dyDescent="0.3">
      <c r="A1056" s="3" t="s">
        <v>94</v>
      </c>
      <c r="B1056" s="3" t="s">
        <v>95</v>
      </c>
      <c r="C1056" s="8">
        <v>2021</v>
      </c>
      <c r="D1056" s="8">
        <v>11</v>
      </c>
      <c r="E1056" s="3" t="str">
        <f t="shared" si="32"/>
        <v>November</v>
      </c>
      <c r="F1056" s="3" t="s">
        <v>13</v>
      </c>
      <c r="G1056" s="8">
        <v>527.25842499999999</v>
      </c>
      <c r="H1056" s="8">
        <v>602</v>
      </c>
      <c r="I1056" s="8">
        <v>74.400093530000007</v>
      </c>
      <c r="J1056" s="8">
        <v>1289.086814</v>
      </c>
      <c r="K1056" s="8">
        <v>1114.8749419999999</v>
      </c>
      <c r="L1056" s="8">
        <v>1464.0757040000001</v>
      </c>
      <c r="M1056" s="9" t="str">
        <f>IF(A1056="",M1057,A1056)</f>
        <v>Cyprus</v>
      </c>
      <c r="N1056" s="3" t="str">
        <f t="shared" si="33"/>
        <v>Nov-2021</v>
      </c>
    </row>
    <row r="1057" spans="1:14" x14ac:dyDescent="0.3">
      <c r="A1057" s="3" t="s">
        <v>94</v>
      </c>
      <c r="B1057" s="3" t="s">
        <v>95</v>
      </c>
      <c r="C1057" s="8">
        <v>2021</v>
      </c>
      <c r="D1057" s="8">
        <v>12</v>
      </c>
      <c r="E1057" s="3" t="str">
        <f t="shared" si="32"/>
        <v>December</v>
      </c>
      <c r="F1057" s="3" t="s">
        <v>13</v>
      </c>
      <c r="G1057" s="8">
        <v>616.65818950000005</v>
      </c>
      <c r="H1057" s="8">
        <v>727</v>
      </c>
      <c r="I1057" s="8">
        <v>110.00032899999999</v>
      </c>
      <c r="J1057" s="8">
        <v>1399.087143</v>
      </c>
      <c r="K1057" s="8">
        <v>1224.185571</v>
      </c>
      <c r="L1057" s="8">
        <v>1584.533719</v>
      </c>
      <c r="M1057" s="9" t="str">
        <f>IF(A1057="",M1058,A1057)</f>
        <v>Cyprus</v>
      </c>
      <c r="N1057" s="3" t="str">
        <f t="shared" si="33"/>
        <v>Dec-2021</v>
      </c>
    </row>
    <row r="1058" spans="1:14" x14ac:dyDescent="0.3">
      <c r="A1058" s="3" t="s">
        <v>96</v>
      </c>
      <c r="B1058" s="3" t="s">
        <v>97</v>
      </c>
      <c r="C1058" s="8">
        <v>2020</v>
      </c>
      <c r="D1058" s="8">
        <v>1</v>
      </c>
      <c r="E1058" s="3" t="str">
        <f t="shared" si="32"/>
        <v>January</v>
      </c>
      <c r="F1058" s="3" t="s">
        <v>13</v>
      </c>
      <c r="G1058" s="8">
        <v>10036.749169999999</v>
      </c>
      <c r="H1058" s="8">
        <v>10241</v>
      </c>
      <c r="I1058" s="8">
        <v>203.2508311</v>
      </c>
      <c r="J1058" s="8">
        <v>203.2508311</v>
      </c>
      <c r="K1058" s="8">
        <v>-195.04269719999999</v>
      </c>
      <c r="L1058" s="8">
        <v>584.62991669999997</v>
      </c>
      <c r="M1058" s="9" t="str">
        <f>IF(A1058="",M1059,A1058)</f>
        <v>Czechia</v>
      </c>
      <c r="N1058" s="3" t="str">
        <f t="shared" si="33"/>
        <v>Jan-2020</v>
      </c>
    </row>
    <row r="1059" spans="1:14" x14ac:dyDescent="0.3">
      <c r="A1059" s="3" t="s">
        <v>96</v>
      </c>
      <c r="B1059" s="3" t="s">
        <v>97</v>
      </c>
      <c r="C1059" s="8">
        <v>2020</v>
      </c>
      <c r="D1059" s="8">
        <v>2</v>
      </c>
      <c r="E1059" s="3" t="str">
        <f t="shared" si="32"/>
        <v>February</v>
      </c>
      <c r="F1059" s="3" t="s">
        <v>13</v>
      </c>
      <c r="G1059" s="8">
        <v>10273.86715</v>
      </c>
      <c r="H1059" s="8">
        <v>9794</v>
      </c>
      <c r="I1059" s="8">
        <v>-480.8671473</v>
      </c>
      <c r="J1059" s="8">
        <v>-277.61631620000003</v>
      </c>
      <c r="K1059" s="8">
        <v>-887.57768869999995</v>
      </c>
      <c r="L1059" s="8">
        <v>312.05996870000001</v>
      </c>
      <c r="M1059" s="9" t="str">
        <f>IF(A1059="",M1060,A1059)</f>
        <v>Czechia</v>
      </c>
      <c r="N1059" s="3" t="str">
        <f t="shared" si="33"/>
        <v>Feb-2020</v>
      </c>
    </row>
    <row r="1060" spans="1:14" x14ac:dyDescent="0.3">
      <c r="A1060" s="3" t="s">
        <v>96</v>
      </c>
      <c r="B1060" s="3" t="s">
        <v>97</v>
      </c>
      <c r="C1060" s="8">
        <v>2020</v>
      </c>
      <c r="D1060" s="8">
        <v>3</v>
      </c>
      <c r="E1060" s="3" t="str">
        <f t="shared" si="32"/>
        <v>March</v>
      </c>
      <c r="F1060" s="3" t="s">
        <v>13</v>
      </c>
      <c r="G1060" s="8">
        <v>10077.243109999999</v>
      </c>
      <c r="H1060" s="8">
        <v>10211</v>
      </c>
      <c r="I1060" s="8">
        <v>132.7568885</v>
      </c>
      <c r="J1060" s="8">
        <v>-144.8594277</v>
      </c>
      <c r="K1060" s="8">
        <v>-935.54396150000002</v>
      </c>
      <c r="L1060" s="8">
        <v>644.63108209999996</v>
      </c>
      <c r="M1060" s="9" t="str">
        <f>IF(A1060="",M1061,A1060)</f>
        <v>Czechia</v>
      </c>
      <c r="N1060" s="3" t="str">
        <f t="shared" si="33"/>
        <v>Mar-2020</v>
      </c>
    </row>
    <row r="1061" spans="1:14" x14ac:dyDescent="0.3">
      <c r="A1061" s="3" t="s">
        <v>96</v>
      </c>
      <c r="B1061" s="3" t="s">
        <v>97</v>
      </c>
      <c r="C1061" s="8">
        <v>2020</v>
      </c>
      <c r="D1061" s="8">
        <v>4</v>
      </c>
      <c r="E1061" s="3" t="str">
        <f t="shared" si="32"/>
        <v>April</v>
      </c>
      <c r="F1061" s="3" t="s">
        <v>13</v>
      </c>
      <c r="G1061" s="8">
        <v>9425.8315380000004</v>
      </c>
      <c r="H1061" s="8">
        <v>9267</v>
      </c>
      <c r="I1061" s="8">
        <v>-159.83153820000001</v>
      </c>
      <c r="J1061" s="8">
        <v>-304.69096580000001</v>
      </c>
      <c r="K1061" s="8">
        <v>-1187.7255459999999</v>
      </c>
      <c r="L1061" s="8">
        <v>626.97859459999995</v>
      </c>
      <c r="M1061" s="9" t="str">
        <f>IF(A1061="",M1062,A1061)</f>
        <v>Czechia</v>
      </c>
      <c r="N1061" s="3" t="str">
        <f t="shared" si="33"/>
        <v>Apr-2020</v>
      </c>
    </row>
    <row r="1062" spans="1:14" x14ac:dyDescent="0.3">
      <c r="A1062" s="3" t="s">
        <v>96</v>
      </c>
      <c r="B1062" s="3" t="s">
        <v>97</v>
      </c>
      <c r="C1062" s="8">
        <v>2020</v>
      </c>
      <c r="D1062" s="8">
        <v>5</v>
      </c>
      <c r="E1062" s="3" t="str">
        <f t="shared" si="32"/>
        <v>May</v>
      </c>
      <c r="F1062" s="3" t="s">
        <v>13</v>
      </c>
      <c r="G1062" s="8">
        <v>8939.0067620000009</v>
      </c>
      <c r="H1062" s="8">
        <v>8787</v>
      </c>
      <c r="I1062" s="8">
        <v>-153.00676250000001</v>
      </c>
      <c r="J1062" s="8">
        <v>-457.69772829999999</v>
      </c>
      <c r="K1062" s="8">
        <v>-1471.3834899999999</v>
      </c>
      <c r="L1062" s="8">
        <v>601.98493759999997</v>
      </c>
      <c r="M1062" s="9" t="str">
        <f>IF(A1062="",M1063,A1062)</f>
        <v>Czechia</v>
      </c>
      <c r="N1062" s="3" t="str">
        <f t="shared" si="33"/>
        <v>May-2020</v>
      </c>
    </row>
    <row r="1063" spans="1:14" x14ac:dyDescent="0.3">
      <c r="A1063" s="3" t="s">
        <v>96</v>
      </c>
      <c r="B1063" s="3" t="s">
        <v>97</v>
      </c>
      <c r="C1063" s="8">
        <v>2020</v>
      </c>
      <c r="D1063" s="8">
        <v>6</v>
      </c>
      <c r="E1063" s="3" t="str">
        <f t="shared" si="32"/>
        <v>June</v>
      </c>
      <c r="F1063" s="3" t="s">
        <v>13</v>
      </c>
      <c r="G1063" s="8">
        <v>8734.3751900000007</v>
      </c>
      <c r="H1063" s="8">
        <v>8825</v>
      </c>
      <c r="I1063" s="8">
        <v>89.624810449999998</v>
      </c>
      <c r="J1063" s="8">
        <v>-368.07291789999999</v>
      </c>
      <c r="K1063" s="8">
        <v>-1438.0948490000001</v>
      </c>
      <c r="L1063" s="8">
        <v>681.52479879999999</v>
      </c>
      <c r="M1063" s="9" t="str">
        <f>IF(A1063="",M1064,A1063)</f>
        <v>Czechia</v>
      </c>
      <c r="N1063" s="3" t="str">
        <f t="shared" si="33"/>
        <v>Jun-2020</v>
      </c>
    </row>
    <row r="1064" spans="1:14" x14ac:dyDescent="0.3">
      <c r="A1064" s="3" t="s">
        <v>96</v>
      </c>
      <c r="B1064" s="3" t="s">
        <v>97</v>
      </c>
      <c r="C1064" s="8">
        <v>2020</v>
      </c>
      <c r="D1064" s="8">
        <v>7</v>
      </c>
      <c r="E1064" s="3" t="str">
        <f t="shared" si="32"/>
        <v>July</v>
      </c>
      <c r="F1064" s="3" t="s">
        <v>13</v>
      </c>
      <c r="G1064" s="8">
        <v>8843.2787000000008</v>
      </c>
      <c r="H1064" s="8">
        <v>9175</v>
      </c>
      <c r="I1064" s="8">
        <v>330.72130019999997</v>
      </c>
      <c r="J1064" s="8">
        <v>-37.35161763</v>
      </c>
      <c r="K1064" s="8">
        <v>-1215.6628579999999</v>
      </c>
      <c r="L1064" s="8">
        <v>1090.712123</v>
      </c>
      <c r="M1064" s="9" t="str">
        <f>IF(A1064="",M1065,A1064)</f>
        <v>Czechia</v>
      </c>
      <c r="N1064" s="3" t="str">
        <f t="shared" si="33"/>
        <v>Jul-2020</v>
      </c>
    </row>
    <row r="1065" spans="1:14" x14ac:dyDescent="0.3">
      <c r="A1065" s="3" t="s">
        <v>96</v>
      </c>
      <c r="B1065" s="3" t="s">
        <v>97</v>
      </c>
      <c r="C1065" s="8">
        <v>2020</v>
      </c>
      <c r="D1065" s="8">
        <v>8</v>
      </c>
      <c r="E1065" s="3" t="str">
        <f t="shared" si="32"/>
        <v>August</v>
      </c>
      <c r="F1065" s="3" t="s">
        <v>13</v>
      </c>
      <c r="G1065" s="8">
        <v>8882.4149199999993</v>
      </c>
      <c r="H1065" s="8">
        <v>9417</v>
      </c>
      <c r="I1065" s="8">
        <v>533.58508019999999</v>
      </c>
      <c r="J1065" s="8">
        <v>496.2334626</v>
      </c>
      <c r="K1065" s="8">
        <v>-797.84612179999999</v>
      </c>
      <c r="L1065" s="8">
        <v>1708.6924280000001</v>
      </c>
      <c r="M1065" s="9" t="str">
        <f>IF(A1065="",M1066,A1065)</f>
        <v>Czechia</v>
      </c>
      <c r="N1065" s="3" t="str">
        <f t="shared" si="33"/>
        <v>Aug-2020</v>
      </c>
    </row>
    <row r="1066" spans="1:14" x14ac:dyDescent="0.3">
      <c r="A1066" s="3" t="s">
        <v>96</v>
      </c>
      <c r="B1066" s="3" t="s">
        <v>97</v>
      </c>
      <c r="C1066" s="8">
        <v>2020</v>
      </c>
      <c r="D1066" s="8">
        <v>9</v>
      </c>
      <c r="E1066" s="3" t="str">
        <f t="shared" si="32"/>
        <v>September</v>
      </c>
      <c r="F1066" s="3" t="s">
        <v>13</v>
      </c>
      <c r="G1066" s="8">
        <v>8881.9613730000001</v>
      </c>
      <c r="H1066" s="8">
        <v>9468</v>
      </c>
      <c r="I1066" s="8">
        <v>585.03862700000002</v>
      </c>
      <c r="J1066" s="8">
        <v>1081.2720899999999</v>
      </c>
      <c r="K1066" s="8">
        <v>-287.11889530000002</v>
      </c>
      <c r="L1066" s="8">
        <v>2384.852398</v>
      </c>
      <c r="M1066" s="9" t="str">
        <f>IF(A1066="",M1067,A1066)</f>
        <v>Czechia</v>
      </c>
      <c r="N1066" s="3" t="str">
        <f t="shared" si="33"/>
        <v>Sep-2020</v>
      </c>
    </row>
    <row r="1067" spans="1:14" x14ac:dyDescent="0.3">
      <c r="A1067" s="3" t="s">
        <v>96</v>
      </c>
      <c r="B1067" s="3" t="s">
        <v>97</v>
      </c>
      <c r="C1067" s="8">
        <v>2020</v>
      </c>
      <c r="D1067" s="8">
        <v>10</v>
      </c>
      <c r="E1067" s="3" t="str">
        <f t="shared" si="32"/>
        <v>October</v>
      </c>
      <c r="F1067" s="3" t="s">
        <v>13</v>
      </c>
      <c r="G1067" s="8">
        <v>9091.3493990000006</v>
      </c>
      <c r="H1067" s="8">
        <v>14185</v>
      </c>
      <c r="I1067" s="8">
        <v>5092.6506010000003</v>
      </c>
      <c r="J1067" s="8">
        <v>6173.9226909999998</v>
      </c>
      <c r="K1067" s="8">
        <v>4819.3401050000002</v>
      </c>
      <c r="L1067" s="8">
        <v>7535.2320300000001</v>
      </c>
      <c r="M1067" s="9" t="str">
        <f>IF(A1067="",M1068,A1067)</f>
        <v>Czechia</v>
      </c>
      <c r="N1067" s="3" t="str">
        <f t="shared" si="33"/>
        <v>Oct-2020</v>
      </c>
    </row>
    <row r="1068" spans="1:14" x14ac:dyDescent="0.3">
      <c r="A1068" s="3" t="s">
        <v>96</v>
      </c>
      <c r="B1068" s="3" t="s">
        <v>97</v>
      </c>
      <c r="C1068" s="8">
        <v>2020</v>
      </c>
      <c r="D1068" s="8">
        <v>11</v>
      </c>
      <c r="E1068" s="3" t="str">
        <f t="shared" si="32"/>
        <v>November</v>
      </c>
      <c r="F1068" s="3" t="s">
        <v>13</v>
      </c>
      <c r="G1068" s="8">
        <v>9457.7893550000008</v>
      </c>
      <c r="H1068" s="8">
        <v>15730</v>
      </c>
      <c r="I1068" s="8">
        <v>6271.2106450000001</v>
      </c>
      <c r="J1068" s="8">
        <v>12445.13334</v>
      </c>
      <c r="K1068" s="8">
        <v>10969.385410000001</v>
      </c>
      <c r="L1068" s="8">
        <v>13806.383529999999</v>
      </c>
      <c r="M1068" s="9" t="str">
        <f>IF(A1068="",M1069,A1068)</f>
        <v>Czechia</v>
      </c>
      <c r="N1068" s="3" t="str">
        <f t="shared" si="33"/>
        <v>Nov-2020</v>
      </c>
    </row>
    <row r="1069" spans="1:14" x14ac:dyDescent="0.3">
      <c r="A1069" s="3" t="s">
        <v>96</v>
      </c>
      <c r="B1069" s="3" t="s">
        <v>97</v>
      </c>
      <c r="C1069" s="8">
        <v>2020</v>
      </c>
      <c r="D1069" s="8">
        <v>12</v>
      </c>
      <c r="E1069" s="3" t="str">
        <f t="shared" si="32"/>
        <v>December</v>
      </c>
      <c r="F1069" s="3" t="s">
        <v>13</v>
      </c>
      <c r="G1069" s="8">
        <v>10071.47752</v>
      </c>
      <c r="H1069" s="8">
        <v>14227</v>
      </c>
      <c r="I1069" s="8">
        <v>4154.5224799999996</v>
      </c>
      <c r="J1069" s="8">
        <v>16599.65582</v>
      </c>
      <c r="K1069" s="8">
        <v>15155.88459</v>
      </c>
      <c r="L1069" s="8">
        <v>17977.779879999998</v>
      </c>
      <c r="M1069" s="9" t="str">
        <f>IF(A1069="",M1070,A1069)</f>
        <v>Czechia</v>
      </c>
      <c r="N1069" s="3" t="str">
        <f t="shared" si="33"/>
        <v>Dec-2020</v>
      </c>
    </row>
    <row r="1070" spans="1:14" x14ac:dyDescent="0.3">
      <c r="A1070" s="3" t="s">
        <v>96</v>
      </c>
      <c r="B1070" s="3" t="s">
        <v>97</v>
      </c>
      <c r="C1070" s="8">
        <v>2021</v>
      </c>
      <c r="D1070" s="8">
        <v>1</v>
      </c>
      <c r="E1070" s="3" t="str">
        <f t="shared" si="32"/>
        <v>January</v>
      </c>
      <c r="F1070" s="3" t="s">
        <v>13</v>
      </c>
      <c r="G1070" s="8">
        <v>10087.936750000001</v>
      </c>
      <c r="H1070" s="8">
        <v>16152</v>
      </c>
      <c r="I1070" s="8">
        <v>6063.4799160000002</v>
      </c>
      <c r="J1070" s="8">
        <v>22663.135730000002</v>
      </c>
      <c r="K1070" s="8">
        <v>21109.076010000001</v>
      </c>
      <c r="L1070" s="8">
        <v>24143.423409999999</v>
      </c>
      <c r="M1070" s="9" t="str">
        <f>IF(A1070="",M1071,A1070)</f>
        <v>Czechia</v>
      </c>
      <c r="N1070" s="3" t="str">
        <f t="shared" si="33"/>
        <v>Jan-2021</v>
      </c>
    </row>
    <row r="1071" spans="1:14" x14ac:dyDescent="0.3">
      <c r="A1071" s="3" t="s">
        <v>96</v>
      </c>
      <c r="B1071" s="3" t="s">
        <v>97</v>
      </c>
      <c r="C1071" s="8">
        <v>2021</v>
      </c>
      <c r="D1071" s="8">
        <v>2</v>
      </c>
      <c r="E1071" s="3" t="str">
        <f t="shared" si="32"/>
        <v>February</v>
      </c>
      <c r="F1071" s="3" t="s">
        <v>13</v>
      </c>
      <c r="G1071" s="8">
        <v>10320.32656</v>
      </c>
      <c r="H1071" s="8">
        <v>13820</v>
      </c>
      <c r="I1071" s="8">
        <v>3499.0901100000001</v>
      </c>
      <c r="J1071" s="8">
        <v>26162.225839999999</v>
      </c>
      <c r="K1071" s="8">
        <v>24457.930690000001</v>
      </c>
      <c r="L1071" s="8">
        <v>27773.231739999999</v>
      </c>
      <c r="M1071" s="9" t="str">
        <f>IF(A1071="",M1072,A1071)</f>
        <v>Czechia</v>
      </c>
      <c r="N1071" s="3" t="str">
        <f t="shared" si="33"/>
        <v>Feb-2021</v>
      </c>
    </row>
    <row r="1072" spans="1:14" x14ac:dyDescent="0.3">
      <c r="A1072" s="3" t="s">
        <v>96</v>
      </c>
      <c r="B1072" s="3" t="s">
        <v>97</v>
      </c>
      <c r="C1072" s="8">
        <v>2021</v>
      </c>
      <c r="D1072" s="8">
        <v>3</v>
      </c>
      <c r="E1072" s="3" t="str">
        <f t="shared" si="32"/>
        <v>March</v>
      </c>
      <c r="F1072" s="3" t="s">
        <v>13</v>
      </c>
      <c r="G1072" s="8">
        <v>10120.77865</v>
      </c>
      <c r="H1072" s="8">
        <v>16704</v>
      </c>
      <c r="I1072" s="8">
        <v>6582.6380200000003</v>
      </c>
      <c r="J1072" s="8">
        <v>32744.863860000001</v>
      </c>
      <c r="K1072" s="8">
        <v>30963.741590000001</v>
      </c>
      <c r="L1072" s="8">
        <v>34521.501609999999</v>
      </c>
      <c r="M1072" s="9" t="str">
        <f>IF(A1072="",M1073,A1072)</f>
        <v>Czechia</v>
      </c>
      <c r="N1072" s="3" t="str">
        <f t="shared" si="33"/>
        <v>Mar-2021</v>
      </c>
    </row>
    <row r="1073" spans="1:14" x14ac:dyDescent="0.3">
      <c r="A1073" s="3" t="s">
        <v>96</v>
      </c>
      <c r="B1073" s="3" t="s">
        <v>97</v>
      </c>
      <c r="C1073" s="8">
        <v>2021</v>
      </c>
      <c r="D1073" s="8">
        <v>4</v>
      </c>
      <c r="E1073" s="3" t="str">
        <f t="shared" si="32"/>
        <v>April</v>
      </c>
      <c r="F1073" s="3" t="s">
        <v>13</v>
      </c>
      <c r="G1073" s="8">
        <v>9473.3799760000002</v>
      </c>
      <c r="H1073" s="8">
        <v>11801</v>
      </c>
      <c r="I1073" s="8">
        <v>2327.0366899999999</v>
      </c>
      <c r="J1073" s="8">
        <v>35071.900549999998</v>
      </c>
      <c r="K1073" s="8">
        <v>33322.247840000004</v>
      </c>
      <c r="L1073" s="8">
        <v>37007.697679999997</v>
      </c>
      <c r="M1073" s="9" t="str">
        <f>IF(A1073="",M1074,A1073)</f>
        <v>Czechia</v>
      </c>
      <c r="N1073" s="3" t="str">
        <f t="shared" si="33"/>
        <v>Apr-2021</v>
      </c>
    </row>
    <row r="1074" spans="1:14" x14ac:dyDescent="0.3">
      <c r="A1074" s="3" t="s">
        <v>96</v>
      </c>
      <c r="B1074" s="3" t="s">
        <v>97</v>
      </c>
      <c r="C1074" s="8">
        <v>2021</v>
      </c>
      <c r="D1074" s="8">
        <v>5</v>
      </c>
      <c r="E1074" s="3" t="str">
        <f t="shared" si="32"/>
        <v>May</v>
      </c>
      <c r="F1074" s="3" t="s">
        <v>13</v>
      </c>
      <c r="G1074" s="8">
        <v>8993.6184529999991</v>
      </c>
      <c r="H1074" s="8">
        <v>9564</v>
      </c>
      <c r="I1074" s="8">
        <v>569.79821349999997</v>
      </c>
      <c r="J1074" s="8">
        <v>35641.698770000003</v>
      </c>
      <c r="K1074" s="8">
        <v>33839.481520000001</v>
      </c>
      <c r="L1074" s="8">
        <v>37624.844349999999</v>
      </c>
      <c r="M1074" s="9" t="str">
        <f>IF(A1074="",M1075,A1074)</f>
        <v>Czechia</v>
      </c>
      <c r="N1074" s="3" t="str">
        <f t="shared" si="33"/>
        <v>May-2021</v>
      </c>
    </row>
    <row r="1075" spans="1:14" x14ac:dyDescent="0.3">
      <c r="A1075" s="3" t="s">
        <v>96</v>
      </c>
      <c r="B1075" s="3" t="s">
        <v>97</v>
      </c>
      <c r="C1075" s="8">
        <v>2021</v>
      </c>
      <c r="D1075" s="8">
        <v>6</v>
      </c>
      <c r="E1075" s="3" t="str">
        <f t="shared" si="32"/>
        <v>June</v>
      </c>
      <c r="F1075" s="3" t="s">
        <v>13</v>
      </c>
      <c r="G1075" s="8">
        <v>8779.685082</v>
      </c>
      <c r="H1075" s="8">
        <v>8593</v>
      </c>
      <c r="I1075" s="8">
        <v>-187.2684151</v>
      </c>
      <c r="J1075" s="8">
        <v>35454.430350000002</v>
      </c>
      <c r="K1075" s="8">
        <v>33574.492319999998</v>
      </c>
      <c r="L1075" s="8">
        <v>37455.607949999998</v>
      </c>
      <c r="M1075" s="9" t="str">
        <f>IF(A1075="",M1076,A1075)</f>
        <v>Czechia</v>
      </c>
      <c r="N1075" s="3" t="str">
        <f t="shared" si="33"/>
        <v>Jun-2021</v>
      </c>
    </row>
    <row r="1076" spans="1:14" x14ac:dyDescent="0.3">
      <c r="A1076" s="3" t="s">
        <v>96</v>
      </c>
      <c r="B1076" s="3" t="s">
        <v>97</v>
      </c>
      <c r="C1076" s="8">
        <v>2021</v>
      </c>
      <c r="D1076" s="8">
        <v>7</v>
      </c>
      <c r="E1076" s="3" t="str">
        <f t="shared" si="32"/>
        <v>July</v>
      </c>
      <c r="F1076" s="3" t="s">
        <v>13</v>
      </c>
      <c r="G1076" s="8">
        <v>8875.8271519999998</v>
      </c>
      <c r="H1076" s="8">
        <v>8808</v>
      </c>
      <c r="I1076" s="8">
        <v>-68.410485640000005</v>
      </c>
      <c r="J1076" s="8">
        <v>35386.01986</v>
      </c>
      <c r="K1076" s="8">
        <v>33488.186759999997</v>
      </c>
      <c r="L1076" s="8">
        <v>37534.110820000002</v>
      </c>
      <c r="M1076" s="9" t="str">
        <f>IF(A1076="",M1077,A1076)</f>
        <v>Czechia</v>
      </c>
      <c r="N1076" s="3" t="str">
        <f t="shared" si="33"/>
        <v>Jul-2021</v>
      </c>
    </row>
    <row r="1077" spans="1:14" x14ac:dyDescent="0.3">
      <c r="A1077" s="3" t="s">
        <v>96</v>
      </c>
      <c r="B1077" s="3" t="s">
        <v>97</v>
      </c>
      <c r="C1077" s="8">
        <v>2021</v>
      </c>
      <c r="D1077" s="8">
        <v>8</v>
      </c>
      <c r="E1077" s="3" t="str">
        <f t="shared" si="32"/>
        <v>August</v>
      </c>
      <c r="F1077" s="3" t="s">
        <v>13</v>
      </c>
      <c r="G1077" s="8">
        <v>8922.3742910000001</v>
      </c>
      <c r="H1077" s="8">
        <v>8754</v>
      </c>
      <c r="I1077" s="8">
        <v>-168.95762400000001</v>
      </c>
      <c r="J1077" s="8">
        <v>35217.062239999999</v>
      </c>
      <c r="K1077" s="8">
        <v>33371.975989999999</v>
      </c>
      <c r="L1077" s="8">
        <v>37418.189789999997</v>
      </c>
      <c r="M1077" s="9" t="str">
        <f>IF(A1077="",M1078,A1077)</f>
        <v>Czechia</v>
      </c>
      <c r="N1077" s="3" t="str">
        <f t="shared" si="33"/>
        <v>Aug-2021</v>
      </c>
    </row>
    <row r="1078" spans="1:14" x14ac:dyDescent="0.3">
      <c r="A1078" s="3" t="s">
        <v>96</v>
      </c>
      <c r="B1078" s="3" t="s">
        <v>97</v>
      </c>
      <c r="C1078" s="8">
        <v>2021</v>
      </c>
      <c r="D1078" s="8">
        <v>9</v>
      </c>
      <c r="E1078" s="3" t="str">
        <f t="shared" si="32"/>
        <v>September</v>
      </c>
      <c r="F1078" s="3" t="s">
        <v>13</v>
      </c>
      <c r="G1078" s="8">
        <v>8897.751483</v>
      </c>
      <c r="H1078" s="8">
        <v>8910</v>
      </c>
      <c r="I1078" s="8">
        <v>11.665184</v>
      </c>
      <c r="J1078" s="8">
        <v>35228.727420000003</v>
      </c>
      <c r="K1078" s="8">
        <v>33220.117700000003</v>
      </c>
      <c r="L1078" s="8">
        <v>37437.440219999997</v>
      </c>
      <c r="M1078" s="9" t="str">
        <f>IF(A1078="",M1079,A1078)</f>
        <v>Czechia</v>
      </c>
      <c r="N1078" s="3" t="str">
        <f t="shared" si="33"/>
        <v>Sep-2021</v>
      </c>
    </row>
    <row r="1079" spans="1:14" x14ac:dyDescent="0.3">
      <c r="A1079" s="3" t="s">
        <v>96</v>
      </c>
      <c r="B1079" s="3" t="s">
        <v>97</v>
      </c>
      <c r="C1079" s="8">
        <v>2021</v>
      </c>
      <c r="D1079" s="8">
        <v>10</v>
      </c>
      <c r="E1079" s="3" t="str">
        <f t="shared" si="32"/>
        <v>October</v>
      </c>
      <c r="F1079" s="3" t="s">
        <v>13</v>
      </c>
      <c r="G1079" s="8">
        <v>9149.6123889999999</v>
      </c>
      <c r="H1079" s="8">
        <v>10099</v>
      </c>
      <c r="I1079" s="8">
        <v>948.80427810000003</v>
      </c>
      <c r="J1079" s="8">
        <v>36177.5317</v>
      </c>
      <c r="K1079" s="8">
        <v>33984.207649999997</v>
      </c>
      <c r="L1079" s="8">
        <v>38466.228470000002</v>
      </c>
      <c r="M1079" s="9" t="str">
        <f>IF(A1079="",M1080,A1079)</f>
        <v>Czechia</v>
      </c>
      <c r="N1079" s="3" t="str">
        <f t="shared" si="33"/>
        <v>Oct-2021</v>
      </c>
    </row>
    <row r="1080" spans="1:14" x14ac:dyDescent="0.3">
      <c r="A1080" s="3" t="s">
        <v>96</v>
      </c>
      <c r="B1080" s="3" t="s">
        <v>97</v>
      </c>
      <c r="C1080" s="8">
        <v>2021</v>
      </c>
      <c r="D1080" s="8">
        <v>11</v>
      </c>
      <c r="E1080" s="3" t="str">
        <f t="shared" si="32"/>
        <v>November</v>
      </c>
      <c r="F1080" s="3" t="s">
        <v>13</v>
      </c>
      <c r="G1080" s="8">
        <v>9476.2450420000005</v>
      </c>
      <c r="H1080" s="8">
        <v>12824</v>
      </c>
      <c r="I1080" s="8">
        <v>3347.1716240000001</v>
      </c>
      <c r="J1080" s="8">
        <v>39524.703329999997</v>
      </c>
      <c r="K1080" s="8">
        <v>37251.212339999998</v>
      </c>
      <c r="L1080" s="8">
        <v>41794.138160000002</v>
      </c>
      <c r="M1080" s="9" t="str">
        <f>IF(A1080="",M1081,A1080)</f>
        <v>Czechia</v>
      </c>
      <c r="N1080" s="3" t="str">
        <f t="shared" si="33"/>
        <v>Nov-2021</v>
      </c>
    </row>
    <row r="1081" spans="1:14" x14ac:dyDescent="0.3">
      <c r="A1081" s="3" t="s">
        <v>96</v>
      </c>
      <c r="B1081" s="3" t="s">
        <v>97</v>
      </c>
      <c r="C1081" s="8">
        <v>2021</v>
      </c>
      <c r="D1081" s="8">
        <v>12</v>
      </c>
      <c r="E1081" s="3" t="str">
        <f t="shared" si="32"/>
        <v>December</v>
      </c>
      <c r="F1081" s="3" t="s">
        <v>13</v>
      </c>
      <c r="G1081" s="8">
        <v>10123.18147</v>
      </c>
      <c r="H1081" s="8">
        <v>13847</v>
      </c>
      <c r="I1081" s="8">
        <v>3723.235193</v>
      </c>
      <c r="J1081" s="8">
        <v>43247.938520000003</v>
      </c>
      <c r="K1081" s="8">
        <v>41029.658880000003</v>
      </c>
      <c r="L1081" s="8">
        <v>45650.64084</v>
      </c>
      <c r="M1081" s="9" t="str">
        <f>IF(A1081="",M1082,A1081)</f>
        <v>Czechia</v>
      </c>
      <c r="N1081" s="3" t="str">
        <f t="shared" si="33"/>
        <v>Dec-2021</v>
      </c>
    </row>
    <row r="1082" spans="1:14" x14ac:dyDescent="0.3">
      <c r="A1082" s="3" t="s">
        <v>98</v>
      </c>
      <c r="B1082" s="3" t="s">
        <v>99</v>
      </c>
      <c r="C1082" s="8">
        <v>2020</v>
      </c>
      <c r="D1082" s="8">
        <v>1</v>
      </c>
      <c r="E1082" s="3" t="str">
        <f t="shared" si="32"/>
        <v>January</v>
      </c>
      <c r="F1082" s="3" t="s">
        <v>13</v>
      </c>
      <c r="G1082" s="8">
        <v>84611.589540000001</v>
      </c>
      <c r="H1082" s="8">
        <v>84800</v>
      </c>
      <c r="I1082" s="8">
        <v>187.2437947</v>
      </c>
      <c r="J1082" s="8">
        <v>187.2437947</v>
      </c>
      <c r="K1082" s="8">
        <v>-2856.1212439999999</v>
      </c>
      <c r="L1082" s="8">
        <v>3203.7432709999998</v>
      </c>
      <c r="M1082" s="9" t="str">
        <f>IF(A1082="",M1083,A1082)</f>
        <v>Germany</v>
      </c>
      <c r="N1082" s="3" t="str">
        <f t="shared" si="33"/>
        <v>Jan-2020</v>
      </c>
    </row>
    <row r="1083" spans="1:14" x14ac:dyDescent="0.3">
      <c r="A1083" s="3" t="s">
        <v>98</v>
      </c>
      <c r="B1083" s="3" t="s">
        <v>99</v>
      </c>
      <c r="C1083" s="8">
        <v>2020</v>
      </c>
      <c r="D1083" s="8">
        <v>2</v>
      </c>
      <c r="E1083" s="3" t="str">
        <f t="shared" si="32"/>
        <v>February</v>
      </c>
      <c r="F1083" s="3" t="s">
        <v>13</v>
      </c>
      <c r="G1083" s="8">
        <v>88331.838080000001</v>
      </c>
      <c r="H1083" s="8">
        <v>80007</v>
      </c>
      <c r="I1083" s="8">
        <v>-8326.0047450000002</v>
      </c>
      <c r="J1083" s="8">
        <v>-8138.7609499999999</v>
      </c>
      <c r="K1083" s="8">
        <v>-13200.62061</v>
      </c>
      <c r="L1083" s="8">
        <v>-3196.6167829999999</v>
      </c>
      <c r="M1083" s="9" t="str">
        <f>IF(A1083="",M1084,A1083)</f>
        <v>Germany</v>
      </c>
      <c r="N1083" s="3" t="str">
        <f t="shared" si="33"/>
        <v>Feb-2020</v>
      </c>
    </row>
    <row r="1084" spans="1:14" x14ac:dyDescent="0.3">
      <c r="A1084" s="3" t="s">
        <v>98</v>
      </c>
      <c r="B1084" s="3" t="s">
        <v>99</v>
      </c>
      <c r="C1084" s="8">
        <v>2020</v>
      </c>
      <c r="D1084" s="8">
        <v>3</v>
      </c>
      <c r="E1084" s="3" t="str">
        <f t="shared" si="32"/>
        <v>March</v>
      </c>
      <c r="F1084" s="3" t="s">
        <v>13</v>
      </c>
      <c r="G1084" s="8">
        <v>88633.819380000001</v>
      </c>
      <c r="H1084" s="8">
        <v>87606</v>
      </c>
      <c r="I1084" s="8">
        <v>-1028.986046</v>
      </c>
      <c r="J1084" s="8">
        <v>-9167.7469959999999</v>
      </c>
      <c r="K1084" s="8">
        <v>-15796.309080000001</v>
      </c>
      <c r="L1084" s="8">
        <v>-3027.8596440000001</v>
      </c>
      <c r="M1084" s="9" t="str">
        <f>IF(A1084="",M1085,A1084)</f>
        <v>Germany</v>
      </c>
      <c r="N1084" s="3" t="str">
        <f t="shared" si="33"/>
        <v>Mar-2020</v>
      </c>
    </row>
    <row r="1085" spans="1:14" x14ac:dyDescent="0.3">
      <c r="A1085" s="3" t="s">
        <v>98</v>
      </c>
      <c r="B1085" s="3" t="s">
        <v>99</v>
      </c>
      <c r="C1085" s="8">
        <v>2020</v>
      </c>
      <c r="D1085" s="8">
        <v>4</v>
      </c>
      <c r="E1085" s="3" t="str">
        <f t="shared" si="32"/>
        <v>April</v>
      </c>
      <c r="F1085" s="3" t="s">
        <v>13</v>
      </c>
      <c r="G1085" s="8">
        <v>80406.568379999997</v>
      </c>
      <c r="H1085" s="8">
        <v>83319</v>
      </c>
      <c r="I1085" s="8">
        <v>2911.264948</v>
      </c>
      <c r="J1085" s="8">
        <v>-6256.4820470000004</v>
      </c>
      <c r="K1085" s="8">
        <v>-13391.39899</v>
      </c>
      <c r="L1085" s="8">
        <v>1471.9646540000001</v>
      </c>
      <c r="M1085" s="9" t="str">
        <f>IF(A1085="",M1086,A1085)</f>
        <v>Germany</v>
      </c>
      <c r="N1085" s="3" t="str">
        <f t="shared" si="33"/>
        <v>Apr-2020</v>
      </c>
    </row>
    <row r="1086" spans="1:14" x14ac:dyDescent="0.3">
      <c r="A1086" s="3" t="s">
        <v>98</v>
      </c>
      <c r="B1086" s="3" t="s">
        <v>99</v>
      </c>
      <c r="C1086" s="8">
        <v>2020</v>
      </c>
      <c r="D1086" s="8">
        <v>5</v>
      </c>
      <c r="E1086" s="3" t="str">
        <f t="shared" si="32"/>
        <v>May</v>
      </c>
      <c r="F1086" s="3" t="s">
        <v>13</v>
      </c>
      <c r="G1086" s="8">
        <v>75132.907250000004</v>
      </c>
      <c r="H1086" s="8">
        <v>76271</v>
      </c>
      <c r="I1086" s="8">
        <v>1136.9260810000001</v>
      </c>
      <c r="J1086" s="8">
        <v>-5119.5559670000002</v>
      </c>
      <c r="K1086" s="8">
        <v>-12855.15019</v>
      </c>
      <c r="L1086" s="8">
        <v>3155.3420999999998</v>
      </c>
      <c r="M1086" s="9" t="str">
        <f>IF(A1086="",M1087,A1086)</f>
        <v>Germany</v>
      </c>
      <c r="N1086" s="3" t="str">
        <f t="shared" si="33"/>
        <v>May-2020</v>
      </c>
    </row>
    <row r="1087" spans="1:14" x14ac:dyDescent="0.3">
      <c r="A1087" s="3" t="s">
        <v>98</v>
      </c>
      <c r="B1087" s="3" t="s">
        <v>99</v>
      </c>
      <c r="C1087" s="8">
        <v>2020</v>
      </c>
      <c r="D1087" s="8">
        <v>6</v>
      </c>
      <c r="E1087" s="3" t="str">
        <f t="shared" si="32"/>
        <v>June</v>
      </c>
      <c r="F1087" s="3" t="s">
        <v>13</v>
      </c>
      <c r="G1087" s="8">
        <v>73111.394799999995</v>
      </c>
      <c r="H1087" s="8">
        <v>72259</v>
      </c>
      <c r="I1087" s="8">
        <v>-853.5614703</v>
      </c>
      <c r="J1087" s="8">
        <v>-5973.1174369999999</v>
      </c>
      <c r="K1087" s="8">
        <v>-14546.64899</v>
      </c>
      <c r="L1087" s="8">
        <v>2785.4658519999998</v>
      </c>
      <c r="M1087" s="9" t="str">
        <f>IF(A1087="",M1088,A1087)</f>
        <v>Germany</v>
      </c>
      <c r="N1087" s="3" t="str">
        <f t="shared" si="33"/>
        <v>Jun-2020</v>
      </c>
    </row>
    <row r="1088" spans="1:14" x14ac:dyDescent="0.3">
      <c r="A1088" s="3" t="s">
        <v>98</v>
      </c>
      <c r="B1088" s="3" t="s">
        <v>99</v>
      </c>
      <c r="C1088" s="8">
        <v>2020</v>
      </c>
      <c r="D1088" s="8">
        <v>7</v>
      </c>
      <c r="E1088" s="3" t="str">
        <f t="shared" si="32"/>
        <v>July</v>
      </c>
      <c r="F1088" s="3" t="s">
        <v>13</v>
      </c>
      <c r="G1088" s="8">
        <v>74515.897979999994</v>
      </c>
      <c r="H1088" s="8">
        <v>73773</v>
      </c>
      <c r="I1088" s="8">
        <v>-744.0646438</v>
      </c>
      <c r="J1088" s="8">
        <v>-6717.1820809999999</v>
      </c>
      <c r="K1088" s="8">
        <v>-15665.280280000001</v>
      </c>
      <c r="L1088" s="8">
        <v>2407.4122889999999</v>
      </c>
      <c r="M1088" s="9" t="str">
        <f>IF(A1088="",M1089,A1088)</f>
        <v>Germany</v>
      </c>
      <c r="N1088" s="3" t="str">
        <f t="shared" si="33"/>
        <v>Jul-2020</v>
      </c>
    </row>
    <row r="1089" spans="1:14" x14ac:dyDescent="0.3">
      <c r="A1089" s="3" t="s">
        <v>98</v>
      </c>
      <c r="B1089" s="3" t="s">
        <v>99</v>
      </c>
      <c r="C1089" s="8">
        <v>2020</v>
      </c>
      <c r="D1089" s="8">
        <v>8</v>
      </c>
      <c r="E1089" s="3" t="str">
        <f t="shared" si="32"/>
        <v>August</v>
      </c>
      <c r="F1089" s="3" t="s">
        <v>13</v>
      </c>
      <c r="G1089" s="8">
        <v>73972.381739999997</v>
      </c>
      <c r="H1089" s="8">
        <v>78784</v>
      </c>
      <c r="I1089" s="8">
        <v>4810.4515970000002</v>
      </c>
      <c r="J1089" s="8">
        <v>-1906.7304839999999</v>
      </c>
      <c r="K1089" s="8">
        <v>-11979.12264</v>
      </c>
      <c r="L1089" s="8">
        <v>7792.3252469999998</v>
      </c>
      <c r="M1089" s="9" t="str">
        <f>IF(A1089="",M1090,A1089)</f>
        <v>Germany</v>
      </c>
      <c r="N1089" s="3" t="str">
        <f t="shared" si="33"/>
        <v>Aug-2020</v>
      </c>
    </row>
    <row r="1090" spans="1:14" x14ac:dyDescent="0.3">
      <c r="A1090" s="3" t="s">
        <v>98</v>
      </c>
      <c r="B1090" s="3" t="s">
        <v>99</v>
      </c>
      <c r="C1090" s="8">
        <v>2020</v>
      </c>
      <c r="D1090" s="8">
        <v>9</v>
      </c>
      <c r="E1090" s="3" t="str">
        <f t="shared" ref="E1090:E1153" si="34">TEXT(DATE(C1090,D1090,1),"MMMM")</f>
        <v>September</v>
      </c>
      <c r="F1090" s="3" t="s">
        <v>13</v>
      </c>
      <c r="G1090" s="8">
        <v>72629.614449999994</v>
      </c>
      <c r="H1090" s="8">
        <v>74095</v>
      </c>
      <c r="I1090" s="8">
        <v>1464.218883</v>
      </c>
      <c r="J1090" s="8">
        <v>-442.51160069999997</v>
      </c>
      <c r="K1090" s="8">
        <v>-10501.246709999999</v>
      </c>
      <c r="L1090" s="8">
        <v>10318.455980000001</v>
      </c>
      <c r="M1090" s="9" t="str">
        <f>IF(A1090="",M1091,A1090)</f>
        <v>Germany</v>
      </c>
      <c r="N1090" s="3" t="str">
        <f t="shared" ref="N1090:N1153" si="35">TEXT(DATE(C1090,D1090,1),"MMM-YYYY")</f>
        <v>Sep-2020</v>
      </c>
    </row>
    <row r="1091" spans="1:14" x14ac:dyDescent="0.3">
      <c r="A1091" s="3" t="s">
        <v>98</v>
      </c>
      <c r="B1091" s="3" t="s">
        <v>99</v>
      </c>
      <c r="C1091" s="8">
        <v>2020</v>
      </c>
      <c r="D1091" s="8">
        <v>10</v>
      </c>
      <c r="E1091" s="3" t="str">
        <f t="shared" si="34"/>
        <v>October</v>
      </c>
      <c r="F1091" s="3" t="s">
        <v>13</v>
      </c>
      <c r="G1091" s="8">
        <v>75419.693780000001</v>
      </c>
      <c r="H1091" s="8">
        <v>79837</v>
      </c>
      <c r="I1091" s="8">
        <v>4416.1395549999997</v>
      </c>
      <c r="J1091" s="8">
        <v>3973.6279549999999</v>
      </c>
      <c r="K1091" s="8">
        <v>-6426.9452499999998</v>
      </c>
      <c r="L1091" s="8">
        <v>14794.66574</v>
      </c>
      <c r="M1091" s="9" t="str">
        <f>IF(A1091="",M1092,A1091)</f>
        <v>Germany</v>
      </c>
      <c r="N1091" s="3" t="str">
        <f t="shared" si="35"/>
        <v>Oct-2020</v>
      </c>
    </row>
    <row r="1092" spans="1:14" x14ac:dyDescent="0.3">
      <c r="A1092" s="3" t="s">
        <v>98</v>
      </c>
      <c r="B1092" s="3" t="s">
        <v>99</v>
      </c>
      <c r="C1092" s="8">
        <v>2020</v>
      </c>
      <c r="D1092" s="8">
        <v>11</v>
      </c>
      <c r="E1092" s="3" t="str">
        <f t="shared" si="34"/>
        <v>November</v>
      </c>
      <c r="F1092" s="3" t="s">
        <v>13</v>
      </c>
      <c r="G1092" s="8">
        <v>78652.26827</v>
      </c>
      <c r="H1092" s="8">
        <v>86104</v>
      </c>
      <c r="I1092" s="8">
        <v>7450.5650660000001</v>
      </c>
      <c r="J1092" s="8">
        <v>11424.193020000001</v>
      </c>
      <c r="K1092" s="8">
        <v>739.01291089999995</v>
      </c>
      <c r="L1092" s="8">
        <v>22859.97897</v>
      </c>
      <c r="M1092" s="9" t="str">
        <f>IF(A1092="",M1093,A1092)</f>
        <v>Germany</v>
      </c>
      <c r="N1092" s="3" t="str">
        <f t="shared" si="35"/>
        <v>Nov-2020</v>
      </c>
    </row>
    <row r="1093" spans="1:14" x14ac:dyDescent="0.3">
      <c r="A1093" s="3" t="s">
        <v>98</v>
      </c>
      <c r="B1093" s="3" t="s">
        <v>99</v>
      </c>
      <c r="C1093" s="8">
        <v>2020</v>
      </c>
      <c r="D1093" s="8">
        <v>12</v>
      </c>
      <c r="E1093" s="3" t="str">
        <f t="shared" si="34"/>
        <v>December</v>
      </c>
      <c r="F1093" s="3" t="s">
        <v>13</v>
      </c>
      <c r="G1093" s="8">
        <v>85159.838109999997</v>
      </c>
      <c r="H1093" s="8">
        <v>108251</v>
      </c>
      <c r="I1093" s="8">
        <v>23089.995220000001</v>
      </c>
      <c r="J1093" s="8">
        <v>34514.188240000003</v>
      </c>
      <c r="K1093" s="8">
        <v>22598.756270000002</v>
      </c>
      <c r="L1093" s="8">
        <v>46423.36694</v>
      </c>
      <c r="M1093" s="9" t="str">
        <f>IF(A1093="",M1094,A1093)</f>
        <v>Germany</v>
      </c>
      <c r="N1093" s="3" t="str">
        <f t="shared" si="35"/>
        <v>Dec-2020</v>
      </c>
    </row>
    <row r="1094" spans="1:14" x14ac:dyDescent="0.3">
      <c r="A1094" s="3" t="s">
        <v>98</v>
      </c>
      <c r="B1094" s="3" t="s">
        <v>99</v>
      </c>
      <c r="C1094" s="8">
        <v>2021</v>
      </c>
      <c r="D1094" s="8">
        <v>1</v>
      </c>
      <c r="E1094" s="3" t="str">
        <f t="shared" si="34"/>
        <v>January</v>
      </c>
      <c r="F1094" s="3" t="s">
        <v>13</v>
      </c>
      <c r="G1094" s="8">
        <v>85191.109089999998</v>
      </c>
      <c r="H1094" s="8">
        <v>107200</v>
      </c>
      <c r="I1094" s="8">
        <v>21991.057580000001</v>
      </c>
      <c r="J1094" s="8">
        <v>56505.245819999996</v>
      </c>
      <c r="K1094" s="8">
        <v>44360.534849999996</v>
      </c>
      <c r="L1094" s="8">
        <v>68726.873940000005</v>
      </c>
      <c r="M1094" s="9" t="str">
        <f>IF(A1094="",M1095,A1094)</f>
        <v>Germany</v>
      </c>
      <c r="N1094" s="3" t="str">
        <f t="shared" si="35"/>
        <v>Jan-2021</v>
      </c>
    </row>
    <row r="1095" spans="1:14" x14ac:dyDescent="0.3">
      <c r="A1095" s="3" t="s">
        <v>98</v>
      </c>
      <c r="B1095" s="3" t="s">
        <v>99</v>
      </c>
      <c r="C1095" s="8">
        <v>2021</v>
      </c>
      <c r="D1095" s="8">
        <v>2</v>
      </c>
      <c r="E1095" s="3" t="str">
        <f t="shared" si="34"/>
        <v>February</v>
      </c>
      <c r="F1095" s="3" t="s">
        <v>13</v>
      </c>
      <c r="G1095" s="8">
        <v>88917.083039999998</v>
      </c>
      <c r="H1095" s="8">
        <v>82191</v>
      </c>
      <c r="I1095" s="8">
        <v>-6743.9163689999996</v>
      </c>
      <c r="J1095" s="8">
        <v>49761.329449999997</v>
      </c>
      <c r="K1095" s="8">
        <v>37028.072189999999</v>
      </c>
      <c r="L1095" s="8">
        <v>63073.94586</v>
      </c>
      <c r="M1095" s="9" t="str">
        <f>IF(A1095="",M1096,A1095)</f>
        <v>Germany</v>
      </c>
      <c r="N1095" s="3" t="str">
        <f t="shared" si="35"/>
        <v>Feb-2021</v>
      </c>
    </row>
    <row r="1096" spans="1:14" x14ac:dyDescent="0.3">
      <c r="A1096" s="3" t="s">
        <v>98</v>
      </c>
      <c r="B1096" s="3" t="s">
        <v>99</v>
      </c>
      <c r="C1096" s="8">
        <v>2021</v>
      </c>
      <c r="D1096" s="8">
        <v>3</v>
      </c>
      <c r="E1096" s="3" t="str">
        <f t="shared" si="34"/>
        <v>March</v>
      </c>
      <c r="F1096" s="3" t="s">
        <v>13</v>
      </c>
      <c r="G1096" s="8">
        <v>89226.492610000001</v>
      </c>
      <c r="H1096" s="8">
        <v>81809</v>
      </c>
      <c r="I1096" s="8">
        <v>-7435.3259449999996</v>
      </c>
      <c r="J1096" s="8">
        <v>42326.003510000002</v>
      </c>
      <c r="K1096" s="8">
        <v>29693.545010000002</v>
      </c>
      <c r="L1096" s="8">
        <v>56588.554629999999</v>
      </c>
      <c r="M1096" s="9" t="str">
        <f>IF(A1096="",M1097,A1096)</f>
        <v>Germany</v>
      </c>
      <c r="N1096" s="3" t="str">
        <f t="shared" si="35"/>
        <v>Mar-2021</v>
      </c>
    </row>
    <row r="1097" spans="1:14" x14ac:dyDescent="0.3">
      <c r="A1097" s="3" t="s">
        <v>98</v>
      </c>
      <c r="B1097" s="3" t="s">
        <v>99</v>
      </c>
      <c r="C1097" s="8">
        <v>2021</v>
      </c>
      <c r="D1097" s="8">
        <v>4</v>
      </c>
      <c r="E1097" s="3" t="str">
        <f t="shared" si="34"/>
        <v>April</v>
      </c>
      <c r="F1097" s="3" t="s">
        <v>13</v>
      </c>
      <c r="G1097" s="8">
        <v>80840.599069999997</v>
      </c>
      <c r="H1097" s="8">
        <v>81804</v>
      </c>
      <c r="I1097" s="8">
        <v>945.56759980000004</v>
      </c>
      <c r="J1097" s="8">
        <v>43271.571109999997</v>
      </c>
      <c r="K1097" s="8">
        <v>29174.404289999999</v>
      </c>
      <c r="L1097" s="8">
        <v>58704.280319999998</v>
      </c>
      <c r="M1097" s="9" t="str">
        <f>IF(A1097="",M1098,A1097)</f>
        <v>Germany</v>
      </c>
      <c r="N1097" s="3" t="str">
        <f t="shared" si="35"/>
        <v>Apr-2021</v>
      </c>
    </row>
    <row r="1098" spans="1:14" x14ac:dyDescent="0.3">
      <c r="A1098" s="3" t="s">
        <v>98</v>
      </c>
      <c r="B1098" s="3" t="s">
        <v>99</v>
      </c>
      <c r="C1098" s="8">
        <v>2021</v>
      </c>
      <c r="D1098" s="8">
        <v>5</v>
      </c>
      <c r="E1098" s="3" t="str">
        <f t="shared" si="34"/>
        <v>May</v>
      </c>
      <c r="F1098" s="3" t="s">
        <v>13</v>
      </c>
      <c r="G1098" s="8">
        <v>75633.124129999997</v>
      </c>
      <c r="H1098" s="8">
        <v>81098</v>
      </c>
      <c r="I1098" s="8">
        <v>5447.0425320000004</v>
      </c>
      <c r="J1098" s="8">
        <v>48718.613640000003</v>
      </c>
      <c r="K1098" s="8">
        <v>33575.681660000002</v>
      </c>
      <c r="L1098" s="8">
        <v>64809.746570000003</v>
      </c>
      <c r="M1098" s="9" t="str">
        <f>IF(A1098="",M1099,A1098)</f>
        <v>Germany</v>
      </c>
      <c r="N1098" s="3" t="str">
        <f t="shared" si="35"/>
        <v>May-2021</v>
      </c>
    </row>
    <row r="1099" spans="1:14" x14ac:dyDescent="0.3">
      <c r="A1099" s="3" t="s">
        <v>98</v>
      </c>
      <c r="B1099" s="3" t="s">
        <v>99</v>
      </c>
      <c r="C1099" s="8">
        <v>2021</v>
      </c>
      <c r="D1099" s="8">
        <v>6</v>
      </c>
      <c r="E1099" s="3" t="str">
        <f t="shared" si="34"/>
        <v>June</v>
      </c>
      <c r="F1099" s="3" t="s">
        <v>13</v>
      </c>
      <c r="G1099" s="8">
        <v>73568.097869999998</v>
      </c>
      <c r="H1099" s="8">
        <v>76593</v>
      </c>
      <c r="I1099" s="8">
        <v>3007.068792</v>
      </c>
      <c r="J1099" s="8">
        <v>51725.682430000001</v>
      </c>
      <c r="K1099" s="8">
        <v>36687.122130000003</v>
      </c>
      <c r="L1099" s="8">
        <v>67976.710909999994</v>
      </c>
      <c r="M1099" s="9" t="str">
        <f>IF(A1099="",M1100,A1099)</f>
        <v>Germany</v>
      </c>
      <c r="N1099" s="3" t="str">
        <f t="shared" si="35"/>
        <v>Jun-2021</v>
      </c>
    </row>
    <row r="1100" spans="1:14" x14ac:dyDescent="0.3">
      <c r="A1100" s="3" t="s">
        <v>98</v>
      </c>
      <c r="B1100" s="3" t="s">
        <v>99</v>
      </c>
      <c r="C1100" s="8">
        <v>2021</v>
      </c>
      <c r="D1100" s="8">
        <v>7</v>
      </c>
      <c r="E1100" s="3" t="str">
        <f t="shared" si="34"/>
        <v>July</v>
      </c>
      <c r="F1100" s="3" t="s">
        <v>13</v>
      </c>
      <c r="G1100" s="8">
        <v>75050.923790000001</v>
      </c>
      <c r="H1100" s="8">
        <v>76743</v>
      </c>
      <c r="I1100" s="8">
        <v>1674.242872</v>
      </c>
      <c r="J1100" s="8">
        <v>53399.925309999999</v>
      </c>
      <c r="K1100" s="8">
        <v>37740.361109999998</v>
      </c>
      <c r="L1100" s="8">
        <v>70180.228000000003</v>
      </c>
      <c r="M1100" s="9" t="str">
        <f>IF(A1100="",M1101,A1100)</f>
        <v>Germany</v>
      </c>
      <c r="N1100" s="3" t="str">
        <f t="shared" si="35"/>
        <v>Jul-2021</v>
      </c>
    </row>
    <row r="1101" spans="1:14" x14ac:dyDescent="0.3">
      <c r="A1101" s="3" t="s">
        <v>98</v>
      </c>
      <c r="B1101" s="3" t="s">
        <v>99</v>
      </c>
      <c r="C1101" s="8">
        <v>2021</v>
      </c>
      <c r="D1101" s="8">
        <v>8</v>
      </c>
      <c r="E1101" s="3" t="str">
        <f t="shared" si="34"/>
        <v>August</v>
      </c>
      <c r="F1101" s="3" t="s">
        <v>13</v>
      </c>
      <c r="G1101" s="8">
        <v>74333.911949999994</v>
      </c>
      <c r="H1101" s="8">
        <v>76646</v>
      </c>
      <c r="I1101" s="8">
        <v>2294.254719</v>
      </c>
      <c r="J1101" s="8">
        <v>55694.18002</v>
      </c>
      <c r="K1101" s="8">
        <v>39892.870759999998</v>
      </c>
      <c r="L1101" s="8">
        <v>73255.663079999998</v>
      </c>
      <c r="M1101" s="9" t="str">
        <f>IF(A1101="",M1102,A1101)</f>
        <v>Germany</v>
      </c>
      <c r="N1101" s="3" t="str">
        <f t="shared" si="35"/>
        <v>Aug-2021</v>
      </c>
    </row>
    <row r="1102" spans="1:14" x14ac:dyDescent="0.3">
      <c r="A1102" s="3" t="s">
        <v>98</v>
      </c>
      <c r="B1102" s="3" t="s">
        <v>99</v>
      </c>
      <c r="C1102" s="8">
        <v>2021</v>
      </c>
      <c r="D1102" s="8">
        <v>9</v>
      </c>
      <c r="E1102" s="3" t="str">
        <f t="shared" si="34"/>
        <v>September</v>
      </c>
      <c r="F1102" s="3" t="s">
        <v>13</v>
      </c>
      <c r="G1102" s="8">
        <v>72961.085420000003</v>
      </c>
      <c r="H1102" s="8">
        <v>77839</v>
      </c>
      <c r="I1102" s="8">
        <v>4860.0812509999996</v>
      </c>
      <c r="J1102" s="8">
        <v>60554.261279999999</v>
      </c>
      <c r="K1102" s="8">
        <v>44435.395799999998</v>
      </c>
      <c r="L1102" s="8">
        <v>78659.137040000001</v>
      </c>
      <c r="M1102" s="9" t="str">
        <f>IF(A1102="",M1103,A1102)</f>
        <v>Germany</v>
      </c>
      <c r="N1102" s="3" t="str">
        <f t="shared" si="35"/>
        <v>Sep-2021</v>
      </c>
    </row>
    <row r="1103" spans="1:14" x14ac:dyDescent="0.3">
      <c r="A1103" s="3" t="s">
        <v>98</v>
      </c>
      <c r="B1103" s="3" t="s">
        <v>99</v>
      </c>
      <c r="C1103" s="8">
        <v>2021</v>
      </c>
      <c r="D1103" s="8">
        <v>10</v>
      </c>
      <c r="E1103" s="3" t="str">
        <f t="shared" si="34"/>
        <v>October</v>
      </c>
      <c r="F1103" s="3" t="s">
        <v>13</v>
      </c>
      <c r="G1103" s="8">
        <v>75870.818400000004</v>
      </c>
      <c r="H1103" s="8">
        <v>85076</v>
      </c>
      <c r="I1103" s="8">
        <v>9187.3482660000009</v>
      </c>
      <c r="J1103" s="8">
        <v>69741.609540000005</v>
      </c>
      <c r="K1103" s="8">
        <v>52822.728640000001</v>
      </c>
      <c r="L1103" s="8">
        <v>87420.857010000007</v>
      </c>
      <c r="M1103" s="9" t="str">
        <f>IF(A1103="",M1104,A1103)</f>
        <v>Germany</v>
      </c>
      <c r="N1103" s="3" t="str">
        <f t="shared" si="35"/>
        <v>Oct-2021</v>
      </c>
    </row>
    <row r="1104" spans="1:14" x14ac:dyDescent="0.3">
      <c r="A1104" s="3" t="s">
        <v>98</v>
      </c>
      <c r="B1104" s="3" t="s">
        <v>99</v>
      </c>
      <c r="C1104" s="8">
        <v>2021</v>
      </c>
      <c r="D1104" s="8">
        <v>11</v>
      </c>
      <c r="E1104" s="3" t="str">
        <f t="shared" si="34"/>
        <v>November</v>
      </c>
      <c r="F1104" s="3" t="s">
        <v>13</v>
      </c>
      <c r="G1104" s="8">
        <v>79233.444810000001</v>
      </c>
      <c r="H1104" s="8">
        <v>94024</v>
      </c>
      <c r="I1104" s="8">
        <v>14772.72186</v>
      </c>
      <c r="J1104" s="8">
        <v>84514.331399999995</v>
      </c>
      <c r="K1104" s="8">
        <v>66646.179130000004</v>
      </c>
      <c r="L1104" s="8">
        <v>103286.07670000001</v>
      </c>
      <c r="M1104" s="9" t="str">
        <f>IF(A1104="",M1105,A1104)</f>
        <v>Germany</v>
      </c>
      <c r="N1104" s="3" t="str">
        <f t="shared" si="35"/>
        <v>Nov-2021</v>
      </c>
    </row>
    <row r="1105" spans="1:14" x14ac:dyDescent="0.3">
      <c r="A1105" s="3" t="s">
        <v>98</v>
      </c>
      <c r="B1105" s="3" t="s">
        <v>99</v>
      </c>
      <c r="C1105" s="8">
        <v>2021</v>
      </c>
      <c r="D1105" s="8">
        <v>12</v>
      </c>
      <c r="E1105" s="3" t="str">
        <f t="shared" si="34"/>
        <v>December</v>
      </c>
      <c r="F1105" s="3" t="s">
        <v>13</v>
      </c>
      <c r="G1105" s="8">
        <v>85621.523740000004</v>
      </c>
      <c r="H1105" s="8">
        <v>102630</v>
      </c>
      <c r="I1105" s="8">
        <v>16990.642930000002</v>
      </c>
      <c r="J1105" s="8">
        <v>101504.9743</v>
      </c>
      <c r="K1105" s="8">
        <v>82702.571259999997</v>
      </c>
      <c r="L1105" s="8">
        <v>120724.6275</v>
      </c>
      <c r="M1105" s="9" t="str">
        <f>IF(A1105="",M1106,A1105)</f>
        <v>Germany</v>
      </c>
      <c r="N1105" s="3" t="str">
        <f t="shared" si="35"/>
        <v>Dec-2021</v>
      </c>
    </row>
    <row r="1106" spans="1:14" x14ac:dyDescent="0.3">
      <c r="A1106" s="3" t="s">
        <v>100</v>
      </c>
      <c r="B1106" s="3" t="s">
        <v>101</v>
      </c>
      <c r="C1106" s="8">
        <v>2020</v>
      </c>
      <c r="D1106" s="8">
        <v>1</v>
      </c>
      <c r="E1106" s="3" t="str">
        <f t="shared" si="34"/>
        <v>January</v>
      </c>
      <c r="F1106" s="3" t="s">
        <v>8</v>
      </c>
      <c r="G1106" s="8">
        <v>622.48033850000002</v>
      </c>
      <c r="H1106" s="8">
        <v>640.13599999999997</v>
      </c>
      <c r="I1106" s="8">
        <v>17.655661469999998</v>
      </c>
      <c r="J1106" s="8">
        <v>17.655661469999998</v>
      </c>
      <c r="K1106" s="8">
        <v>-146.36643810000001</v>
      </c>
      <c r="L1106" s="8">
        <v>223.4162374</v>
      </c>
      <c r="M1106" s="9" t="str">
        <f>IF(A1106="",M1107,A1106)</f>
        <v>Djibouti</v>
      </c>
      <c r="N1106" s="3" t="str">
        <f t="shared" si="35"/>
        <v>Jan-2020</v>
      </c>
    </row>
    <row r="1107" spans="1:14" x14ac:dyDescent="0.3">
      <c r="A1107" s="3" t="s">
        <v>100</v>
      </c>
      <c r="B1107" s="3" t="s">
        <v>101</v>
      </c>
      <c r="C1107" s="8">
        <v>2020</v>
      </c>
      <c r="D1107" s="8">
        <v>2</v>
      </c>
      <c r="E1107" s="3" t="str">
        <f t="shared" si="34"/>
        <v>February</v>
      </c>
      <c r="F1107" s="3" t="s">
        <v>8</v>
      </c>
      <c r="G1107" s="8">
        <v>615.7687095</v>
      </c>
      <c r="H1107" s="8">
        <v>619.25599999999997</v>
      </c>
      <c r="I1107" s="8">
        <v>3.4872905080000001</v>
      </c>
      <c r="J1107" s="8">
        <v>21.142951979999999</v>
      </c>
      <c r="K1107" s="8">
        <v>-214.92903229999999</v>
      </c>
      <c r="L1107" s="8">
        <v>279.29262660000001</v>
      </c>
      <c r="M1107" s="9" t="str">
        <f>IF(A1107="",M1108,A1107)</f>
        <v>Djibouti</v>
      </c>
      <c r="N1107" s="3" t="str">
        <f t="shared" si="35"/>
        <v>Feb-2020</v>
      </c>
    </row>
    <row r="1108" spans="1:14" x14ac:dyDescent="0.3">
      <c r="A1108" s="3" t="s">
        <v>100</v>
      </c>
      <c r="B1108" s="3" t="s">
        <v>101</v>
      </c>
      <c r="C1108" s="8">
        <v>2020</v>
      </c>
      <c r="D1108" s="8">
        <v>3</v>
      </c>
      <c r="E1108" s="3" t="str">
        <f t="shared" si="34"/>
        <v>March</v>
      </c>
      <c r="F1108" s="3" t="s">
        <v>8</v>
      </c>
      <c r="G1108" s="8">
        <v>608.91333440000005</v>
      </c>
      <c r="H1108" s="8">
        <v>619.25900000000001</v>
      </c>
      <c r="I1108" s="8">
        <v>10.34566557</v>
      </c>
      <c r="J1108" s="8">
        <v>31.488617550000001</v>
      </c>
      <c r="K1108" s="8">
        <v>-253.05708000000001</v>
      </c>
      <c r="L1108" s="8">
        <v>354.40292820000002</v>
      </c>
      <c r="M1108" s="9" t="str">
        <f>IF(A1108="",M1109,A1108)</f>
        <v>Djibouti</v>
      </c>
      <c r="N1108" s="3" t="str">
        <f t="shared" si="35"/>
        <v>Mar-2020</v>
      </c>
    </row>
    <row r="1109" spans="1:14" x14ac:dyDescent="0.3">
      <c r="A1109" s="3" t="s">
        <v>100</v>
      </c>
      <c r="B1109" s="3" t="s">
        <v>101</v>
      </c>
      <c r="C1109" s="8">
        <v>2020</v>
      </c>
      <c r="D1109" s="8">
        <v>4</v>
      </c>
      <c r="E1109" s="3" t="str">
        <f t="shared" si="34"/>
        <v>April</v>
      </c>
      <c r="F1109" s="3" t="s">
        <v>8</v>
      </c>
      <c r="G1109" s="8">
        <v>605.18547509999996</v>
      </c>
      <c r="H1109" s="8">
        <v>577.06700000000001</v>
      </c>
      <c r="I1109" s="8">
        <v>-28.118475069999999</v>
      </c>
      <c r="J1109" s="8">
        <v>3.3701424819999999</v>
      </c>
      <c r="K1109" s="8">
        <v>-322.62318620000002</v>
      </c>
      <c r="L1109" s="8">
        <v>362.30533819999999</v>
      </c>
      <c r="M1109" s="9" t="str">
        <f>IF(A1109="",M1110,A1109)</f>
        <v>Djibouti</v>
      </c>
      <c r="N1109" s="3" t="str">
        <f t="shared" si="35"/>
        <v>Apr-2020</v>
      </c>
    </row>
    <row r="1110" spans="1:14" x14ac:dyDescent="0.3">
      <c r="A1110" s="3" t="s">
        <v>100</v>
      </c>
      <c r="B1110" s="3" t="s">
        <v>101</v>
      </c>
      <c r="C1110" s="8">
        <v>2020</v>
      </c>
      <c r="D1110" s="8">
        <v>5</v>
      </c>
      <c r="E1110" s="3" t="str">
        <f t="shared" si="34"/>
        <v>May</v>
      </c>
      <c r="F1110" s="3" t="s">
        <v>8</v>
      </c>
      <c r="G1110" s="8">
        <v>596.29041129999996</v>
      </c>
      <c r="H1110" s="8">
        <v>676.48900000000003</v>
      </c>
      <c r="I1110" s="8">
        <v>80.198588670000007</v>
      </c>
      <c r="J1110" s="8">
        <v>83.568731150000005</v>
      </c>
      <c r="K1110" s="8">
        <v>-287.18659339999999</v>
      </c>
      <c r="L1110" s="8">
        <v>510.80452989999998</v>
      </c>
      <c r="M1110" s="9" t="str">
        <f>IF(A1110="",M1111,A1110)</f>
        <v>Djibouti</v>
      </c>
      <c r="N1110" s="3" t="str">
        <f t="shared" si="35"/>
        <v>May-2020</v>
      </c>
    </row>
    <row r="1111" spans="1:14" x14ac:dyDescent="0.3">
      <c r="A1111" s="3" t="s">
        <v>100</v>
      </c>
      <c r="B1111" s="3" t="s">
        <v>101</v>
      </c>
      <c r="C1111" s="8">
        <v>2020</v>
      </c>
      <c r="D1111" s="8">
        <v>6</v>
      </c>
      <c r="E1111" s="3" t="str">
        <f t="shared" si="34"/>
        <v>June</v>
      </c>
      <c r="F1111" s="3" t="s">
        <v>8</v>
      </c>
      <c r="G1111" s="8">
        <v>590.62048010000001</v>
      </c>
      <c r="H1111" s="8">
        <v>747.48199999999997</v>
      </c>
      <c r="I1111" s="8">
        <v>156.86151989999999</v>
      </c>
      <c r="J1111" s="8">
        <v>240.43025109999999</v>
      </c>
      <c r="K1111" s="8">
        <v>-185.79768910000001</v>
      </c>
      <c r="L1111" s="8">
        <v>724.57307820000005</v>
      </c>
      <c r="M1111" s="9" t="str">
        <f>IF(A1111="",M1112,A1111)</f>
        <v>Djibouti</v>
      </c>
      <c r="N1111" s="3" t="str">
        <f t="shared" si="35"/>
        <v>Jun-2020</v>
      </c>
    </row>
    <row r="1112" spans="1:14" x14ac:dyDescent="0.3">
      <c r="A1112" s="3" t="s">
        <v>100</v>
      </c>
      <c r="B1112" s="3" t="s">
        <v>101</v>
      </c>
      <c r="C1112" s="8">
        <v>2020</v>
      </c>
      <c r="D1112" s="8">
        <v>7</v>
      </c>
      <c r="E1112" s="3" t="str">
        <f t="shared" si="34"/>
        <v>July</v>
      </c>
      <c r="F1112" s="3" t="s">
        <v>8</v>
      </c>
      <c r="G1112" s="8">
        <v>584.41675450000002</v>
      </c>
      <c r="H1112" s="8">
        <v>670.30600000000004</v>
      </c>
      <c r="I1112" s="8">
        <v>85.889245450000004</v>
      </c>
      <c r="J1112" s="8">
        <v>326.31949650000001</v>
      </c>
      <c r="K1112" s="8">
        <v>-139.0428613</v>
      </c>
      <c r="L1112" s="8">
        <v>869.99654720000001</v>
      </c>
      <c r="M1112" s="9" t="str">
        <f>IF(A1112="",M1113,A1112)</f>
        <v>Djibouti</v>
      </c>
      <c r="N1112" s="3" t="str">
        <f t="shared" si="35"/>
        <v>Jul-2020</v>
      </c>
    </row>
    <row r="1113" spans="1:14" x14ac:dyDescent="0.3">
      <c r="A1113" s="3" t="s">
        <v>100</v>
      </c>
      <c r="B1113" s="3" t="s">
        <v>101</v>
      </c>
      <c r="C1113" s="8">
        <v>2020</v>
      </c>
      <c r="D1113" s="8">
        <v>8</v>
      </c>
      <c r="E1113" s="3" t="str">
        <f t="shared" si="34"/>
        <v>August</v>
      </c>
      <c r="F1113" s="3" t="s">
        <v>8</v>
      </c>
      <c r="G1113" s="8">
        <v>588.06566310000005</v>
      </c>
      <c r="H1113" s="8">
        <v>638.80100000000004</v>
      </c>
      <c r="I1113" s="8">
        <v>50.735336889999999</v>
      </c>
      <c r="J1113" s="8">
        <v>377.05483340000001</v>
      </c>
      <c r="K1113" s="8">
        <v>-132.32392139999999</v>
      </c>
      <c r="L1113" s="8">
        <v>944.72320330000002</v>
      </c>
      <c r="M1113" s="9" t="str">
        <f>IF(A1113="",M1114,A1113)</f>
        <v>Djibouti</v>
      </c>
      <c r="N1113" s="3" t="str">
        <f t="shared" si="35"/>
        <v>Aug-2020</v>
      </c>
    </row>
    <row r="1114" spans="1:14" x14ac:dyDescent="0.3">
      <c r="A1114" s="3" t="s">
        <v>100</v>
      </c>
      <c r="B1114" s="3" t="s">
        <v>101</v>
      </c>
      <c r="C1114" s="8">
        <v>2020</v>
      </c>
      <c r="D1114" s="8">
        <v>9</v>
      </c>
      <c r="E1114" s="3" t="str">
        <f t="shared" si="34"/>
        <v>September</v>
      </c>
      <c r="F1114" s="3" t="s">
        <v>8</v>
      </c>
      <c r="G1114" s="8">
        <v>594.56683820000001</v>
      </c>
      <c r="H1114" s="8">
        <v>612.01499999999999</v>
      </c>
      <c r="I1114" s="8">
        <v>17.448161769999999</v>
      </c>
      <c r="J1114" s="8">
        <v>394.50299519999999</v>
      </c>
      <c r="K1114" s="8">
        <v>-143.35687390000001</v>
      </c>
      <c r="L1114" s="8">
        <v>973.68197759999998</v>
      </c>
      <c r="M1114" s="9" t="str">
        <f>IF(A1114="",M1115,A1114)</f>
        <v>Djibouti</v>
      </c>
      <c r="N1114" s="3" t="str">
        <f t="shared" si="35"/>
        <v>Sep-2020</v>
      </c>
    </row>
    <row r="1115" spans="1:14" x14ac:dyDescent="0.3">
      <c r="A1115" s="3" t="s">
        <v>100</v>
      </c>
      <c r="B1115" s="3" t="s">
        <v>101</v>
      </c>
      <c r="C1115" s="8">
        <v>2020</v>
      </c>
      <c r="D1115" s="8">
        <v>10</v>
      </c>
      <c r="E1115" s="3" t="str">
        <f t="shared" si="34"/>
        <v>October</v>
      </c>
      <c r="F1115" s="3" t="s">
        <v>8</v>
      </c>
      <c r="G1115" s="8">
        <v>603.33771609999997</v>
      </c>
      <c r="H1115" s="8">
        <v>595.36</v>
      </c>
      <c r="I1115" s="8">
        <v>-7.977716128</v>
      </c>
      <c r="J1115" s="8">
        <v>386.52527900000001</v>
      </c>
      <c r="K1115" s="8">
        <v>-181.9480068</v>
      </c>
      <c r="L1115" s="8">
        <v>969.29241460000003</v>
      </c>
      <c r="M1115" s="9" t="str">
        <f>IF(A1115="",M1116,A1115)</f>
        <v>Djibouti</v>
      </c>
      <c r="N1115" s="3" t="str">
        <f t="shared" si="35"/>
        <v>Oct-2020</v>
      </c>
    </row>
    <row r="1116" spans="1:14" x14ac:dyDescent="0.3">
      <c r="A1116" s="3" t="s">
        <v>100</v>
      </c>
      <c r="B1116" s="3" t="s">
        <v>101</v>
      </c>
      <c r="C1116" s="8">
        <v>2020</v>
      </c>
      <c r="D1116" s="8">
        <v>11</v>
      </c>
      <c r="E1116" s="3" t="str">
        <f t="shared" si="34"/>
        <v>November</v>
      </c>
      <c r="F1116" s="3" t="s">
        <v>8</v>
      </c>
      <c r="G1116" s="8">
        <v>612.26321370000005</v>
      </c>
      <c r="H1116" s="8">
        <v>597.00599999999997</v>
      </c>
      <c r="I1116" s="8">
        <v>-15.257213719999999</v>
      </c>
      <c r="J1116" s="8">
        <v>371.26806529999999</v>
      </c>
      <c r="K1116" s="8">
        <v>-223.66595580000001</v>
      </c>
      <c r="L1116" s="8">
        <v>999.69021599999996</v>
      </c>
      <c r="M1116" s="9" t="str">
        <f>IF(A1116="",M1117,A1116)</f>
        <v>Djibouti</v>
      </c>
      <c r="N1116" s="3" t="str">
        <f t="shared" si="35"/>
        <v>Nov-2020</v>
      </c>
    </row>
    <row r="1117" spans="1:14" x14ac:dyDescent="0.3">
      <c r="A1117" s="3" t="s">
        <v>100</v>
      </c>
      <c r="B1117" s="3" t="s">
        <v>101</v>
      </c>
      <c r="C1117" s="8">
        <v>2020</v>
      </c>
      <c r="D1117" s="8">
        <v>12</v>
      </c>
      <c r="E1117" s="3" t="str">
        <f t="shared" si="34"/>
        <v>December</v>
      </c>
      <c r="F1117" s="3" t="s">
        <v>8</v>
      </c>
      <c r="G1117" s="8">
        <v>615.6524766</v>
      </c>
      <c r="H1117" s="8">
        <v>614.18899999999996</v>
      </c>
      <c r="I1117" s="8">
        <v>-1.4634766459999999</v>
      </c>
      <c r="J1117" s="8">
        <v>369.80458870000001</v>
      </c>
      <c r="K1117" s="8">
        <v>-242.89858749999999</v>
      </c>
      <c r="L1117" s="8">
        <v>1030.9946210000001</v>
      </c>
      <c r="M1117" s="9" t="str">
        <f>IF(A1117="",M1118,A1117)</f>
        <v>Djibouti</v>
      </c>
      <c r="N1117" s="3" t="str">
        <f t="shared" si="35"/>
        <v>Dec-2020</v>
      </c>
    </row>
    <row r="1118" spans="1:14" x14ac:dyDescent="0.3">
      <c r="A1118" s="3" t="s">
        <v>100</v>
      </c>
      <c r="B1118" s="3" t="s">
        <v>101</v>
      </c>
      <c r="C1118" s="8">
        <v>2021</v>
      </c>
      <c r="D1118" s="8">
        <v>1</v>
      </c>
      <c r="E1118" s="3" t="str">
        <f t="shared" si="34"/>
        <v>January</v>
      </c>
      <c r="F1118" s="3" t="s">
        <v>8</v>
      </c>
      <c r="G1118" s="8">
        <v>625.59113109999998</v>
      </c>
      <c r="H1118" s="8">
        <v>651.29700000000003</v>
      </c>
      <c r="I1118" s="8">
        <v>25.705868850000002</v>
      </c>
      <c r="J1118" s="8">
        <v>395.51045749999997</v>
      </c>
      <c r="K1118" s="8">
        <v>-236.74921889999999</v>
      </c>
      <c r="L1118" s="8">
        <v>1082.7452949999999</v>
      </c>
      <c r="M1118" s="9" t="str">
        <f>IF(A1118="",M1119,A1118)</f>
        <v>Djibouti</v>
      </c>
      <c r="N1118" s="3" t="str">
        <f t="shared" si="35"/>
        <v>Jan-2021</v>
      </c>
    </row>
    <row r="1119" spans="1:14" x14ac:dyDescent="0.3">
      <c r="A1119" s="3" t="s">
        <v>100</v>
      </c>
      <c r="B1119" s="3" t="s">
        <v>101</v>
      </c>
      <c r="C1119" s="8">
        <v>2021</v>
      </c>
      <c r="D1119" s="8">
        <v>2</v>
      </c>
      <c r="E1119" s="3" t="str">
        <f t="shared" si="34"/>
        <v>February</v>
      </c>
      <c r="F1119" s="3" t="s">
        <v>8</v>
      </c>
      <c r="G1119" s="8">
        <v>618.75713270000006</v>
      </c>
      <c r="H1119" s="8">
        <v>655.94</v>
      </c>
      <c r="I1119" s="8">
        <v>37.182867280000004</v>
      </c>
      <c r="J1119" s="8">
        <v>432.69332480000003</v>
      </c>
      <c r="K1119" s="8">
        <v>-230.24193700000001</v>
      </c>
      <c r="L1119" s="8">
        <v>1121.8131920000001</v>
      </c>
      <c r="M1119" s="9" t="str">
        <f>IF(A1119="",M1120,A1119)</f>
        <v>Djibouti</v>
      </c>
      <c r="N1119" s="3" t="str">
        <f t="shared" si="35"/>
        <v>Feb-2021</v>
      </c>
    </row>
    <row r="1120" spans="1:14" x14ac:dyDescent="0.3">
      <c r="A1120" s="3" t="s">
        <v>100</v>
      </c>
      <c r="B1120" s="3" t="s">
        <v>101</v>
      </c>
      <c r="C1120" s="8">
        <v>2021</v>
      </c>
      <c r="D1120" s="8">
        <v>3</v>
      </c>
      <c r="E1120" s="3" t="str">
        <f t="shared" si="34"/>
        <v>March</v>
      </c>
      <c r="F1120" s="3" t="s">
        <v>8</v>
      </c>
      <c r="G1120" s="8">
        <v>611.77641640000002</v>
      </c>
      <c r="H1120" s="8">
        <v>695.31600000000003</v>
      </c>
      <c r="I1120" s="8">
        <v>83.539583559999997</v>
      </c>
      <c r="J1120" s="8">
        <v>516.23290840000004</v>
      </c>
      <c r="K1120" s="8">
        <v>-187.9926471</v>
      </c>
      <c r="L1120" s="8">
        <v>1237.6350050000001</v>
      </c>
      <c r="M1120" s="9" t="str">
        <f>IF(A1120="",M1121,A1120)</f>
        <v>Djibouti</v>
      </c>
      <c r="N1120" s="3" t="str">
        <f t="shared" si="35"/>
        <v>Mar-2021</v>
      </c>
    </row>
    <row r="1121" spans="1:14" x14ac:dyDescent="0.3">
      <c r="A1121" s="3" t="s">
        <v>100</v>
      </c>
      <c r="B1121" s="3" t="s">
        <v>101</v>
      </c>
      <c r="C1121" s="8">
        <v>2021</v>
      </c>
      <c r="D1121" s="8">
        <v>4</v>
      </c>
      <c r="E1121" s="3" t="str">
        <f t="shared" si="34"/>
        <v>April</v>
      </c>
      <c r="F1121" s="3" t="s">
        <v>8</v>
      </c>
      <c r="G1121" s="8">
        <v>608.10006829999998</v>
      </c>
      <c r="H1121" s="8">
        <v>822.971</v>
      </c>
      <c r="I1121" s="8">
        <v>214.8709317</v>
      </c>
      <c r="J1121" s="8">
        <v>731.10384009999996</v>
      </c>
      <c r="K1121" s="8">
        <v>-7.633315477</v>
      </c>
      <c r="L1121" s="8">
        <v>1509.6707510000001</v>
      </c>
      <c r="M1121" s="9" t="str">
        <f>IF(A1121="",M1122,A1121)</f>
        <v>Djibouti</v>
      </c>
      <c r="N1121" s="3" t="str">
        <f t="shared" si="35"/>
        <v>Apr-2021</v>
      </c>
    </row>
    <row r="1122" spans="1:14" x14ac:dyDescent="0.3">
      <c r="A1122" s="3" t="s">
        <v>100</v>
      </c>
      <c r="B1122" s="3" t="s">
        <v>101</v>
      </c>
      <c r="C1122" s="8">
        <v>2021</v>
      </c>
      <c r="D1122" s="8">
        <v>5</v>
      </c>
      <c r="E1122" s="3" t="str">
        <f t="shared" si="34"/>
        <v>May</v>
      </c>
      <c r="F1122" s="3" t="s">
        <v>8</v>
      </c>
      <c r="G1122" s="8">
        <v>599.33671179999999</v>
      </c>
      <c r="H1122" s="8">
        <v>703.18700000000001</v>
      </c>
      <c r="I1122" s="8">
        <v>103.85028819999999</v>
      </c>
      <c r="J1122" s="8">
        <v>834.95412829999998</v>
      </c>
      <c r="K1122" s="8">
        <v>65.009270029999996</v>
      </c>
      <c r="L1122" s="8">
        <v>1667.5881079999999</v>
      </c>
      <c r="M1122" s="9" t="str">
        <f>IF(A1122="",M1123,A1122)</f>
        <v>Djibouti</v>
      </c>
      <c r="N1122" s="3" t="str">
        <f t="shared" si="35"/>
        <v>May-2021</v>
      </c>
    </row>
    <row r="1123" spans="1:14" x14ac:dyDescent="0.3">
      <c r="A1123" s="3" t="s">
        <v>100</v>
      </c>
      <c r="B1123" s="3" t="s">
        <v>101</v>
      </c>
      <c r="C1123" s="8">
        <v>2021</v>
      </c>
      <c r="D1123" s="8">
        <v>6</v>
      </c>
      <c r="E1123" s="3" t="str">
        <f t="shared" si="34"/>
        <v>June</v>
      </c>
      <c r="F1123" s="3" t="s">
        <v>8</v>
      </c>
      <c r="G1123" s="8">
        <v>593.94301949999999</v>
      </c>
      <c r="H1123" s="8">
        <v>654.28499999999997</v>
      </c>
      <c r="I1123" s="8">
        <v>60.341980499999998</v>
      </c>
      <c r="J1123" s="8">
        <v>895.29610879999996</v>
      </c>
      <c r="K1123" s="8">
        <v>74.942877449999997</v>
      </c>
      <c r="L1123" s="8">
        <v>1755.8959789999999</v>
      </c>
      <c r="M1123" s="9" t="str">
        <f>IF(A1123="",M1124,A1123)</f>
        <v>Djibouti</v>
      </c>
      <c r="N1123" s="3" t="str">
        <f t="shared" si="35"/>
        <v>Jun-2021</v>
      </c>
    </row>
    <row r="1124" spans="1:14" x14ac:dyDescent="0.3">
      <c r="A1124" s="3" t="s">
        <v>100</v>
      </c>
      <c r="B1124" s="3" t="s">
        <v>101</v>
      </c>
      <c r="C1124" s="8">
        <v>2021</v>
      </c>
      <c r="D1124" s="8">
        <v>7</v>
      </c>
      <c r="E1124" s="3" t="str">
        <f t="shared" si="34"/>
        <v>July</v>
      </c>
      <c r="F1124" s="3" t="s">
        <v>8</v>
      </c>
      <c r="G1124" s="8">
        <v>587.46365370000001</v>
      </c>
      <c r="H1124" s="8">
        <v>635.11900000000003</v>
      </c>
      <c r="I1124" s="8">
        <v>47.655346340000001</v>
      </c>
      <c r="J1124" s="8">
        <v>942.95145509999998</v>
      </c>
      <c r="K1124" s="8">
        <v>136.17453019999999</v>
      </c>
      <c r="L1124" s="8">
        <v>1814.7911730000001</v>
      </c>
      <c r="M1124" s="9" t="str">
        <f>IF(A1124="",M1125,A1124)</f>
        <v>Djibouti</v>
      </c>
      <c r="N1124" s="3" t="str">
        <f t="shared" si="35"/>
        <v>Jul-2021</v>
      </c>
    </row>
    <row r="1125" spans="1:14" x14ac:dyDescent="0.3">
      <c r="A1125" s="3" t="s">
        <v>100</v>
      </c>
      <c r="B1125" s="3" t="s">
        <v>101</v>
      </c>
      <c r="C1125" s="8">
        <v>2021</v>
      </c>
      <c r="D1125" s="8">
        <v>8</v>
      </c>
      <c r="E1125" s="3" t="str">
        <f t="shared" si="34"/>
        <v>August</v>
      </c>
      <c r="F1125" s="3" t="s">
        <v>8</v>
      </c>
      <c r="G1125" s="8">
        <v>591.09190690000003</v>
      </c>
      <c r="H1125" s="8">
        <v>635.10900000000004</v>
      </c>
      <c r="I1125" s="8">
        <v>44.017093080000002</v>
      </c>
      <c r="J1125" s="8">
        <v>986.96854819999999</v>
      </c>
      <c r="K1125" s="8">
        <v>178.4135153</v>
      </c>
      <c r="L1125" s="8">
        <v>1951.792093</v>
      </c>
      <c r="M1125" s="9" t="str">
        <f>IF(A1125="",M1126,A1125)</f>
        <v>Djibouti</v>
      </c>
      <c r="N1125" s="3" t="str">
        <f t="shared" si="35"/>
        <v>Aug-2021</v>
      </c>
    </row>
    <row r="1126" spans="1:14" x14ac:dyDescent="0.3">
      <c r="A1126" s="3" t="s">
        <v>100</v>
      </c>
      <c r="B1126" s="3" t="s">
        <v>101</v>
      </c>
      <c r="C1126" s="8">
        <v>2021</v>
      </c>
      <c r="D1126" s="8">
        <v>9</v>
      </c>
      <c r="E1126" s="3" t="str">
        <f t="shared" si="34"/>
        <v>September</v>
      </c>
      <c r="F1126" s="3" t="s">
        <v>8</v>
      </c>
      <c r="G1126" s="8">
        <v>597.43159930000002</v>
      </c>
      <c r="H1126" s="8">
        <v>659.13699999999994</v>
      </c>
      <c r="I1126" s="8">
        <v>61.705400670000003</v>
      </c>
      <c r="J1126" s="8">
        <v>1048.673949</v>
      </c>
      <c r="K1126" s="8">
        <v>213.64012629999999</v>
      </c>
      <c r="L1126" s="8">
        <v>1995.895933</v>
      </c>
      <c r="M1126" s="9" t="str">
        <f>IF(A1126="",M1127,A1126)</f>
        <v>Djibouti</v>
      </c>
      <c r="N1126" s="3" t="str">
        <f t="shared" si="35"/>
        <v>Sep-2021</v>
      </c>
    </row>
    <row r="1127" spans="1:14" x14ac:dyDescent="0.3">
      <c r="A1127" s="3" t="s">
        <v>100</v>
      </c>
      <c r="B1127" s="3" t="s">
        <v>101</v>
      </c>
      <c r="C1127" s="8">
        <v>2021</v>
      </c>
      <c r="D1127" s="8">
        <v>10</v>
      </c>
      <c r="E1127" s="3" t="str">
        <f t="shared" si="34"/>
        <v>October</v>
      </c>
      <c r="F1127" s="3" t="s">
        <v>8</v>
      </c>
      <c r="G1127" s="8">
        <v>606.26032420000001</v>
      </c>
      <c r="H1127" s="8">
        <v>651.78899999999999</v>
      </c>
      <c r="I1127" s="8">
        <v>45.528675849999999</v>
      </c>
      <c r="J1127" s="8">
        <v>1094.2026249999999</v>
      </c>
      <c r="K1127" s="8">
        <v>220.04502909999999</v>
      </c>
      <c r="L1127" s="8">
        <v>2058.7127650000002</v>
      </c>
      <c r="M1127" s="9" t="str">
        <f>IF(A1127="",M1128,A1127)</f>
        <v>Djibouti</v>
      </c>
      <c r="N1127" s="3" t="str">
        <f t="shared" si="35"/>
        <v>Oct-2021</v>
      </c>
    </row>
    <row r="1128" spans="1:14" x14ac:dyDescent="0.3">
      <c r="A1128" s="3" t="s">
        <v>100</v>
      </c>
      <c r="B1128" s="3" t="s">
        <v>101</v>
      </c>
      <c r="C1128" s="8">
        <v>2021</v>
      </c>
      <c r="D1128" s="8">
        <v>11</v>
      </c>
      <c r="E1128" s="3" t="str">
        <f t="shared" si="34"/>
        <v>November</v>
      </c>
      <c r="F1128" s="3" t="s">
        <v>8</v>
      </c>
      <c r="G1128" s="8">
        <v>615.49743009999997</v>
      </c>
      <c r="H1128" s="8">
        <v>646.78</v>
      </c>
      <c r="I1128" s="8">
        <v>31.282569890000001</v>
      </c>
      <c r="J1128" s="8">
        <v>1125.485195</v>
      </c>
      <c r="K1128" s="8">
        <v>267.27270859999999</v>
      </c>
      <c r="L1128" s="8">
        <v>2107.9193009999999</v>
      </c>
      <c r="M1128" s="9" t="str">
        <f>IF(A1128="",M1129,A1128)</f>
        <v>Djibouti</v>
      </c>
      <c r="N1128" s="3" t="str">
        <f t="shared" si="35"/>
        <v>Nov-2021</v>
      </c>
    </row>
    <row r="1129" spans="1:14" x14ac:dyDescent="0.3">
      <c r="A1129" s="3" t="s">
        <v>100</v>
      </c>
      <c r="B1129" s="3" t="s">
        <v>101</v>
      </c>
      <c r="C1129" s="8">
        <v>2021</v>
      </c>
      <c r="D1129" s="8">
        <v>12</v>
      </c>
      <c r="E1129" s="3" t="str">
        <f t="shared" si="34"/>
        <v>December</v>
      </c>
      <c r="F1129" s="3" t="s">
        <v>8</v>
      </c>
      <c r="G1129" s="8">
        <v>619.13834080000004</v>
      </c>
      <c r="H1129" s="8">
        <v>652.05999999999995</v>
      </c>
      <c r="I1129" s="8">
        <v>32.921659210000001</v>
      </c>
      <c r="J1129" s="8">
        <v>1158.4068540000001</v>
      </c>
      <c r="K1129" s="8">
        <v>256.50163020000002</v>
      </c>
      <c r="L1129" s="8">
        <v>2167.097237</v>
      </c>
      <c r="M1129" s="9" t="str">
        <f>IF(A1129="",M1130,A1129)</f>
        <v>Djibouti</v>
      </c>
      <c r="N1129" s="3" t="str">
        <f t="shared" si="35"/>
        <v>Dec-2021</v>
      </c>
    </row>
    <row r="1130" spans="1:14" x14ac:dyDescent="0.3">
      <c r="A1130" s="3" t="s">
        <v>102</v>
      </c>
      <c r="B1130" s="3" t="s">
        <v>103</v>
      </c>
      <c r="C1130" s="8">
        <v>2020</v>
      </c>
      <c r="D1130" s="8">
        <v>1</v>
      </c>
      <c r="E1130" s="3" t="str">
        <f t="shared" si="34"/>
        <v>January</v>
      </c>
      <c r="F1130" s="3" t="s">
        <v>8</v>
      </c>
      <c r="G1130" s="8">
        <v>44.950088880000003</v>
      </c>
      <c r="H1130" s="8">
        <v>46.566000000000003</v>
      </c>
      <c r="I1130" s="8">
        <v>1.615911119</v>
      </c>
      <c r="J1130" s="8">
        <v>1.615911119</v>
      </c>
      <c r="K1130" s="8">
        <v>-16.868354310000001</v>
      </c>
      <c r="L1130" s="8">
        <v>22.455621910000001</v>
      </c>
      <c r="M1130" s="9" t="str">
        <f>IF(A1130="",M1131,A1130)</f>
        <v>Dominica</v>
      </c>
      <c r="N1130" s="3" t="str">
        <f t="shared" si="35"/>
        <v>Jan-2020</v>
      </c>
    </row>
    <row r="1131" spans="1:14" x14ac:dyDescent="0.3">
      <c r="A1131" s="3" t="s">
        <v>102</v>
      </c>
      <c r="B1131" s="3" t="s">
        <v>103</v>
      </c>
      <c r="C1131" s="8">
        <v>2020</v>
      </c>
      <c r="D1131" s="8">
        <v>2</v>
      </c>
      <c r="E1131" s="3" t="str">
        <f t="shared" si="34"/>
        <v>February</v>
      </c>
      <c r="F1131" s="3" t="s">
        <v>8</v>
      </c>
      <c r="G1131" s="8">
        <v>45.069248829999999</v>
      </c>
      <c r="H1131" s="8">
        <v>45.709000000000003</v>
      </c>
      <c r="I1131" s="8">
        <v>0.63975117000000004</v>
      </c>
      <c r="J1131" s="8">
        <v>2.2556622879999999</v>
      </c>
      <c r="K1131" s="8">
        <v>-24.65193859</v>
      </c>
      <c r="L1131" s="8">
        <v>30.388205020000001</v>
      </c>
      <c r="M1131" s="9" t="str">
        <f>IF(A1131="",M1132,A1131)</f>
        <v>Dominica</v>
      </c>
      <c r="N1131" s="3" t="str">
        <f t="shared" si="35"/>
        <v>Feb-2020</v>
      </c>
    </row>
    <row r="1132" spans="1:14" x14ac:dyDescent="0.3">
      <c r="A1132" s="3" t="s">
        <v>102</v>
      </c>
      <c r="B1132" s="3" t="s">
        <v>103</v>
      </c>
      <c r="C1132" s="8">
        <v>2020</v>
      </c>
      <c r="D1132" s="8">
        <v>3</v>
      </c>
      <c r="E1132" s="3" t="str">
        <f t="shared" si="34"/>
        <v>March</v>
      </c>
      <c r="F1132" s="3" t="s">
        <v>8</v>
      </c>
      <c r="G1132" s="8">
        <v>45.360343149999999</v>
      </c>
      <c r="H1132" s="8">
        <v>45.831000000000003</v>
      </c>
      <c r="I1132" s="8">
        <v>0.47065684600000002</v>
      </c>
      <c r="J1132" s="8">
        <v>2.7263191349999998</v>
      </c>
      <c r="K1132" s="8">
        <v>-30.786232909999999</v>
      </c>
      <c r="L1132" s="8">
        <v>40.215346019999998</v>
      </c>
      <c r="M1132" s="9" t="str">
        <f>IF(A1132="",M1133,A1132)</f>
        <v>Dominica</v>
      </c>
      <c r="N1132" s="3" t="str">
        <f t="shared" si="35"/>
        <v>Mar-2020</v>
      </c>
    </row>
    <row r="1133" spans="1:14" x14ac:dyDescent="0.3">
      <c r="A1133" s="3" t="s">
        <v>102</v>
      </c>
      <c r="B1133" s="3" t="s">
        <v>103</v>
      </c>
      <c r="C1133" s="8">
        <v>2020</v>
      </c>
      <c r="D1133" s="8">
        <v>4</v>
      </c>
      <c r="E1133" s="3" t="str">
        <f t="shared" si="34"/>
        <v>April</v>
      </c>
      <c r="F1133" s="3" t="s">
        <v>8</v>
      </c>
      <c r="G1133" s="8">
        <v>45.007168669999999</v>
      </c>
      <c r="H1133" s="8">
        <v>38.927999999999997</v>
      </c>
      <c r="I1133" s="8">
        <v>-6.0791686650000001</v>
      </c>
      <c r="J1133" s="8">
        <v>-3.3528495299999999</v>
      </c>
      <c r="K1133" s="8">
        <v>-40.58703328</v>
      </c>
      <c r="L1133" s="8">
        <v>38.318155339999997</v>
      </c>
      <c r="M1133" s="9" t="str">
        <f>IF(A1133="",M1134,A1133)</f>
        <v>Dominica</v>
      </c>
      <c r="N1133" s="3" t="str">
        <f t="shared" si="35"/>
        <v>Apr-2020</v>
      </c>
    </row>
    <row r="1134" spans="1:14" x14ac:dyDescent="0.3">
      <c r="A1134" s="3" t="s">
        <v>102</v>
      </c>
      <c r="B1134" s="3" t="s">
        <v>103</v>
      </c>
      <c r="C1134" s="8">
        <v>2020</v>
      </c>
      <c r="D1134" s="8">
        <v>5</v>
      </c>
      <c r="E1134" s="3" t="str">
        <f t="shared" si="34"/>
        <v>May</v>
      </c>
      <c r="F1134" s="3" t="s">
        <v>8</v>
      </c>
      <c r="G1134" s="8">
        <v>44.772731090000001</v>
      </c>
      <c r="H1134" s="8">
        <v>41.191000000000003</v>
      </c>
      <c r="I1134" s="8">
        <v>-3.5817310880000002</v>
      </c>
      <c r="J1134" s="8">
        <v>-6.934580618</v>
      </c>
      <c r="K1134" s="8">
        <v>-50.15791042</v>
      </c>
      <c r="L1134" s="8">
        <v>39.78648432</v>
      </c>
      <c r="M1134" s="9" t="str">
        <f>IF(A1134="",M1135,A1134)</f>
        <v>Dominica</v>
      </c>
      <c r="N1134" s="3" t="str">
        <f t="shared" si="35"/>
        <v>May-2020</v>
      </c>
    </row>
    <row r="1135" spans="1:14" x14ac:dyDescent="0.3">
      <c r="A1135" s="3" t="s">
        <v>102</v>
      </c>
      <c r="B1135" s="3" t="s">
        <v>103</v>
      </c>
      <c r="C1135" s="8">
        <v>2020</v>
      </c>
      <c r="D1135" s="8">
        <v>6</v>
      </c>
      <c r="E1135" s="3" t="str">
        <f t="shared" si="34"/>
        <v>June</v>
      </c>
      <c r="F1135" s="3" t="s">
        <v>8</v>
      </c>
      <c r="G1135" s="8">
        <v>44.497910249999997</v>
      </c>
      <c r="H1135" s="8">
        <v>43.039000000000001</v>
      </c>
      <c r="I1135" s="8">
        <v>-1.458910245</v>
      </c>
      <c r="J1135" s="8">
        <v>-8.3934908630000002</v>
      </c>
      <c r="K1135" s="8">
        <v>-52.585902869999998</v>
      </c>
      <c r="L1135" s="8">
        <v>43.190799259999999</v>
      </c>
      <c r="M1135" s="9" t="str">
        <f>IF(A1135="",M1136,A1135)</f>
        <v>Dominica</v>
      </c>
      <c r="N1135" s="3" t="str">
        <f t="shared" si="35"/>
        <v>Jun-2020</v>
      </c>
    </row>
    <row r="1136" spans="1:14" x14ac:dyDescent="0.3">
      <c r="A1136" s="3" t="s">
        <v>102</v>
      </c>
      <c r="B1136" s="3" t="s">
        <v>103</v>
      </c>
      <c r="C1136" s="8">
        <v>2020</v>
      </c>
      <c r="D1136" s="8">
        <v>7</v>
      </c>
      <c r="E1136" s="3" t="str">
        <f t="shared" si="34"/>
        <v>July</v>
      </c>
      <c r="F1136" s="3" t="s">
        <v>8</v>
      </c>
      <c r="G1136" s="8">
        <v>44.438773730000001</v>
      </c>
      <c r="H1136" s="8">
        <v>43.341000000000001</v>
      </c>
      <c r="I1136" s="8">
        <v>-1.097773731</v>
      </c>
      <c r="J1136" s="8">
        <v>-9.4912645950000005</v>
      </c>
      <c r="K1136" s="8">
        <v>-59.505905470000002</v>
      </c>
      <c r="L1136" s="8">
        <v>46.27945347</v>
      </c>
      <c r="M1136" s="9" t="str">
        <f>IF(A1136="",M1137,A1136)</f>
        <v>Dominica</v>
      </c>
      <c r="N1136" s="3" t="str">
        <f t="shared" si="35"/>
        <v>Jul-2020</v>
      </c>
    </row>
    <row r="1137" spans="1:14" x14ac:dyDescent="0.3">
      <c r="A1137" s="3" t="s">
        <v>102</v>
      </c>
      <c r="B1137" s="3" t="s">
        <v>103</v>
      </c>
      <c r="C1137" s="8">
        <v>2020</v>
      </c>
      <c r="D1137" s="8">
        <v>8</v>
      </c>
      <c r="E1137" s="3" t="str">
        <f t="shared" si="34"/>
        <v>August</v>
      </c>
      <c r="F1137" s="3" t="s">
        <v>8</v>
      </c>
      <c r="G1137" s="8">
        <v>44.369028049999997</v>
      </c>
      <c r="H1137" s="8">
        <v>44.09</v>
      </c>
      <c r="I1137" s="8">
        <v>-0.279028049</v>
      </c>
      <c r="J1137" s="8">
        <v>-9.7702926429999994</v>
      </c>
      <c r="K1137" s="8">
        <v>-61.85906971</v>
      </c>
      <c r="L1137" s="8">
        <v>47.630898979999998</v>
      </c>
      <c r="M1137" s="9" t="str">
        <f>IF(A1137="",M1138,A1137)</f>
        <v>Dominica</v>
      </c>
      <c r="N1137" s="3" t="str">
        <f t="shared" si="35"/>
        <v>Aug-2020</v>
      </c>
    </row>
    <row r="1138" spans="1:14" x14ac:dyDescent="0.3">
      <c r="A1138" s="3" t="s">
        <v>102</v>
      </c>
      <c r="B1138" s="3" t="s">
        <v>103</v>
      </c>
      <c r="C1138" s="8">
        <v>2020</v>
      </c>
      <c r="D1138" s="8">
        <v>9</v>
      </c>
      <c r="E1138" s="3" t="str">
        <f t="shared" si="34"/>
        <v>September</v>
      </c>
      <c r="F1138" s="3" t="s">
        <v>8</v>
      </c>
      <c r="G1138" s="8">
        <v>44.33792425</v>
      </c>
      <c r="H1138" s="8">
        <v>44.54</v>
      </c>
      <c r="I1138" s="8">
        <v>0.20207575</v>
      </c>
      <c r="J1138" s="8">
        <v>-9.5682168940000007</v>
      </c>
      <c r="K1138" s="8">
        <v>-68.714710519999997</v>
      </c>
      <c r="L1138" s="8">
        <v>53.136497540000001</v>
      </c>
      <c r="M1138" s="9" t="str">
        <f>IF(A1138="",M1139,A1138)</f>
        <v>Dominica</v>
      </c>
      <c r="N1138" s="3" t="str">
        <f t="shared" si="35"/>
        <v>Sep-2020</v>
      </c>
    </row>
    <row r="1139" spans="1:14" x14ac:dyDescent="0.3">
      <c r="A1139" s="3" t="s">
        <v>102</v>
      </c>
      <c r="B1139" s="3" t="s">
        <v>103</v>
      </c>
      <c r="C1139" s="8">
        <v>2020</v>
      </c>
      <c r="D1139" s="8">
        <v>10</v>
      </c>
      <c r="E1139" s="3" t="str">
        <f t="shared" si="34"/>
        <v>October</v>
      </c>
      <c r="F1139" s="3" t="s">
        <v>8</v>
      </c>
      <c r="G1139" s="8">
        <v>44.825598849999999</v>
      </c>
      <c r="H1139" s="8">
        <v>44.195</v>
      </c>
      <c r="I1139" s="8">
        <v>-0.63059885299999996</v>
      </c>
      <c r="J1139" s="8">
        <v>-10.19881575</v>
      </c>
      <c r="K1139" s="8">
        <v>-68.813373429999999</v>
      </c>
      <c r="L1139" s="8">
        <v>59.562746310000001</v>
      </c>
      <c r="M1139" s="9" t="str">
        <f>IF(A1139="",M1140,A1139)</f>
        <v>Dominica</v>
      </c>
      <c r="N1139" s="3" t="str">
        <f t="shared" si="35"/>
        <v>Oct-2020</v>
      </c>
    </row>
    <row r="1140" spans="1:14" x14ac:dyDescent="0.3">
      <c r="A1140" s="3" t="s">
        <v>102</v>
      </c>
      <c r="B1140" s="3" t="s">
        <v>103</v>
      </c>
      <c r="C1140" s="8">
        <v>2020</v>
      </c>
      <c r="D1140" s="8">
        <v>11</v>
      </c>
      <c r="E1140" s="3" t="str">
        <f t="shared" si="34"/>
        <v>November</v>
      </c>
      <c r="F1140" s="3" t="s">
        <v>8</v>
      </c>
      <c r="G1140" s="8">
        <v>44.868071180000001</v>
      </c>
      <c r="H1140" s="8">
        <v>44.341000000000001</v>
      </c>
      <c r="I1140" s="8">
        <v>-0.52707118500000005</v>
      </c>
      <c r="J1140" s="8">
        <v>-10.72588693</v>
      </c>
      <c r="K1140" s="8">
        <v>-73.221567710000002</v>
      </c>
      <c r="L1140" s="8">
        <v>58.994204830000001</v>
      </c>
      <c r="M1140" s="9" t="str">
        <f>IF(A1140="",M1141,A1140)</f>
        <v>Dominica</v>
      </c>
      <c r="N1140" s="3" t="str">
        <f t="shared" si="35"/>
        <v>Nov-2020</v>
      </c>
    </row>
    <row r="1141" spans="1:14" x14ac:dyDescent="0.3">
      <c r="A1141" s="3" t="s">
        <v>102</v>
      </c>
      <c r="B1141" s="3" t="s">
        <v>103</v>
      </c>
      <c r="C1141" s="8">
        <v>2020</v>
      </c>
      <c r="D1141" s="8">
        <v>12</v>
      </c>
      <c r="E1141" s="3" t="str">
        <f t="shared" si="34"/>
        <v>December</v>
      </c>
      <c r="F1141" s="3" t="s">
        <v>8</v>
      </c>
      <c r="G1141" s="8">
        <v>44.995396960000001</v>
      </c>
      <c r="H1141" s="8">
        <v>44.923999999999999</v>
      </c>
      <c r="I1141" s="8">
        <v>-7.1396955999999998E-2</v>
      </c>
      <c r="J1141" s="8">
        <v>-10.797283889999999</v>
      </c>
      <c r="K1141" s="8">
        <v>-71.9789028</v>
      </c>
      <c r="L1141" s="8">
        <v>60.557420559999997</v>
      </c>
      <c r="M1141" s="9" t="str">
        <f>IF(A1141="",M1142,A1141)</f>
        <v>Dominica</v>
      </c>
      <c r="N1141" s="3" t="str">
        <f t="shared" si="35"/>
        <v>Dec-2020</v>
      </c>
    </row>
    <row r="1142" spans="1:14" x14ac:dyDescent="0.3">
      <c r="A1142" s="3" t="s">
        <v>102</v>
      </c>
      <c r="B1142" s="3" t="s">
        <v>103</v>
      </c>
      <c r="C1142" s="8">
        <v>2021</v>
      </c>
      <c r="D1142" s="8">
        <v>1</v>
      </c>
      <c r="E1142" s="3" t="str">
        <f t="shared" si="34"/>
        <v>January</v>
      </c>
      <c r="F1142" s="3" t="s">
        <v>8</v>
      </c>
      <c r="G1142" s="8">
        <v>40.943027100000002</v>
      </c>
      <c r="H1142" s="8">
        <v>42.404000000000003</v>
      </c>
      <c r="I1142" s="8">
        <v>1.4609729010000001</v>
      </c>
      <c r="J1142" s="8">
        <v>-9.3363109869999992</v>
      </c>
      <c r="K1142" s="8">
        <v>-78.607193760000001</v>
      </c>
      <c r="L1142" s="8">
        <v>63.384002840000001</v>
      </c>
      <c r="M1142" s="9" t="str">
        <f>IF(A1142="",M1143,A1142)</f>
        <v>Dominica</v>
      </c>
      <c r="N1142" s="3" t="str">
        <f t="shared" si="35"/>
        <v>Jan-2021</v>
      </c>
    </row>
    <row r="1143" spans="1:14" x14ac:dyDescent="0.3">
      <c r="A1143" s="3" t="s">
        <v>102</v>
      </c>
      <c r="B1143" s="3" t="s">
        <v>103</v>
      </c>
      <c r="C1143" s="8">
        <v>2021</v>
      </c>
      <c r="D1143" s="8">
        <v>2</v>
      </c>
      <c r="E1143" s="3" t="str">
        <f t="shared" si="34"/>
        <v>February</v>
      </c>
      <c r="F1143" s="3" t="s">
        <v>8</v>
      </c>
      <c r="G1143" s="8">
        <v>40.856007630000001</v>
      </c>
      <c r="H1143" s="8">
        <v>42.043999999999997</v>
      </c>
      <c r="I1143" s="8">
        <v>1.1879923750000001</v>
      </c>
      <c r="J1143" s="8">
        <v>-8.1483186120000006</v>
      </c>
      <c r="K1143" s="8">
        <v>-80.38373215</v>
      </c>
      <c r="L1143" s="8">
        <v>64.21939347</v>
      </c>
      <c r="M1143" s="9" t="str">
        <f>IF(A1143="",M1144,A1143)</f>
        <v>Dominica</v>
      </c>
      <c r="N1143" s="3" t="str">
        <f t="shared" si="35"/>
        <v>Feb-2021</v>
      </c>
    </row>
    <row r="1144" spans="1:14" x14ac:dyDescent="0.3">
      <c r="A1144" s="3" t="s">
        <v>102</v>
      </c>
      <c r="B1144" s="3" t="s">
        <v>103</v>
      </c>
      <c r="C1144" s="8">
        <v>2021</v>
      </c>
      <c r="D1144" s="8">
        <v>3</v>
      </c>
      <c r="E1144" s="3" t="str">
        <f t="shared" si="34"/>
        <v>March</v>
      </c>
      <c r="F1144" s="3" t="s">
        <v>8</v>
      </c>
      <c r="G1144" s="8">
        <v>41.177309190000003</v>
      </c>
      <c r="H1144" s="8">
        <v>41.777999999999999</v>
      </c>
      <c r="I1144" s="8">
        <v>0.60069081000000002</v>
      </c>
      <c r="J1144" s="8">
        <v>-7.5476278020000001</v>
      </c>
      <c r="K1144" s="8">
        <v>-83.814726050000004</v>
      </c>
      <c r="L1144" s="8">
        <v>68.93876186</v>
      </c>
      <c r="M1144" s="9" t="str">
        <f>IF(A1144="",M1145,A1144)</f>
        <v>Dominica</v>
      </c>
      <c r="N1144" s="3" t="str">
        <f t="shared" si="35"/>
        <v>Mar-2021</v>
      </c>
    </row>
    <row r="1145" spans="1:14" x14ac:dyDescent="0.3">
      <c r="A1145" s="3" t="s">
        <v>102</v>
      </c>
      <c r="B1145" s="3" t="s">
        <v>103</v>
      </c>
      <c r="C1145" s="8">
        <v>2021</v>
      </c>
      <c r="D1145" s="8">
        <v>4</v>
      </c>
      <c r="E1145" s="3" t="str">
        <f t="shared" si="34"/>
        <v>April</v>
      </c>
      <c r="F1145" s="3" t="s">
        <v>8</v>
      </c>
      <c r="G1145" s="8">
        <v>41.168424309999999</v>
      </c>
      <c r="H1145" s="8">
        <v>42.834000000000003</v>
      </c>
      <c r="I1145" s="8">
        <v>1.6655756850000001</v>
      </c>
      <c r="J1145" s="8">
        <v>-5.8820521169999997</v>
      </c>
      <c r="K1145" s="8">
        <v>-82.293738739999995</v>
      </c>
      <c r="L1145" s="8">
        <v>72.625293830000004</v>
      </c>
      <c r="M1145" s="9" t="str">
        <f>IF(A1145="",M1146,A1145)</f>
        <v>Dominica</v>
      </c>
      <c r="N1145" s="3" t="str">
        <f t="shared" si="35"/>
        <v>Apr-2021</v>
      </c>
    </row>
    <row r="1146" spans="1:14" x14ac:dyDescent="0.3">
      <c r="A1146" s="3" t="s">
        <v>102</v>
      </c>
      <c r="B1146" s="3" t="s">
        <v>103</v>
      </c>
      <c r="C1146" s="8">
        <v>2021</v>
      </c>
      <c r="D1146" s="8">
        <v>5</v>
      </c>
      <c r="E1146" s="3" t="str">
        <f t="shared" si="34"/>
        <v>May</v>
      </c>
      <c r="F1146" s="3" t="s">
        <v>8</v>
      </c>
      <c r="G1146" s="8">
        <v>40.61492904</v>
      </c>
      <c r="H1146" s="8">
        <v>42.357999999999997</v>
      </c>
      <c r="I1146" s="8">
        <v>1.743070957</v>
      </c>
      <c r="J1146" s="8">
        <v>-4.1389811590000001</v>
      </c>
      <c r="K1146" s="8">
        <v>-83.440019000000007</v>
      </c>
      <c r="L1146" s="8">
        <v>80.944109909999995</v>
      </c>
      <c r="M1146" s="9" t="str">
        <f>IF(A1146="",M1147,A1146)</f>
        <v>Dominica</v>
      </c>
      <c r="N1146" s="3" t="str">
        <f t="shared" si="35"/>
        <v>May-2021</v>
      </c>
    </row>
    <row r="1147" spans="1:14" x14ac:dyDescent="0.3">
      <c r="A1147" s="3" t="s">
        <v>102</v>
      </c>
      <c r="B1147" s="3" t="s">
        <v>103</v>
      </c>
      <c r="C1147" s="8">
        <v>2021</v>
      </c>
      <c r="D1147" s="8">
        <v>6</v>
      </c>
      <c r="E1147" s="3" t="str">
        <f t="shared" si="34"/>
        <v>June</v>
      </c>
      <c r="F1147" s="3" t="s">
        <v>8</v>
      </c>
      <c r="G1147" s="8">
        <v>40.317905850000002</v>
      </c>
      <c r="H1147" s="8">
        <v>41.896999999999998</v>
      </c>
      <c r="I1147" s="8">
        <v>1.5790941510000001</v>
      </c>
      <c r="J1147" s="8">
        <v>-2.559887008</v>
      </c>
      <c r="K1147" s="8">
        <v>-84.917182850000003</v>
      </c>
      <c r="L1147" s="8">
        <v>81.846570180000001</v>
      </c>
      <c r="M1147" s="9" t="str">
        <f>IF(A1147="",M1148,A1147)</f>
        <v>Dominica</v>
      </c>
      <c r="N1147" s="3" t="str">
        <f t="shared" si="35"/>
        <v>Jun-2021</v>
      </c>
    </row>
    <row r="1148" spans="1:14" x14ac:dyDescent="0.3">
      <c r="A1148" s="3" t="s">
        <v>102</v>
      </c>
      <c r="B1148" s="3" t="s">
        <v>103</v>
      </c>
      <c r="C1148" s="8">
        <v>2021</v>
      </c>
      <c r="D1148" s="8">
        <v>7</v>
      </c>
      <c r="E1148" s="3" t="str">
        <f t="shared" si="34"/>
        <v>July</v>
      </c>
      <c r="F1148" s="3" t="s">
        <v>8</v>
      </c>
      <c r="G1148" s="8">
        <v>40.502798640000002</v>
      </c>
      <c r="H1148" s="8">
        <v>41.33</v>
      </c>
      <c r="I1148" s="8">
        <v>0.82720136300000002</v>
      </c>
      <c r="J1148" s="8">
        <v>-1.7326856450000001</v>
      </c>
      <c r="K1148" s="8">
        <v>-87.988647229999998</v>
      </c>
      <c r="L1148" s="8">
        <v>83.133607389999995</v>
      </c>
      <c r="M1148" s="9" t="str">
        <f>IF(A1148="",M1149,A1148)</f>
        <v>Dominica</v>
      </c>
      <c r="N1148" s="3" t="str">
        <f t="shared" si="35"/>
        <v>Jul-2021</v>
      </c>
    </row>
    <row r="1149" spans="1:14" x14ac:dyDescent="0.3">
      <c r="A1149" s="3" t="s">
        <v>102</v>
      </c>
      <c r="B1149" s="3" t="s">
        <v>103</v>
      </c>
      <c r="C1149" s="8">
        <v>2021</v>
      </c>
      <c r="D1149" s="8">
        <v>8</v>
      </c>
      <c r="E1149" s="3" t="str">
        <f t="shared" si="34"/>
        <v>August</v>
      </c>
      <c r="F1149" s="3" t="s">
        <v>8</v>
      </c>
      <c r="G1149" s="8">
        <v>40.367960490000002</v>
      </c>
      <c r="H1149" s="8">
        <v>51.341999999999999</v>
      </c>
      <c r="I1149" s="8">
        <v>10.974039510000001</v>
      </c>
      <c r="J1149" s="8">
        <v>9.2413538650000007</v>
      </c>
      <c r="K1149" s="8">
        <v>-79.131289510000002</v>
      </c>
      <c r="L1149" s="8">
        <v>95.59844579</v>
      </c>
      <c r="M1149" s="9" t="str">
        <f>IF(A1149="",M1150,A1149)</f>
        <v>Dominica</v>
      </c>
      <c r="N1149" s="3" t="str">
        <f t="shared" si="35"/>
        <v>Aug-2021</v>
      </c>
    </row>
    <row r="1150" spans="1:14" x14ac:dyDescent="0.3">
      <c r="A1150" s="3" t="s">
        <v>102</v>
      </c>
      <c r="B1150" s="3" t="s">
        <v>103</v>
      </c>
      <c r="C1150" s="8">
        <v>2021</v>
      </c>
      <c r="D1150" s="8">
        <v>9</v>
      </c>
      <c r="E1150" s="3" t="str">
        <f t="shared" si="34"/>
        <v>September</v>
      </c>
      <c r="F1150" s="3" t="s">
        <v>8</v>
      </c>
      <c r="G1150" s="8">
        <v>40.584946780000003</v>
      </c>
      <c r="H1150" s="8">
        <v>59.673000000000002</v>
      </c>
      <c r="I1150" s="8">
        <v>19.088053219999999</v>
      </c>
      <c r="J1150" s="8">
        <v>28.329407079999999</v>
      </c>
      <c r="K1150" s="8">
        <v>-64.261406899999997</v>
      </c>
      <c r="L1150" s="8">
        <v>120.4815085</v>
      </c>
      <c r="M1150" s="9" t="str">
        <f>IF(A1150="",M1151,A1150)</f>
        <v>Dominica</v>
      </c>
      <c r="N1150" s="3" t="str">
        <f t="shared" si="35"/>
        <v>Sep-2021</v>
      </c>
    </row>
    <row r="1151" spans="1:14" x14ac:dyDescent="0.3">
      <c r="A1151" s="3" t="s">
        <v>102</v>
      </c>
      <c r="B1151" s="3" t="s">
        <v>103</v>
      </c>
      <c r="C1151" s="8">
        <v>2021</v>
      </c>
      <c r="D1151" s="8">
        <v>10</v>
      </c>
      <c r="E1151" s="3" t="str">
        <f t="shared" si="34"/>
        <v>October</v>
      </c>
      <c r="F1151" s="3" t="s">
        <v>8</v>
      </c>
      <c r="G1151" s="8">
        <v>40.746107979999998</v>
      </c>
      <c r="H1151" s="8">
        <v>60.603999999999999</v>
      </c>
      <c r="I1151" s="8">
        <v>19.857892020000001</v>
      </c>
      <c r="J1151" s="8">
        <v>48.187299099999997</v>
      </c>
      <c r="K1151" s="8">
        <v>-45.145520230000002</v>
      </c>
      <c r="L1151" s="8">
        <v>144.1060603</v>
      </c>
      <c r="M1151" s="9" t="str">
        <f>IF(A1151="",M1152,A1151)</f>
        <v>Dominica</v>
      </c>
      <c r="N1151" s="3" t="str">
        <f t="shared" si="35"/>
        <v>Oct-2021</v>
      </c>
    </row>
    <row r="1152" spans="1:14" x14ac:dyDescent="0.3">
      <c r="A1152" s="3" t="s">
        <v>102</v>
      </c>
      <c r="B1152" s="3" t="s">
        <v>103</v>
      </c>
      <c r="C1152" s="8">
        <v>2021</v>
      </c>
      <c r="D1152" s="8">
        <v>11</v>
      </c>
      <c r="E1152" s="3" t="str">
        <f t="shared" si="34"/>
        <v>November</v>
      </c>
      <c r="F1152" s="3" t="s">
        <v>8</v>
      </c>
      <c r="G1152" s="8">
        <v>40.887112350000002</v>
      </c>
      <c r="H1152" s="8">
        <v>50.704000000000001</v>
      </c>
      <c r="I1152" s="8">
        <v>9.8168876459999996</v>
      </c>
      <c r="J1152" s="8">
        <v>58.004186750000002</v>
      </c>
      <c r="K1152" s="8">
        <v>-40.93215026</v>
      </c>
      <c r="L1152" s="8">
        <v>157.40801350000001</v>
      </c>
      <c r="M1152" s="9" t="str">
        <f>IF(A1152="",M1153,A1152)</f>
        <v>Dominica</v>
      </c>
      <c r="N1152" s="3" t="str">
        <f t="shared" si="35"/>
        <v>Nov-2021</v>
      </c>
    </row>
    <row r="1153" spans="1:14" x14ac:dyDescent="0.3">
      <c r="A1153" s="3" t="s">
        <v>102</v>
      </c>
      <c r="B1153" s="3" t="s">
        <v>103</v>
      </c>
      <c r="C1153" s="8">
        <v>2021</v>
      </c>
      <c r="D1153" s="8">
        <v>12</v>
      </c>
      <c r="E1153" s="3" t="str">
        <f t="shared" si="34"/>
        <v>December</v>
      </c>
      <c r="F1153" s="3" t="s">
        <v>8</v>
      </c>
      <c r="G1153" s="8">
        <v>40.993500470000001</v>
      </c>
      <c r="H1153" s="8">
        <v>52.968000000000004</v>
      </c>
      <c r="I1153" s="8">
        <v>11.974499529999999</v>
      </c>
      <c r="J1153" s="8">
        <v>69.978686280000005</v>
      </c>
      <c r="K1153" s="8">
        <v>-29.584358739999999</v>
      </c>
      <c r="L1153" s="8">
        <v>173.16468470000001</v>
      </c>
      <c r="M1153" s="9" t="str">
        <f>IF(A1153="",M1154,A1153)</f>
        <v>Dominica</v>
      </c>
      <c r="N1153" s="3" t="str">
        <f t="shared" si="35"/>
        <v>Dec-2021</v>
      </c>
    </row>
    <row r="1154" spans="1:14" x14ac:dyDescent="0.3">
      <c r="A1154" s="3" t="s">
        <v>104</v>
      </c>
      <c r="B1154" s="3" t="s">
        <v>105</v>
      </c>
      <c r="C1154" s="8">
        <v>2020</v>
      </c>
      <c r="D1154" s="8">
        <v>1</v>
      </c>
      <c r="E1154" s="3" t="str">
        <f t="shared" ref="E1154:E1217" si="36">TEXT(DATE(C1154,D1154,1),"MMMM")</f>
        <v>January</v>
      </c>
      <c r="F1154" s="3" t="s">
        <v>13</v>
      </c>
      <c r="G1154" s="8">
        <v>4894.4895159999996</v>
      </c>
      <c r="H1154" s="8">
        <v>4833</v>
      </c>
      <c r="I1154" s="8">
        <v>-61.572849089999998</v>
      </c>
      <c r="J1154" s="8">
        <v>-61.572849089999998</v>
      </c>
      <c r="K1154" s="8">
        <v>-196.28020549999999</v>
      </c>
      <c r="L1154" s="8">
        <v>61.41107513</v>
      </c>
      <c r="M1154" s="9" t="str">
        <f>IF(A1154="",M1155,A1154)</f>
        <v>Denmark</v>
      </c>
      <c r="N1154" s="3" t="str">
        <f t="shared" ref="N1154:N1217" si="37">TEXT(DATE(C1154,D1154,1),"MMM-YYYY")</f>
        <v>Jan-2020</v>
      </c>
    </row>
    <row r="1155" spans="1:14" x14ac:dyDescent="0.3">
      <c r="A1155" s="3" t="s">
        <v>104</v>
      </c>
      <c r="B1155" s="3" t="s">
        <v>105</v>
      </c>
      <c r="C1155" s="8">
        <v>2020</v>
      </c>
      <c r="D1155" s="8">
        <v>2</v>
      </c>
      <c r="E1155" s="3" t="str">
        <f t="shared" si="36"/>
        <v>February</v>
      </c>
      <c r="F1155" s="3" t="s">
        <v>13</v>
      </c>
      <c r="G1155" s="8">
        <v>4852.4665530000002</v>
      </c>
      <c r="H1155" s="8">
        <v>4363</v>
      </c>
      <c r="I1155" s="8">
        <v>-489.5498867</v>
      </c>
      <c r="J1155" s="8">
        <v>-551.12273579999999</v>
      </c>
      <c r="K1155" s="8">
        <v>-761.46375339999997</v>
      </c>
      <c r="L1155" s="8">
        <v>-351.5474931</v>
      </c>
      <c r="M1155" s="9" t="str">
        <f>IF(A1155="",M1156,A1155)</f>
        <v>Denmark</v>
      </c>
      <c r="N1155" s="3" t="str">
        <f t="shared" si="37"/>
        <v>Feb-2020</v>
      </c>
    </row>
    <row r="1156" spans="1:14" x14ac:dyDescent="0.3">
      <c r="A1156" s="3" t="s">
        <v>104</v>
      </c>
      <c r="B1156" s="3" t="s">
        <v>105</v>
      </c>
      <c r="C1156" s="8">
        <v>2020</v>
      </c>
      <c r="D1156" s="8">
        <v>3</v>
      </c>
      <c r="E1156" s="3" t="str">
        <f t="shared" si="36"/>
        <v>March</v>
      </c>
      <c r="F1156" s="3" t="s">
        <v>13</v>
      </c>
      <c r="G1156" s="8">
        <v>5113.9481029999997</v>
      </c>
      <c r="H1156" s="8">
        <v>4856</v>
      </c>
      <c r="I1156" s="8">
        <v>-258.03143679999999</v>
      </c>
      <c r="J1156" s="8">
        <v>-809.15417260000004</v>
      </c>
      <c r="K1156" s="8">
        <v>-1071.114703</v>
      </c>
      <c r="L1156" s="8">
        <v>-580.95130440000003</v>
      </c>
      <c r="M1156" s="9" t="str">
        <f>IF(A1156="",M1157,A1156)</f>
        <v>Denmark</v>
      </c>
      <c r="N1156" s="3" t="str">
        <f t="shared" si="37"/>
        <v>Mar-2020</v>
      </c>
    </row>
    <row r="1157" spans="1:14" x14ac:dyDescent="0.3">
      <c r="A1157" s="3" t="s">
        <v>104</v>
      </c>
      <c r="B1157" s="3" t="s">
        <v>105</v>
      </c>
      <c r="C1157" s="8">
        <v>2020</v>
      </c>
      <c r="D1157" s="8">
        <v>4</v>
      </c>
      <c r="E1157" s="3" t="str">
        <f t="shared" si="36"/>
        <v>April</v>
      </c>
      <c r="F1157" s="3" t="s">
        <v>13</v>
      </c>
      <c r="G1157" s="8">
        <v>4610.5652659999996</v>
      </c>
      <c r="H1157" s="8">
        <v>4732</v>
      </c>
      <c r="I1157" s="8">
        <v>121.351401</v>
      </c>
      <c r="J1157" s="8">
        <v>-687.80277160000003</v>
      </c>
      <c r="K1157" s="8">
        <v>-981.96242050000001</v>
      </c>
      <c r="L1157" s="8">
        <v>-401.51882000000001</v>
      </c>
      <c r="M1157" s="9" t="str">
        <f>IF(A1157="",M1158,A1157)</f>
        <v>Denmark</v>
      </c>
      <c r="N1157" s="3" t="str">
        <f t="shared" si="37"/>
        <v>Apr-2020</v>
      </c>
    </row>
    <row r="1158" spans="1:14" x14ac:dyDescent="0.3">
      <c r="A1158" s="3" t="s">
        <v>104</v>
      </c>
      <c r="B1158" s="3" t="s">
        <v>105</v>
      </c>
      <c r="C1158" s="8">
        <v>2020</v>
      </c>
      <c r="D1158" s="8">
        <v>5</v>
      </c>
      <c r="E1158" s="3" t="str">
        <f t="shared" si="36"/>
        <v>May</v>
      </c>
      <c r="F1158" s="3" t="s">
        <v>13</v>
      </c>
      <c r="G1158" s="8">
        <v>4487.0461640000003</v>
      </c>
      <c r="H1158" s="8">
        <v>4389</v>
      </c>
      <c r="I1158" s="8">
        <v>-98.129497200000003</v>
      </c>
      <c r="J1158" s="8">
        <v>-785.93226879999997</v>
      </c>
      <c r="K1158" s="8">
        <v>-1114.629293</v>
      </c>
      <c r="L1158" s="8">
        <v>-446.38319589999998</v>
      </c>
      <c r="M1158" s="9" t="str">
        <f>IF(A1158="",M1159,A1158)</f>
        <v>Denmark</v>
      </c>
      <c r="N1158" s="3" t="str">
        <f t="shared" si="37"/>
        <v>May-2020</v>
      </c>
    </row>
    <row r="1159" spans="1:14" x14ac:dyDescent="0.3">
      <c r="A1159" s="3" t="s">
        <v>104</v>
      </c>
      <c r="B1159" s="3" t="s">
        <v>105</v>
      </c>
      <c r="C1159" s="8">
        <v>2020</v>
      </c>
      <c r="D1159" s="8">
        <v>6</v>
      </c>
      <c r="E1159" s="3" t="str">
        <f t="shared" si="36"/>
        <v>June</v>
      </c>
      <c r="F1159" s="3" t="s">
        <v>13</v>
      </c>
      <c r="G1159" s="8">
        <v>4265.3280969999996</v>
      </c>
      <c r="H1159" s="8">
        <v>4179</v>
      </c>
      <c r="I1159" s="8">
        <v>-86.411430469999999</v>
      </c>
      <c r="J1159" s="8">
        <v>-872.34369930000003</v>
      </c>
      <c r="K1159" s="8">
        <v>-1234.157177</v>
      </c>
      <c r="L1159" s="8">
        <v>-507.93701170000003</v>
      </c>
      <c r="M1159" s="9" t="str">
        <f>IF(A1159="",M1160,A1159)</f>
        <v>Denmark</v>
      </c>
      <c r="N1159" s="3" t="str">
        <f t="shared" si="37"/>
        <v>Jun-2020</v>
      </c>
    </row>
    <row r="1160" spans="1:14" x14ac:dyDescent="0.3">
      <c r="A1160" s="3" t="s">
        <v>104</v>
      </c>
      <c r="B1160" s="3" t="s">
        <v>105</v>
      </c>
      <c r="C1160" s="8">
        <v>2020</v>
      </c>
      <c r="D1160" s="8">
        <v>7</v>
      </c>
      <c r="E1160" s="3" t="str">
        <f t="shared" si="36"/>
        <v>July</v>
      </c>
      <c r="F1160" s="3" t="s">
        <v>13</v>
      </c>
      <c r="G1160" s="8">
        <v>4335.8868730000004</v>
      </c>
      <c r="H1160" s="8">
        <v>4341</v>
      </c>
      <c r="I1160" s="8">
        <v>5.0297933290000003</v>
      </c>
      <c r="J1160" s="8">
        <v>-867.31390599999997</v>
      </c>
      <c r="K1160" s="8">
        <v>-1270.774091</v>
      </c>
      <c r="L1160" s="8">
        <v>-482.4424927</v>
      </c>
      <c r="M1160" s="9" t="str">
        <f>IF(A1160="",M1161,A1160)</f>
        <v>Denmark</v>
      </c>
      <c r="N1160" s="3" t="str">
        <f t="shared" si="37"/>
        <v>Jul-2020</v>
      </c>
    </row>
    <row r="1161" spans="1:14" x14ac:dyDescent="0.3">
      <c r="A1161" s="3" t="s">
        <v>104</v>
      </c>
      <c r="B1161" s="3" t="s">
        <v>105</v>
      </c>
      <c r="C1161" s="8">
        <v>2020</v>
      </c>
      <c r="D1161" s="8">
        <v>8</v>
      </c>
      <c r="E1161" s="3" t="str">
        <f t="shared" si="36"/>
        <v>August</v>
      </c>
      <c r="F1161" s="3" t="s">
        <v>13</v>
      </c>
      <c r="G1161" s="8">
        <v>4329.1569799999997</v>
      </c>
      <c r="H1161" s="8">
        <v>4320</v>
      </c>
      <c r="I1161" s="8">
        <v>-9.2403130850000004</v>
      </c>
      <c r="J1161" s="8">
        <v>-876.55421899999999</v>
      </c>
      <c r="K1161" s="8">
        <v>-1303.5151579999999</v>
      </c>
      <c r="L1161" s="8">
        <v>-457.69113040000002</v>
      </c>
      <c r="M1161" s="9" t="str">
        <f>IF(A1161="",M1162,A1161)</f>
        <v>Denmark</v>
      </c>
      <c r="N1161" s="3" t="str">
        <f t="shared" si="37"/>
        <v>Aug-2020</v>
      </c>
    </row>
    <row r="1162" spans="1:14" x14ac:dyDescent="0.3">
      <c r="A1162" s="3" t="s">
        <v>104</v>
      </c>
      <c r="B1162" s="3" t="s">
        <v>105</v>
      </c>
      <c r="C1162" s="8">
        <v>2020</v>
      </c>
      <c r="D1162" s="8">
        <v>9</v>
      </c>
      <c r="E1162" s="3" t="str">
        <f t="shared" si="36"/>
        <v>September</v>
      </c>
      <c r="F1162" s="3" t="s">
        <v>13</v>
      </c>
      <c r="G1162" s="8">
        <v>4242.2550520000004</v>
      </c>
      <c r="H1162" s="8">
        <v>4311</v>
      </c>
      <c r="I1162" s="8">
        <v>68.661614409999999</v>
      </c>
      <c r="J1162" s="8">
        <v>-807.89260460000003</v>
      </c>
      <c r="K1162" s="8">
        <v>-1265.364018</v>
      </c>
      <c r="L1162" s="8">
        <v>-375.80122219999998</v>
      </c>
      <c r="M1162" s="9" t="str">
        <f>IF(A1162="",M1163,A1162)</f>
        <v>Denmark</v>
      </c>
      <c r="N1162" s="3" t="str">
        <f t="shared" si="37"/>
        <v>Sep-2020</v>
      </c>
    </row>
    <row r="1163" spans="1:14" x14ac:dyDescent="0.3">
      <c r="A1163" s="3" t="s">
        <v>104</v>
      </c>
      <c r="B1163" s="3" t="s">
        <v>105</v>
      </c>
      <c r="C1163" s="8">
        <v>2020</v>
      </c>
      <c r="D1163" s="8">
        <v>10</v>
      </c>
      <c r="E1163" s="3" t="str">
        <f t="shared" si="36"/>
        <v>October</v>
      </c>
      <c r="F1163" s="3" t="s">
        <v>13</v>
      </c>
      <c r="G1163" s="8">
        <v>4440.5836810000001</v>
      </c>
      <c r="H1163" s="8">
        <v>4450</v>
      </c>
      <c r="I1163" s="8">
        <v>9.332985485</v>
      </c>
      <c r="J1163" s="8">
        <v>-798.55961920000004</v>
      </c>
      <c r="K1163" s="8">
        <v>-1296.7345640000001</v>
      </c>
      <c r="L1163" s="8">
        <v>-342.28262910000001</v>
      </c>
      <c r="M1163" s="9" t="str">
        <f>IF(A1163="",M1164,A1163)</f>
        <v>Denmark</v>
      </c>
      <c r="N1163" s="3" t="str">
        <f t="shared" si="37"/>
        <v>Oct-2020</v>
      </c>
    </row>
    <row r="1164" spans="1:14" x14ac:dyDescent="0.3">
      <c r="A1164" s="3" t="s">
        <v>104</v>
      </c>
      <c r="B1164" s="3" t="s">
        <v>105</v>
      </c>
      <c r="C1164" s="8">
        <v>2020</v>
      </c>
      <c r="D1164" s="8">
        <v>11</v>
      </c>
      <c r="E1164" s="3" t="str">
        <f t="shared" si="36"/>
        <v>November</v>
      </c>
      <c r="F1164" s="3" t="s">
        <v>13</v>
      </c>
      <c r="G1164" s="8">
        <v>4516.4071979999999</v>
      </c>
      <c r="H1164" s="8">
        <v>4600</v>
      </c>
      <c r="I1164" s="8">
        <v>83.509469069999994</v>
      </c>
      <c r="J1164" s="8">
        <v>-715.0501501</v>
      </c>
      <c r="K1164" s="8">
        <v>-1206.5098949999999</v>
      </c>
      <c r="L1164" s="8">
        <v>-231.56262910000001</v>
      </c>
      <c r="M1164" s="9" t="str">
        <f>IF(A1164="",M1165,A1164)</f>
        <v>Denmark</v>
      </c>
      <c r="N1164" s="3" t="str">
        <f t="shared" si="37"/>
        <v>Nov-2020</v>
      </c>
    </row>
    <row r="1165" spans="1:14" x14ac:dyDescent="0.3">
      <c r="A1165" s="3" t="s">
        <v>104</v>
      </c>
      <c r="B1165" s="3" t="s">
        <v>105</v>
      </c>
      <c r="C1165" s="8">
        <v>2020</v>
      </c>
      <c r="D1165" s="8">
        <v>12</v>
      </c>
      <c r="E1165" s="3" t="str">
        <f t="shared" si="36"/>
        <v>December</v>
      </c>
      <c r="F1165" s="3" t="s">
        <v>13</v>
      </c>
      <c r="G1165" s="8">
        <v>4931.831486</v>
      </c>
      <c r="H1165" s="8">
        <v>5247</v>
      </c>
      <c r="I1165" s="8">
        <v>315.08518029999999</v>
      </c>
      <c r="J1165" s="8">
        <v>-399.96496980000001</v>
      </c>
      <c r="K1165" s="8">
        <v>-911.99361680000004</v>
      </c>
      <c r="L1165" s="8">
        <v>126.43049120000001</v>
      </c>
      <c r="M1165" s="9" t="str">
        <f>IF(A1165="",M1166,A1165)</f>
        <v>Denmark</v>
      </c>
      <c r="N1165" s="3" t="str">
        <f t="shared" si="37"/>
        <v>Dec-2020</v>
      </c>
    </row>
    <row r="1166" spans="1:14" x14ac:dyDescent="0.3">
      <c r="A1166" s="3" t="s">
        <v>104</v>
      </c>
      <c r="B1166" s="3" t="s">
        <v>105</v>
      </c>
      <c r="C1166" s="8">
        <v>2021</v>
      </c>
      <c r="D1166" s="8">
        <v>1</v>
      </c>
      <c r="E1166" s="3" t="str">
        <f t="shared" si="36"/>
        <v>January</v>
      </c>
      <c r="F1166" s="3" t="s">
        <v>13</v>
      </c>
      <c r="G1166" s="8">
        <v>4936.984058</v>
      </c>
      <c r="H1166" s="8">
        <v>5475</v>
      </c>
      <c r="I1166" s="8">
        <v>538.01594179999995</v>
      </c>
      <c r="J1166" s="8">
        <v>138.050972</v>
      </c>
      <c r="K1166" s="8">
        <v>-405.31154989999999</v>
      </c>
      <c r="L1166" s="8">
        <v>670.42188439999995</v>
      </c>
      <c r="M1166" s="9" t="str">
        <f>IF(A1166="",M1167,A1166)</f>
        <v>Denmark</v>
      </c>
      <c r="N1166" s="3" t="str">
        <f t="shared" si="37"/>
        <v>Jan-2021</v>
      </c>
    </row>
    <row r="1167" spans="1:14" x14ac:dyDescent="0.3">
      <c r="A1167" s="3" t="s">
        <v>104</v>
      </c>
      <c r="B1167" s="3" t="s">
        <v>105</v>
      </c>
      <c r="C1167" s="8">
        <v>2021</v>
      </c>
      <c r="D1167" s="8">
        <v>2</v>
      </c>
      <c r="E1167" s="3" t="str">
        <f t="shared" si="36"/>
        <v>February</v>
      </c>
      <c r="F1167" s="3" t="s">
        <v>13</v>
      </c>
      <c r="G1167" s="8">
        <v>4898.6055070000002</v>
      </c>
      <c r="H1167" s="8">
        <v>4352</v>
      </c>
      <c r="I1167" s="8">
        <v>-546.60550739999996</v>
      </c>
      <c r="J1167" s="8">
        <v>-408.55453540000002</v>
      </c>
      <c r="K1167" s="8">
        <v>-956.84960599999999</v>
      </c>
      <c r="L1167" s="8">
        <v>139.4455926</v>
      </c>
      <c r="M1167" s="9" t="str">
        <f>IF(A1167="",M1168,A1167)</f>
        <v>Denmark</v>
      </c>
      <c r="N1167" s="3" t="str">
        <f t="shared" si="37"/>
        <v>Feb-2021</v>
      </c>
    </row>
    <row r="1168" spans="1:14" x14ac:dyDescent="0.3">
      <c r="A1168" s="3" t="s">
        <v>104</v>
      </c>
      <c r="B1168" s="3" t="s">
        <v>105</v>
      </c>
      <c r="C1168" s="8">
        <v>2021</v>
      </c>
      <c r="D1168" s="8">
        <v>3</v>
      </c>
      <c r="E1168" s="3" t="str">
        <f t="shared" si="36"/>
        <v>March</v>
      </c>
      <c r="F1168" s="3" t="s">
        <v>13</v>
      </c>
      <c r="G1168" s="8">
        <v>5153.1599379999998</v>
      </c>
      <c r="H1168" s="8">
        <v>4445</v>
      </c>
      <c r="I1168" s="8">
        <v>-708.15993839999999</v>
      </c>
      <c r="J1168" s="8">
        <v>-1116.7144740000001</v>
      </c>
      <c r="K1168" s="8">
        <v>-1663.0250639999999</v>
      </c>
      <c r="L1168" s="8">
        <v>-544.14037080000003</v>
      </c>
      <c r="M1168" s="9" t="str">
        <f>IF(A1168="",M1169,A1168)</f>
        <v>Denmark</v>
      </c>
      <c r="N1168" s="3" t="str">
        <f t="shared" si="37"/>
        <v>Mar-2021</v>
      </c>
    </row>
    <row r="1169" spans="1:14" x14ac:dyDescent="0.3">
      <c r="A1169" s="3" t="s">
        <v>104</v>
      </c>
      <c r="B1169" s="3" t="s">
        <v>105</v>
      </c>
      <c r="C1169" s="8">
        <v>2021</v>
      </c>
      <c r="D1169" s="8">
        <v>4</v>
      </c>
      <c r="E1169" s="3" t="str">
        <f t="shared" si="36"/>
        <v>April</v>
      </c>
      <c r="F1169" s="3" t="s">
        <v>13</v>
      </c>
      <c r="G1169" s="8">
        <v>4652.5748510000003</v>
      </c>
      <c r="H1169" s="8">
        <v>4344</v>
      </c>
      <c r="I1169" s="8">
        <v>-308.57485109999999</v>
      </c>
      <c r="J1169" s="8">
        <v>-1425.289325</v>
      </c>
      <c r="K1169" s="8">
        <v>-2030.3448840000001</v>
      </c>
      <c r="L1169" s="8">
        <v>-855.37941530000001</v>
      </c>
      <c r="M1169" s="9" t="str">
        <f>IF(A1169="",M1170,A1169)</f>
        <v>Denmark</v>
      </c>
      <c r="N1169" s="3" t="str">
        <f t="shared" si="37"/>
        <v>Apr-2021</v>
      </c>
    </row>
    <row r="1170" spans="1:14" x14ac:dyDescent="0.3">
      <c r="A1170" s="3" t="s">
        <v>104</v>
      </c>
      <c r="B1170" s="3" t="s">
        <v>105</v>
      </c>
      <c r="C1170" s="8">
        <v>2021</v>
      </c>
      <c r="D1170" s="8">
        <v>5</v>
      </c>
      <c r="E1170" s="3" t="str">
        <f t="shared" si="36"/>
        <v>May</v>
      </c>
      <c r="F1170" s="3" t="s">
        <v>13</v>
      </c>
      <c r="G1170" s="8">
        <v>4521.690063</v>
      </c>
      <c r="H1170" s="8">
        <v>4684</v>
      </c>
      <c r="I1170" s="8">
        <v>162.30993699999999</v>
      </c>
      <c r="J1170" s="8">
        <v>-1262.979388</v>
      </c>
      <c r="K1170" s="8">
        <v>-1909.676847</v>
      </c>
      <c r="L1170" s="8">
        <v>-688.95342000000005</v>
      </c>
      <c r="M1170" s="9" t="str">
        <f>IF(A1170="",M1171,A1170)</f>
        <v>Denmark</v>
      </c>
      <c r="N1170" s="3" t="str">
        <f t="shared" si="37"/>
        <v>May-2021</v>
      </c>
    </row>
    <row r="1171" spans="1:14" x14ac:dyDescent="0.3">
      <c r="A1171" s="3" t="s">
        <v>104</v>
      </c>
      <c r="B1171" s="3" t="s">
        <v>105</v>
      </c>
      <c r="C1171" s="8">
        <v>2021</v>
      </c>
      <c r="D1171" s="8">
        <v>6</v>
      </c>
      <c r="E1171" s="3" t="str">
        <f t="shared" si="36"/>
        <v>June</v>
      </c>
      <c r="F1171" s="3" t="s">
        <v>13</v>
      </c>
      <c r="G1171" s="8">
        <v>4303.1453380000003</v>
      </c>
      <c r="H1171" s="8">
        <v>4397</v>
      </c>
      <c r="I1171" s="8">
        <v>93.854662300000001</v>
      </c>
      <c r="J1171" s="8">
        <v>-1169.124726</v>
      </c>
      <c r="K1171" s="8">
        <v>-1827.376751</v>
      </c>
      <c r="L1171" s="8">
        <v>-553.52501910000001</v>
      </c>
      <c r="M1171" s="9" t="str">
        <f>IF(A1171="",M1172,A1171)</f>
        <v>Denmark</v>
      </c>
      <c r="N1171" s="3" t="str">
        <f t="shared" si="37"/>
        <v>Jun-2021</v>
      </c>
    </row>
    <row r="1172" spans="1:14" x14ac:dyDescent="0.3">
      <c r="A1172" s="3" t="s">
        <v>104</v>
      </c>
      <c r="B1172" s="3" t="s">
        <v>105</v>
      </c>
      <c r="C1172" s="8">
        <v>2021</v>
      </c>
      <c r="D1172" s="8">
        <v>7</v>
      </c>
      <c r="E1172" s="3" t="str">
        <f t="shared" si="36"/>
        <v>July</v>
      </c>
      <c r="F1172" s="3" t="s">
        <v>13</v>
      </c>
      <c r="G1172" s="8">
        <v>4378.6247100000001</v>
      </c>
      <c r="H1172" s="8">
        <v>4594</v>
      </c>
      <c r="I1172" s="8">
        <v>215.37529019999999</v>
      </c>
      <c r="J1172" s="8">
        <v>-953.74943540000004</v>
      </c>
      <c r="K1172" s="8">
        <v>-1631.0972340000001</v>
      </c>
      <c r="L1172" s="8">
        <v>-318.77704189999997</v>
      </c>
      <c r="M1172" s="9" t="str">
        <f>IF(A1172="",M1173,A1172)</f>
        <v>Denmark</v>
      </c>
      <c r="N1172" s="3" t="str">
        <f t="shared" si="37"/>
        <v>Jul-2021</v>
      </c>
    </row>
    <row r="1173" spans="1:14" x14ac:dyDescent="0.3">
      <c r="A1173" s="3" t="s">
        <v>104</v>
      </c>
      <c r="B1173" s="3" t="s">
        <v>105</v>
      </c>
      <c r="C1173" s="8">
        <v>2021</v>
      </c>
      <c r="D1173" s="8">
        <v>8</v>
      </c>
      <c r="E1173" s="3" t="str">
        <f t="shared" si="36"/>
        <v>August</v>
      </c>
      <c r="F1173" s="3" t="s">
        <v>13</v>
      </c>
      <c r="G1173" s="8">
        <v>4368.7961560000003</v>
      </c>
      <c r="H1173" s="8">
        <v>4783</v>
      </c>
      <c r="I1173" s="8">
        <v>414.20384419999999</v>
      </c>
      <c r="J1173" s="8">
        <v>-539.54559119999999</v>
      </c>
      <c r="K1173" s="8">
        <v>-1230.046155</v>
      </c>
      <c r="L1173" s="8">
        <v>99.282493389999999</v>
      </c>
      <c r="M1173" s="9" t="str">
        <f>IF(A1173="",M1174,A1173)</f>
        <v>Denmark</v>
      </c>
      <c r="N1173" s="3" t="str">
        <f t="shared" si="37"/>
        <v>Aug-2021</v>
      </c>
    </row>
    <row r="1174" spans="1:14" x14ac:dyDescent="0.3">
      <c r="A1174" s="3" t="s">
        <v>104</v>
      </c>
      <c r="B1174" s="3" t="s">
        <v>105</v>
      </c>
      <c r="C1174" s="8">
        <v>2021</v>
      </c>
      <c r="D1174" s="8">
        <v>9</v>
      </c>
      <c r="E1174" s="3" t="str">
        <f t="shared" si="36"/>
        <v>September</v>
      </c>
      <c r="F1174" s="3" t="s">
        <v>13</v>
      </c>
      <c r="G1174" s="8">
        <v>4284.718895</v>
      </c>
      <c r="H1174" s="8">
        <v>4596</v>
      </c>
      <c r="I1174" s="8">
        <v>311.28110470000001</v>
      </c>
      <c r="J1174" s="8">
        <v>-228.2644865</v>
      </c>
      <c r="K1174" s="8">
        <v>-949.83533399999999</v>
      </c>
      <c r="L1174" s="8">
        <v>434.79912389999998</v>
      </c>
      <c r="M1174" s="9" t="str">
        <f>IF(A1174="",M1175,A1174)</f>
        <v>Denmark</v>
      </c>
      <c r="N1174" s="3" t="str">
        <f t="shared" si="37"/>
        <v>Sep-2021</v>
      </c>
    </row>
    <row r="1175" spans="1:14" x14ac:dyDescent="0.3">
      <c r="A1175" s="3" t="s">
        <v>104</v>
      </c>
      <c r="B1175" s="3" t="s">
        <v>105</v>
      </c>
      <c r="C1175" s="8">
        <v>2021</v>
      </c>
      <c r="D1175" s="8">
        <v>10</v>
      </c>
      <c r="E1175" s="3" t="str">
        <f t="shared" si="36"/>
        <v>October</v>
      </c>
      <c r="F1175" s="3" t="s">
        <v>13</v>
      </c>
      <c r="G1175" s="8">
        <v>4481.7928940000002</v>
      </c>
      <c r="H1175" s="8">
        <v>4981</v>
      </c>
      <c r="I1175" s="8">
        <v>499.2071057</v>
      </c>
      <c r="J1175" s="8">
        <v>270.9426191</v>
      </c>
      <c r="K1175" s="8">
        <v>-469.8283467</v>
      </c>
      <c r="L1175" s="8">
        <v>957.72065039999995</v>
      </c>
      <c r="M1175" s="9" t="str">
        <f>IF(A1175="",M1176,A1175)</f>
        <v>Denmark</v>
      </c>
      <c r="N1175" s="3" t="str">
        <f t="shared" si="37"/>
        <v>Oct-2021</v>
      </c>
    </row>
    <row r="1176" spans="1:14" x14ac:dyDescent="0.3">
      <c r="A1176" s="3" t="s">
        <v>104</v>
      </c>
      <c r="B1176" s="3" t="s">
        <v>105</v>
      </c>
      <c r="C1176" s="8">
        <v>2021</v>
      </c>
      <c r="D1176" s="8">
        <v>11</v>
      </c>
      <c r="E1176" s="3" t="str">
        <f t="shared" si="36"/>
        <v>November</v>
      </c>
      <c r="F1176" s="3" t="s">
        <v>13</v>
      </c>
      <c r="G1176" s="8">
        <v>4555.8916250000002</v>
      </c>
      <c r="H1176" s="8">
        <v>4971</v>
      </c>
      <c r="I1176" s="8">
        <v>415.1083749</v>
      </c>
      <c r="J1176" s="8">
        <v>686.05099399999995</v>
      </c>
      <c r="K1176" s="8">
        <v>-83.706501099999997</v>
      </c>
      <c r="L1176" s="8">
        <v>1394.928257</v>
      </c>
      <c r="M1176" s="9" t="str">
        <f>IF(A1176="",M1177,A1176)</f>
        <v>Denmark</v>
      </c>
      <c r="N1176" s="3" t="str">
        <f t="shared" si="37"/>
        <v>Nov-2021</v>
      </c>
    </row>
    <row r="1177" spans="1:14" x14ac:dyDescent="0.3">
      <c r="A1177" s="3" t="s">
        <v>104</v>
      </c>
      <c r="B1177" s="3" t="s">
        <v>105</v>
      </c>
      <c r="C1177" s="8">
        <v>2021</v>
      </c>
      <c r="D1177" s="8">
        <v>12</v>
      </c>
      <c r="E1177" s="3" t="str">
        <f t="shared" si="36"/>
        <v>December</v>
      </c>
      <c r="F1177" s="3" t="s">
        <v>13</v>
      </c>
      <c r="G1177" s="8">
        <v>4980.8922709999997</v>
      </c>
      <c r="H1177" s="8">
        <v>5592</v>
      </c>
      <c r="I1177" s="8">
        <v>611.10772940000004</v>
      </c>
      <c r="J1177" s="8">
        <v>1297.158723</v>
      </c>
      <c r="K1177" s="8">
        <v>537.32563709999999</v>
      </c>
      <c r="L1177" s="8">
        <v>2055.249339</v>
      </c>
      <c r="M1177" s="9" t="str">
        <f>IF(A1177="",M1178,A1177)</f>
        <v>Denmark</v>
      </c>
      <c r="N1177" s="3" t="str">
        <f t="shared" si="37"/>
        <v>Dec-2021</v>
      </c>
    </row>
    <row r="1178" spans="1:14" x14ac:dyDescent="0.3">
      <c r="A1178" s="3" t="s">
        <v>106</v>
      </c>
      <c r="B1178" s="3" t="s">
        <v>107</v>
      </c>
      <c r="C1178" s="8">
        <v>2020</v>
      </c>
      <c r="D1178" s="8">
        <v>1</v>
      </c>
      <c r="E1178" s="3" t="str">
        <f t="shared" si="36"/>
        <v>January</v>
      </c>
      <c r="F1178" s="3" t="s">
        <v>13</v>
      </c>
      <c r="G1178" s="8">
        <v>5112.7814319999998</v>
      </c>
      <c r="H1178" s="8">
        <v>5680</v>
      </c>
      <c r="I1178" s="8">
        <v>565.63205789999995</v>
      </c>
      <c r="J1178" s="8">
        <v>565.63205789999995</v>
      </c>
      <c r="K1178" s="8">
        <v>414.5907709</v>
      </c>
      <c r="L1178" s="8">
        <v>728.88727670000003</v>
      </c>
      <c r="M1178" s="9" t="str">
        <f>IF(A1178="",M1179,A1178)</f>
        <v>Dominican Republic</v>
      </c>
      <c r="N1178" s="3" t="str">
        <f t="shared" si="37"/>
        <v>Jan-2020</v>
      </c>
    </row>
    <row r="1179" spans="1:14" x14ac:dyDescent="0.3">
      <c r="A1179" s="3" t="s">
        <v>106</v>
      </c>
      <c r="B1179" s="3" t="s">
        <v>107</v>
      </c>
      <c r="C1179" s="8">
        <v>2020</v>
      </c>
      <c r="D1179" s="8">
        <v>2</v>
      </c>
      <c r="E1179" s="3" t="str">
        <f t="shared" si="36"/>
        <v>February</v>
      </c>
      <c r="F1179" s="3" t="s">
        <v>13</v>
      </c>
      <c r="G1179" s="8">
        <v>5087.5439690000003</v>
      </c>
      <c r="H1179" s="8">
        <v>5027</v>
      </c>
      <c r="I1179" s="8">
        <v>-62.13047873</v>
      </c>
      <c r="J1179" s="8">
        <v>503.50157919999998</v>
      </c>
      <c r="K1179" s="8">
        <v>268.42051020000002</v>
      </c>
      <c r="L1179" s="8">
        <v>741.04475439999999</v>
      </c>
      <c r="M1179" s="9" t="str">
        <f>IF(A1179="",M1180,A1179)</f>
        <v>Dominican Republic</v>
      </c>
      <c r="N1179" s="3" t="str">
        <f t="shared" si="37"/>
        <v>Feb-2020</v>
      </c>
    </row>
    <row r="1180" spans="1:14" x14ac:dyDescent="0.3">
      <c r="A1180" s="3" t="s">
        <v>106</v>
      </c>
      <c r="B1180" s="3" t="s">
        <v>107</v>
      </c>
      <c r="C1180" s="8">
        <v>2020</v>
      </c>
      <c r="D1180" s="8">
        <v>3</v>
      </c>
      <c r="E1180" s="3" t="str">
        <f t="shared" si="36"/>
        <v>March</v>
      </c>
      <c r="F1180" s="3" t="s">
        <v>13</v>
      </c>
      <c r="G1180" s="8">
        <v>5034.9985239999996</v>
      </c>
      <c r="H1180" s="8">
        <v>4800</v>
      </c>
      <c r="I1180" s="8">
        <v>-236.5850342</v>
      </c>
      <c r="J1180" s="8">
        <v>266.91654499999999</v>
      </c>
      <c r="K1180" s="8">
        <v>-28.676014009999999</v>
      </c>
      <c r="L1180" s="8">
        <v>564.26941639999995</v>
      </c>
      <c r="M1180" s="9" t="str">
        <f>IF(A1180="",M1181,A1180)</f>
        <v>Dominican Republic</v>
      </c>
      <c r="N1180" s="3" t="str">
        <f t="shared" si="37"/>
        <v>Mar-2020</v>
      </c>
    </row>
    <row r="1181" spans="1:14" x14ac:dyDescent="0.3">
      <c r="A1181" s="3" t="s">
        <v>106</v>
      </c>
      <c r="B1181" s="3" t="s">
        <v>107</v>
      </c>
      <c r="C1181" s="8">
        <v>2020</v>
      </c>
      <c r="D1181" s="8">
        <v>4</v>
      </c>
      <c r="E1181" s="3" t="str">
        <f t="shared" si="36"/>
        <v>April</v>
      </c>
      <c r="F1181" s="3" t="s">
        <v>13</v>
      </c>
      <c r="G1181" s="8">
        <v>4953.913458</v>
      </c>
      <c r="H1181" s="8">
        <v>4157</v>
      </c>
      <c r="I1181" s="8">
        <v>-798.49996850000002</v>
      </c>
      <c r="J1181" s="8">
        <v>-531.58342349999998</v>
      </c>
      <c r="K1181" s="8">
        <v>-853.95553640000003</v>
      </c>
      <c r="L1181" s="8">
        <v>-188.4883619</v>
      </c>
      <c r="M1181" s="9" t="str">
        <f>IF(A1181="",M1182,A1181)</f>
        <v>Dominican Republic</v>
      </c>
      <c r="N1181" s="3" t="str">
        <f t="shared" si="37"/>
        <v>Apr-2020</v>
      </c>
    </row>
    <row r="1182" spans="1:14" x14ac:dyDescent="0.3">
      <c r="A1182" s="3" t="s">
        <v>106</v>
      </c>
      <c r="B1182" s="3" t="s">
        <v>107</v>
      </c>
      <c r="C1182" s="8">
        <v>2020</v>
      </c>
      <c r="D1182" s="8">
        <v>5</v>
      </c>
      <c r="E1182" s="3" t="str">
        <f t="shared" si="36"/>
        <v>May</v>
      </c>
      <c r="F1182" s="3" t="s">
        <v>13</v>
      </c>
      <c r="G1182" s="8">
        <v>4900.6029209999997</v>
      </c>
      <c r="H1182" s="8">
        <v>4227</v>
      </c>
      <c r="I1182" s="8">
        <v>-675.18943130000002</v>
      </c>
      <c r="J1182" s="8">
        <v>-1206.7728549999999</v>
      </c>
      <c r="K1182" s="8">
        <v>-1576.2172149999999</v>
      </c>
      <c r="L1182" s="8">
        <v>-827.8246044</v>
      </c>
      <c r="M1182" s="9" t="str">
        <f>IF(A1182="",M1183,A1182)</f>
        <v>Dominican Republic</v>
      </c>
      <c r="N1182" s="3" t="str">
        <f t="shared" si="37"/>
        <v>May-2020</v>
      </c>
    </row>
    <row r="1183" spans="1:14" x14ac:dyDescent="0.3">
      <c r="A1183" s="3" t="s">
        <v>106</v>
      </c>
      <c r="B1183" s="3" t="s">
        <v>107</v>
      </c>
      <c r="C1183" s="8">
        <v>2020</v>
      </c>
      <c r="D1183" s="8">
        <v>6</v>
      </c>
      <c r="E1183" s="3" t="str">
        <f t="shared" si="36"/>
        <v>June</v>
      </c>
      <c r="F1183" s="3" t="s">
        <v>13</v>
      </c>
      <c r="G1183" s="8">
        <v>4878.1963100000003</v>
      </c>
      <c r="H1183" s="8">
        <v>5247</v>
      </c>
      <c r="I1183" s="8">
        <v>367.21718019999997</v>
      </c>
      <c r="J1183" s="8">
        <v>-839.55567459999997</v>
      </c>
      <c r="K1183" s="8">
        <v>-1241.464422</v>
      </c>
      <c r="L1183" s="8">
        <v>-436.0148423</v>
      </c>
      <c r="M1183" s="9" t="str">
        <f>IF(A1183="",M1184,A1183)</f>
        <v>Dominican Republic</v>
      </c>
      <c r="N1183" s="3" t="str">
        <f t="shared" si="37"/>
        <v>Jun-2020</v>
      </c>
    </row>
    <row r="1184" spans="1:14" x14ac:dyDescent="0.3">
      <c r="A1184" s="3" t="s">
        <v>106</v>
      </c>
      <c r="B1184" s="3" t="s">
        <v>107</v>
      </c>
      <c r="C1184" s="8">
        <v>2020</v>
      </c>
      <c r="D1184" s="8">
        <v>7</v>
      </c>
      <c r="E1184" s="3" t="str">
        <f t="shared" si="36"/>
        <v>July</v>
      </c>
      <c r="F1184" s="3" t="s">
        <v>13</v>
      </c>
      <c r="G1184" s="8">
        <v>4890.2142260000001</v>
      </c>
      <c r="H1184" s="8">
        <v>6770</v>
      </c>
      <c r="I1184" s="8">
        <v>1878.1992640000001</v>
      </c>
      <c r="J1184" s="8">
        <v>1038.643589</v>
      </c>
      <c r="K1184" s="8">
        <v>586.85462399999994</v>
      </c>
      <c r="L1184" s="8">
        <v>1473.716187</v>
      </c>
      <c r="M1184" s="9" t="str">
        <f>IF(A1184="",M1185,A1184)</f>
        <v>Dominican Republic</v>
      </c>
      <c r="N1184" s="3" t="str">
        <f t="shared" si="37"/>
        <v>Jul-2020</v>
      </c>
    </row>
    <row r="1185" spans="1:14" x14ac:dyDescent="0.3">
      <c r="A1185" s="3" t="s">
        <v>106</v>
      </c>
      <c r="B1185" s="3" t="s">
        <v>107</v>
      </c>
      <c r="C1185" s="8">
        <v>2020</v>
      </c>
      <c r="D1185" s="8">
        <v>8</v>
      </c>
      <c r="E1185" s="3" t="str">
        <f t="shared" si="36"/>
        <v>August</v>
      </c>
      <c r="F1185" s="3" t="s">
        <v>13</v>
      </c>
      <c r="G1185" s="8">
        <v>4911.0726290000002</v>
      </c>
      <c r="H1185" s="8">
        <v>6203</v>
      </c>
      <c r="I1185" s="8">
        <v>1290.3408609999999</v>
      </c>
      <c r="J1185" s="8">
        <v>2328.9844499999999</v>
      </c>
      <c r="K1185" s="8">
        <v>1857.9093439999999</v>
      </c>
      <c r="L1185" s="8">
        <v>2792.7468720000002</v>
      </c>
      <c r="M1185" s="9" t="str">
        <f>IF(A1185="",M1186,A1185)</f>
        <v>Dominican Republic</v>
      </c>
      <c r="N1185" s="3" t="str">
        <f t="shared" si="37"/>
        <v>Aug-2020</v>
      </c>
    </row>
    <row r="1186" spans="1:14" x14ac:dyDescent="0.3">
      <c r="A1186" s="3" t="s">
        <v>106</v>
      </c>
      <c r="B1186" s="3" t="s">
        <v>107</v>
      </c>
      <c r="C1186" s="8">
        <v>2020</v>
      </c>
      <c r="D1186" s="8">
        <v>9</v>
      </c>
      <c r="E1186" s="3" t="str">
        <f t="shared" si="36"/>
        <v>September</v>
      </c>
      <c r="F1186" s="3" t="s">
        <v>13</v>
      </c>
      <c r="G1186" s="8">
        <v>4955.9065559999999</v>
      </c>
      <c r="H1186" s="8">
        <v>4852</v>
      </c>
      <c r="I1186" s="8">
        <v>-105.493066</v>
      </c>
      <c r="J1186" s="8">
        <v>2223.4913839999999</v>
      </c>
      <c r="K1186" s="8">
        <v>1756.9697679999999</v>
      </c>
      <c r="L1186" s="8">
        <v>2721.9659069999998</v>
      </c>
      <c r="M1186" s="9" t="str">
        <f>IF(A1186="",M1187,A1186)</f>
        <v>Dominican Republic</v>
      </c>
      <c r="N1186" s="3" t="str">
        <f t="shared" si="37"/>
        <v>Sep-2020</v>
      </c>
    </row>
    <row r="1187" spans="1:14" x14ac:dyDescent="0.3">
      <c r="A1187" s="3" t="s">
        <v>106</v>
      </c>
      <c r="B1187" s="3" t="s">
        <v>107</v>
      </c>
      <c r="C1187" s="8">
        <v>2020</v>
      </c>
      <c r="D1187" s="8">
        <v>10</v>
      </c>
      <c r="E1187" s="3" t="str">
        <f t="shared" si="36"/>
        <v>October</v>
      </c>
      <c r="F1187" s="3" t="s">
        <v>13</v>
      </c>
      <c r="G1187" s="8">
        <v>5037.8349959999996</v>
      </c>
      <c r="H1187" s="8">
        <v>4843</v>
      </c>
      <c r="I1187" s="8">
        <v>-196.42150570000001</v>
      </c>
      <c r="J1187" s="8">
        <v>2027.069878</v>
      </c>
      <c r="K1187" s="8">
        <v>1502.422726</v>
      </c>
      <c r="L1187" s="8">
        <v>2570.1425610000001</v>
      </c>
      <c r="M1187" s="9" t="str">
        <f>IF(A1187="",M1188,A1187)</f>
        <v>Dominican Republic</v>
      </c>
      <c r="N1187" s="3" t="str">
        <f t="shared" si="37"/>
        <v>Oct-2020</v>
      </c>
    </row>
    <row r="1188" spans="1:14" x14ac:dyDescent="0.3">
      <c r="A1188" s="3" t="s">
        <v>106</v>
      </c>
      <c r="B1188" s="3" t="s">
        <v>107</v>
      </c>
      <c r="C1188" s="8">
        <v>2020</v>
      </c>
      <c r="D1188" s="8">
        <v>11</v>
      </c>
      <c r="E1188" s="3" t="str">
        <f t="shared" si="36"/>
        <v>November</v>
      </c>
      <c r="F1188" s="3" t="s">
        <v>13</v>
      </c>
      <c r="G1188" s="8">
        <v>5107.2931870000002</v>
      </c>
      <c r="H1188" s="8">
        <v>4919</v>
      </c>
      <c r="I1188" s="8">
        <v>-189.8796973</v>
      </c>
      <c r="J1188" s="8">
        <v>1837.1901809999999</v>
      </c>
      <c r="K1188" s="8">
        <v>1300.659527</v>
      </c>
      <c r="L1188" s="8">
        <v>2414.0880400000001</v>
      </c>
      <c r="M1188" s="9" t="str">
        <f>IF(A1188="",M1189,A1188)</f>
        <v>Dominican Republic</v>
      </c>
      <c r="N1188" s="3" t="str">
        <f t="shared" si="37"/>
        <v>Nov-2020</v>
      </c>
    </row>
    <row r="1189" spans="1:14" x14ac:dyDescent="0.3">
      <c r="A1189" s="3" t="s">
        <v>106</v>
      </c>
      <c r="B1189" s="3" t="s">
        <v>107</v>
      </c>
      <c r="C1189" s="8">
        <v>2020</v>
      </c>
      <c r="D1189" s="8">
        <v>12</v>
      </c>
      <c r="E1189" s="3" t="str">
        <f t="shared" si="36"/>
        <v>December</v>
      </c>
      <c r="F1189" s="3" t="s">
        <v>13</v>
      </c>
      <c r="G1189" s="8">
        <v>5135.525584</v>
      </c>
      <c r="H1189" s="8">
        <v>5633</v>
      </c>
      <c r="I1189" s="8">
        <v>495.88790610000001</v>
      </c>
      <c r="J1189" s="8">
        <v>2333.0780869999999</v>
      </c>
      <c r="K1189" s="8">
        <v>1750.855505</v>
      </c>
      <c r="L1189" s="8">
        <v>2907.4295950000001</v>
      </c>
      <c r="M1189" s="9" t="str">
        <f>IF(A1189="",M1190,A1189)</f>
        <v>Dominican Republic</v>
      </c>
      <c r="N1189" s="3" t="str">
        <f t="shared" si="37"/>
        <v>Dec-2020</v>
      </c>
    </row>
    <row r="1190" spans="1:14" x14ac:dyDescent="0.3">
      <c r="A1190" s="3" t="s">
        <v>106</v>
      </c>
      <c r="B1190" s="3" t="s">
        <v>107</v>
      </c>
      <c r="C1190" s="8">
        <v>2021</v>
      </c>
      <c r="D1190" s="8">
        <v>1</v>
      </c>
      <c r="E1190" s="3" t="str">
        <f t="shared" si="36"/>
        <v>January</v>
      </c>
      <c r="F1190" s="3" t="s">
        <v>13</v>
      </c>
      <c r="G1190" s="8">
        <v>5144.2182519999997</v>
      </c>
      <c r="H1190" s="8">
        <v>6402</v>
      </c>
      <c r="I1190" s="8">
        <v>1257.4417820000001</v>
      </c>
      <c r="J1190" s="8">
        <v>3590.5198679999999</v>
      </c>
      <c r="K1190" s="8">
        <v>2994.6417929999998</v>
      </c>
      <c r="L1190" s="8">
        <v>4226.5132839999997</v>
      </c>
      <c r="M1190" s="9" t="str">
        <f>IF(A1190="",M1191,A1190)</f>
        <v>Dominican Republic</v>
      </c>
      <c r="N1190" s="3" t="str">
        <f t="shared" si="37"/>
        <v>Jan-2021</v>
      </c>
    </row>
    <row r="1191" spans="1:14" x14ac:dyDescent="0.3">
      <c r="A1191" s="3" t="s">
        <v>106</v>
      </c>
      <c r="B1191" s="3" t="s">
        <v>107</v>
      </c>
      <c r="C1191" s="8">
        <v>2021</v>
      </c>
      <c r="D1191" s="8">
        <v>2</v>
      </c>
      <c r="E1191" s="3" t="str">
        <f t="shared" si="36"/>
        <v>February</v>
      </c>
      <c r="F1191" s="3" t="s">
        <v>13</v>
      </c>
      <c r="G1191" s="8">
        <v>5111.0847640000002</v>
      </c>
      <c r="H1191" s="8">
        <v>4947</v>
      </c>
      <c r="I1191" s="8">
        <v>-164.42473079999999</v>
      </c>
      <c r="J1191" s="8">
        <v>3426.0951380000001</v>
      </c>
      <c r="K1191" s="8">
        <v>2771.8096529999998</v>
      </c>
      <c r="L1191" s="8">
        <v>4085.9488120000001</v>
      </c>
      <c r="M1191" s="9" t="str">
        <f>IF(A1191="",M1192,A1191)</f>
        <v>Dominican Republic</v>
      </c>
      <c r="N1191" s="3" t="str">
        <f t="shared" si="37"/>
        <v>Feb-2021</v>
      </c>
    </row>
    <row r="1192" spans="1:14" x14ac:dyDescent="0.3">
      <c r="A1192" s="3" t="s">
        <v>106</v>
      </c>
      <c r="B1192" s="3" t="s">
        <v>107</v>
      </c>
      <c r="C1192" s="8">
        <v>2021</v>
      </c>
      <c r="D1192" s="8">
        <v>3</v>
      </c>
      <c r="E1192" s="3" t="str">
        <f t="shared" si="36"/>
        <v>March</v>
      </c>
      <c r="F1192" s="3" t="s">
        <v>13</v>
      </c>
      <c r="G1192" s="8">
        <v>5057.9076640000003</v>
      </c>
      <c r="H1192" s="8">
        <v>5314</v>
      </c>
      <c r="I1192" s="8">
        <v>255.75236910000001</v>
      </c>
      <c r="J1192" s="8">
        <v>3681.847507</v>
      </c>
      <c r="K1192" s="8">
        <v>2980.4649909999998</v>
      </c>
      <c r="L1192" s="8">
        <v>4364.5628610000003</v>
      </c>
      <c r="M1192" s="9" t="str">
        <f>IF(A1192="",M1193,A1192)</f>
        <v>Dominican Republic</v>
      </c>
      <c r="N1192" s="3" t="str">
        <f t="shared" si="37"/>
        <v>Mar-2021</v>
      </c>
    </row>
    <row r="1193" spans="1:14" x14ac:dyDescent="0.3">
      <c r="A1193" s="3" t="s">
        <v>106</v>
      </c>
      <c r="B1193" s="3" t="s">
        <v>107</v>
      </c>
      <c r="C1193" s="8">
        <v>2021</v>
      </c>
      <c r="D1193" s="8">
        <v>4</v>
      </c>
      <c r="E1193" s="3" t="str">
        <f t="shared" si="36"/>
        <v>April</v>
      </c>
      <c r="F1193" s="3" t="s">
        <v>13</v>
      </c>
      <c r="G1193" s="8">
        <v>4975.4003110000003</v>
      </c>
      <c r="H1193" s="8">
        <v>5013</v>
      </c>
      <c r="I1193" s="8">
        <v>37.259722439999997</v>
      </c>
      <c r="J1193" s="8">
        <v>3719.1072290000002</v>
      </c>
      <c r="K1193" s="8">
        <v>2963.4455870000002</v>
      </c>
      <c r="L1193" s="8">
        <v>4395.1520860000001</v>
      </c>
      <c r="M1193" s="9" t="str">
        <f>IF(A1193="",M1194,A1193)</f>
        <v>Dominican Republic</v>
      </c>
      <c r="N1193" s="3" t="str">
        <f t="shared" si="37"/>
        <v>Apr-2021</v>
      </c>
    </row>
    <row r="1194" spans="1:14" x14ac:dyDescent="0.3">
      <c r="A1194" s="3" t="s">
        <v>106</v>
      </c>
      <c r="B1194" s="3" t="s">
        <v>107</v>
      </c>
      <c r="C1194" s="8">
        <v>2021</v>
      </c>
      <c r="D1194" s="8">
        <v>5</v>
      </c>
      <c r="E1194" s="3" t="str">
        <f t="shared" si="36"/>
        <v>May</v>
      </c>
      <c r="F1194" s="3" t="s">
        <v>13</v>
      </c>
      <c r="G1194" s="8">
        <v>4919.0642749999997</v>
      </c>
      <c r="H1194" s="8">
        <v>5901</v>
      </c>
      <c r="I1194" s="8">
        <v>981.59575810000001</v>
      </c>
      <c r="J1194" s="8">
        <v>4700.7029869999997</v>
      </c>
      <c r="K1194" s="8">
        <v>3932.9387510000001</v>
      </c>
      <c r="L1194" s="8">
        <v>5404.9696249999997</v>
      </c>
      <c r="M1194" s="9" t="str">
        <f>IF(A1194="",M1195,A1194)</f>
        <v>Dominican Republic</v>
      </c>
      <c r="N1194" s="3" t="str">
        <f t="shared" si="37"/>
        <v>May-2021</v>
      </c>
    </row>
    <row r="1195" spans="1:14" x14ac:dyDescent="0.3">
      <c r="A1195" s="3" t="s">
        <v>106</v>
      </c>
      <c r="B1195" s="3" t="s">
        <v>107</v>
      </c>
      <c r="C1195" s="8">
        <v>2021</v>
      </c>
      <c r="D1195" s="8">
        <v>6</v>
      </c>
      <c r="E1195" s="3" t="str">
        <f t="shared" si="36"/>
        <v>June</v>
      </c>
      <c r="F1195" s="3" t="s">
        <v>13</v>
      </c>
      <c r="G1195" s="8">
        <v>4906.9453249999997</v>
      </c>
      <c r="H1195" s="8">
        <v>6551</v>
      </c>
      <c r="I1195" s="8">
        <v>1643.7147090000001</v>
      </c>
      <c r="J1195" s="8">
        <v>6344.4176960000004</v>
      </c>
      <c r="K1195" s="8">
        <v>5536.1042699999998</v>
      </c>
      <c r="L1195" s="8">
        <v>7083.259454</v>
      </c>
      <c r="M1195" s="9" t="str">
        <f>IF(A1195="",M1196,A1195)</f>
        <v>Dominican Republic</v>
      </c>
      <c r="N1195" s="3" t="str">
        <f t="shared" si="37"/>
        <v>Jun-2021</v>
      </c>
    </row>
    <row r="1196" spans="1:14" x14ac:dyDescent="0.3">
      <c r="A1196" s="3" t="s">
        <v>106</v>
      </c>
      <c r="B1196" s="3" t="s">
        <v>107</v>
      </c>
      <c r="C1196" s="8">
        <v>2021</v>
      </c>
      <c r="D1196" s="8">
        <v>7</v>
      </c>
      <c r="E1196" s="3" t="str">
        <f t="shared" si="36"/>
        <v>July</v>
      </c>
      <c r="F1196" s="3" t="s">
        <v>13</v>
      </c>
      <c r="G1196" s="8">
        <v>4907.7998960000004</v>
      </c>
      <c r="H1196" s="8">
        <v>5616</v>
      </c>
      <c r="I1196" s="8">
        <v>707.86013800000001</v>
      </c>
      <c r="J1196" s="8">
        <v>7052.2778340000004</v>
      </c>
      <c r="K1196" s="8">
        <v>6225.7856890000003</v>
      </c>
      <c r="L1196" s="8">
        <v>7819.9025270000002</v>
      </c>
      <c r="M1196" s="9" t="str">
        <f>IF(A1196="",M1197,A1196)</f>
        <v>Dominican Republic</v>
      </c>
      <c r="N1196" s="3" t="str">
        <f t="shared" si="37"/>
        <v>Jul-2021</v>
      </c>
    </row>
    <row r="1197" spans="1:14" x14ac:dyDescent="0.3">
      <c r="A1197" s="3" t="s">
        <v>106</v>
      </c>
      <c r="B1197" s="3" t="s">
        <v>107</v>
      </c>
      <c r="C1197" s="8">
        <v>2021</v>
      </c>
      <c r="D1197" s="8">
        <v>8</v>
      </c>
      <c r="E1197" s="3" t="str">
        <f t="shared" si="36"/>
        <v>August</v>
      </c>
      <c r="F1197" s="3" t="s">
        <v>13</v>
      </c>
      <c r="G1197" s="8">
        <v>4933.2334179999998</v>
      </c>
      <c r="H1197" s="8">
        <v>5123</v>
      </c>
      <c r="I1197" s="8">
        <v>189.4266154</v>
      </c>
      <c r="J1197" s="8">
        <v>7241.7044500000002</v>
      </c>
      <c r="K1197" s="8">
        <v>6376.5011260000001</v>
      </c>
      <c r="L1197" s="8">
        <v>8068.1414839999998</v>
      </c>
      <c r="M1197" s="9" t="str">
        <f>IF(A1197="",M1198,A1197)</f>
        <v>Dominican Republic</v>
      </c>
      <c r="N1197" s="3" t="str">
        <f t="shared" si="37"/>
        <v>Aug-2021</v>
      </c>
    </row>
    <row r="1198" spans="1:14" x14ac:dyDescent="0.3">
      <c r="A1198" s="3" t="s">
        <v>106</v>
      </c>
      <c r="B1198" s="3" t="s">
        <v>107</v>
      </c>
      <c r="C1198" s="8">
        <v>2021</v>
      </c>
      <c r="D1198" s="8">
        <v>9</v>
      </c>
      <c r="E1198" s="3" t="str">
        <f t="shared" si="36"/>
        <v>September</v>
      </c>
      <c r="F1198" s="3" t="s">
        <v>13</v>
      </c>
      <c r="G1198" s="8">
        <v>4985.878224</v>
      </c>
      <c r="H1198" s="8">
        <v>5015</v>
      </c>
      <c r="I1198" s="8">
        <v>28.781809540000001</v>
      </c>
      <c r="J1198" s="8">
        <v>7270.4862590000002</v>
      </c>
      <c r="K1198" s="8">
        <v>6356.9376750000001</v>
      </c>
      <c r="L1198" s="8">
        <v>8143.666733</v>
      </c>
      <c r="M1198" s="9" t="str">
        <f>IF(A1198="",M1199,A1198)</f>
        <v>Dominican Republic</v>
      </c>
      <c r="N1198" s="3" t="str">
        <f t="shared" si="37"/>
        <v>Sep-2021</v>
      </c>
    </row>
    <row r="1199" spans="1:14" x14ac:dyDescent="0.3">
      <c r="A1199" s="3" t="s">
        <v>106</v>
      </c>
      <c r="B1199" s="3" t="s">
        <v>107</v>
      </c>
      <c r="C1199" s="8">
        <v>2021</v>
      </c>
      <c r="D1199" s="8">
        <v>10</v>
      </c>
      <c r="E1199" s="3" t="str">
        <f t="shared" si="36"/>
        <v>October</v>
      </c>
      <c r="F1199" s="3" t="s">
        <v>13</v>
      </c>
      <c r="G1199" s="8">
        <v>5062.3023819999999</v>
      </c>
      <c r="H1199" s="8">
        <v>5734</v>
      </c>
      <c r="I1199" s="8">
        <v>671.35765119999996</v>
      </c>
      <c r="J1199" s="8">
        <v>7941.8439099999996</v>
      </c>
      <c r="K1199" s="8">
        <v>7064.9350560000003</v>
      </c>
      <c r="L1199" s="8">
        <v>8828.3481140000004</v>
      </c>
      <c r="M1199" s="9" t="str">
        <f>IF(A1199="",M1200,A1199)</f>
        <v>Dominican Republic</v>
      </c>
      <c r="N1199" s="3" t="str">
        <f t="shared" si="37"/>
        <v>Oct-2021</v>
      </c>
    </row>
    <row r="1200" spans="1:14" x14ac:dyDescent="0.3">
      <c r="A1200" s="3" t="s">
        <v>106</v>
      </c>
      <c r="B1200" s="3" t="s">
        <v>107</v>
      </c>
      <c r="C1200" s="8">
        <v>2021</v>
      </c>
      <c r="D1200" s="8">
        <v>11</v>
      </c>
      <c r="E1200" s="3" t="str">
        <f t="shared" si="36"/>
        <v>November</v>
      </c>
      <c r="F1200" s="3" t="s">
        <v>8</v>
      </c>
      <c r="G1200" s="8">
        <v>5134.9207379999998</v>
      </c>
      <c r="H1200" s="8">
        <v>5744.3639999999996</v>
      </c>
      <c r="I1200" s="8">
        <v>609.10329520000005</v>
      </c>
      <c r="J1200" s="8">
        <v>8550.9472060000007</v>
      </c>
      <c r="K1200" s="8">
        <v>6925.0385630000001</v>
      </c>
      <c r="L1200" s="8">
        <v>10497.27527</v>
      </c>
      <c r="M1200" s="9" t="str">
        <f>IF(A1200="",M1201,A1200)</f>
        <v>Dominican Republic</v>
      </c>
      <c r="N1200" s="3" t="str">
        <f t="shared" si="37"/>
        <v>Nov-2021</v>
      </c>
    </row>
    <row r="1201" spans="1:14" x14ac:dyDescent="0.3">
      <c r="A1201" s="3" t="s">
        <v>106</v>
      </c>
      <c r="B1201" s="3" t="s">
        <v>107</v>
      </c>
      <c r="C1201" s="8">
        <v>2021</v>
      </c>
      <c r="D1201" s="8">
        <v>12</v>
      </c>
      <c r="E1201" s="3" t="str">
        <f t="shared" si="36"/>
        <v>December</v>
      </c>
      <c r="F1201" s="3" t="s">
        <v>8</v>
      </c>
      <c r="G1201" s="8">
        <v>5166.866884</v>
      </c>
      <c r="H1201" s="8">
        <v>5638.3469999999998</v>
      </c>
      <c r="I1201" s="8">
        <v>471.14014980000002</v>
      </c>
      <c r="J1201" s="8">
        <v>9022.0873549999997</v>
      </c>
      <c r="K1201" s="8">
        <v>6802.4424410000001</v>
      </c>
      <c r="L1201" s="8">
        <v>11444.18002</v>
      </c>
      <c r="M1201" s="9" t="str">
        <f>IF(A1201="",M1202,A1201)</f>
        <v>Dominican Republic</v>
      </c>
      <c r="N1201" s="3" t="str">
        <f t="shared" si="37"/>
        <v>Dec-2021</v>
      </c>
    </row>
    <row r="1202" spans="1:14" x14ac:dyDescent="0.3">
      <c r="A1202" s="3" t="s">
        <v>108</v>
      </c>
      <c r="B1202" s="3" t="s">
        <v>109</v>
      </c>
      <c r="C1202" s="8">
        <v>2020</v>
      </c>
      <c r="D1202" s="8">
        <v>1</v>
      </c>
      <c r="E1202" s="3" t="str">
        <f t="shared" si="36"/>
        <v>January</v>
      </c>
      <c r="F1202" s="3" t="s">
        <v>13</v>
      </c>
      <c r="G1202" s="8">
        <v>18614.94802</v>
      </c>
      <c r="H1202" s="8">
        <v>19573</v>
      </c>
      <c r="I1202" s="8">
        <v>951.98088129999996</v>
      </c>
      <c r="J1202" s="8">
        <v>951.98088129999996</v>
      </c>
      <c r="K1202" s="8">
        <v>260.55730770000002</v>
      </c>
      <c r="L1202" s="8">
        <v>1627.1960509999999</v>
      </c>
      <c r="M1202" s="9" t="str">
        <f>IF(A1202="",M1203,A1202)</f>
        <v>Algeria</v>
      </c>
      <c r="N1202" s="3" t="str">
        <f t="shared" si="37"/>
        <v>Jan-2020</v>
      </c>
    </row>
    <row r="1203" spans="1:14" x14ac:dyDescent="0.3">
      <c r="A1203" s="3" t="s">
        <v>108</v>
      </c>
      <c r="B1203" s="3" t="s">
        <v>109</v>
      </c>
      <c r="C1203" s="8">
        <v>2020</v>
      </c>
      <c r="D1203" s="8">
        <v>2</v>
      </c>
      <c r="E1203" s="3" t="str">
        <f t="shared" si="36"/>
        <v>February</v>
      </c>
      <c r="F1203" s="3" t="s">
        <v>13</v>
      </c>
      <c r="G1203" s="8">
        <v>18257.195779999998</v>
      </c>
      <c r="H1203" s="8">
        <v>17997</v>
      </c>
      <c r="I1203" s="8">
        <v>-266.26687629999998</v>
      </c>
      <c r="J1203" s="8">
        <v>685.71400500000004</v>
      </c>
      <c r="K1203" s="8">
        <v>-486.26247619999998</v>
      </c>
      <c r="L1203" s="8">
        <v>1858.105924</v>
      </c>
      <c r="M1203" s="9" t="str">
        <f>IF(A1203="",M1204,A1203)</f>
        <v>Algeria</v>
      </c>
      <c r="N1203" s="3" t="str">
        <f t="shared" si="37"/>
        <v>Feb-2020</v>
      </c>
    </row>
    <row r="1204" spans="1:14" x14ac:dyDescent="0.3">
      <c r="A1204" s="3" t="s">
        <v>108</v>
      </c>
      <c r="B1204" s="3" t="s">
        <v>109</v>
      </c>
      <c r="C1204" s="8">
        <v>2020</v>
      </c>
      <c r="D1204" s="8">
        <v>3</v>
      </c>
      <c r="E1204" s="3" t="str">
        <f t="shared" si="36"/>
        <v>March</v>
      </c>
      <c r="F1204" s="3" t="s">
        <v>13</v>
      </c>
      <c r="G1204" s="8">
        <v>17504.21687</v>
      </c>
      <c r="H1204" s="8">
        <v>18078</v>
      </c>
      <c r="I1204" s="8">
        <v>567.71203439999999</v>
      </c>
      <c r="J1204" s="8">
        <v>1253.4260389999999</v>
      </c>
      <c r="K1204" s="8">
        <v>-201.10972860000001</v>
      </c>
      <c r="L1204" s="8">
        <v>2737.8928919999998</v>
      </c>
      <c r="M1204" s="9" t="str">
        <f>IF(A1204="",M1205,A1204)</f>
        <v>Algeria</v>
      </c>
      <c r="N1204" s="3" t="str">
        <f t="shared" si="37"/>
        <v>Mar-2020</v>
      </c>
    </row>
    <row r="1205" spans="1:14" x14ac:dyDescent="0.3">
      <c r="A1205" s="3" t="s">
        <v>108</v>
      </c>
      <c r="B1205" s="3" t="s">
        <v>109</v>
      </c>
      <c r="C1205" s="8">
        <v>2020</v>
      </c>
      <c r="D1205" s="8">
        <v>4</v>
      </c>
      <c r="E1205" s="3" t="str">
        <f t="shared" si="36"/>
        <v>April</v>
      </c>
      <c r="F1205" s="3" t="s">
        <v>13</v>
      </c>
      <c r="G1205" s="8">
        <v>16779.82965</v>
      </c>
      <c r="H1205" s="8">
        <v>17097</v>
      </c>
      <c r="I1205" s="8">
        <v>311.09925290000001</v>
      </c>
      <c r="J1205" s="8">
        <v>1564.525292</v>
      </c>
      <c r="K1205" s="8">
        <v>-132.36436639999999</v>
      </c>
      <c r="L1205" s="8">
        <v>3258.0881260000001</v>
      </c>
      <c r="M1205" s="9" t="str">
        <f>IF(A1205="",M1206,A1205)</f>
        <v>Algeria</v>
      </c>
      <c r="N1205" s="3" t="str">
        <f t="shared" si="37"/>
        <v>Apr-2020</v>
      </c>
    </row>
    <row r="1206" spans="1:14" x14ac:dyDescent="0.3">
      <c r="A1206" s="3" t="s">
        <v>108</v>
      </c>
      <c r="B1206" s="3" t="s">
        <v>109</v>
      </c>
      <c r="C1206" s="8">
        <v>2020</v>
      </c>
      <c r="D1206" s="8">
        <v>5</v>
      </c>
      <c r="E1206" s="3" t="str">
        <f t="shared" si="36"/>
        <v>May</v>
      </c>
      <c r="F1206" s="3" t="s">
        <v>13</v>
      </c>
      <c r="G1206" s="8">
        <v>16420.74811</v>
      </c>
      <c r="H1206" s="8">
        <v>16884</v>
      </c>
      <c r="I1206" s="8">
        <v>457.18079490000002</v>
      </c>
      <c r="J1206" s="8">
        <v>2021.706087</v>
      </c>
      <c r="K1206" s="8">
        <v>81.604483250000001</v>
      </c>
      <c r="L1206" s="8">
        <v>3914.0883859999999</v>
      </c>
      <c r="M1206" s="9" t="str">
        <f>IF(A1206="",M1207,A1206)</f>
        <v>Algeria</v>
      </c>
      <c r="N1206" s="3" t="str">
        <f t="shared" si="37"/>
        <v>May-2020</v>
      </c>
    </row>
    <row r="1207" spans="1:14" x14ac:dyDescent="0.3">
      <c r="A1207" s="3" t="s">
        <v>108</v>
      </c>
      <c r="B1207" s="3" t="s">
        <v>109</v>
      </c>
      <c r="C1207" s="8">
        <v>2020</v>
      </c>
      <c r="D1207" s="8">
        <v>6</v>
      </c>
      <c r="E1207" s="3" t="str">
        <f t="shared" si="36"/>
        <v>June</v>
      </c>
      <c r="F1207" s="3" t="s">
        <v>13</v>
      </c>
      <c r="G1207" s="8">
        <v>16445.28802</v>
      </c>
      <c r="H1207" s="8">
        <v>20603</v>
      </c>
      <c r="I1207" s="8">
        <v>4151.6408869999996</v>
      </c>
      <c r="J1207" s="8">
        <v>6173.346974</v>
      </c>
      <c r="K1207" s="8">
        <v>4010.5998679999998</v>
      </c>
      <c r="L1207" s="8">
        <v>8377.3052779999998</v>
      </c>
      <c r="M1207" s="9" t="str">
        <f>IF(A1207="",M1208,A1207)</f>
        <v>Algeria</v>
      </c>
      <c r="N1207" s="3" t="str">
        <f t="shared" si="37"/>
        <v>Jun-2020</v>
      </c>
    </row>
    <row r="1208" spans="1:14" x14ac:dyDescent="0.3">
      <c r="A1208" s="3" t="s">
        <v>108</v>
      </c>
      <c r="B1208" s="3" t="s">
        <v>109</v>
      </c>
      <c r="C1208" s="8">
        <v>2020</v>
      </c>
      <c r="D1208" s="8">
        <v>7</v>
      </c>
      <c r="E1208" s="3" t="str">
        <f t="shared" si="36"/>
        <v>July</v>
      </c>
      <c r="F1208" s="3" t="s">
        <v>13</v>
      </c>
      <c r="G1208" s="8">
        <v>16804.377639999999</v>
      </c>
      <c r="H1208" s="8">
        <v>36620</v>
      </c>
      <c r="I1208" s="8">
        <v>19809.55127</v>
      </c>
      <c r="J1208" s="8">
        <v>25982.898239999999</v>
      </c>
      <c r="K1208" s="8">
        <v>23718.484789999999</v>
      </c>
      <c r="L1208" s="8">
        <v>28290.24193</v>
      </c>
      <c r="M1208" s="9" t="str">
        <f>IF(A1208="",M1209,A1208)</f>
        <v>Algeria</v>
      </c>
      <c r="N1208" s="3" t="str">
        <f t="shared" si="37"/>
        <v>Jul-2020</v>
      </c>
    </row>
    <row r="1209" spans="1:14" x14ac:dyDescent="0.3">
      <c r="A1209" s="3" t="s">
        <v>108</v>
      </c>
      <c r="B1209" s="3" t="s">
        <v>109</v>
      </c>
      <c r="C1209" s="8">
        <v>2020</v>
      </c>
      <c r="D1209" s="8">
        <v>8</v>
      </c>
      <c r="E1209" s="3" t="str">
        <f t="shared" si="36"/>
        <v>August</v>
      </c>
      <c r="F1209" s="3" t="s">
        <v>13</v>
      </c>
      <c r="G1209" s="8">
        <v>16761.350419999999</v>
      </c>
      <c r="H1209" s="8">
        <v>26651</v>
      </c>
      <c r="I1209" s="8">
        <v>9883.5784810000005</v>
      </c>
      <c r="J1209" s="8">
        <v>35866.476719999999</v>
      </c>
      <c r="K1209" s="8">
        <v>33435.555130000001</v>
      </c>
      <c r="L1209" s="8">
        <v>38288.620849999999</v>
      </c>
      <c r="M1209" s="9" t="str">
        <f>IF(A1209="",M1210,A1209)</f>
        <v>Algeria</v>
      </c>
      <c r="N1209" s="3" t="str">
        <f t="shared" si="37"/>
        <v>Aug-2020</v>
      </c>
    </row>
    <row r="1210" spans="1:14" x14ac:dyDescent="0.3">
      <c r="A1210" s="3" t="s">
        <v>108</v>
      </c>
      <c r="B1210" s="3" t="s">
        <v>109</v>
      </c>
      <c r="C1210" s="8">
        <v>2020</v>
      </c>
      <c r="D1210" s="8">
        <v>9</v>
      </c>
      <c r="E1210" s="3" t="str">
        <f t="shared" si="36"/>
        <v>September</v>
      </c>
      <c r="F1210" s="3" t="s">
        <v>13</v>
      </c>
      <c r="G1210" s="8">
        <v>16438.020970000001</v>
      </c>
      <c r="H1210" s="8">
        <v>19400</v>
      </c>
      <c r="I1210" s="8">
        <v>2955.9079379999998</v>
      </c>
      <c r="J1210" s="8">
        <v>38822.384660000003</v>
      </c>
      <c r="K1210" s="8">
        <v>36328.217250000002</v>
      </c>
      <c r="L1210" s="8">
        <v>41311.713900000002</v>
      </c>
      <c r="M1210" s="9" t="str">
        <f>IF(A1210="",M1211,A1210)</f>
        <v>Algeria</v>
      </c>
      <c r="N1210" s="3" t="str">
        <f t="shared" si="37"/>
        <v>Sep-2020</v>
      </c>
    </row>
    <row r="1211" spans="1:14" x14ac:dyDescent="0.3">
      <c r="A1211" s="3" t="s">
        <v>108</v>
      </c>
      <c r="B1211" s="3" t="s">
        <v>109</v>
      </c>
      <c r="C1211" s="8">
        <v>2020</v>
      </c>
      <c r="D1211" s="8">
        <v>10</v>
      </c>
      <c r="E1211" s="3" t="str">
        <f t="shared" si="36"/>
        <v>October</v>
      </c>
      <c r="F1211" s="3" t="s">
        <v>13</v>
      </c>
      <c r="G1211" s="8">
        <v>16881.766039999999</v>
      </c>
      <c r="H1211" s="8">
        <v>21246</v>
      </c>
      <c r="I1211" s="8">
        <v>4358.1628689999998</v>
      </c>
      <c r="J1211" s="8">
        <v>43180.547530000003</v>
      </c>
      <c r="K1211" s="8">
        <v>40589.962379999997</v>
      </c>
      <c r="L1211" s="8">
        <v>45730.458680000003</v>
      </c>
      <c r="M1211" s="9" t="str">
        <f>IF(A1211="",M1212,A1211)</f>
        <v>Algeria</v>
      </c>
      <c r="N1211" s="3" t="str">
        <f t="shared" si="37"/>
        <v>Oct-2020</v>
      </c>
    </row>
    <row r="1212" spans="1:14" x14ac:dyDescent="0.3">
      <c r="A1212" s="3" t="s">
        <v>108</v>
      </c>
      <c r="B1212" s="3" t="s">
        <v>109</v>
      </c>
      <c r="C1212" s="8">
        <v>2020</v>
      </c>
      <c r="D1212" s="8">
        <v>11</v>
      </c>
      <c r="E1212" s="3" t="str">
        <f t="shared" si="36"/>
        <v>November</v>
      </c>
      <c r="F1212" s="3" t="s">
        <v>13</v>
      </c>
      <c r="G1212" s="8">
        <v>17824.570049999998</v>
      </c>
      <c r="H1212" s="8">
        <v>29710</v>
      </c>
      <c r="I1212" s="8">
        <v>11879.35886</v>
      </c>
      <c r="J1212" s="8">
        <v>55059.906389999996</v>
      </c>
      <c r="K1212" s="8">
        <v>52174.303549999997</v>
      </c>
      <c r="L1212" s="8">
        <v>57785.462870000003</v>
      </c>
      <c r="M1212" s="9" t="str">
        <f>IF(A1212="",M1213,A1212)</f>
        <v>Algeria</v>
      </c>
      <c r="N1212" s="3" t="str">
        <f t="shared" si="37"/>
        <v>Nov-2020</v>
      </c>
    </row>
    <row r="1213" spans="1:14" x14ac:dyDescent="0.3">
      <c r="A1213" s="3" t="s">
        <v>108</v>
      </c>
      <c r="B1213" s="3" t="s">
        <v>109</v>
      </c>
      <c r="C1213" s="8">
        <v>2020</v>
      </c>
      <c r="D1213" s="8">
        <v>12</v>
      </c>
      <c r="E1213" s="3" t="str">
        <f t="shared" si="36"/>
        <v>December</v>
      </c>
      <c r="F1213" s="3" t="s">
        <v>13</v>
      </c>
      <c r="G1213" s="8">
        <v>18815.746640000001</v>
      </c>
      <c r="H1213" s="8">
        <v>24356</v>
      </c>
      <c r="I1213" s="8">
        <v>5534.1822620000003</v>
      </c>
      <c r="J1213" s="8">
        <v>60594.088649999998</v>
      </c>
      <c r="K1213" s="8">
        <v>57637.348080000003</v>
      </c>
      <c r="L1213" s="8">
        <v>63490.723769999997</v>
      </c>
      <c r="M1213" s="9" t="str">
        <f>IF(A1213="",M1214,A1213)</f>
        <v>Algeria</v>
      </c>
      <c r="N1213" s="3" t="str">
        <f t="shared" si="37"/>
        <v>Dec-2020</v>
      </c>
    </row>
    <row r="1214" spans="1:14" x14ac:dyDescent="0.3">
      <c r="A1214" s="3" t="s">
        <v>108</v>
      </c>
      <c r="B1214" s="3" t="s">
        <v>109</v>
      </c>
      <c r="C1214" s="8">
        <v>2021</v>
      </c>
      <c r="D1214" s="8">
        <v>1</v>
      </c>
      <c r="E1214" s="3" t="str">
        <f t="shared" si="36"/>
        <v>January</v>
      </c>
      <c r="F1214" s="3" t="s">
        <v>8</v>
      </c>
      <c r="G1214" s="8">
        <v>18823.21514</v>
      </c>
      <c r="H1214" s="8">
        <v>19737.582999999999</v>
      </c>
      <c r="I1214" s="8">
        <v>899.28498179999997</v>
      </c>
      <c r="J1214" s="8">
        <v>61493.373630000002</v>
      </c>
      <c r="K1214" s="8">
        <v>55537.12861</v>
      </c>
      <c r="L1214" s="8">
        <v>68283.630239999999</v>
      </c>
      <c r="M1214" s="9" t="str">
        <f>IF(A1214="",M1215,A1214)</f>
        <v>Algeria</v>
      </c>
      <c r="N1214" s="3" t="str">
        <f t="shared" si="37"/>
        <v>Jan-2021</v>
      </c>
    </row>
    <row r="1215" spans="1:14" x14ac:dyDescent="0.3">
      <c r="A1215" s="3" t="s">
        <v>108</v>
      </c>
      <c r="B1215" s="3" t="s">
        <v>109</v>
      </c>
      <c r="C1215" s="8">
        <v>2021</v>
      </c>
      <c r="D1215" s="8">
        <v>2</v>
      </c>
      <c r="E1215" s="3" t="str">
        <f t="shared" si="36"/>
        <v>February</v>
      </c>
      <c r="F1215" s="3" t="s">
        <v>8</v>
      </c>
      <c r="G1215" s="8">
        <v>18444.250169999999</v>
      </c>
      <c r="H1215" s="8">
        <v>18522.246999999999</v>
      </c>
      <c r="I1215" s="8">
        <v>62.913956740000003</v>
      </c>
      <c r="J1215" s="8">
        <v>61556.28759</v>
      </c>
      <c r="K1215" s="8">
        <v>53554.415359999999</v>
      </c>
      <c r="L1215" s="8">
        <v>70508.542119999998</v>
      </c>
      <c r="M1215" s="9" t="str">
        <f>IF(A1215="",M1216,A1215)</f>
        <v>Algeria</v>
      </c>
      <c r="N1215" s="3" t="str">
        <f t="shared" si="37"/>
        <v>Feb-2021</v>
      </c>
    </row>
    <row r="1216" spans="1:14" x14ac:dyDescent="0.3">
      <c r="A1216" s="3" t="s">
        <v>108</v>
      </c>
      <c r="B1216" s="3" t="s">
        <v>109</v>
      </c>
      <c r="C1216" s="8">
        <v>2021</v>
      </c>
      <c r="D1216" s="8">
        <v>3</v>
      </c>
      <c r="E1216" s="3" t="str">
        <f t="shared" si="36"/>
        <v>March</v>
      </c>
      <c r="F1216" s="3" t="s">
        <v>8</v>
      </c>
      <c r="G1216" s="8">
        <v>17720.52219</v>
      </c>
      <c r="H1216" s="8">
        <v>18016.684000000001</v>
      </c>
      <c r="I1216" s="8">
        <v>281.0789327</v>
      </c>
      <c r="J1216" s="8">
        <v>61837.366520000003</v>
      </c>
      <c r="K1216" s="8">
        <v>52133.348209999996</v>
      </c>
      <c r="L1216" s="8">
        <v>72813.191909999994</v>
      </c>
      <c r="M1216" s="9" t="str">
        <f>IF(A1216="",M1217,A1216)</f>
        <v>Algeria</v>
      </c>
      <c r="N1216" s="3" t="str">
        <f t="shared" si="37"/>
        <v>Mar-2021</v>
      </c>
    </row>
    <row r="1217" spans="1:14" x14ac:dyDescent="0.3">
      <c r="A1217" s="3" t="s">
        <v>108</v>
      </c>
      <c r="B1217" s="3" t="s">
        <v>109</v>
      </c>
      <c r="C1217" s="8">
        <v>2021</v>
      </c>
      <c r="D1217" s="8">
        <v>4</v>
      </c>
      <c r="E1217" s="3" t="str">
        <f t="shared" si="36"/>
        <v>April</v>
      </c>
      <c r="F1217" s="3" t="s">
        <v>8</v>
      </c>
      <c r="G1217" s="8">
        <v>16964.595730000001</v>
      </c>
      <c r="H1217" s="8">
        <v>17238.395</v>
      </c>
      <c r="I1217" s="8">
        <v>258.71639690000001</v>
      </c>
      <c r="J1217" s="8">
        <v>62096.082920000001</v>
      </c>
      <c r="K1217" s="8">
        <v>50878.05631</v>
      </c>
      <c r="L1217" s="8">
        <v>74004.761450000005</v>
      </c>
      <c r="M1217" s="9" t="str">
        <f>IF(A1217="",M1218,A1217)</f>
        <v>Algeria</v>
      </c>
      <c r="N1217" s="3" t="str">
        <f t="shared" si="37"/>
        <v>Apr-2021</v>
      </c>
    </row>
    <row r="1218" spans="1:14" x14ac:dyDescent="0.3">
      <c r="A1218" s="3" t="s">
        <v>108</v>
      </c>
      <c r="B1218" s="3" t="s">
        <v>109</v>
      </c>
      <c r="C1218" s="8">
        <v>2021</v>
      </c>
      <c r="D1218" s="8">
        <v>5</v>
      </c>
      <c r="E1218" s="3" t="str">
        <f t="shared" ref="E1218:E1281" si="38">TEXT(DATE(C1218,D1218,1),"MMMM")</f>
        <v>May</v>
      </c>
      <c r="F1218" s="3" t="s">
        <v>8</v>
      </c>
      <c r="G1218" s="8">
        <v>16602.69973</v>
      </c>
      <c r="H1218" s="8">
        <v>17194.991000000002</v>
      </c>
      <c r="I1218" s="8">
        <v>577.20839030000002</v>
      </c>
      <c r="J1218" s="8">
        <v>62673.291310000001</v>
      </c>
      <c r="K1218" s="8">
        <v>50006.53802</v>
      </c>
      <c r="L1218" s="8">
        <v>76520.063720000006</v>
      </c>
      <c r="M1218" s="9" t="str">
        <f>IF(A1218="",M1219,A1218)</f>
        <v>Algeria</v>
      </c>
      <c r="N1218" s="3" t="str">
        <f t="shared" ref="N1218:N1281" si="39">TEXT(DATE(C1218,D1218,1),"MMM-YYYY")</f>
        <v>May-2021</v>
      </c>
    </row>
    <row r="1219" spans="1:14" x14ac:dyDescent="0.3">
      <c r="A1219" s="3" t="s">
        <v>108</v>
      </c>
      <c r="B1219" s="3" t="s">
        <v>109</v>
      </c>
      <c r="C1219" s="8">
        <v>2021</v>
      </c>
      <c r="D1219" s="8">
        <v>6</v>
      </c>
      <c r="E1219" s="3" t="str">
        <f t="shared" si="38"/>
        <v>June</v>
      </c>
      <c r="F1219" s="3" t="s">
        <v>8</v>
      </c>
      <c r="G1219" s="8">
        <v>16650.789919999999</v>
      </c>
      <c r="H1219" s="8">
        <v>18275.444</v>
      </c>
      <c r="I1219" s="8">
        <v>1609.5712020000001</v>
      </c>
      <c r="J1219" s="8">
        <v>64282.862509999999</v>
      </c>
      <c r="K1219" s="8">
        <v>50650.726589999998</v>
      </c>
      <c r="L1219" s="8">
        <v>79788.632559999998</v>
      </c>
      <c r="M1219" s="9" t="str">
        <f>IF(A1219="",M1220,A1219)</f>
        <v>Algeria</v>
      </c>
      <c r="N1219" s="3" t="str">
        <f t="shared" si="39"/>
        <v>Jun-2021</v>
      </c>
    </row>
    <row r="1220" spans="1:14" x14ac:dyDescent="0.3">
      <c r="A1220" s="3" t="s">
        <v>108</v>
      </c>
      <c r="B1220" s="3" t="s">
        <v>109</v>
      </c>
      <c r="C1220" s="8">
        <v>2021</v>
      </c>
      <c r="D1220" s="8">
        <v>7</v>
      </c>
      <c r="E1220" s="3" t="str">
        <f t="shared" si="38"/>
        <v>July</v>
      </c>
      <c r="F1220" s="3" t="s">
        <v>8</v>
      </c>
      <c r="G1220" s="8">
        <v>16994.478770000002</v>
      </c>
      <c r="H1220" s="8">
        <v>20284.310000000001</v>
      </c>
      <c r="I1220" s="8">
        <v>3274.7483560000001</v>
      </c>
      <c r="J1220" s="8">
        <v>67557.610870000004</v>
      </c>
      <c r="K1220" s="8">
        <v>51511.634660000003</v>
      </c>
      <c r="L1220" s="8">
        <v>84388.440589999998</v>
      </c>
      <c r="M1220" s="9" t="str">
        <f>IF(A1220="",M1221,A1220)</f>
        <v>Algeria</v>
      </c>
      <c r="N1220" s="3" t="str">
        <f t="shared" si="39"/>
        <v>Jul-2021</v>
      </c>
    </row>
    <row r="1221" spans="1:14" x14ac:dyDescent="0.3">
      <c r="A1221" s="3" t="s">
        <v>108</v>
      </c>
      <c r="B1221" s="3" t="s">
        <v>109</v>
      </c>
      <c r="C1221" s="8">
        <v>2021</v>
      </c>
      <c r="D1221" s="8">
        <v>8</v>
      </c>
      <c r="E1221" s="3" t="str">
        <f t="shared" si="38"/>
        <v>August</v>
      </c>
      <c r="F1221" s="3" t="s">
        <v>8</v>
      </c>
      <c r="G1221" s="8">
        <v>16958.198489999999</v>
      </c>
      <c r="H1221" s="8">
        <v>21035.672999999999</v>
      </c>
      <c r="I1221" s="8">
        <v>4062.3916370000002</v>
      </c>
      <c r="J1221" s="8">
        <v>71620.002500000002</v>
      </c>
      <c r="K1221" s="8">
        <v>54113.449860000001</v>
      </c>
      <c r="L1221" s="8">
        <v>90245.735549999998</v>
      </c>
      <c r="M1221" s="9" t="str">
        <f>IF(A1221="",M1222,A1221)</f>
        <v>Algeria</v>
      </c>
      <c r="N1221" s="3" t="str">
        <f t="shared" si="39"/>
        <v>Aug-2021</v>
      </c>
    </row>
    <row r="1222" spans="1:14" x14ac:dyDescent="0.3">
      <c r="A1222" s="3" t="s">
        <v>108</v>
      </c>
      <c r="B1222" s="3" t="s">
        <v>109</v>
      </c>
      <c r="C1222" s="8">
        <v>2021</v>
      </c>
      <c r="D1222" s="8">
        <v>9</v>
      </c>
      <c r="E1222" s="3" t="str">
        <f t="shared" si="38"/>
        <v>September</v>
      </c>
      <c r="F1222" s="3" t="s">
        <v>8</v>
      </c>
      <c r="G1222" s="8">
        <v>16650.172569999999</v>
      </c>
      <c r="H1222" s="8">
        <v>18723.687000000002</v>
      </c>
      <c r="I1222" s="8">
        <v>2058.4315569999999</v>
      </c>
      <c r="J1222" s="8">
        <v>73678.43406</v>
      </c>
      <c r="K1222" s="8">
        <v>55097.665099999998</v>
      </c>
      <c r="L1222" s="8">
        <v>92993.379409999994</v>
      </c>
      <c r="M1222" s="9" t="str">
        <f>IF(A1222="",M1223,A1222)</f>
        <v>Algeria</v>
      </c>
      <c r="N1222" s="3" t="str">
        <f t="shared" si="39"/>
        <v>Sep-2021</v>
      </c>
    </row>
    <row r="1223" spans="1:14" x14ac:dyDescent="0.3">
      <c r="A1223" s="3" t="s">
        <v>108</v>
      </c>
      <c r="B1223" s="3" t="s">
        <v>109</v>
      </c>
      <c r="C1223" s="8">
        <v>2021</v>
      </c>
      <c r="D1223" s="8">
        <v>10</v>
      </c>
      <c r="E1223" s="3" t="str">
        <f t="shared" si="38"/>
        <v>October</v>
      </c>
      <c r="F1223" s="3" t="s">
        <v>8</v>
      </c>
      <c r="G1223" s="8">
        <v>17063.353080000001</v>
      </c>
      <c r="H1223" s="8">
        <v>17817.932000000001</v>
      </c>
      <c r="I1223" s="8">
        <v>739.49604369999997</v>
      </c>
      <c r="J1223" s="8">
        <v>74417.930110000001</v>
      </c>
      <c r="K1223" s="8">
        <v>53756.290480000003</v>
      </c>
      <c r="L1223" s="8">
        <v>94966.515400000004</v>
      </c>
      <c r="M1223" s="9" t="str">
        <f>IF(A1223="",M1224,A1223)</f>
        <v>Algeria</v>
      </c>
      <c r="N1223" s="3" t="str">
        <f t="shared" si="39"/>
        <v>Oct-2021</v>
      </c>
    </row>
    <row r="1224" spans="1:14" x14ac:dyDescent="0.3">
      <c r="A1224" s="3" t="s">
        <v>108</v>
      </c>
      <c r="B1224" s="3" t="s">
        <v>109</v>
      </c>
      <c r="C1224" s="8">
        <v>2021</v>
      </c>
      <c r="D1224" s="8">
        <v>11</v>
      </c>
      <c r="E1224" s="3" t="str">
        <f t="shared" si="38"/>
        <v>November</v>
      </c>
      <c r="F1224" s="3" t="s">
        <v>8</v>
      </c>
      <c r="G1224" s="8">
        <v>18068.886450000002</v>
      </c>
      <c r="H1224" s="8">
        <v>19092.355</v>
      </c>
      <c r="I1224" s="8">
        <v>1008.38567</v>
      </c>
      <c r="J1224" s="8">
        <v>75426.315780000004</v>
      </c>
      <c r="K1224" s="8">
        <v>53785.812980000002</v>
      </c>
      <c r="L1224" s="8">
        <v>97709.170759999994</v>
      </c>
      <c r="M1224" s="9" t="str">
        <f>IF(A1224="",M1225,A1224)</f>
        <v>Algeria</v>
      </c>
      <c r="N1224" s="3" t="str">
        <f t="shared" si="39"/>
        <v>Nov-2021</v>
      </c>
    </row>
    <row r="1225" spans="1:14" x14ac:dyDescent="0.3">
      <c r="A1225" s="3" t="s">
        <v>108</v>
      </c>
      <c r="B1225" s="3" t="s">
        <v>109</v>
      </c>
      <c r="C1225" s="8">
        <v>2021</v>
      </c>
      <c r="D1225" s="8">
        <v>12</v>
      </c>
      <c r="E1225" s="3" t="str">
        <f t="shared" si="38"/>
        <v>December</v>
      </c>
      <c r="F1225" s="3" t="s">
        <v>8</v>
      </c>
      <c r="G1225" s="8">
        <v>18991.426459999999</v>
      </c>
      <c r="H1225" s="8">
        <v>21210.769</v>
      </c>
      <c r="I1225" s="8">
        <v>2204.2596589999998</v>
      </c>
      <c r="J1225" s="8">
        <v>77630.575429999997</v>
      </c>
      <c r="K1225" s="8">
        <v>54810.679150000004</v>
      </c>
      <c r="L1225" s="8">
        <v>100871.4711</v>
      </c>
      <c r="M1225" s="9" t="str">
        <f>IF(A1225="",M1226,A1225)</f>
        <v>Algeria</v>
      </c>
      <c r="N1225" s="3" t="str">
        <f t="shared" si="39"/>
        <v>Dec-2021</v>
      </c>
    </row>
    <row r="1226" spans="1:14" x14ac:dyDescent="0.3">
      <c r="A1226" s="3" t="s">
        <v>110</v>
      </c>
      <c r="B1226" s="3" t="s">
        <v>111</v>
      </c>
      <c r="C1226" s="8">
        <v>2020</v>
      </c>
      <c r="D1226" s="8">
        <v>1</v>
      </c>
      <c r="E1226" s="3" t="str">
        <f t="shared" si="38"/>
        <v>January</v>
      </c>
      <c r="F1226" s="3" t="s">
        <v>13</v>
      </c>
      <c r="G1226" s="8">
        <v>7060.8851400000003</v>
      </c>
      <c r="H1226" s="8">
        <v>7342</v>
      </c>
      <c r="I1226" s="8">
        <v>281.1148604</v>
      </c>
      <c r="J1226" s="8">
        <v>281.1148604</v>
      </c>
      <c r="K1226" s="8">
        <v>80.061209079999998</v>
      </c>
      <c r="L1226" s="8">
        <v>479.55995619999999</v>
      </c>
      <c r="M1226" s="9" t="str">
        <f>IF(A1226="",M1227,A1226)</f>
        <v>Ecuador</v>
      </c>
      <c r="N1226" s="3" t="str">
        <f t="shared" si="39"/>
        <v>Jan-2020</v>
      </c>
    </row>
    <row r="1227" spans="1:14" x14ac:dyDescent="0.3">
      <c r="A1227" s="3" t="s">
        <v>110</v>
      </c>
      <c r="B1227" s="3" t="s">
        <v>111</v>
      </c>
      <c r="C1227" s="8">
        <v>2020</v>
      </c>
      <c r="D1227" s="8">
        <v>2</v>
      </c>
      <c r="E1227" s="3" t="str">
        <f t="shared" si="38"/>
        <v>February</v>
      </c>
      <c r="F1227" s="3" t="s">
        <v>13</v>
      </c>
      <c r="G1227" s="8">
        <v>7149.6683370000001</v>
      </c>
      <c r="H1227" s="8">
        <v>6964</v>
      </c>
      <c r="I1227" s="8">
        <v>-185.66833729999999</v>
      </c>
      <c r="J1227" s="8">
        <v>95.446523069999998</v>
      </c>
      <c r="K1227" s="8">
        <v>-183.19550799999999</v>
      </c>
      <c r="L1227" s="8">
        <v>384.67101250000002</v>
      </c>
      <c r="M1227" s="9" t="str">
        <f>IF(A1227="",M1228,A1227)</f>
        <v>Ecuador</v>
      </c>
      <c r="N1227" s="3" t="str">
        <f t="shared" si="39"/>
        <v>Feb-2020</v>
      </c>
    </row>
    <row r="1228" spans="1:14" x14ac:dyDescent="0.3">
      <c r="A1228" s="3" t="s">
        <v>110</v>
      </c>
      <c r="B1228" s="3" t="s">
        <v>111</v>
      </c>
      <c r="C1228" s="8">
        <v>2020</v>
      </c>
      <c r="D1228" s="8">
        <v>3</v>
      </c>
      <c r="E1228" s="3" t="str">
        <f t="shared" si="38"/>
        <v>March</v>
      </c>
      <c r="F1228" s="3" t="s">
        <v>13</v>
      </c>
      <c r="G1228" s="8">
        <v>7232.829487</v>
      </c>
      <c r="H1228" s="8">
        <v>12794</v>
      </c>
      <c r="I1228" s="8">
        <v>5561.170513</v>
      </c>
      <c r="J1228" s="8">
        <v>5656.6170359999996</v>
      </c>
      <c r="K1228" s="8">
        <v>5271.1767490000002</v>
      </c>
      <c r="L1228" s="8">
        <v>6024.701658</v>
      </c>
      <c r="M1228" s="9" t="str">
        <f>IF(A1228="",M1229,A1228)</f>
        <v>Ecuador</v>
      </c>
      <c r="N1228" s="3" t="str">
        <f t="shared" si="39"/>
        <v>Mar-2020</v>
      </c>
    </row>
    <row r="1229" spans="1:14" x14ac:dyDescent="0.3">
      <c r="A1229" s="3" t="s">
        <v>110</v>
      </c>
      <c r="B1229" s="3" t="s">
        <v>111</v>
      </c>
      <c r="C1229" s="8">
        <v>2020</v>
      </c>
      <c r="D1229" s="8">
        <v>4</v>
      </c>
      <c r="E1229" s="3" t="str">
        <f t="shared" si="38"/>
        <v>April</v>
      </c>
      <c r="F1229" s="3" t="s">
        <v>13</v>
      </c>
      <c r="G1229" s="8">
        <v>7228.4638100000002</v>
      </c>
      <c r="H1229" s="8">
        <v>23265</v>
      </c>
      <c r="I1229" s="8">
        <v>16036.536190000001</v>
      </c>
      <c r="J1229" s="8">
        <v>21693.15323</v>
      </c>
      <c r="K1229" s="8">
        <v>21254.17974</v>
      </c>
      <c r="L1229" s="8">
        <v>22151.79998</v>
      </c>
      <c r="M1229" s="9" t="str">
        <f>IF(A1229="",M1230,A1229)</f>
        <v>Ecuador</v>
      </c>
      <c r="N1229" s="3" t="str">
        <f t="shared" si="39"/>
        <v>Apr-2020</v>
      </c>
    </row>
    <row r="1230" spans="1:14" x14ac:dyDescent="0.3">
      <c r="A1230" s="3" t="s">
        <v>110</v>
      </c>
      <c r="B1230" s="3" t="s">
        <v>111</v>
      </c>
      <c r="C1230" s="8">
        <v>2020</v>
      </c>
      <c r="D1230" s="8">
        <v>5</v>
      </c>
      <c r="E1230" s="3" t="str">
        <f t="shared" si="38"/>
        <v>May</v>
      </c>
      <c r="F1230" s="3" t="s">
        <v>13</v>
      </c>
      <c r="G1230" s="8">
        <v>7141.3742940000002</v>
      </c>
      <c r="H1230" s="8">
        <v>11716</v>
      </c>
      <c r="I1230" s="8">
        <v>4574.6257059999998</v>
      </c>
      <c r="J1230" s="8">
        <v>26267.77893</v>
      </c>
      <c r="K1230" s="8">
        <v>25745.380669999999</v>
      </c>
      <c r="L1230" s="8">
        <v>26771.537120000001</v>
      </c>
      <c r="M1230" s="9" t="str">
        <f>IF(A1230="",M1231,A1230)</f>
        <v>Ecuador</v>
      </c>
      <c r="N1230" s="3" t="str">
        <f t="shared" si="39"/>
        <v>May-2020</v>
      </c>
    </row>
    <row r="1231" spans="1:14" x14ac:dyDescent="0.3">
      <c r="A1231" s="3" t="s">
        <v>110</v>
      </c>
      <c r="B1231" s="3" t="s">
        <v>111</v>
      </c>
      <c r="C1231" s="8">
        <v>2020</v>
      </c>
      <c r="D1231" s="8">
        <v>6</v>
      </c>
      <c r="E1231" s="3" t="str">
        <f t="shared" si="38"/>
        <v>June</v>
      </c>
      <c r="F1231" s="3" t="s">
        <v>13</v>
      </c>
      <c r="G1231" s="8">
        <v>7057.5726670000004</v>
      </c>
      <c r="H1231" s="8">
        <v>10424</v>
      </c>
      <c r="I1231" s="8">
        <v>3366.4273330000001</v>
      </c>
      <c r="J1231" s="8">
        <v>29634.206259999999</v>
      </c>
      <c r="K1231" s="8">
        <v>29081.297589999998</v>
      </c>
      <c r="L1231" s="8">
        <v>30209.498029999999</v>
      </c>
      <c r="M1231" s="9" t="str">
        <f>IF(A1231="",M1232,A1231)</f>
        <v>Ecuador</v>
      </c>
      <c r="N1231" s="3" t="str">
        <f t="shared" si="39"/>
        <v>Jun-2020</v>
      </c>
    </row>
    <row r="1232" spans="1:14" x14ac:dyDescent="0.3">
      <c r="A1232" s="3" t="s">
        <v>110</v>
      </c>
      <c r="B1232" s="3" t="s">
        <v>111</v>
      </c>
      <c r="C1232" s="8">
        <v>2020</v>
      </c>
      <c r="D1232" s="8">
        <v>7</v>
      </c>
      <c r="E1232" s="3" t="str">
        <f t="shared" si="38"/>
        <v>July</v>
      </c>
      <c r="F1232" s="3" t="s">
        <v>13</v>
      </c>
      <c r="G1232" s="8">
        <v>6992.5727539999998</v>
      </c>
      <c r="H1232" s="8">
        <v>12425</v>
      </c>
      <c r="I1232" s="8">
        <v>5432.4272460000002</v>
      </c>
      <c r="J1232" s="8">
        <v>35066.63351</v>
      </c>
      <c r="K1232" s="8">
        <v>34467.794970000003</v>
      </c>
      <c r="L1232" s="8">
        <v>35704.29696</v>
      </c>
      <c r="M1232" s="9" t="str">
        <f>IF(A1232="",M1233,A1232)</f>
        <v>Ecuador</v>
      </c>
      <c r="N1232" s="3" t="str">
        <f t="shared" si="39"/>
        <v>Jul-2020</v>
      </c>
    </row>
    <row r="1233" spans="1:14" x14ac:dyDescent="0.3">
      <c r="A1233" s="3" t="s">
        <v>110</v>
      </c>
      <c r="B1233" s="3" t="s">
        <v>111</v>
      </c>
      <c r="C1233" s="8">
        <v>2020</v>
      </c>
      <c r="D1233" s="8">
        <v>8</v>
      </c>
      <c r="E1233" s="3" t="str">
        <f t="shared" si="38"/>
        <v>August</v>
      </c>
      <c r="F1233" s="3" t="s">
        <v>13</v>
      </c>
      <c r="G1233" s="8">
        <v>6935.812911</v>
      </c>
      <c r="H1233" s="8">
        <v>11415</v>
      </c>
      <c r="I1233" s="8">
        <v>4479.187089</v>
      </c>
      <c r="J1233" s="8">
        <v>39545.820599999999</v>
      </c>
      <c r="K1233" s="8">
        <v>38881.765939999997</v>
      </c>
      <c r="L1233" s="8">
        <v>40179.678419999997</v>
      </c>
      <c r="M1233" s="9" t="str">
        <f>IF(A1233="",M1234,A1233)</f>
        <v>Ecuador</v>
      </c>
      <c r="N1233" s="3" t="str">
        <f t="shared" si="39"/>
        <v>Aug-2020</v>
      </c>
    </row>
    <row r="1234" spans="1:14" x14ac:dyDescent="0.3">
      <c r="A1234" s="3" t="s">
        <v>110</v>
      </c>
      <c r="B1234" s="3" t="s">
        <v>111</v>
      </c>
      <c r="C1234" s="8">
        <v>2020</v>
      </c>
      <c r="D1234" s="8">
        <v>9</v>
      </c>
      <c r="E1234" s="3" t="str">
        <f t="shared" si="38"/>
        <v>September</v>
      </c>
      <c r="F1234" s="3" t="s">
        <v>13</v>
      </c>
      <c r="G1234" s="8">
        <v>6914.9663330000003</v>
      </c>
      <c r="H1234" s="8">
        <v>9116</v>
      </c>
      <c r="I1234" s="8">
        <v>2201.0336670000002</v>
      </c>
      <c r="J1234" s="8">
        <v>41746.854270000003</v>
      </c>
      <c r="K1234" s="8">
        <v>41054.833720000002</v>
      </c>
      <c r="L1234" s="8">
        <v>42415.340450000003</v>
      </c>
      <c r="M1234" s="9" t="str">
        <f>IF(A1234="",M1235,A1234)</f>
        <v>Ecuador</v>
      </c>
      <c r="N1234" s="3" t="str">
        <f t="shared" si="39"/>
        <v>Sep-2020</v>
      </c>
    </row>
    <row r="1235" spans="1:14" x14ac:dyDescent="0.3">
      <c r="A1235" s="3" t="s">
        <v>110</v>
      </c>
      <c r="B1235" s="3" t="s">
        <v>111</v>
      </c>
      <c r="C1235" s="8">
        <v>2020</v>
      </c>
      <c r="D1235" s="8">
        <v>10</v>
      </c>
      <c r="E1235" s="3" t="str">
        <f t="shared" si="38"/>
        <v>October</v>
      </c>
      <c r="F1235" s="3" t="s">
        <v>13</v>
      </c>
      <c r="G1235" s="8">
        <v>6935.7307229999997</v>
      </c>
      <c r="H1235" s="8">
        <v>8719</v>
      </c>
      <c r="I1235" s="8">
        <v>1783.2692770000001</v>
      </c>
      <c r="J1235" s="8">
        <v>43530.123540000001</v>
      </c>
      <c r="K1235" s="8">
        <v>42802.219270000001</v>
      </c>
      <c r="L1235" s="8">
        <v>44226.096969999999</v>
      </c>
      <c r="M1235" s="9" t="str">
        <f>IF(A1235="",M1236,A1235)</f>
        <v>Ecuador</v>
      </c>
      <c r="N1235" s="3" t="str">
        <f t="shared" si="39"/>
        <v>Oct-2020</v>
      </c>
    </row>
    <row r="1236" spans="1:14" x14ac:dyDescent="0.3">
      <c r="A1236" s="3" t="s">
        <v>110</v>
      </c>
      <c r="B1236" s="3" t="s">
        <v>111</v>
      </c>
      <c r="C1236" s="8">
        <v>2020</v>
      </c>
      <c r="D1236" s="8">
        <v>11</v>
      </c>
      <c r="E1236" s="3" t="str">
        <f t="shared" si="38"/>
        <v>November</v>
      </c>
      <c r="F1236" s="3" t="s">
        <v>13</v>
      </c>
      <c r="G1236" s="8">
        <v>7028.9227709999996</v>
      </c>
      <c r="H1236" s="8">
        <v>8453</v>
      </c>
      <c r="I1236" s="8">
        <v>1424.077229</v>
      </c>
      <c r="J1236" s="8">
        <v>44954.200770000003</v>
      </c>
      <c r="K1236" s="8">
        <v>44205.208919999997</v>
      </c>
      <c r="L1236" s="8">
        <v>45670.98835</v>
      </c>
      <c r="M1236" s="9" t="str">
        <f>IF(A1236="",M1237,A1236)</f>
        <v>Ecuador</v>
      </c>
      <c r="N1236" s="3" t="str">
        <f t="shared" si="39"/>
        <v>Nov-2020</v>
      </c>
    </row>
    <row r="1237" spans="1:14" x14ac:dyDescent="0.3">
      <c r="A1237" s="3" t="s">
        <v>110</v>
      </c>
      <c r="B1237" s="3" t="s">
        <v>111</v>
      </c>
      <c r="C1237" s="8">
        <v>2020</v>
      </c>
      <c r="D1237" s="8">
        <v>12</v>
      </c>
      <c r="E1237" s="3" t="str">
        <f t="shared" si="38"/>
        <v>December</v>
      </c>
      <c r="F1237" s="3" t="s">
        <v>13</v>
      </c>
      <c r="G1237" s="8">
        <v>7157.536212</v>
      </c>
      <c r="H1237" s="8">
        <v>8910</v>
      </c>
      <c r="I1237" s="8">
        <v>1752.463788</v>
      </c>
      <c r="J1237" s="8">
        <v>46706.664559999997</v>
      </c>
      <c r="K1237" s="8">
        <v>45955.58726</v>
      </c>
      <c r="L1237" s="8">
        <v>47453.18417</v>
      </c>
      <c r="M1237" s="9" t="str">
        <f>IF(A1237="",M1238,A1237)</f>
        <v>Ecuador</v>
      </c>
      <c r="N1237" s="3" t="str">
        <f t="shared" si="39"/>
        <v>Dec-2020</v>
      </c>
    </row>
    <row r="1238" spans="1:14" x14ac:dyDescent="0.3">
      <c r="A1238" s="3" t="s">
        <v>110</v>
      </c>
      <c r="B1238" s="3" t="s">
        <v>111</v>
      </c>
      <c r="C1238" s="8">
        <v>2021</v>
      </c>
      <c r="D1238" s="8">
        <v>1</v>
      </c>
      <c r="E1238" s="3" t="str">
        <f t="shared" si="38"/>
        <v>January</v>
      </c>
      <c r="F1238" s="3" t="s">
        <v>13</v>
      </c>
      <c r="G1238" s="8">
        <v>7172.6350590000002</v>
      </c>
      <c r="H1238" s="8">
        <v>10888</v>
      </c>
      <c r="I1238" s="8">
        <v>3713.198766</v>
      </c>
      <c r="J1238" s="8">
        <v>50419.86333</v>
      </c>
      <c r="K1238" s="8">
        <v>49620.485370000002</v>
      </c>
      <c r="L1238" s="8">
        <v>51240.432220000002</v>
      </c>
      <c r="M1238" s="9" t="str">
        <f>IF(A1238="",M1239,A1238)</f>
        <v>Ecuador</v>
      </c>
      <c r="N1238" s="3" t="str">
        <f t="shared" si="39"/>
        <v>Jan-2021</v>
      </c>
    </row>
    <row r="1239" spans="1:14" x14ac:dyDescent="0.3">
      <c r="A1239" s="3" t="s">
        <v>110</v>
      </c>
      <c r="B1239" s="3" t="s">
        <v>111</v>
      </c>
      <c r="C1239" s="8">
        <v>2021</v>
      </c>
      <c r="D1239" s="8">
        <v>2</v>
      </c>
      <c r="E1239" s="3" t="str">
        <f t="shared" si="38"/>
        <v>February</v>
      </c>
      <c r="F1239" s="3" t="s">
        <v>13</v>
      </c>
      <c r="G1239" s="8">
        <v>7259.8721370000003</v>
      </c>
      <c r="H1239" s="8">
        <v>10160</v>
      </c>
      <c r="I1239" s="8">
        <v>2897.961687</v>
      </c>
      <c r="J1239" s="8">
        <v>53317.82501</v>
      </c>
      <c r="K1239" s="8">
        <v>52476.680099999998</v>
      </c>
      <c r="L1239" s="8">
        <v>54149.829819999999</v>
      </c>
      <c r="M1239" s="9" t="str">
        <f>IF(A1239="",M1240,A1239)</f>
        <v>Ecuador</v>
      </c>
      <c r="N1239" s="3" t="str">
        <f t="shared" si="39"/>
        <v>Feb-2021</v>
      </c>
    </row>
    <row r="1240" spans="1:14" x14ac:dyDescent="0.3">
      <c r="A1240" s="3" t="s">
        <v>110</v>
      </c>
      <c r="B1240" s="3" t="s">
        <v>111</v>
      </c>
      <c r="C1240" s="8">
        <v>2021</v>
      </c>
      <c r="D1240" s="8">
        <v>3</v>
      </c>
      <c r="E1240" s="3" t="str">
        <f t="shared" si="38"/>
        <v>March</v>
      </c>
      <c r="F1240" s="3" t="s">
        <v>13</v>
      </c>
      <c r="G1240" s="8">
        <v>7347.8599869999998</v>
      </c>
      <c r="H1240" s="8">
        <v>12798</v>
      </c>
      <c r="I1240" s="8">
        <v>5447.9738369999995</v>
      </c>
      <c r="J1240" s="8">
        <v>58765.798849999999</v>
      </c>
      <c r="K1240" s="8">
        <v>57888.723440000002</v>
      </c>
      <c r="L1240" s="8">
        <v>59709.004070000003</v>
      </c>
      <c r="M1240" s="9" t="str">
        <f>IF(A1240="",M1241,A1240)</f>
        <v>Ecuador</v>
      </c>
      <c r="N1240" s="3" t="str">
        <f t="shared" si="39"/>
        <v>Mar-2021</v>
      </c>
    </row>
    <row r="1241" spans="1:14" x14ac:dyDescent="0.3">
      <c r="A1241" s="3" t="s">
        <v>110</v>
      </c>
      <c r="B1241" s="3" t="s">
        <v>111</v>
      </c>
      <c r="C1241" s="8">
        <v>2021</v>
      </c>
      <c r="D1241" s="8">
        <v>4</v>
      </c>
      <c r="E1241" s="3" t="str">
        <f t="shared" si="38"/>
        <v>April</v>
      </c>
      <c r="F1241" s="3" t="s">
        <v>13</v>
      </c>
      <c r="G1241" s="8">
        <v>7331.0927799999999</v>
      </c>
      <c r="H1241" s="8">
        <v>15095</v>
      </c>
      <c r="I1241" s="8">
        <v>7761.7410449999998</v>
      </c>
      <c r="J1241" s="8">
        <v>66527.539900000003</v>
      </c>
      <c r="K1241" s="8">
        <v>65586.493870000006</v>
      </c>
      <c r="L1241" s="8">
        <v>67485.953580000001</v>
      </c>
      <c r="M1241" s="9" t="str">
        <f>IF(A1241="",M1242,A1241)</f>
        <v>Ecuador</v>
      </c>
      <c r="N1241" s="3" t="str">
        <f t="shared" si="39"/>
        <v>Apr-2021</v>
      </c>
    </row>
    <row r="1242" spans="1:14" x14ac:dyDescent="0.3">
      <c r="A1242" s="3" t="s">
        <v>110</v>
      </c>
      <c r="B1242" s="3" t="s">
        <v>111</v>
      </c>
      <c r="C1242" s="8">
        <v>2021</v>
      </c>
      <c r="D1242" s="8">
        <v>5</v>
      </c>
      <c r="E1242" s="3" t="str">
        <f t="shared" si="38"/>
        <v>May</v>
      </c>
      <c r="F1242" s="3" t="s">
        <v>13</v>
      </c>
      <c r="G1242" s="8">
        <v>7249.3823830000001</v>
      </c>
      <c r="H1242" s="8">
        <v>12530</v>
      </c>
      <c r="I1242" s="8">
        <v>5278.4514410000002</v>
      </c>
      <c r="J1242" s="8">
        <v>71805.991339999993</v>
      </c>
      <c r="K1242" s="8">
        <v>70802.633100000006</v>
      </c>
      <c r="L1242" s="8">
        <v>72785.951159999997</v>
      </c>
      <c r="M1242" s="9" t="str">
        <f>IF(A1242="",M1243,A1242)</f>
        <v>Ecuador</v>
      </c>
      <c r="N1242" s="3" t="str">
        <f t="shared" si="39"/>
        <v>May-2021</v>
      </c>
    </row>
    <row r="1243" spans="1:14" x14ac:dyDescent="0.3">
      <c r="A1243" s="3" t="s">
        <v>110</v>
      </c>
      <c r="B1243" s="3" t="s">
        <v>111</v>
      </c>
      <c r="C1243" s="8">
        <v>2021</v>
      </c>
      <c r="D1243" s="8">
        <v>6</v>
      </c>
      <c r="E1243" s="3" t="str">
        <f t="shared" si="38"/>
        <v>June</v>
      </c>
      <c r="F1243" s="3" t="s">
        <v>13</v>
      </c>
      <c r="G1243" s="8">
        <v>7163.7496179999998</v>
      </c>
      <c r="H1243" s="8">
        <v>9401</v>
      </c>
      <c r="I1243" s="8">
        <v>2235.084206</v>
      </c>
      <c r="J1243" s="8">
        <v>74041.075540000005</v>
      </c>
      <c r="K1243" s="8">
        <v>72969.194300000003</v>
      </c>
      <c r="L1243" s="8">
        <v>75043.405360000004</v>
      </c>
      <c r="M1243" s="9" t="str">
        <f>IF(A1243="",M1244,A1243)</f>
        <v>Ecuador</v>
      </c>
      <c r="N1243" s="3" t="str">
        <f t="shared" si="39"/>
        <v>Jun-2021</v>
      </c>
    </row>
    <row r="1244" spans="1:14" x14ac:dyDescent="0.3">
      <c r="A1244" s="3" t="s">
        <v>110</v>
      </c>
      <c r="B1244" s="3" t="s">
        <v>111</v>
      </c>
      <c r="C1244" s="8">
        <v>2021</v>
      </c>
      <c r="D1244" s="8">
        <v>7</v>
      </c>
      <c r="E1244" s="3" t="str">
        <f t="shared" si="38"/>
        <v>July</v>
      </c>
      <c r="F1244" s="3" t="s">
        <v>13</v>
      </c>
      <c r="G1244" s="8">
        <v>7095.1027059999997</v>
      </c>
      <c r="H1244" s="8">
        <v>9054</v>
      </c>
      <c r="I1244" s="8">
        <v>1956.7311179999999</v>
      </c>
      <c r="J1244" s="8">
        <v>75997.806660000002</v>
      </c>
      <c r="K1244" s="8">
        <v>74851.988310000001</v>
      </c>
      <c r="L1244" s="8">
        <v>77039.566919999997</v>
      </c>
      <c r="M1244" s="9" t="str">
        <f>IF(A1244="",M1245,A1244)</f>
        <v>Ecuador</v>
      </c>
      <c r="N1244" s="3" t="str">
        <f t="shared" si="39"/>
        <v>Jul-2021</v>
      </c>
    </row>
    <row r="1245" spans="1:14" x14ac:dyDescent="0.3">
      <c r="A1245" s="3" t="s">
        <v>110</v>
      </c>
      <c r="B1245" s="3" t="s">
        <v>111</v>
      </c>
      <c r="C1245" s="8">
        <v>2021</v>
      </c>
      <c r="D1245" s="8">
        <v>8</v>
      </c>
      <c r="E1245" s="3" t="str">
        <f t="shared" si="38"/>
        <v>August</v>
      </c>
      <c r="F1245" s="3" t="s">
        <v>13</v>
      </c>
      <c r="G1245" s="8">
        <v>7049.2612810000001</v>
      </c>
      <c r="H1245" s="8">
        <v>7989</v>
      </c>
      <c r="I1245" s="8">
        <v>937.57254309999996</v>
      </c>
      <c r="J1245" s="8">
        <v>76935.379199999996</v>
      </c>
      <c r="K1245" s="8">
        <v>75757.165599999993</v>
      </c>
      <c r="L1245" s="8">
        <v>78008.750709999993</v>
      </c>
      <c r="M1245" s="9" t="str">
        <f>IF(A1245="",M1246,A1245)</f>
        <v>Ecuador</v>
      </c>
      <c r="N1245" s="3" t="str">
        <f t="shared" si="39"/>
        <v>Aug-2021</v>
      </c>
    </row>
    <row r="1246" spans="1:14" x14ac:dyDescent="0.3">
      <c r="A1246" s="3" t="s">
        <v>110</v>
      </c>
      <c r="B1246" s="3" t="s">
        <v>111</v>
      </c>
      <c r="C1246" s="8">
        <v>2021</v>
      </c>
      <c r="D1246" s="8">
        <v>9</v>
      </c>
      <c r="E1246" s="3" t="str">
        <f t="shared" si="38"/>
        <v>September</v>
      </c>
      <c r="F1246" s="3" t="s">
        <v>13</v>
      </c>
      <c r="G1246" s="8">
        <v>7017.6508409999997</v>
      </c>
      <c r="H1246" s="8">
        <v>7502</v>
      </c>
      <c r="I1246" s="8">
        <v>482.18298299999998</v>
      </c>
      <c r="J1246" s="8">
        <v>77417.562189999997</v>
      </c>
      <c r="K1246" s="8">
        <v>76180.357820000005</v>
      </c>
      <c r="L1246" s="8">
        <v>78566.12586</v>
      </c>
      <c r="M1246" s="9" t="str">
        <f>IF(A1246="",M1247,A1246)</f>
        <v>Ecuador</v>
      </c>
      <c r="N1246" s="3" t="str">
        <f t="shared" si="39"/>
        <v>Sep-2021</v>
      </c>
    </row>
    <row r="1247" spans="1:14" x14ac:dyDescent="0.3">
      <c r="A1247" s="3" t="s">
        <v>110</v>
      </c>
      <c r="B1247" s="3" t="s">
        <v>111</v>
      </c>
      <c r="C1247" s="8">
        <v>2021</v>
      </c>
      <c r="D1247" s="8">
        <v>10</v>
      </c>
      <c r="E1247" s="3" t="str">
        <f t="shared" si="38"/>
        <v>October</v>
      </c>
      <c r="F1247" s="3" t="s">
        <v>13</v>
      </c>
      <c r="G1247" s="8">
        <v>7037.6494089999997</v>
      </c>
      <c r="H1247" s="8">
        <v>7572</v>
      </c>
      <c r="I1247" s="8">
        <v>532.18441559999997</v>
      </c>
      <c r="J1247" s="8">
        <v>77949.746599999999</v>
      </c>
      <c r="K1247" s="8">
        <v>76736.623460000003</v>
      </c>
      <c r="L1247" s="8">
        <v>79105.283420000007</v>
      </c>
      <c r="M1247" s="9" t="str">
        <f>IF(A1247="",M1248,A1247)</f>
        <v>Ecuador</v>
      </c>
      <c r="N1247" s="3" t="str">
        <f t="shared" si="39"/>
        <v>Oct-2021</v>
      </c>
    </row>
    <row r="1248" spans="1:14" x14ac:dyDescent="0.3">
      <c r="A1248" s="3" t="s">
        <v>110</v>
      </c>
      <c r="B1248" s="3" t="s">
        <v>111</v>
      </c>
      <c r="C1248" s="8">
        <v>2021</v>
      </c>
      <c r="D1248" s="8">
        <v>11</v>
      </c>
      <c r="E1248" s="3" t="str">
        <f t="shared" si="38"/>
        <v>November</v>
      </c>
      <c r="F1248" s="3" t="s">
        <v>13</v>
      </c>
      <c r="G1248" s="8">
        <v>7135.1306789999999</v>
      </c>
      <c r="H1248" s="8">
        <v>7594</v>
      </c>
      <c r="I1248" s="8">
        <v>456.70314489999998</v>
      </c>
      <c r="J1248" s="8">
        <v>78406.44975</v>
      </c>
      <c r="K1248" s="8">
        <v>77167.731249999997</v>
      </c>
      <c r="L1248" s="8">
        <v>79605.371960000004</v>
      </c>
      <c r="M1248" s="9" t="str">
        <f>IF(A1248="",M1249,A1248)</f>
        <v>Ecuador</v>
      </c>
      <c r="N1248" s="3" t="str">
        <f t="shared" si="39"/>
        <v>Nov-2021</v>
      </c>
    </row>
    <row r="1249" spans="1:14" x14ac:dyDescent="0.3">
      <c r="A1249" s="3" t="s">
        <v>110</v>
      </c>
      <c r="B1249" s="3" t="s">
        <v>111</v>
      </c>
      <c r="C1249" s="8">
        <v>2021</v>
      </c>
      <c r="D1249" s="8">
        <v>12</v>
      </c>
      <c r="E1249" s="3" t="str">
        <f t="shared" si="38"/>
        <v>December</v>
      </c>
      <c r="F1249" s="3" t="s">
        <v>13</v>
      </c>
      <c r="G1249" s="8">
        <v>7265.8355730000003</v>
      </c>
      <c r="H1249" s="8">
        <v>8443</v>
      </c>
      <c r="I1249" s="8">
        <v>1174.998251</v>
      </c>
      <c r="J1249" s="8">
        <v>79581.448000000004</v>
      </c>
      <c r="K1249" s="8">
        <v>78277.862150000001</v>
      </c>
      <c r="L1249" s="8">
        <v>80763.702120000002</v>
      </c>
      <c r="M1249" s="9" t="str">
        <f>IF(A1249="",M1250,A1249)</f>
        <v>Ecuador</v>
      </c>
      <c r="N1249" s="3" t="str">
        <f t="shared" si="39"/>
        <v>Dec-2021</v>
      </c>
    </row>
    <row r="1250" spans="1:14" x14ac:dyDescent="0.3">
      <c r="A1250" s="3" t="s">
        <v>112</v>
      </c>
      <c r="B1250" s="3" t="s">
        <v>113</v>
      </c>
      <c r="C1250" s="8">
        <v>2020</v>
      </c>
      <c r="D1250" s="8">
        <v>1</v>
      </c>
      <c r="E1250" s="3" t="str">
        <f t="shared" si="38"/>
        <v>January</v>
      </c>
      <c r="F1250" s="3" t="s">
        <v>13</v>
      </c>
      <c r="G1250" s="8">
        <v>54654.376259999997</v>
      </c>
      <c r="H1250" s="8">
        <v>56964</v>
      </c>
      <c r="I1250" s="8">
        <v>2254.1237409999999</v>
      </c>
      <c r="J1250" s="8">
        <v>2254.1237409999999</v>
      </c>
      <c r="K1250" s="8">
        <v>-294.2577316</v>
      </c>
      <c r="L1250" s="8">
        <v>4746.6026279999996</v>
      </c>
      <c r="M1250" s="9" t="str">
        <f>IF(A1250="",M1251,A1250)</f>
        <v>Egypt</v>
      </c>
      <c r="N1250" s="3" t="str">
        <f t="shared" si="39"/>
        <v>Jan-2020</v>
      </c>
    </row>
    <row r="1251" spans="1:14" x14ac:dyDescent="0.3">
      <c r="A1251" s="3" t="s">
        <v>112</v>
      </c>
      <c r="B1251" s="3" t="s">
        <v>113</v>
      </c>
      <c r="C1251" s="8">
        <v>2020</v>
      </c>
      <c r="D1251" s="8">
        <v>2</v>
      </c>
      <c r="E1251" s="3" t="str">
        <f t="shared" si="38"/>
        <v>February</v>
      </c>
      <c r="F1251" s="3" t="s">
        <v>13</v>
      </c>
      <c r="G1251" s="8">
        <v>49036.358760000003</v>
      </c>
      <c r="H1251" s="8">
        <v>49835</v>
      </c>
      <c r="I1251" s="8">
        <v>743.14123989999996</v>
      </c>
      <c r="J1251" s="8">
        <v>2997.2649809999998</v>
      </c>
      <c r="K1251" s="8">
        <v>-870.02154229999996</v>
      </c>
      <c r="L1251" s="8">
        <v>6754.0634440000003</v>
      </c>
      <c r="M1251" s="9" t="str">
        <f>IF(A1251="",M1252,A1251)</f>
        <v>Egypt</v>
      </c>
      <c r="N1251" s="3" t="str">
        <f t="shared" si="39"/>
        <v>Feb-2020</v>
      </c>
    </row>
    <row r="1252" spans="1:14" x14ac:dyDescent="0.3">
      <c r="A1252" s="3" t="s">
        <v>112</v>
      </c>
      <c r="B1252" s="3" t="s">
        <v>113</v>
      </c>
      <c r="C1252" s="8">
        <v>2020</v>
      </c>
      <c r="D1252" s="8">
        <v>3</v>
      </c>
      <c r="E1252" s="3" t="str">
        <f t="shared" si="38"/>
        <v>March</v>
      </c>
      <c r="F1252" s="3" t="s">
        <v>13</v>
      </c>
      <c r="G1252" s="8">
        <v>45517.844640000003</v>
      </c>
      <c r="H1252" s="8">
        <v>49131</v>
      </c>
      <c r="I1252" s="8">
        <v>3557.6553610000001</v>
      </c>
      <c r="J1252" s="8">
        <v>6554.9203420000003</v>
      </c>
      <c r="K1252" s="8">
        <v>1629.835949</v>
      </c>
      <c r="L1252" s="8">
        <v>11334.221659999999</v>
      </c>
      <c r="M1252" s="9" t="str">
        <f>IF(A1252="",M1253,A1252)</f>
        <v>Egypt</v>
      </c>
      <c r="N1252" s="3" t="str">
        <f t="shared" si="39"/>
        <v>Mar-2020</v>
      </c>
    </row>
    <row r="1253" spans="1:14" x14ac:dyDescent="0.3">
      <c r="A1253" s="3" t="s">
        <v>112</v>
      </c>
      <c r="B1253" s="3" t="s">
        <v>113</v>
      </c>
      <c r="C1253" s="8">
        <v>2020</v>
      </c>
      <c r="D1253" s="8">
        <v>4</v>
      </c>
      <c r="E1253" s="3" t="str">
        <f t="shared" si="38"/>
        <v>April</v>
      </c>
      <c r="F1253" s="3" t="s">
        <v>13</v>
      </c>
      <c r="G1253" s="8">
        <v>42552.712460000002</v>
      </c>
      <c r="H1253" s="8">
        <v>42078</v>
      </c>
      <c r="I1253" s="8">
        <v>-530.21246080000003</v>
      </c>
      <c r="J1253" s="8">
        <v>6024.7078819999997</v>
      </c>
      <c r="K1253" s="8">
        <v>407.35571340000001</v>
      </c>
      <c r="L1253" s="8">
        <v>11295.65437</v>
      </c>
      <c r="M1253" s="9" t="str">
        <f>IF(A1253="",M1254,A1253)</f>
        <v>Egypt</v>
      </c>
      <c r="N1253" s="3" t="str">
        <f t="shared" si="39"/>
        <v>Apr-2020</v>
      </c>
    </row>
    <row r="1254" spans="1:14" x14ac:dyDescent="0.3">
      <c r="A1254" s="3" t="s">
        <v>112</v>
      </c>
      <c r="B1254" s="3" t="s">
        <v>113</v>
      </c>
      <c r="C1254" s="8">
        <v>2020</v>
      </c>
      <c r="D1254" s="8">
        <v>5</v>
      </c>
      <c r="E1254" s="3" t="str">
        <f t="shared" si="38"/>
        <v>May</v>
      </c>
      <c r="F1254" s="3" t="s">
        <v>13</v>
      </c>
      <c r="G1254" s="8">
        <v>42914.114849999998</v>
      </c>
      <c r="H1254" s="8">
        <v>56747</v>
      </c>
      <c r="I1254" s="8">
        <v>13777.38515</v>
      </c>
      <c r="J1254" s="8">
        <v>19802.09303</v>
      </c>
      <c r="K1254" s="8">
        <v>13426.5602</v>
      </c>
      <c r="L1254" s="8">
        <v>25630.184560000002</v>
      </c>
      <c r="M1254" s="9" t="str">
        <f>IF(A1254="",M1255,A1254)</f>
        <v>Egypt</v>
      </c>
      <c r="N1254" s="3" t="str">
        <f t="shared" si="39"/>
        <v>May-2020</v>
      </c>
    </row>
    <row r="1255" spans="1:14" x14ac:dyDescent="0.3">
      <c r="A1255" s="3" t="s">
        <v>112</v>
      </c>
      <c r="B1255" s="3" t="s">
        <v>113</v>
      </c>
      <c r="C1255" s="8">
        <v>2020</v>
      </c>
      <c r="D1255" s="8">
        <v>6</v>
      </c>
      <c r="E1255" s="3" t="str">
        <f t="shared" si="38"/>
        <v>June</v>
      </c>
      <c r="F1255" s="3" t="s">
        <v>13</v>
      </c>
      <c r="G1255" s="8">
        <v>43321.017030000003</v>
      </c>
      <c r="H1255" s="8">
        <v>79078</v>
      </c>
      <c r="I1255" s="8">
        <v>35701.482969999997</v>
      </c>
      <c r="J1255" s="8">
        <v>55503.576000000001</v>
      </c>
      <c r="K1255" s="8">
        <v>49256.265700000004</v>
      </c>
      <c r="L1255" s="8">
        <v>62285.608780000002</v>
      </c>
      <c r="M1255" s="9" t="str">
        <f>IF(A1255="",M1256,A1255)</f>
        <v>Egypt</v>
      </c>
      <c r="N1255" s="3" t="str">
        <f t="shared" si="39"/>
        <v>Jun-2020</v>
      </c>
    </row>
    <row r="1256" spans="1:14" x14ac:dyDescent="0.3">
      <c r="A1256" s="3" t="s">
        <v>112</v>
      </c>
      <c r="B1256" s="3" t="s">
        <v>113</v>
      </c>
      <c r="C1256" s="8">
        <v>2020</v>
      </c>
      <c r="D1256" s="8">
        <v>7</v>
      </c>
      <c r="E1256" s="3" t="str">
        <f t="shared" si="38"/>
        <v>July</v>
      </c>
      <c r="F1256" s="3" t="s">
        <v>13</v>
      </c>
      <c r="G1256" s="8">
        <v>46898.22709</v>
      </c>
      <c r="H1256" s="8">
        <v>61079</v>
      </c>
      <c r="I1256" s="8">
        <v>14125.27291</v>
      </c>
      <c r="J1256" s="8">
        <v>69628.848910000001</v>
      </c>
      <c r="K1256" s="8">
        <v>62695.17265</v>
      </c>
      <c r="L1256" s="8">
        <v>76949.986210000003</v>
      </c>
      <c r="M1256" s="9" t="str">
        <f>IF(A1256="",M1257,A1256)</f>
        <v>Egypt</v>
      </c>
      <c r="N1256" s="3" t="str">
        <f t="shared" si="39"/>
        <v>Jul-2020</v>
      </c>
    </row>
    <row r="1257" spans="1:14" x14ac:dyDescent="0.3">
      <c r="A1257" s="3" t="s">
        <v>112</v>
      </c>
      <c r="B1257" s="3" t="s">
        <v>113</v>
      </c>
      <c r="C1257" s="8">
        <v>2020</v>
      </c>
      <c r="D1257" s="8">
        <v>8</v>
      </c>
      <c r="E1257" s="3" t="str">
        <f t="shared" si="38"/>
        <v>August</v>
      </c>
      <c r="F1257" s="3" t="s">
        <v>13</v>
      </c>
      <c r="G1257" s="8">
        <v>48537.088150000003</v>
      </c>
      <c r="H1257" s="8">
        <v>56515</v>
      </c>
      <c r="I1257" s="8">
        <v>7922.4118470000003</v>
      </c>
      <c r="J1257" s="8">
        <v>77551.260750000001</v>
      </c>
      <c r="K1257" s="8">
        <v>70049.867230000003</v>
      </c>
      <c r="L1257" s="8">
        <v>85412.513080000004</v>
      </c>
      <c r="M1257" s="9" t="str">
        <f>IF(A1257="",M1258,A1257)</f>
        <v>Egypt</v>
      </c>
      <c r="N1257" s="3" t="str">
        <f t="shared" si="39"/>
        <v>Aug-2020</v>
      </c>
    </row>
    <row r="1258" spans="1:14" x14ac:dyDescent="0.3">
      <c r="A1258" s="3" t="s">
        <v>112</v>
      </c>
      <c r="B1258" s="3" t="s">
        <v>113</v>
      </c>
      <c r="C1258" s="8">
        <v>2020</v>
      </c>
      <c r="D1258" s="8">
        <v>9</v>
      </c>
      <c r="E1258" s="3" t="str">
        <f t="shared" si="38"/>
        <v>September</v>
      </c>
      <c r="F1258" s="3" t="s">
        <v>13</v>
      </c>
      <c r="G1258" s="8">
        <v>43006.360639999999</v>
      </c>
      <c r="H1258" s="8">
        <v>49351</v>
      </c>
      <c r="I1258" s="8">
        <v>6289.139365</v>
      </c>
      <c r="J1258" s="8">
        <v>83840.400120000006</v>
      </c>
      <c r="K1258" s="8">
        <v>75941.499760000006</v>
      </c>
      <c r="L1258" s="8">
        <v>92329.411529999998</v>
      </c>
      <c r="M1258" s="9" t="str">
        <f>IF(A1258="",M1259,A1258)</f>
        <v>Egypt</v>
      </c>
      <c r="N1258" s="3" t="str">
        <f t="shared" si="39"/>
        <v>Sep-2020</v>
      </c>
    </row>
    <row r="1259" spans="1:14" x14ac:dyDescent="0.3">
      <c r="A1259" s="3" t="s">
        <v>112</v>
      </c>
      <c r="B1259" s="3" t="s">
        <v>113</v>
      </c>
      <c r="C1259" s="8">
        <v>2020</v>
      </c>
      <c r="D1259" s="8">
        <v>10</v>
      </c>
      <c r="E1259" s="3" t="str">
        <f t="shared" si="38"/>
        <v>October</v>
      </c>
      <c r="F1259" s="3" t="s">
        <v>13</v>
      </c>
      <c r="G1259" s="8">
        <v>42124.694819999997</v>
      </c>
      <c r="H1259" s="8">
        <v>45897</v>
      </c>
      <c r="I1259" s="8">
        <v>3716.8051799999998</v>
      </c>
      <c r="J1259" s="8">
        <v>87557.205300000001</v>
      </c>
      <c r="K1259" s="8">
        <v>79392.299960000004</v>
      </c>
      <c r="L1259" s="8">
        <v>96371.242469999997</v>
      </c>
      <c r="M1259" s="9" t="str">
        <f>IF(A1259="",M1260,A1259)</f>
        <v>Egypt</v>
      </c>
      <c r="N1259" s="3" t="str">
        <f t="shared" si="39"/>
        <v>Oct-2020</v>
      </c>
    </row>
    <row r="1260" spans="1:14" x14ac:dyDescent="0.3">
      <c r="A1260" s="3" t="s">
        <v>112</v>
      </c>
      <c r="B1260" s="3" t="s">
        <v>113</v>
      </c>
      <c r="C1260" s="8">
        <v>2020</v>
      </c>
      <c r="D1260" s="8">
        <v>11</v>
      </c>
      <c r="E1260" s="3" t="str">
        <f t="shared" si="38"/>
        <v>November</v>
      </c>
      <c r="F1260" s="3" t="s">
        <v>13</v>
      </c>
      <c r="G1260" s="8">
        <v>44926.189339999997</v>
      </c>
      <c r="H1260" s="8">
        <v>50681</v>
      </c>
      <c r="I1260" s="8">
        <v>5699.3106550000002</v>
      </c>
      <c r="J1260" s="8">
        <v>93256.515950000001</v>
      </c>
      <c r="K1260" s="8">
        <v>84253.0484</v>
      </c>
      <c r="L1260" s="8">
        <v>102288.2224</v>
      </c>
      <c r="M1260" s="9" t="str">
        <f>IF(A1260="",M1261,A1260)</f>
        <v>Egypt</v>
      </c>
      <c r="N1260" s="3" t="str">
        <f t="shared" si="39"/>
        <v>Nov-2020</v>
      </c>
    </row>
    <row r="1261" spans="1:14" x14ac:dyDescent="0.3">
      <c r="A1261" s="3" t="s">
        <v>112</v>
      </c>
      <c r="B1261" s="3" t="s">
        <v>113</v>
      </c>
      <c r="C1261" s="8">
        <v>2020</v>
      </c>
      <c r="D1261" s="8">
        <v>12</v>
      </c>
      <c r="E1261" s="3" t="str">
        <f t="shared" si="38"/>
        <v>December</v>
      </c>
      <c r="F1261" s="3" t="s">
        <v>13</v>
      </c>
      <c r="G1261" s="8">
        <v>54521.015010000003</v>
      </c>
      <c r="H1261" s="8">
        <v>68844</v>
      </c>
      <c r="I1261" s="8">
        <v>14267.484990000001</v>
      </c>
      <c r="J1261" s="8">
        <v>107524.0009</v>
      </c>
      <c r="K1261" s="8">
        <v>98142.919609999997</v>
      </c>
      <c r="L1261" s="8">
        <v>117054.4866</v>
      </c>
      <c r="M1261" s="9" t="str">
        <f>IF(A1261="",M1262,A1261)</f>
        <v>Egypt</v>
      </c>
      <c r="N1261" s="3" t="str">
        <f t="shared" si="39"/>
        <v>Dec-2020</v>
      </c>
    </row>
    <row r="1262" spans="1:14" x14ac:dyDescent="0.3">
      <c r="A1262" s="3" t="s">
        <v>112</v>
      </c>
      <c r="B1262" s="3" t="s">
        <v>113</v>
      </c>
      <c r="C1262" s="8">
        <v>2021</v>
      </c>
      <c r="D1262" s="8">
        <v>1</v>
      </c>
      <c r="E1262" s="3" t="str">
        <f t="shared" si="38"/>
        <v>January</v>
      </c>
      <c r="F1262" s="3" t="s">
        <v>13</v>
      </c>
      <c r="G1262" s="8">
        <v>54521.666039999996</v>
      </c>
      <c r="H1262" s="8">
        <v>69452</v>
      </c>
      <c r="I1262" s="8">
        <v>14900.167289999999</v>
      </c>
      <c r="J1262" s="8">
        <v>122424.1682</v>
      </c>
      <c r="K1262" s="8">
        <v>112627.7798</v>
      </c>
      <c r="L1262" s="8">
        <v>133001.90340000001</v>
      </c>
      <c r="M1262" s="9" t="str">
        <f>IF(A1262="",M1263,A1262)</f>
        <v>Egypt</v>
      </c>
      <c r="N1262" s="3" t="str">
        <f t="shared" si="39"/>
        <v>Jan-2021</v>
      </c>
    </row>
    <row r="1263" spans="1:14" x14ac:dyDescent="0.3">
      <c r="A1263" s="3" t="s">
        <v>112</v>
      </c>
      <c r="B1263" s="3" t="s">
        <v>113</v>
      </c>
      <c r="C1263" s="8">
        <v>2021</v>
      </c>
      <c r="D1263" s="8">
        <v>2</v>
      </c>
      <c r="E1263" s="3" t="str">
        <f t="shared" si="38"/>
        <v>February</v>
      </c>
      <c r="F1263" s="3" t="s">
        <v>13</v>
      </c>
      <c r="G1263" s="8">
        <v>49062.498740000003</v>
      </c>
      <c r="H1263" s="8">
        <v>54184</v>
      </c>
      <c r="I1263" s="8">
        <v>5091.3345959999997</v>
      </c>
      <c r="J1263" s="8">
        <v>127515.5028</v>
      </c>
      <c r="K1263" s="8">
        <v>117629.18309999999</v>
      </c>
      <c r="L1263" s="8">
        <v>138476.8958</v>
      </c>
      <c r="M1263" s="9" t="str">
        <f>IF(A1263="",M1264,A1263)</f>
        <v>Egypt</v>
      </c>
      <c r="N1263" s="3" t="str">
        <f t="shared" si="39"/>
        <v>Feb-2021</v>
      </c>
    </row>
    <row r="1264" spans="1:14" x14ac:dyDescent="0.3">
      <c r="A1264" s="3" t="s">
        <v>112</v>
      </c>
      <c r="B1264" s="3" t="s">
        <v>113</v>
      </c>
      <c r="C1264" s="8">
        <v>2021</v>
      </c>
      <c r="D1264" s="8">
        <v>3</v>
      </c>
      <c r="E1264" s="3" t="str">
        <f t="shared" si="38"/>
        <v>March</v>
      </c>
      <c r="F1264" s="3" t="s">
        <v>13</v>
      </c>
      <c r="G1264" s="8">
        <v>45460.60585</v>
      </c>
      <c r="H1264" s="8">
        <v>60592</v>
      </c>
      <c r="I1264" s="8">
        <v>15101.22748</v>
      </c>
      <c r="J1264" s="8">
        <v>142616.7303</v>
      </c>
      <c r="K1264" s="8">
        <v>131880.23670000001</v>
      </c>
      <c r="L1264" s="8">
        <v>154127.58360000001</v>
      </c>
      <c r="M1264" s="9" t="str">
        <f>IF(A1264="",M1265,A1264)</f>
        <v>Egypt</v>
      </c>
      <c r="N1264" s="3" t="str">
        <f t="shared" si="39"/>
        <v>Mar-2021</v>
      </c>
    </row>
    <row r="1265" spans="1:14" x14ac:dyDescent="0.3">
      <c r="A1265" s="3" t="s">
        <v>112</v>
      </c>
      <c r="B1265" s="3" t="s">
        <v>113</v>
      </c>
      <c r="C1265" s="8">
        <v>2021</v>
      </c>
      <c r="D1265" s="8">
        <v>4</v>
      </c>
      <c r="E1265" s="3" t="str">
        <f t="shared" si="38"/>
        <v>April</v>
      </c>
      <c r="F1265" s="3" t="s">
        <v>13</v>
      </c>
      <c r="G1265" s="8">
        <v>42380.195670000001</v>
      </c>
      <c r="H1265" s="8">
        <v>67163</v>
      </c>
      <c r="I1265" s="8">
        <v>24752.63766</v>
      </c>
      <c r="J1265" s="8">
        <v>167369.36799999999</v>
      </c>
      <c r="K1265" s="8">
        <v>156434.33439999999</v>
      </c>
      <c r="L1265" s="8">
        <v>178778.48560000001</v>
      </c>
      <c r="M1265" s="9" t="str">
        <f>IF(A1265="",M1266,A1265)</f>
        <v>Egypt</v>
      </c>
      <c r="N1265" s="3" t="str">
        <f t="shared" si="39"/>
        <v>Apr-2021</v>
      </c>
    </row>
    <row r="1266" spans="1:14" x14ac:dyDescent="0.3">
      <c r="A1266" s="3" t="s">
        <v>112</v>
      </c>
      <c r="B1266" s="3" t="s">
        <v>113</v>
      </c>
      <c r="C1266" s="8">
        <v>2021</v>
      </c>
      <c r="D1266" s="8">
        <v>5</v>
      </c>
      <c r="E1266" s="3" t="str">
        <f t="shared" si="38"/>
        <v>May</v>
      </c>
      <c r="F1266" s="3" t="s">
        <v>13</v>
      </c>
      <c r="G1266" s="8">
        <v>42901.83541</v>
      </c>
      <c r="H1266" s="8">
        <v>73447</v>
      </c>
      <c r="I1266" s="8">
        <v>30514.997930000001</v>
      </c>
      <c r="J1266" s="8">
        <v>197884.3659</v>
      </c>
      <c r="K1266" s="8">
        <v>186407.60750000001</v>
      </c>
      <c r="L1266" s="8">
        <v>209517.67879999999</v>
      </c>
      <c r="M1266" s="9" t="str">
        <f>IF(A1266="",M1267,A1266)</f>
        <v>Egypt</v>
      </c>
      <c r="N1266" s="3" t="str">
        <f t="shared" si="39"/>
        <v>May-2021</v>
      </c>
    </row>
    <row r="1267" spans="1:14" x14ac:dyDescent="0.3">
      <c r="A1267" s="3" t="s">
        <v>112</v>
      </c>
      <c r="B1267" s="3" t="s">
        <v>113</v>
      </c>
      <c r="C1267" s="8">
        <v>2021</v>
      </c>
      <c r="D1267" s="8">
        <v>6</v>
      </c>
      <c r="E1267" s="3" t="str">
        <f t="shared" si="38"/>
        <v>June</v>
      </c>
      <c r="F1267" s="3" t="s">
        <v>13</v>
      </c>
      <c r="G1267" s="8">
        <v>43285.041019999997</v>
      </c>
      <c r="H1267" s="8">
        <v>54580</v>
      </c>
      <c r="I1267" s="8">
        <v>11264.792310000001</v>
      </c>
      <c r="J1267" s="8">
        <v>209149.15820000001</v>
      </c>
      <c r="K1267" s="8">
        <v>197374.39249999999</v>
      </c>
      <c r="L1267" s="8">
        <v>221516.5999</v>
      </c>
      <c r="M1267" s="9" t="str">
        <f>IF(A1267="",M1268,A1267)</f>
        <v>Egypt</v>
      </c>
      <c r="N1267" s="3" t="str">
        <f t="shared" si="39"/>
        <v>Jun-2021</v>
      </c>
    </row>
    <row r="1268" spans="1:14" x14ac:dyDescent="0.3">
      <c r="A1268" s="3" t="s">
        <v>112</v>
      </c>
      <c r="B1268" s="3" t="s">
        <v>113</v>
      </c>
      <c r="C1268" s="8">
        <v>2021</v>
      </c>
      <c r="D1268" s="8">
        <v>7</v>
      </c>
      <c r="E1268" s="3" t="str">
        <f t="shared" si="38"/>
        <v>July</v>
      </c>
      <c r="F1268" s="3" t="s">
        <v>13</v>
      </c>
      <c r="G1268" s="8">
        <v>46946.067519999997</v>
      </c>
      <c r="H1268" s="8">
        <v>54861</v>
      </c>
      <c r="I1268" s="8">
        <v>7884.7658090000004</v>
      </c>
      <c r="J1268" s="8">
        <v>217033.924</v>
      </c>
      <c r="K1268" s="8">
        <v>204405.46249999999</v>
      </c>
      <c r="L1268" s="8">
        <v>229036.36550000001</v>
      </c>
      <c r="M1268" s="9" t="str">
        <f>IF(A1268="",M1269,A1268)</f>
        <v>Egypt</v>
      </c>
      <c r="N1268" s="3" t="str">
        <f t="shared" si="39"/>
        <v>Jul-2021</v>
      </c>
    </row>
    <row r="1269" spans="1:14" x14ac:dyDescent="0.3">
      <c r="A1269" s="3" t="s">
        <v>112</v>
      </c>
      <c r="B1269" s="3" t="s">
        <v>113</v>
      </c>
      <c r="C1269" s="8">
        <v>2021</v>
      </c>
      <c r="D1269" s="8">
        <v>8</v>
      </c>
      <c r="E1269" s="3" t="str">
        <f t="shared" si="38"/>
        <v>August</v>
      </c>
      <c r="F1269" s="3" t="s">
        <v>13</v>
      </c>
      <c r="G1269" s="8">
        <v>48555.031210000001</v>
      </c>
      <c r="H1269" s="8">
        <v>56235</v>
      </c>
      <c r="I1269" s="8">
        <v>7649.8021239999998</v>
      </c>
      <c r="J1269" s="8">
        <v>224683.7262</v>
      </c>
      <c r="K1269" s="8">
        <v>211080.57029999999</v>
      </c>
      <c r="L1269" s="8">
        <v>237112.19810000001</v>
      </c>
      <c r="M1269" s="9" t="str">
        <f>IF(A1269="",M1270,A1269)</f>
        <v>Egypt</v>
      </c>
      <c r="N1269" s="3" t="str">
        <f t="shared" si="39"/>
        <v>Aug-2021</v>
      </c>
    </row>
    <row r="1270" spans="1:14" x14ac:dyDescent="0.3">
      <c r="A1270" s="3" t="s">
        <v>112</v>
      </c>
      <c r="B1270" s="3" t="s">
        <v>113</v>
      </c>
      <c r="C1270" s="8">
        <v>2021</v>
      </c>
      <c r="D1270" s="8">
        <v>9</v>
      </c>
      <c r="E1270" s="3" t="str">
        <f t="shared" si="38"/>
        <v>September</v>
      </c>
      <c r="F1270" s="3" t="s">
        <v>13</v>
      </c>
      <c r="G1270" s="8">
        <v>42957.079259999999</v>
      </c>
      <c r="H1270" s="8">
        <v>57300</v>
      </c>
      <c r="I1270" s="8">
        <v>14312.754080000001</v>
      </c>
      <c r="J1270" s="8">
        <v>238996.48019999999</v>
      </c>
      <c r="K1270" s="8">
        <v>225059.65830000001</v>
      </c>
      <c r="L1270" s="8">
        <v>252152.78959999999</v>
      </c>
      <c r="M1270" s="9" t="str">
        <f>IF(A1270="",M1271,A1270)</f>
        <v>Egypt</v>
      </c>
      <c r="N1270" s="3" t="str">
        <f t="shared" si="39"/>
        <v>Sep-2021</v>
      </c>
    </row>
    <row r="1271" spans="1:14" x14ac:dyDescent="0.3">
      <c r="A1271" s="3" t="s">
        <v>112</v>
      </c>
      <c r="B1271" s="3" t="s">
        <v>113</v>
      </c>
      <c r="C1271" s="8">
        <v>2021</v>
      </c>
      <c r="D1271" s="8">
        <v>10</v>
      </c>
      <c r="E1271" s="3" t="str">
        <f t="shared" si="38"/>
        <v>October</v>
      </c>
      <c r="F1271" s="3" t="s">
        <v>13</v>
      </c>
      <c r="G1271" s="8">
        <v>42063.710630000001</v>
      </c>
      <c r="H1271" s="8">
        <v>65500</v>
      </c>
      <c r="I1271" s="8">
        <v>23406.1227</v>
      </c>
      <c r="J1271" s="8">
        <v>262402.6029</v>
      </c>
      <c r="K1271" s="8">
        <v>248605.62359999999</v>
      </c>
      <c r="L1271" s="8">
        <v>276848.03989999997</v>
      </c>
      <c r="M1271" s="9" t="str">
        <f>IF(A1271="",M1272,A1271)</f>
        <v>Egypt</v>
      </c>
      <c r="N1271" s="3" t="str">
        <f t="shared" si="39"/>
        <v>Oct-2021</v>
      </c>
    </row>
    <row r="1272" spans="1:14" x14ac:dyDescent="0.3">
      <c r="A1272" s="3" t="s">
        <v>112</v>
      </c>
      <c r="B1272" s="3" t="s">
        <v>113</v>
      </c>
      <c r="C1272" s="8">
        <v>2021</v>
      </c>
      <c r="D1272" s="8">
        <v>11</v>
      </c>
      <c r="E1272" s="3" t="str">
        <f t="shared" si="38"/>
        <v>November</v>
      </c>
      <c r="F1272" s="3" t="s">
        <v>13</v>
      </c>
      <c r="G1272" s="8">
        <v>44687.526420000002</v>
      </c>
      <c r="H1272" s="8">
        <v>61200</v>
      </c>
      <c r="I1272" s="8">
        <v>16482.306909999999</v>
      </c>
      <c r="J1272" s="8">
        <v>278884.90980000002</v>
      </c>
      <c r="K1272" s="8">
        <v>264326.86239999998</v>
      </c>
      <c r="L1272" s="8">
        <v>293030.37040000001</v>
      </c>
      <c r="M1272" s="9" t="str">
        <f>IF(A1272="",M1273,A1272)</f>
        <v>Egypt</v>
      </c>
      <c r="N1272" s="3" t="str">
        <f t="shared" si="39"/>
        <v>Nov-2021</v>
      </c>
    </row>
    <row r="1273" spans="1:14" x14ac:dyDescent="0.3">
      <c r="A1273" s="3" t="s">
        <v>112</v>
      </c>
      <c r="B1273" s="3" t="s">
        <v>113</v>
      </c>
      <c r="C1273" s="8">
        <v>2021</v>
      </c>
      <c r="D1273" s="8">
        <v>12</v>
      </c>
      <c r="E1273" s="3" t="str">
        <f t="shared" si="38"/>
        <v>December</v>
      </c>
      <c r="F1273" s="3" t="s">
        <v>13</v>
      </c>
      <c r="G1273" s="8">
        <v>54468.592929999999</v>
      </c>
      <c r="H1273" s="8">
        <v>60400</v>
      </c>
      <c r="I1273" s="8">
        <v>5901.2404029999998</v>
      </c>
      <c r="J1273" s="8">
        <v>284786.15019999997</v>
      </c>
      <c r="K1273" s="8">
        <v>269208.2966</v>
      </c>
      <c r="L1273" s="8">
        <v>299221.18609999999</v>
      </c>
      <c r="M1273" s="9" t="str">
        <f>IF(A1273="",M1274,A1273)</f>
        <v>Egypt</v>
      </c>
      <c r="N1273" s="3" t="str">
        <f t="shared" si="39"/>
        <v>Dec-2021</v>
      </c>
    </row>
    <row r="1274" spans="1:14" x14ac:dyDescent="0.3">
      <c r="A1274" s="3" t="s">
        <v>114</v>
      </c>
      <c r="B1274" s="3" t="s">
        <v>115</v>
      </c>
      <c r="C1274" s="8">
        <v>2020</v>
      </c>
      <c r="D1274" s="8">
        <v>1</v>
      </c>
      <c r="E1274" s="3" t="str">
        <f t="shared" si="38"/>
        <v>January</v>
      </c>
      <c r="F1274" s="3" t="s">
        <v>8</v>
      </c>
      <c r="G1274" s="8">
        <v>2378.174364</v>
      </c>
      <c r="H1274" s="8">
        <v>2443.3409999999999</v>
      </c>
      <c r="I1274" s="8">
        <v>65.166635729999996</v>
      </c>
      <c r="J1274" s="8">
        <v>65.166635729999996</v>
      </c>
      <c r="K1274" s="8">
        <v>-512.20960909999997</v>
      </c>
      <c r="L1274" s="8">
        <v>754.29796929999998</v>
      </c>
      <c r="M1274" s="9" t="str">
        <f>IF(A1274="",M1275,A1274)</f>
        <v>Eritrea</v>
      </c>
      <c r="N1274" s="3" t="str">
        <f t="shared" si="39"/>
        <v>Jan-2020</v>
      </c>
    </row>
    <row r="1275" spans="1:14" x14ac:dyDescent="0.3">
      <c r="A1275" s="3" t="s">
        <v>114</v>
      </c>
      <c r="B1275" s="3" t="s">
        <v>115</v>
      </c>
      <c r="C1275" s="8">
        <v>2020</v>
      </c>
      <c r="D1275" s="8">
        <v>2</v>
      </c>
      <c r="E1275" s="3" t="str">
        <f t="shared" si="38"/>
        <v>February</v>
      </c>
      <c r="F1275" s="3" t="s">
        <v>8</v>
      </c>
      <c r="G1275" s="8">
        <v>2344.9502640000001</v>
      </c>
      <c r="H1275" s="8">
        <v>2362.8670000000002</v>
      </c>
      <c r="I1275" s="8">
        <v>17.916736239999999</v>
      </c>
      <c r="J1275" s="8">
        <v>83.083371970000002</v>
      </c>
      <c r="K1275" s="8">
        <v>-793.05527529999995</v>
      </c>
      <c r="L1275" s="8">
        <v>1045.3505680000001</v>
      </c>
      <c r="M1275" s="9" t="str">
        <f>IF(A1275="",M1276,A1275)</f>
        <v>Eritrea</v>
      </c>
      <c r="N1275" s="3" t="str">
        <f t="shared" si="39"/>
        <v>Feb-2020</v>
      </c>
    </row>
    <row r="1276" spans="1:14" x14ac:dyDescent="0.3">
      <c r="A1276" s="3" t="s">
        <v>114</v>
      </c>
      <c r="B1276" s="3" t="s">
        <v>115</v>
      </c>
      <c r="C1276" s="8">
        <v>2020</v>
      </c>
      <c r="D1276" s="8">
        <v>3</v>
      </c>
      <c r="E1276" s="3" t="str">
        <f t="shared" si="38"/>
        <v>March</v>
      </c>
      <c r="F1276" s="3" t="s">
        <v>8</v>
      </c>
      <c r="G1276" s="8">
        <v>2313.0804800000001</v>
      </c>
      <c r="H1276" s="8">
        <v>2347.2919999999999</v>
      </c>
      <c r="I1276" s="8">
        <v>34.211520389999997</v>
      </c>
      <c r="J1276" s="8">
        <v>117.29489239999999</v>
      </c>
      <c r="K1276" s="8">
        <v>-960.28396740000005</v>
      </c>
      <c r="L1276" s="8">
        <v>1312.7451820000001</v>
      </c>
      <c r="M1276" s="9" t="str">
        <f>IF(A1276="",M1277,A1276)</f>
        <v>Eritrea</v>
      </c>
      <c r="N1276" s="3" t="str">
        <f t="shared" si="39"/>
        <v>Mar-2020</v>
      </c>
    </row>
    <row r="1277" spans="1:14" x14ac:dyDescent="0.3">
      <c r="A1277" s="3" t="s">
        <v>114</v>
      </c>
      <c r="B1277" s="3" t="s">
        <v>115</v>
      </c>
      <c r="C1277" s="8">
        <v>2020</v>
      </c>
      <c r="D1277" s="8">
        <v>4</v>
      </c>
      <c r="E1277" s="3" t="str">
        <f t="shared" si="38"/>
        <v>April</v>
      </c>
      <c r="F1277" s="3" t="s">
        <v>8</v>
      </c>
      <c r="G1277" s="8">
        <v>2294.7190519999999</v>
      </c>
      <c r="H1277" s="8">
        <v>2387.6480000000001</v>
      </c>
      <c r="I1277" s="8">
        <v>92.928947609999994</v>
      </c>
      <c r="J1277" s="8">
        <v>210.22384</v>
      </c>
      <c r="K1277" s="8">
        <v>-1058.7682159999999</v>
      </c>
      <c r="L1277" s="8">
        <v>1634.0568229999999</v>
      </c>
      <c r="M1277" s="9" t="str">
        <f>IF(A1277="",M1278,A1277)</f>
        <v>Eritrea</v>
      </c>
      <c r="N1277" s="3" t="str">
        <f t="shared" si="39"/>
        <v>Apr-2020</v>
      </c>
    </row>
    <row r="1278" spans="1:14" x14ac:dyDescent="0.3">
      <c r="A1278" s="3" t="s">
        <v>114</v>
      </c>
      <c r="B1278" s="3" t="s">
        <v>115</v>
      </c>
      <c r="C1278" s="8">
        <v>2020</v>
      </c>
      <c r="D1278" s="8">
        <v>5</v>
      </c>
      <c r="E1278" s="3" t="str">
        <f t="shared" si="38"/>
        <v>May</v>
      </c>
      <c r="F1278" s="3" t="s">
        <v>8</v>
      </c>
      <c r="G1278" s="8">
        <v>2269.5545339999999</v>
      </c>
      <c r="H1278" s="8">
        <v>2399.0830000000001</v>
      </c>
      <c r="I1278" s="8">
        <v>129.5284662</v>
      </c>
      <c r="J1278" s="8">
        <v>339.7523061</v>
      </c>
      <c r="K1278" s="8">
        <v>-1060.702638</v>
      </c>
      <c r="L1278" s="8">
        <v>1880.5688889999999</v>
      </c>
      <c r="M1278" s="9" t="str">
        <f>IF(A1278="",M1279,A1278)</f>
        <v>Eritrea</v>
      </c>
      <c r="N1278" s="3" t="str">
        <f t="shared" si="39"/>
        <v>May-2020</v>
      </c>
    </row>
    <row r="1279" spans="1:14" x14ac:dyDescent="0.3">
      <c r="A1279" s="3" t="s">
        <v>114</v>
      </c>
      <c r="B1279" s="3" t="s">
        <v>115</v>
      </c>
      <c r="C1279" s="8">
        <v>2020</v>
      </c>
      <c r="D1279" s="8">
        <v>6</v>
      </c>
      <c r="E1279" s="3" t="str">
        <f t="shared" si="38"/>
        <v>June</v>
      </c>
      <c r="F1279" s="3" t="s">
        <v>8</v>
      </c>
      <c r="G1279" s="8">
        <v>2262.7728480000001</v>
      </c>
      <c r="H1279" s="8">
        <v>2392.7510000000002</v>
      </c>
      <c r="I1279" s="8">
        <v>129.9781515</v>
      </c>
      <c r="J1279" s="8">
        <v>469.73045760000002</v>
      </c>
      <c r="K1279" s="8">
        <v>-1082.125548</v>
      </c>
      <c r="L1279" s="8">
        <v>2191.949079</v>
      </c>
      <c r="M1279" s="9" t="str">
        <f>IF(A1279="",M1280,A1279)</f>
        <v>Eritrea</v>
      </c>
      <c r="N1279" s="3" t="str">
        <f t="shared" si="39"/>
        <v>Jun-2020</v>
      </c>
    </row>
    <row r="1280" spans="1:14" x14ac:dyDescent="0.3">
      <c r="A1280" s="3" t="s">
        <v>114</v>
      </c>
      <c r="B1280" s="3" t="s">
        <v>115</v>
      </c>
      <c r="C1280" s="8">
        <v>2020</v>
      </c>
      <c r="D1280" s="8">
        <v>7</v>
      </c>
      <c r="E1280" s="3" t="str">
        <f t="shared" si="38"/>
        <v>July</v>
      </c>
      <c r="F1280" s="3" t="s">
        <v>8</v>
      </c>
      <c r="G1280" s="8">
        <v>2260.78971</v>
      </c>
      <c r="H1280" s="8">
        <v>2348.9520000000002</v>
      </c>
      <c r="I1280" s="8">
        <v>88.162290029999994</v>
      </c>
      <c r="J1280" s="8">
        <v>557.89274769999997</v>
      </c>
      <c r="K1280" s="8">
        <v>-1090.2744990000001</v>
      </c>
      <c r="L1280" s="8">
        <v>2322.5760369999998</v>
      </c>
      <c r="M1280" s="9" t="str">
        <f>IF(A1280="",M1281,A1280)</f>
        <v>Eritrea</v>
      </c>
      <c r="N1280" s="3" t="str">
        <f t="shared" si="39"/>
        <v>Jul-2020</v>
      </c>
    </row>
    <row r="1281" spans="1:14" x14ac:dyDescent="0.3">
      <c r="A1281" s="3" t="s">
        <v>114</v>
      </c>
      <c r="B1281" s="3" t="s">
        <v>115</v>
      </c>
      <c r="C1281" s="8">
        <v>2020</v>
      </c>
      <c r="D1281" s="8">
        <v>8</v>
      </c>
      <c r="E1281" s="3" t="str">
        <f t="shared" si="38"/>
        <v>August</v>
      </c>
      <c r="F1281" s="3" t="s">
        <v>8</v>
      </c>
      <c r="G1281" s="8">
        <v>2283.4342120000001</v>
      </c>
      <c r="H1281" s="8">
        <v>2325.3870000000002</v>
      </c>
      <c r="I1281" s="8">
        <v>41.952788089999999</v>
      </c>
      <c r="J1281" s="8">
        <v>599.84553579999999</v>
      </c>
      <c r="K1281" s="8">
        <v>-1188.6894600000001</v>
      </c>
      <c r="L1281" s="8">
        <v>2362.7028799999998</v>
      </c>
      <c r="M1281" s="9" t="str">
        <f>IF(A1281="",M1282,A1281)</f>
        <v>Eritrea</v>
      </c>
      <c r="N1281" s="3" t="str">
        <f t="shared" si="39"/>
        <v>Aug-2020</v>
      </c>
    </row>
    <row r="1282" spans="1:14" x14ac:dyDescent="0.3">
      <c r="A1282" s="3" t="s">
        <v>114</v>
      </c>
      <c r="B1282" s="3" t="s">
        <v>115</v>
      </c>
      <c r="C1282" s="8">
        <v>2020</v>
      </c>
      <c r="D1282" s="8">
        <v>9</v>
      </c>
      <c r="E1282" s="3" t="str">
        <f t="shared" ref="E1282:E1345" si="40">TEXT(DATE(C1282,D1282,1),"MMMM")</f>
        <v>September</v>
      </c>
      <c r="F1282" s="3" t="s">
        <v>8</v>
      </c>
      <c r="G1282" s="8">
        <v>2281.9653029999999</v>
      </c>
      <c r="H1282" s="8">
        <v>2292.174</v>
      </c>
      <c r="I1282" s="8">
        <v>10.208697409999999</v>
      </c>
      <c r="J1282" s="8">
        <v>610.0542332</v>
      </c>
      <c r="K1282" s="8">
        <v>-1351.4827720000001</v>
      </c>
      <c r="L1282" s="8">
        <v>2514.2039030000001</v>
      </c>
      <c r="M1282" s="9" t="str">
        <f>IF(A1282="",M1283,A1282)</f>
        <v>Eritrea</v>
      </c>
      <c r="N1282" s="3" t="str">
        <f t="shared" ref="N1282:N1345" si="41">TEXT(DATE(C1282,D1282,1),"MMM-YYYY")</f>
        <v>Sep-2020</v>
      </c>
    </row>
    <row r="1283" spans="1:14" x14ac:dyDescent="0.3">
      <c r="A1283" s="3" t="s">
        <v>114</v>
      </c>
      <c r="B1283" s="3" t="s">
        <v>115</v>
      </c>
      <c r="C1283" s="8">
        <v>2020</v>
      </c>
      <c r="D1283" s="8">
        <v>10</v>
      </c>
      <c r="E1283" s="3" t="str">
        <f t="shared" si="40"/>
        <v>October</v>
      </c>
      <c r="F1283" s="3" t="s">
        <v>8</v>
      </c>
      <c r="G1283" s="8">
        <v>2283.423511</v>
      </c>
      <c r="H1283" s="8">
        <v>2240.0329999999999</v>
      </c>
      <c r="I1283" s="8">
        <v>-43.390511480000001</v>
      </c>
      <c r="J1283" s="8">
        <v>566.6637217</v>
      </c>
      <c r="K1283" s="8">
        <v>-1493.8483799999999</v>
      </c>
      <c r="L1283" s="8">
        <v>2572.488456</v>
      </c>
      <c r="M1283" s="9" t="str">
        <f>IF(A1283="",M1284,A1283)</f>
        <v>Eritrea</v>
      </c>
      <c r="N1283" s="3" t="str">
        <f t="shared" si="41"/>
        <v>Oct-2020</v>
      </c>
    </row>
    <row r="1284" spans="1:14" x14ac:dyDescent="0.3">
      <c r="A1284" s="3" t="s">
        <v>114</v>
      </c>
      <c r="B1284" s="3" t="s">
        <v>115</v>
      </c>
      <c r="C1284" s="8">
        <v>2020</v>
      </c>
      <c r="D1284" s="8">
        <v>11</v>
      </c>
      <c r="E1284" s="3" t="str">
        <f t="shared" si="40"/>
        <v>November</v>
      </c>
      <c r="F1284" s="3" t="s">
        <v>8</v>
      </c>
      <c r="G1284" s="8">
        <v>2318.013042</v>
      </c>
      <c r="H1284" s="8">
        <v>2317.596</v>
      </c>
      <c r="I1284" s="8">
        <v>-0.41704193899999997</v>
      </c>
      <c r="J1284" s="8">
        <v>566.24667969999996</v>
      </c>
      <c r="K1284" s="8">
        <v>-1617.1616670000001</v>
      </c>
      <c r="L1284" s="8">
        <v>2730.354507</v>
      </c>
      <c r="M1284" s="9" t="str">
        <f>IF(A1284="",M1285,A1284)</f>
        <v>Eritrea</v>
      </c>
      <c r="N1284" s="3" t="str">
        <f t="shared" si="41"/>
        <v>Nov-2020</v>
      </c>
    </row>
    <row r="1285" spans="1:14" x14ac:dyDescent="0.3">
      <c r="A1285" s="3" t="s">
        <v>114</v>
      </c>
      <c r="B1285" s="3" t="s">
        <v>115</v>
      </c>
      <c r="C1285" s="8">
        <v>2020</v>
      </c>
      <c r="D1285" s="8">
        <v>12</v>
      </c>
      <c r="E1285" s="3" t="str">
        <f t="shared" si="40"/>
        <v>December</v>
      </c>
      <c r="F1285" s="3" t="s">
        <v>8</v>
      </c>
      <c r="G1285" s="8">
        <v>2324.859966</v>
      </c>
      <c r="H1285" s="8">
        <v>2384.7840000000001</v>
      </c>
      <c r="I1285" s="8">
        <v>59.924034319999997</v>
      </c>
      <c r="J1285" s="8">
        <v>626.17071410000005</v>
      </c>
      <c r="K1285" s="8">
        <v>-1589.038679</v>
      </c>
      <c r="L1285" s="8">
        <v>2895.7580659999999</v>
      </c>
      <c r="M1285" s="9" t="str">
        <f>IF(A1285="",M1286,A1285)</f>
        <v>Eritrea</v>
      </c>
      <c r="N1285" s="3" t="str">
        <f t="shared" si="41"/>
        <v>Dec-2020</v>
      </c>
    </row>
    <row r="1286" spans="1:14" x14ac:dyDescent="0.3">
      <c r="A1286" s="3" t="s">
        <v>114</v>
      </c>
      <c r="B1286" s="3" t="s">
        <v>115</v>
      </c>
      <c r="C1286" s="8">
        <v>2021</v>
      </c>
      <c r="D1286" s="8">
        <v>1</v>
      </c>
      <c r="E1286" s="3" t="str">
        <f t="shared" si="40"/>
        <v>January</v>
      </c>
      <c r="F1286" s="3" t="s">
        <v>8</v>
      </c>
      <c r="G1286" s="8">
        <v>2365.1552729999999</v>
      </c>
      <c r="H1286" s="8">
        <v>2479.2890000000002</v>
      </c>
      <c r="I1286" s="8">
        <v>114.1337269</v>
      </c>
      <c r="J1286" s="8">
        <v>740.30444090000003</v>
      </c>
      <c r="K1286" s="8">
        <v>-1804.1032720000001</v>
      </c>
      <c r="L1286" s="8">
        <v>3291.6493089999999</v>
      </c>
      <c r="M1286" s="9" t="str">
        <f>IF(A1286="",M1287,A1286)</f>
        <v>Eritrea</v>
      </c>
      <c r="N1286" s="3" t="str">
        <f t="shared" si="41"/>
        <v>Jan-2021</v>
      </c>
    </row>
    <row r="1287" spans="1:14" x14ac:dyDescent="0.3">
      <c r="A1287" s="3" t="s">
        <v>114</v>
      </c>
      <c r="B1287" s="3" t="s">
        <v>115</v>
      </c>
      <c r="C1287" s="8">
        <v>2021</v>
      </c>
      <c r="D1287" s="8">
        <v>2</v>
      </c>
      <c r="E1287" s="3" t="str">
        <f t="shared" si="40"/>
        <v>February</v>
      </c>
      <c r="F1287" s="3" t="s">
        <v>8</v>
      </c>
      <c r="G1287" s="8">
        <v>2331.0287739999999</v>
      </c>
      <c r="H1287" s="8">
        <v>2393.672</v>
      </c>
      <c r="I1287" s="8">
        <v>62.643226300000002</v>
      </c>
      <c r="J1287" s="8">
        <v>802.94766719999996</v>
      </c>
      <c r="K1287" s="8">
        <v>-1760.142902</v>
      </c>
      <c r="L1287" s="8">
        <v>3380.7387319999998</v>
      </c>
      <c r="M1287" s="9" t="str">
        <f>IF(A1287="",M1288,A1287)</f>
        <v>Eritrea</v>
      </c>
      <c r="N1287" s="3" t="str">
        <f t="shared" si="41"/>
        <v>Feb-2021</v>
      </c>
    </row>
    <row r="1288" spans="1:14" x14ac:dyDescent="0.3">
      <c r="A1288" s="3" t="s">
        <v>114</v>
      </c>
      <c r="B1288" s="3" t="s">
        <v>115</v>
      </c>
      <c r="C1288" s="8">
        <v>2021</v>
      </c>
      <c r="D1288" s="8">
        <v>3</v>
      </c>
      <c r="E1288" s="3" t="str">
        <f t="shared" si="40"/>
        <v>March</v>
      </c>
      <c r="F1288" s="3" t="s">
        <v>8</v>
      </c>
      <c r="G1288" s="8">
        <v>2299.2399409999998</v>
      </c>
      <c r="H1288" s="8">
        <v>2412.9830000000002</v>
      </c>
      <c r="I1288" s="8">
        <v>113.7430591</v>
      </c>
      <c r="J1288" s="8">
        <v>916.69072630000005</v>
      </c>
      <c r="K1288" s="8">
        <v>-1831.978394</v>
      </c>
      <c r="L1288" s="8">
        <v>3484.8066589999999</v>
      </c>
      <c r="M1288" s="9" t="str">
        <f>IF(A1288="",M1289,A1288)</f>
        <v>Eritrea</v>
      </c>
      <c r="N1288" s="3" t="str">
        <f t="shared" si="41"/>
        <v>Mar-2021</v>
      </c>
    </row>
    <row r="1289" spans="1:14" x14ac:dyDescent="0.3">
      <c r="A1289" s="3" t="s">
        <v>114</v>
      </c>
      <c r="B1289" s="3" t="s">
        <v>115</v>
      </c>
      <c r="C1289" s="8">
        <v>2021</v>
      </c>
      <c r="D1289" s="8">
        <v>4</v>
      </c>
      <c r="E1289" s="3" t="str">
        <f t="shared" si="40"/>
        <v>April</v>
      </c>
      <c r="F1289" s="3" t="s">
        <v>8</v>
      </c>
      <c r="G1289" s="8">
        <v>2281.2594960000001</v>
      </c>
      <c r="H1289" s="8">
        <v>2297.2809999999999</v>
      </c>
      <c r="I1289" s="8">
        <v>16.02150417</v>
      </c>
      <c r="J1289" s="8">
        <v>932.71223050000003</v>
      </c>
      <c r="K1289" s="8">
        <v>-1808.1886219999999</v>
      </c>
      <c r="L1289" s="8">
        <v>3539.935477</v>
      </c>
      <c r="M1289" s="9" t="str">
        <f>IF(A1289="",M1290,A1289)</f>
        <v>Eritrea</v>
      </c>
      <c r="N1289" s="3" t="str">
        <f t="shared" si="41"/>
        <v>Apr-2021</v>
      </c>
    </row>
    <row r="1290" spans="1:14" x14ac:dyDescent="0.3">
      <c r="A1290" s="3" t="s">
        <v>114</v>
      </c>
      <c r="B1290" s="3" t="s">
        <v>115</v>
      </c>
      <c r="C1290" s="8">
        <v>2021</v>
      </c>
      <c r="D1290" s="8">
        <v>5</v>
      </c>
      <c r="E1290" s="3" t="str">
        <f t="shared" si="40"/>
        <v>May</v>
      </c>
      <c r="F1290" s="3" t="s">
        <v>8</v>
      </c>
      <c r="G1290" s="8">
        <v>2255.215256</v>
      </c>
      <c r="H1290" s="8">
        <v>2340.2170000000001</v>
      </c>
      <c r="I1290" s="8">
        <v>85.001744430000002</v>
      </c>
      <c r="J1290" s="8">
        <v>1017.713975</v>
      </c>
      <c r="K1290" s="8">
        <v>-1797.826024</v>
      </c>
      <c r="L1290" s="8">
        <v>3570.6324340000001</v>
      </c>
      <c r="M1290" s="9" t="str">
        <f>IF(A1290="",M1291,A1290)</f>
        <v>Eritrea</v>
      </c>
      <c r="N1290" s="3" t="str">
        <f t="shared" si="41"/>
        <v>May-2021</v>
      </c>
    </row>
    <row r="1291" spans="1:14" x14ac:dyDescent="0.3">
      <c r="A1291" s="3" t="s">
        <v>114</v>
      </c>
      <c r="B1291" s="3" t="s">
        <v>115</v>
      </c>
      <c r="C1291" s="8">
        <v>2021</v>
      </c>
      <c r="D1291" s="8">
        <v>6</v>
      </c>
      <c r="E1291" s="3" t="str">
        <f t="shared" si="40"/>
        <v>June</v>
      </c>
      <c r="F1291" s="3" t="s">
        <v>8</v>
      </c>
      <c r="G1291" s="8">
        <v>2249.385217</v>
      </c>
      <c r="H1291" s="8">
        <v>2429.335</v>
      </c>
      <c r="I1291" s="8">
        <v>179.9497829</v>
      </c>
      <c r="J1291" s="8">
        <v>1197.6637579999999</v>
      </c>
      <c r="K1291" s="8">
        <v>-1828.1307159999999</v>
      </c>
      <c r="L1291" s="8">
        <v>3884.4581330000001</v>
      </c>
      <c r="M1291" s="9" t="str">
        <f>IF(A1291="",M1292,A1291)</f>
        <v>Eritrea</v>
      </c>
      <c r="N1291" s="3" t="str">
        <f t="shared" si="41"/>
        <v>Jun-2021</v>
      </c>
    </row>
    <row r="1292" spans="1:14" x14ac:dyDescent="0.3">
      <c r="A1292" s="3" t="s">
        <v>114</v>
      </c>
      <c r="B1292" s="3" t="s">
        <v>115</v>
      </c>
      <c r="C1292" s="8">
        <v>2021</v>
      </c>
      <c r="D1292" s="8">
        <v>7</v>
      </c>
      <c r="E1292" s="3" t="str">
        <f t="shared" si="40"/>
        <v>July</v>
      </c>
      <c r="F1292" s="3" t="s">
        <v>8</v>
      </c>
      <c r="G1292" s="8">
        <v>2246.9577079999999</v>
      </c>
      <c r="H1292" s="8">
        <v>2479.2130000000002</v>
      </c>
      <c r="I1292" s="8">
        <v>232.25529180000001</v>
      </c>
      <c r="J1292" s="8">
        <v>1429.91905</v>
      </c>
      <c r="K1292" s="8">
        <v>-1642.316695</v>
      </c>
      <c r="L1292" s="8">
        <v>4250.2748959999999</v>
      </c>
      <c r="M1292" s="9" t="str">
        <f>IF(A1292="",M1293,A1292)</f>
        <v>Eritrea</v>
      </c>
      <c r="N1292" s="3" t="str">
        <f t="shared" si="41"/>
        <v>Jul-2021</v>
      </c>
    </row>
    <row r="1293" spans="1:14" x14ac:dyDescent="0.3">
      <c r="A1293" s="3" t="s">
        <v>114</v>
      </c>
      <c r="B1293" s="3" t="s">
        <v>115</v>
      </c>
      <c r="C1293" s="8">
        <v>2021</v>
      </c>
      <c r="D1293" s="8">
        <v>8</v>
      </c>
      <c r="E1293" s="3" t="str">
        <f t="shared" si="40"/>
        <v>August</v>
      </c>
      <c r="F1293" s="3" t="s">
        <v>8</v>
      </c>
      <c r="G1293" s="8">
        <v>2269.9372739999999</v>
      </c>
      <c r="H1293" s="8">
        <v>2429.8910000000001</v>
      </c>
      <c r="I1293" s="8">
        <v>159.95372570000001</v>
      </c>
      <c r="J1293" s="8">
        <v>1589.872775</v>
      </c>
      <c r="K1293" s="8">
        <v>-1475.505328</v>
      </c>
      <c r="L1293" s="8">
        <v>4529.7833959999998</v>
      </c>
      <c r="M1293" s="9" t="str">
        <f>IF(A1293="",M1294,A1293)</f>
        <v>Eritrea</v>
      </c>
      <c r="N1293" s="3" t="str">
        <f t="shared" si="41"/>
        <v>Aug-2021</v>
      </c>
    </row>
    <row r="1294" spans="1:14" x14ac:dyDescent="0.3">
      <c r="A1294" s="3" t="s">
        <v>114</v>
      </c>
      <c r="B1294" s="3" t="s">
        <v>115</v>
      </c>
      <c r="C1294" s="8">
        <v>2021</v>
      </c>
      <c r="D1294" s="8">
        <v>9</v>
      </c>
      <c r="E1294" s="3" t="str">
        <f t="shared" si="40"/>
        <v>September</v>
      </c>
      <c r="F1294" s="3" t="s">
        <v>8</v>
      </c>
      <c r="G1294" s="8">
        <v>2267.920595</v>
      </c>
      <c r="H1294" s="8">
        <v>2369.645</v>
      </c>
      <c r="I1294" s="8">
        <v>101.7244051</v>
      </c>
      <c r="J1294" s="8">
        <v>1691.59718</v>
      </c>
      <c r="K1294" s="8">
        <v>-1478.4365</v>
      </c>
      <c r="L1294" s="8">
        <v>4634.9288960000003</v>
      </c>
      <c r="M1294" s="9" t="str">
        <f>IF(A1294="",M1295,A1294)</f>
        <v>Eritrea</v>
      </c>
      <c r="N1294" s="3" t="str">
        <f t="shared" si="41"/>
        <v>Sep-2021</v>
      </c>
    </row>
    <row r="1295" spans="1:14" x14ac:dyDescent="0.3">
      <c r="A1295" s="3" t="s">
        <v>114</v>
      </c>
      <c r="B1295" s="3" t="s">
        <v>115</v>
      </c>
      <c r="C1295" s="8">
        <v>2021</v>
      </c>
      <c r="D1295" s="8">
        <v>10</v>
      </c>
      <c r="E1295" s="3" t="str">
        <f t="shared" si="40"/>
        <v>October</v>
      </c>
      <c r="F1295" s="3" t="s">
        <v>8</v>
      </c>
      <c r="G1295" s="8">
        <v>2269.4988499999999</v>
      </c>
      <c r="H1295" s="8">
        <v>2312.2240000000002</v>
      </c>
      <c r="I1295" s="8">
        <v>42.725149520000002</v>
      </c>
      <c r="J1295" s="8">
        <v>1734.32233</v>
      </c>
      <c r="K1295" s="8">
        <v>-1392.7331630000001</v>
      </c>
      <c r="L1295" s="8">
        <v>4806.7020089999996</v>
      </c>
      <c r="M1295" s="9" t="str">
        <f>IF(A1295="",M1296,A1295)</f>
        <v>Eritrea</v>
      </c>
      <c r="N1295" s="3" t="str">
        <f t="shared" si="41"/>
        <v>Oct-2021</v>
      </c>
    </row>
    <row r="1296" spans="1:14" x14ac:dyDescent="0.3">
      <c r="A1296" s="3" t="s">
        <v>114</v>
      </c>
      <c r="B1296" s="3" t="s">
        <v>115</v>
      </c>
      <c r="C1296" s="8">
        <v>2021</v>
      </c>
      <c r="D1296" s="8">
        <v>11</v>
      </c>
      <c r="E1296" s="3" t="str">
        <f t="shared" si="40"/>
        <v>November</v>
      </c>
      <c r="F1296" s="3" t="s">
        <v>8</v>
      </c>
      <c r="G1296" s="8">
        <v>2301.4188770000001</v>
      </c>
      <c r="H1296" s="8">
        <v>2422.3159999999998</v>
      </c>
      <c r="I1296" s="8">
        <v>120.8971229</v>
      </c>
      <c r="J1296" s="8">
        <v>1855.2194529999999</v>
      </c>
      <c r="K1296" s="8">
        <v>-1373.891631</v>
      </c>
      <c r="L1296" s="8">
        <v>5110.0242440000002</v>
      </c>
      <c r="M1296" s="9" t="str">
        <f>IF(A1296="",M1297,A1296)</f>
        <v>Eritrea</v>
      </c>
      <c r="N1296" s="3" t="str">
        <f t="shared" si="41"/>
        <v>Nov-2021</v>
      </c>
    </row>
    <row r="1297" spans="1:14" x14ac:dyDescent="0.3">
      <c r="A1297" s="3" t="s">
        <v>114</v>
      </c>
      <c r="B1297" s="3" t="s">
        <v>115</v>
      </c>
      <c r="C1297" s="8">
        <v>2021</v>
      </c>
      <c r="D1297" s="8">
        <v>12</v>
      </c>
      <c r="E1297" s="3" t="str">
        <f t="shared" si="40"/>
        <v>December</v>
      </c>
      <c r="F1297" s="3" t="s">
        <v>8</v>
      </c>
      <c r="G1297" s="8">
        <v>2309.4073549999998</v>
      </c>
      <c r="H1297" s="8">
        <v>2494.9270000000001</v>
      </c>
      <c r="I1297" s="8">
        <v>185.5196454</v>
      </c>
      <c r="J1297" s="8">
        <v>2040.739098</v>
      </c>
      <c r="K1297" s="8">
        <v>-1145.1554080000001</v>
      </c>
      <c r="L1297" s="8">
        <v>5393.4131909999996</v>
      </c>
      <c r="M1297" s="9" t="str">
        <f>IF(A1297="",M1298,A1297)</f>
        <v>Eritrea</v>
      </c>
      <c r="N1297" s="3" t="str">
        <f t="shared" si="41"/>
        <v>Dec-2021</v>
      </c>
    </row>
    <row r="1298" spans="1:14" x14ac:dyDescent="0.3">
      <c r="A1298" s="3" t="s">
        <v>116</v>
      </c>
      <c r="B1298" s="3" t="s">
        <v>117</v>
      </c>
      <c r="C1298" s="8">
        <v>2020</v>
      </c>
      <c r="D1298" s="8">
        <v>1</v>
      </c>
      <c r="E1298" s="3" t="str">
        <f t="shared" si="40"/>
        <v>January</v>
      </c>
      <c r="F1298" s="3" t="s">
        <v>13</v>
      </c>
      <c r="G1298" s="8">
        <v>40573.424590000002</v>
      </c>
      <c r="H1298" s="8">
        <v>42615</v>
      </c>
      <c r="I1298" s="8">
        <v>2040.0754099999999</v>
      </c>
      <c r="J1298" s="8">
        <v>2040.0754099999999</v>
      </c>
      <c r="K1298" s="8">
        <v>269.26767819999998</v>
      </c>
      <c r="L1298" s="8">
        <v>3754.2784069999998</v>
      </c>
      <c r="M1298" s="9" t="str">
        <f>IF(A1298="",M1299,A1298)</f>
        <v>Spain</v>
      </c>
      <c r="N1298" s="3" t="str">
        <f t="shared" si="41"/>
        <v>Jan-2020</v>
      </c>
    </row>
    <row r="1299" spans="1:14" x14ac:dyDescent="0.3">
      <c r="A1299" s="3" t="s">
        <v>116</v>
      </c>
      <c r="B1299" s="3" t="s">
        <v>117</v>
      </c>
      <c r="C1299" s="8">
        <v>2020</v>
      </c>
      <c r="D1299" s="8">
        <v>2</v>
      </c>
      <c r="E1299" s="3" t="str">
        <f t="shared" si="40"/>
        <v>February</v>
      </c>
      <c r="F1299" s="3" t="s">
        <v>13</v>
      </c>
      <c r="G1299" s="8">
        <v>39393.837140000003</v>
      </c>
      <c r="H1299" s="8">
        <v>36476</v>
      </c>
      <c r="I1299" s="8">
        <v>-2919.3371379999999</v>
      </c>
      <c r="J1299" s="8">
        <v>-879.26172789999998</v>
      </c>
      <c r="K1299" s="8">
        <v>-3686.6495410000002</v>
      </c>
      <c r="L1299" s="8">
        <v>1825.426917</v>
      </c>
      <c r="M1299" s="9" t="str">
        <f>IF(A1299="",M1300,A1299)</f>
        <v>Spain</v>
      </c>
      <c r="N1299" s="3" t="str">
        <f t="shared" si="41"/>
        <v>Feb-2020</v>
      </c>
    </row>
    <row r="1300" spans="1:14" x14ac:dyDescent="0.3">
      <c r="A1300" s="3" t="s">
        <v>116</v>
      </c>
      <c r="B1300" s="3" t="s">
        <v>117</v>
      </c>
      <c r="C1300" s="8">
        <v>2020</v>
      </c>
      <c r="D1300" s="8">
        <v>3</v>
      </c>
      <c r="E1300" s="3" t="str">
        <f t="shared" si="40"/>
        <v>March</v>
      </c>
      <c r="F1300" s="3" t="s">
        <v>13</v>
      </c>
      <c r="G1300" s="8">
        <v>37144.536319999999</v>
      </c>
      <c r="H1300" s="8">
        <v>57805</v>
      </c>
      <c r="I1300" s="8">
        <v>20658.963680000001</v>
      </c>
      <c r="J1300" s="8">
        <v>19779.701949999999</v>
      </c>
      <c r="K1300" s="8">
        <v>16232.80359</v>
      </c>
      <c r="L1300" s="8">
        <v>23079.867620000001</v>
      </c>
      <c r="M1300" s="9" t="str">
        <f>IF(A1300="",M1301,A1300)</f>
        <v>Spain</v>
      </c>
      <c r="N1300" s="3" t="str">
        <f t="shared" si="41"/>
        <v>Mar-2020</v>
      </c>
    </row>
    <row r="1301" spans="1:14" x14ac:dyDescent="0.3">
      <c r="A1301" s="3" t="s">
        <v>116</v>
      </c>
      <c r="B1301" s="3" t="s">
        <v>117</v>
      </c>
      <c r="C1301" s="8">
        <v>2020</v>
      </c>
      <c r="D1301" s="8">
        <v>4</v>
      </c>
      <c r="E1301" s="3" t="str">
        <f t="shared" si="40"/>
        <v>April</v>
      </c>
      <c r="F1301" s="3" t="s">
        <v>13</v>
      </c>
      <c r="G1301" s="8">
        <v>34122.2183</v>
      </c>
      <c r="H1301" s="8">
        <v>61145</v>
      </c>
      <c r="I1301" s="8">
        <v>27021.2817</v>
      </c>
      <c r="J1301" s="8">
        <v>46800.983650000002</v>
      </c>
      <c r="K1301" s="8">
        <v>42857.171110000003</v>
      </c>
      <c r="L1301" s="8">
        <v>50703.236570000001</v>
      </c>
      <c r="M1301" s="9" t="str">
        <f>IF(A1301="",M1302,A1301)</f>
        <v>Spain</v>
      </c>
      <c r="N1301" s="3" t="str">
        <f t="shared" si="41"/>
        <v>Apr-2020</v>
      </c>
    </row>
    <row r="1302" spans="1:14" x14ac:dyDescent="0.3">
      <c r="A1302" s="3" t="s">
        <v>116</v>
      </c>
      <c r="B1302" s="3" t="s">
        <v>117</v>
      </c>
      <c r="C1302" s="8">
        <v>2020</v>
      </c>
      <c r="D1302" s="8">
        <v>5</v>
      </c>
      <c r="E1302" s="3" t="str">
        <f t="shared" si="40"/>
        <v>May</v>
      </c>
      <c r="F1302" s="3" t="s">
        <v>13</v>
      </c>
      <c r="G1302" s="8">
        <v>32654.25806</v>
      </c>
      <c r="H1302" s="8">
        <v>35118</v>
      </c>
      <c r="I1302" s="8">
        <v>2462.2419359999999</v>
      </c>
      <c r="J1302" s="8">
        <v>49263.225590000002</v>
      </c>
      <c r="K1302" s="8">
        <v>44977.514309999999</v>
      </c>
      <c r="L1302" s="8">
        <v>53776.755989999998</v>
      </c>
      <c r="M1302" s="9" t="str">
        <f>IF(A1302="",M1303,A1302)</f>
        <v>Spain</v>
      </c>
      <c r="N1302" s="3" t="str">
        <f t="shared" si="41"/>
        <v>May-2020</v>
      </c>
    </row>
    <row r="1303" spans="1:14" x14ac:dyDescent="0.3">
      <c r="A1303" s="3" t="s">
        <v>116</v>
      </c>
      <c r="B1303" s="3" t="s">
        <v>117</v>
      </c>
      <c r="C1303" s="8">
        <v>2020</v>
      </c>
      <c r="D1303" s="8">
        <v>6</v>
      </c>
      <c r="E1303" s="3" t="str">
        <f t="shared" si="40"/>
        <v>June</v>
      </c>
      <c r="F1303" s="3" t="s">
        <v>13</v>
      </c>
      <c r="G1303" s="8">
        <v>31876.09808</v>
      </c>
      <c r="H1303" s="8">
        <v>30718</v>
      </c>
      <c r="I1303" s="8">
        <v>-1159.5980770000001</v>
      </c>
      <c r="J1303" s="8">
        <v>48103.627509999998</v>
      </c>
      <c r="K1303" s="8">
        <v>43505.224800000004</v>
      </c>
      <c r="L1303" s="8">
        <v>53043.181969999998</v>
      </c>
      <c r="M1303" s="9" t="str">
        <f>IF(A1303="",M1304,A1303)</f>
        <v>Spain</v>
      </c>
      <c r="N1303" s="3" t="str">
        <f t="shared" si="41"/>
        <v>Jun-2020</v>
      </c>
    </row>
    <row r="1304" spans="1:14" x14ac:dyDescent="0.3">
      <c r="A1304" s="3" t="s">
        <v>116</v>
      </c>
      <c r="B1304" s="3" t="s">
        <v>117</v>
      </c>
      <c r="C1304" s="8">
        <v>2020</v>
      </c>
      <c r="D1304" s="8">
        <v>7</v>
      </c>
      <c r="E1304" s="3" t="str">
        <f t="shared" si="40"/>
        <v>July</v>
      </c>
      <c r="F1304" s="3" t="s">
        <v>13</v>
      </c>
      <c r="G1304" s="8">
        <v>32609.44226</v>
      </c>
      <c r="H1304" s="8">
        <v>34710</v>
      </c>
      <c r="I1304" s="8">
        <v>2099.0577370000001</v>
      </c>
      <c r="J1304" s="8">
        <v>50202.685250000002</v>
      </c>
      <c r="K1304" s="8">
        <v>45378.955370000003</v>
      </c>
      <c r="L1304" s="8">
        <v>55438.185160000001</v>
      </c>
      <c r="M1304" s="9" t="str">
        <f>IF(A1304="",M1305,A1304)</f>
        <v>Spain</v>
      </c>
      <c r="N1304" s="3" t="str">
        <f t="shared" si="41"/>
        <v>Jul-2020</v>
      </c>
    </row>
    <row r="1305" spans="1:14" x14ac:dyDescent="0.3">
      <c r="A1305" s="3" t="s">
        <v>116</v>
      </c>
      <c r="B1305" s="3" t="s">
        <v>117</v>
      </c>
      <c r="C1305" s="8">
        <v>2020</v>
      </c>
      <c r="D1305" s="8">
        <v>8</v>
      </c>
      <c r="E1305" s="3" t="str">
        <f t="shared" si="40"/>
        <v>August</v>
      </c>
      <c r="F1305" s="3" t="s">
        <v>13</v>
      </c>
      <c r="G1305" s="8">
        <v>31548.24884</v>
      </c>
      <c r="H1305" s="8">
        <v>35969</v>
      </c>
      <c r="I1305" s="8">
        <v>4419.251158</v>
      </c>
      <c r="J1305" s="8">
        <v>54621.936410000002</v>
      </c>
      <c r="K1305" s="8">
        <v>49433.521569999997</v>
      </c>
      <c r="L1305" s="8">
        <v>59970.51958</v>
      </c>
      <c r="M1305" s="9" t="str">
        <f>IF(A1305="",M1306,A1305)</f>
        <v>Spain</v>
      </c>
      <c r="N1305" s="3" t="str">
        <f t="shared" si="41"/>
        <v>Aug-2020</v>
      </c>
    </row>
    <row r="1306" spans="1:14" x14ac:dyDescent="0.3">
      <c r="A1306" s="3" t="s">
        <v>116</v>
      </c>
      <c r="B1306" s="3" t="s">
        <v>117</v>
      </c>
      <c r="C1306" s="8">
        <v>2020</v>
      </c>
      <c r="D1306" s="8">
        <v>9</v>
      </c>
      <c r="E1306" s="3" t="str">
        <f t="shared" si="40"/>
        <v>September</v>
      </c>
      <c r="F1306" s="3" t="s">
        <v>13</v>
      </c>
      <c r="G1306" s="8">
        <v>30164.513620000002</v>
      </c>
      <c r="H1306" s="8">
        <v>34405</v>
      </c>
      <c r="I1306" s="8">
        <v>4238.9863759999998</v>
      </c>
      <c r="J1306" s="8">
        <v>58860.922780000001</v>
      </c>
      <c r="K1306" s="8">
        <v>53285.994050000001</v>
      </c>
      <c r="L1306" s="8">
        <v>64359.03355</v>
      </c>
      <c r="M1306" s="9" t="str">
        <f>IF(A1306="",M1307,A1306)</f>
        <v>Spain</v>
      </c>
      <c r="N1306" s="3" t="str">
        <f t="shared" si="41"/>
        <v>Sep-2020</v>
      </c>
    </row>
    <row r="1307" spans="1:14" x14ac:dyDescent="0.3">
      <c r="A1307" s="3" t="s">
        <v>116</v>
      </c>
      <c r="B1307" s="3" t="s">
        <v>117</v>
      </c>
      <c r="C1307" s="8">
        <v>2020</v>
      </c>
      <c r="D1307" s="8">
        <v>10</v>
      </c>
      <c r="E1307" s="3" t="str">
        <f t="shared" si="40"/>
        <v>October</v>
      </c>
      <c r="F1307" s="3" t="s">
        <v>13</v>
      </c>
      <c r="G1307" s="8">
        <v>31596.669870000002</v>
      </c>
      <c r="H1307" s="8">
        <v>39561</v>
      </c>
      <c r="I1307" s="8">
        <v>7962.8301309999997</v>
      </c>
      <c r="J1307" s="8">
        <v>66823.752919999999</v>
      </c>
      <c r="K1307" s="8">
        <v>61103.397210000003</v>
      </c>
      <c r="L1307" s="8">
        <v>72522.670100000003</v>
      </c>
      <c r="M1307" s="9" t="str">
        <f>IF(A1307="",M1308,A1307)</f>
        <v>Spain</v>
      </c>
      <c r="N1307" s="3" t="str">
        <f t="shared" si="41"/>
        <v>Oct-2020</v>
      </c>
    </row>
    <row r="1308" spans="1:14" x14ac:dyDescent="0.3">
      <c r="A1308" s="3" t="s">
        <v>116</v>
      </c>
      <c r="B1308" s="3" t="s">
        <v>117</v>
      </c>
      <c r="C1308" s="8">
        <v>2020</v>
      </c>
      <c r="D1308" s="8">
        <v>11</v>
      </c>
      <c r="E1308" s="3" t="str">
        <f t="shared" si="40"/>
        <v>November</v>
      </c>
      <c r="F1308" s="3" t="s">
        <v>13</v>
      </c>
      <c r="G1308" s="8">
        <v>34817.086609999998</v>
      </c>
      <c r="H1308" s="8">
        <v>42309</v>
      </c>
      <c r="I1308" s="8">
        <v>7490.4133890000003</v>
      </c>
      <c r="J1308" s="8">
        <v>74314.166310000001</v>
      </c>
      <c r="K1308" s="8">
        <v>67748.678199999995</v>
      </c>
      <c r="L1308" s="8">
        <v>80515.861399999994</v>
      </c>
      <c r="M1308" s="9" t="str">
        <f>IF(A1308="",M1309,A1308)</f>
        <v>Spain</v>
      </c>
      <c r="N1308" s="3" t="str">
        <f t="shared" si="41"/>
        <v>Nov-2020</v>
      </c>
    </row>
    <row r="1309" spans="1:14" x14ac:dyDescent="0.3">
      <c r="A1309" s="3" t="s">
        <v>116</v>
      </c>
      <c r="B1309" s="3" t="s">
        <v>117</v>
      </c>
      <c r="C1309" s="8">
        <v>2020</v>
      </c>
      <c r="D1309" s="8">
        <v>12</v>
      </c>
      <c r="E1309" s="3" t="str">
        <f t="shared" si="40"/>
        <v>December</v>
      </c>
      <c r="F1309" s="3" t="s">
        <v>13</v>
      </c>
      <c r="G1309" s="8">
        <v>40567.003909999999</v>
      </c>
      <c r="H1309" s="8">
        <v>41456</v>
      </c>
      <c r="I1309" s="8">
        <v>887.49608599999999</v>
      </c>
      <c r="J1309" s="8">
        <v>75201.662389999998</v>
      </c>
      <c r="K1309" s="8">
        <v>68663.685200000007</v>
      </c>
      <c r="L1309" s="8">
        <v>81927.803839999993</v>
      </c>
      <c r="M1309" s="9" t="str">
        <f>IF(A1309="",M1310,A1309)</f>
        <v>Spain</v>
      </c>
      <c r="N1309" s="3" t="str">
        <f t="shared" si="41"/>
        <v>Dec-2020</v>
      </c>
    </row>
    <row r="1310" spans="1:14" x14ac:dyDescent="0.3">
      <c r="A1310" s="3" t="s">
        <v>116</v>
      </c>
      <c r="B1310" s="3" t="s">
        <v>117</v>
      </c>
      <c r="C1310" s="8">
        <v>2021</v>
      </c>
      <c r="D1310" s="8">
        <v>1</v>
      </c>
      <c r="E1310" s="3" t="str">
        <f t="shared" si="40"/>
        <v>January</v>
      </c>
      <c r="F1310" s="3" t="s">
        <v>13</v>
      </c>
      <c r="G1310" s="8">
        <v>40538.897270000001</v>
      </c>
      <c r="H1310" s="8">
        <v>52061</v>
      </c>
      <c r="I1310" s="8">
        <v>11519.352730000001</v>
      </c>
      <c r="J1310" s="8">
        <v>86721.015119999996</v>
      </c>
      <c r="K1310" s="8">
        <v>79801.811740000005</v>
      </c>
      <c r="L1310" s="8">
        <v>93980.952850000001</v>
      </c>
      <c r="M1310" s="9" t="str">
        <f>IF(A1310="",M1311,A1310)</f>
        <v>Spain</v>
      </c>
      <c r="N1310" s="3" t="str">
        <f t="shared" si="41"/>
        <v>Jan-2021</v>
      </c>
    </row>
    <row r="1311" spans="1:14" x14ac:dyDescent="0.3">
      <c r="A1311" s="3" t="s">
        <v>116</v>
      </c>
      <c r="B1311" s="3" t="s">
        <v>117</v>
      </c>
      <c r="C1311" s="8">
        <v>2021</v>
      </c>
      <c r="D1311" s="8">
        <v>2</v>
      </c>
      <c r="E1311" s="3" t="str">
        <f t="shared" si="40"/>
        <v>February</v>
      </c>
      <c r="F1311" s="3" t="s">
        <v>13</v>
      </c>
      <c r="G1311" s="8">
        <v>39311.367489999997</v>
      </c>
      <c r="H1311" s="8">
        <v>40459</v>
      </c>
      <c r="I1311" s="8">
        <v>1144.882505</v>
      </c>
      <c r="J1311" s="8">
        <v>87865.897620000003</v>
      </c>
      <c r="K1311" s="8">
        <v>80751.219660000002</v>
      </c>
      <c r="L1311" s="8">
        <v>95563.265299999999</v>
      </c>
      <c r="M1311" s="9" t="str">
        <f>IF(A1311="",M1312,A1311)</f>
        <v>Spain</v>
      </c>
      <c r="N1311" s="3" t="str">
        <f t="shared" si="41"/>
        <v>Feb-2021</v>
      </c>
    </row>
    <row r="1312" spans="1:14" x14ac:dyDescent="0.3">
      <c r="A1312" s="3" t="s">
        <v>116</v>
      </c>
      <c r="B1312" s="3" t="s">
        <v>117</v>
      </c>
      <c r="C1312" s="8">
        <v>2021</v>
      </c>
      <c r="D1312" s="8">
        <v>3</v>
      </c>
      <c r="E1312" s="3" t="str">
        <f t="shared" si="40"/>
        <v>March</v>
      </c>
      <c r="F1312" s="3" t="s">
        <v>13</v>
      </c>
      <c r="G1312" s="8">
        <v>37042.087729999999</v>
      </c>
      <c r="H1312" s="8">
        <v>36638</v>
      </c>
      <c r="I1312" s="8">
        <v>-406.8377347</v>
      </c>
      <c r="J1312" s="8">
        <v>87459.059890000004</v>
      </c>
      <c r="K1312" s="8">
        <v>79871.465450000003</v>
      </c>
      <c r="L1312" s="8">
        <v>95317.314039999997</v>
      </c>
      <c r="M1312" s="9" t="str">
        <f>IF(A1312="",M1313,A1312)</f>
        <v>Spain</v>
      </c>
      <c r="N1312" s="3" t="str">
        <f t="shared" si="41"/>
        <v>Mar-2021</v>
      </c>
    </row>
    <row r="1313" spans="1:14" x14ac:dyDescent="0.3">
      <c r="A1313" s="3" t="s">
        <v>116</v>
      </c>
      <c r="B1313" s="3" t="s">
        <v>117</v>
      </c>
      <c r="C1313" s="8">
        <v>2021</v>
      </c>
      <c r="D1313" s="8">
        <v>4</v>
      </c>
      <c r="E1313" s="3" t="str">
        <f t="shared" si="40"/>
        <v>April</v>
      </c>
      <c r="F1313" s="3" t="s">
        <v>13</v>
      </c>
      <c r="G1313" s="8">
        <v>34117.663419999997</v>
      </c>
      <c r="H1313" s="8">
        <v>34413</v>
      </c>
      <c r="I1313" s="8">
        <v>292.58658459999998</v>
      </c>
      <c r="J1313" s="8">
        <v>87751.646470000007</v>
      </c>
      <c r="K1313" s="8">
        <v>79781.228770000002</v>
      </c>
      <c r="L1313" s="8">
        <v>96067.011150000006</v>
      </c>
      <c r="M1313" s="9" t="str">
        <f>IF(A1313="",M1314,A1313)</f>
        <v>Spain</v>
      </c>
      <c r="N1313" s="3" t="str">
        <f t="shared" si="41"/>
        <v>Apr-2021</v>
      </c>
    </row>
    <row r="1314" spans="1:14" x14ac:dyDescent="0.3">
      <c r="A1314" s="3" t="s">
        <v>116</v>
      </c>
      <c r="B1314" s="3" t="s">
        <v>117</v>
      </c>
      <c r="C1314" s="8">
        <v>2021</v>
      </c>
      <c r="D1314" s="8">
        <v>5</v>
      </c>
      <c r="E1314" s="3" t="str">
        <f t="shared" si="40"/>
        <v>May</v>
      </c>
      <c r="F1314" s="3" t="s">
        <v>13</v>
      </c>
      <c r="G1314" s="8">
        <v>32645.403679999999</v>
      </c>
      <c r="H1314" s="8">
        <v>34141</v>
      </c>
      <c r="I1314" s="8">
        <v>1492.846315</v>
      </c>
      <c r="J1314" s="8">
        <v>89244.492790000004</v>
      </c>
      <c r="K1314" s="8">
        <v>80732.025169999994</v>
      </c>
      <c r="L1314" s="8">
        <v>98479.640140000003</v>
      </c>
      <c r="M1314" s="9" t="str">
        <f>IF(A1314="",M1315,A1314)</f>
        <v>Spain</v>
      </c>
      <c r="N1314" s="3" t="str">
        <f t="shared" si="41"/>
        <v>May-2021</v>
      </c>
    </row>
    <row r="1315" spans="1:14" x14ac:dyDescent="0.3">
      <c r="A1315" s="3" t="s">
        <v>116</v>
      </c>
      <c r="B1315" s="3" t="s">
        <v>117</v>
      </c>
      <c r="C1315" s="8">
        <v>2021</v>
      </c>
      <c r="D1315" s="8">
        <v>6</v>
      </c>
      <c r="E1315" s="3" t="str">
        <f t="shared" si="40"/>
        <v>June</v>
      </c>
      <c r="F1315" s="3" t="s">
        <v>13</v>
      </c>
      <c r="G1315" s="8">
        <v>31880.45336</v>
      </c>
      <c r="H1315" s="8">
        <v>32335</v>
      </c>
      <c r="I1315" s="8">
        <v>451.79664159999999</v>
      </c>
      <c r="J1315" s="8">
        <v>89696.289430000004</v>
      </c>
      <c r="K1315" s="8">
        <v>81388.715760000006</v>
      </c>
      <c r="L1315" s="8">
        <v>98854.171109999996</v>
      </c>
      <c r="M1315" s="9" t="str">
        <f>IF(A1315="",M1316,A1315)</f>
        <v>Spain</v>
      </c>
      <c r="N1315" s="3" t="str">
        <f t="shared" si="41"/>
        <v>Jun-2021</v>
      </c>
    </row>
    <row r="1316" spans="1:14" x14ac:dyDescent="0.3">
      <c r="A1316" s="3" t="s">
        <v>116</v>
      </c>
      <c r="B1316" s="3" t="s">
        <v>117</v>
      </c>
      <c r="C1316" s="8">
        <v>2021</v>
      </c>
      <c r="D1316" s="8">
        <v>7</v>
      </c>
      <c r="E1316" s="3" t="str">
        <f t="shared" si="40"/>
        <v>July</v>
      </c>
      <c r="F1316" s="3" t="s">
        <v>13</v>
      </c>
      <c r="G1316" s="8">
        <v>32633.24467</v>
      </c>
      <c r="H1316" s="8">
        <v>35074</v>
      </c>
      <c r="I1316" s="8">
        <v>2438.0053269999999</v>
      </c>
      <c r="J1316" s="8">
        <v>92134.294760000004</v>
      </c>
      <c r="K1316" s="8">
        <v>83433.375889999996</v>
      </c>
      <c r="L1316" s="8">
        <v>101514.9632</v>
      </c>
      <c r="M1316" s="9" t="str">
        <f>IF(A1316="",M1317,A1316)</f>
        <v>Spain</v>
      </c>
      <c r="N1316" s="3" t="str">
        <f t="shared" si="41"/>
        <v>Jul-2021</v>
      </c>
    </row>
    <row r="1317" spans="1:14" x14ac:dyDescent="0.3">
      <c r="A1317" s="3" t="s">
        <v>116</v>
      </c>
      <c r="B1317" s="3" t="s">
        <v>117</v>
      </c>
      <c r="C1317" s="8">
        <v>2021</v>
      </c>
      <c r="D1317" s="8">
        <v>8</v>
      </c>
      <c r="E1317" s="3" t="str">
        <f t="shared" si="40"/>
        <v>August</v>
      </c>
      <c r="F1317" s="3" t="s">
        <v>13</v>
      </c>
      <c r="G1317" s="8">
        <v>31583.91563</v>
      </c>
      <c r="H1317" s="8">
        <v>37944</v>
      </c>
      <c r="I1317" s="8">
        <v>6357.3343720000003</v>
      </c>
      <c r="J1317" s="8">
        <v>98491.629130000001</v>
      </c>
      <c r="K1317" s="8">
        <v>89233.422839999999</v>
      </c>
      <c r="L1317" s="8">
        <v>108354.5533</v>
      </c>
      <c r="M1317" s="9" t="str">
        <f>IF(A1317="",M1318,A1317)</f>
        <v>Spain</v>
      </c>
      <c r="N1317" s="3" t="str">
        <f t="shared" si="41"/>
        <v>Aug-2021</v>
      </c>
    </row>
    <row r="1318" spans="1:14" x14ac:dyDescent="0.3">
      <c r="A1318" s="3" t="s">
        <v>116</v>
      </c>
      <c r="B1318" s="3" t="s">
        <v>117</v>
      </c>
      <c r="C1318" s="8">
        <v>2021</v>
      </c>
      <c r="D1318" s="8">
        <v>9</v>
      </c>
      <c r="E1318" s="3" t="str">
        <f t="shared" si="40"/>
        <v>September</v>
      </c>
      <c r="F1318" s="3" t="s">
        <v>13</v>
      </c>
      <c r="G1318" s="8">
        <v>30066.244449999998</v>
      </c>
      <c r="H1318" s="8">
        <v>32811</v>
      </c>
      <c r="I1318" s="8">
        <v>2742.0055510000002</v>
      </c>
      <c r="J1318" s="8">
        <v>101233.6347</v>
      </c>
      <c r="K1318" s="8">
        <v>92027.618359999993</v>
      </c>
      <c r="L1318" s="8">
        <v>110864.9932</v>
      </c>
      <c r="M1318" s="9" t="str">
        <f>IF(A1318="",M1319,A1318)</f>
        <v>Spain</v>
      </c>
      <c r="N1318" s="3" t="str">
        <f t="shared" si="41"/>
        <v>Sep-2021</v>
      </c>
    </row>
    <row r="1319" spans="1:14" x14ac:dyDescent="0.3">
      <c r="A1319" s="3" t="s">
        <v>116</v>
      </c>
      <c r="B1319" s="3" t="s">
        <v>117</v>
      </c>
      <c r="C1319" s="8">
        <v>2021</v>
      </c>
      <c r="D1319" s="8">
        <v>10</v>
      </c>
      <c r="E1319" s="3" t="str">
        <f t="shared" si="40"/>
        <v>October</v>
      </c>
      <c r="F1319" s="3" t="s">
        <v>13</v>
      </c>
      <c r="G1319" s="8">
        <v>31589.234380000002</v>
      </c>
      <c r="H1319" s="8">
        <v>34270</v>
      </c>
      <c r="I1319" s="8">
        <v>2678.0156189999998</v>
      </c>
      <c r="J1319" s="8">
        <v>103911.65029999999</v>
      </c>
      <c r="K1319" s="8">
        <v>94606.051449999999</v>
      </c>
      <c r="L1319" s="8">
        <v>113784.7283</v>
      </c>
      <c r="M1319" s="9" t="str">
        <f>IF(A1319="",M1320,A1319)</f>
        <v>Spain</v>
      </c>
      <c r="N1319" s="3" t="str">
        <f t="shared" si="41"/>
        <v>Oct-2021</v>
      </c>
    </row>
    <row r="1320" spans="1:14" x14ac:dyDescent="0.3">
      <c r="A1320" s="3" t="s">
        <v>116</v>
      </c>
      <c r="B1320" s="3" t="s">
        <v>117</v>
      </c>
      <c r="C1320" s="8">
        <v>2021</v>
      </c>
      <c r="D1320" s="8">
        <v>11</v>
      </c>
      <c r="E1320" s="3" t="str">
        <f t="shared" si="40"/>
        <v>November</v>
      </c>
      <c r="F1320" s="3" t="s">
        <v>13</v>
      </c>
      <c r="G1320" s="8">
        <v>34758.061690000002</v>
      </c>
      <c r="H1320" s="8">
        <v>36859</v>
      </c>
      <c r="I1320" s="8">
        <v>2098.1883090000001</v>
      </c>
      <c r="J1320" s="8">
        <v>106009.8386</v>
      </c>
      <c r="K1320" s="8">
        <v>96069.174750000006</v>
      </c>
      <c r="L1320" s="8">
        <v>115970.6376</v>
      </c>
      <c r="M1320" s="9" t="str">
        <f>IF(A1320="",M1321,A1320)</f>
        <v>Spain</v>
      </c>
      <c r="N1320" s="3" t="str">
        <f t="shared" si="41"/>
        <v>Nov-2021</v>
      </c>
    </row>
    <row r="1321" spans="1:14" x14ac:dyDescent="0.3">
      <c r="A1321" s="3" t="s">
        <v>116</v>
      </c>
      <c r="B1321" s="3" t="s">
        <v>117</v>
      </c>
      <c r="C1321" s="8">
        <v>2021</v>
      </c>
      <c r="D1321" s="8">
        <v>12</v>
      </c>
      <c r="E1321" s="3" t="str">
        <f t="shared" si="40"/>
        <v>December</v>
      </c>
      <c r="F1321" s="3" t="s">
        <v>13</v>
      </c>
      <c r="G1321" s="8">
        <v>40505.343379999998</v>
      </c>
      <c r="H1321" s="8">
        <v>42036</v>
      </c>
      <c r="I1321" s="8">
        <v>1527.906618</v>
      </c>
      <c r="J1321" s="8">
        <v>107537.7452</v>
      </c>
      <c r="K1321" s="8">
        <v>97414.334950000004</v>
      </c>
      <c r="L1321" s="8">
        <v>118092.44190000001</v>
      </c>
      <c r="M1321" s="9" t="str">
        <f>IF(A1321="",M1322,A1321)</f>
        <v>Spain</v>
      </c>
      <c r="N1321" s="3" t="str">
        <f t="shared" si="41"/>
        <v>Dec-2021</v>
      </c>
    </row>
    <row r="1322" spans="1:14" x14ac:dyDescent="0.3">
      <c r="A1322" s="3" t="s">
        <v>118</v>
      </c>
      <c r="B1322" s="3" t="s">
        <v>119</v>
      </c>
      <c r="C1322" s="8">
        <v>2020</v>
      </c>
      <c r="D1322" s="8">
        <v>1</v>
      </c>
      <c r="E1322" s="3" t="str">
        <f t="shared" si="40"/>
        <v>January</v>
      </c>
      <c r="F1322" s="3" t="s">
        <v>13</v>
      </c>
      <c r="G1322" s="8">
        <v>1368.381187</v>
      </c>
      <c r="H1322" s="8">
        <v>1350</v>
      </c>
      <c r="I1322" s="8">
        <v>-18.381187050000001</v>
      </c>
      <c r="J1322" s="8">
        <v>-18.381187050000001</v>
      </c>
      <c r="K1322" s="8">
        <v>-69.002013959999999</v>
      </c>
      <c r="L1322" s="8">
        <v>34.440675030000001</v>
      </c>
      <c r="M1322" s="9" t="str">
        <f>IF(A1322="",M1323,A1322)</f>
        <v>Estonia</v>
      </c>
      <c r="N1322" s="3" t="str">
        <f t="shared" si="41"/>
        <v>Jan-2020</v>
      </c>
    </row>
    <row r="1323" spans="1:14" x14ac:dyDescent="0.3">
      <c r="A1323" s="3" t="s">
        <v>118</v>
      </c>
      <c r="B1323" s="3" t="s">
        <v>119</v>
      </c>
      <c r="C1323" s="8">
        <v>2020</v>
      </c>
      <c r="D1323" s="8">
        <v>2</v>
      </c>
      <c r="E1323" s="3" t="str">
        <f t="shared" si="40"/>
        <v>February</v>
      </c>
      <c r="F1323" s="3" t="s">
        <v>13</v>
      </c>
      <c r="G1323" s="8">
        <v>1385.4673680000001</v>
      </c>
      <c r="H1323" s="8">
        <v>1271</v>
      </c>
      <c r="I1323" s="8">
        <v>-114.46736749999999</v>
      </c>
      <c r="J1323" s="8">
        <v>-132.8485546</v>
      </c>
      <c r="K1323" s="8">
        <v>-208.90514859999999</v>
      </c>
      <c r="L1323" s="8">
        <v>-49.916104539999999</v>
      </c>
      <c r="M1323" s="9" t="str">
        <f>IF(A1323="",M1324,A1323)</f>
        <v>Estonia</v>
      </c>
      <c r="N1323" s="3" t="str">
        <f t="shared" si="41"/>
        <v>Feb-2020</v>
      </c>
    </row>
    <row r="1324" spans="1:14" x14ac:dyDescent="0.3">
      <c r="A1324" s="3" t="s">
        <v>118</v>
      </c>
      <c r="B1324" s="3" t="s">
        <v>119</v>
      </c>
      <c r="C1324" s="8">
        <v>2020</v>
      </c>
      <c r="D1324" s="8">
        <v>3</v>
      </c>
      <c r="E1324" s="3" t="str">
        <f t="shared" si="40"/>
        <v>March</v>
      </c>
      <c r="F1324" s="3" t="s">
        <v>13</v>
      </c>
      <c r="G1324" s="8">
        <v>1366.9898049999999</v>
      </c>
      <c r="H1324" s="8">
        <v>1401</v>
      </c>
      <c r="I1324" s="8">
        <v>34.010195199999998</v>
      </c>
      <c r="J1324" s="8">
        <v>-98.838359389999994</v>
      </c>
      <c r="K1324" s="8">
        <v>-198.55160359999999</v>
      </c>
      <c r="L1324" s="8">
        <v>-6.4736934249999996</v>
      </c>
      <c r="M1324" s="9" t="str">
        <f>IF(A1324="",M1325,A1324)</f>
        <v>Estonia</v>
      </c>
      <c r="N1324" s="3" t="str">
        <f t="shared" si="41"/>
        <v>Mar-2020</v>
      </c>
    </row>
    <row r="1325" spans="1:14" x14ac:dyDescent="0.3">
      <c r="A1325" s="3" t="s">
        <v>118</v>
      </c>
      <c r="B1325" s="3" t="s">
        <v>119</v>
      </c>
      <c r="C1325" s="8">
        <v>2020</v>
      </c>
      <c r="D1325" s="8">
        <v>4</v>
      </c>
      <c r="E1325" s="3" t="str">
        <f t="shared" si="40"/>
        <v>April</v>
      </c>
      <c r="F1325" s="3" t="s">
        <v>13</v>
      </c>
      <c r="G1325" s="8">
        <v>1305.255701</v>
      </c>
      <c r="H1325" s="8">
        <v>1325</v>
      </c>
      <c r="I1325" s="8">
        <v>19.744298619999999</v>
      </c>
      <c r="J1325" s="8">
        <v>-79.094060769999999</v>
      </c>
      <c r="K1325" s="8">
        <v>-200.91222920000001</v>
      </c>
      <c r="L1325" s="8">
        <v>40.926356839999997</v>
      </c>
      <c r="M1325" s="9" t="str">
        <f>IF(A1325="",M1326,A1325)</f>
        <v>Estonia</v>
      </c>
      <c r="N1325" s="3" t="str">
        <f t="shared" si="41"/>
        <v>Apr-2020</v>
      </c>
    </row>
    <row r="1326" spans="1:14" x14ac:dyDescent="0.3">
      <c r="A1326" s="3" t="s">
        <v>118</v>
      </c>
      <c r="B1326" s="3" t="s">
        <v>119</v>
      </c>
      <c r="C1326" s="8">
        <v>2020</v>
      </c>
      <c r="D1326" s="8">
        <v>5</v>
      </c>
      <c r="E1326" s="3" t="str">
        <f t="shared" si="40"/>
        <v>May</v>
      </c>
      <c r="F1326" s="3" t="s">
        <v>13</v>
      </c>
      <c r="G1326" s="8">
        <v>1242.0145709999999</v>
      </c>
      <c r="H1326" s="8">
        <v>1291</v>
      </c>
      <c r="I1326" s="8">
        <v>48.985429289999999</v>
      </c>
      <c r="J1326" s="8">
        <v>-30.10863148</v>
      </c>
      <c r="K1326" s="8">
        <v>-168.0337016</v>
      </c>
      <c r="L1326" s="8">
        <v>101.31493450000001</v>
      </c>
      <c r="M1326" s="9" t="str">
        <f>IF(A1326="",M1327,A1326)</f>
        <v>Estonia</v>
      </c>
      <c r="N1326" s="3" t="str">
        <f t="shared" si="41"/>
        <v>May-2020</v>
      </c>
    </row>
    <row r="1327" spans="1:14" x14ac:dyDescent="0.3">
      <c r="A1327" s="3" t="s">
        <v>118</v>
      </c>
      <c r="B1327" s="3" t="s">
        <v>119</v>
      </c>
      <c r="C1327" s="8">
        <v>2020</v>
      </c>
      <c r="D1327" s="8">
        <v>6</v>
      </c>
      <c r="E1327" s="3" t="str">
        <f t="shared" si="40"/>
        <v>June</v>
      </c>
      <c r="F1327" s="3" t="s">
        <v>13</v>
      </c>
      <c r="G1327" s="8">
        <v>1189.575955</v>
      </c>
      <c r="H1327" s="8">
        <v>1174</v>
      </c>
      <c r="I1327" s="8">
        <v>-15.57595536</v>
      </c>
      <c r="J1327" s="8">
        <v>-45.684586840000001</v>
      </c>
      <c r="K1327" s="8">
        <v>-195.76438899999999</v>
      </c>
      <c r="L1327" s="8">
        <v>99.584893089999994</v>
      </c>
      <c r="M1327" s="9" t="str">
        <f>IF(A1327="",M1328,A1327)</f>
        <v>Estonia</v>
      </c>
      <c r="N1327" s="3" t="str">
        <f t="shared" si="41"/>
        <v>Jun-2020</v>
      </c>
    </row>
    <row r="1328" spans="1:14" x14ac:dyDescent="0.3">
      <c r="A1328" s="3" t="s">
        <v>118</v>
      </c>
      <c r="B1328" s="3" t="s">
        <v>119</v>
      </c>
      <c r="C1328" s="8">
        <v>2020</v>
      </c>
      <c r="D1328" s="8">
        <v>7</v>
      </c>
      <c r="E1328" s="3" t="str">
        <f t="shared" si="40"/>
        <v>July</v>
      </c>
      <c r="F1328" s="3" t="s">
        <v>13</v>
      </c>
      <c r="G1328" s="8">
        <v>1177.0005639999999</v>
      </c>
      <c r="H1328" s="8">
        <v>1249</v>
      </c>
      <c r="I1328" s="8">
        <v>71.999435689999999</v>
      </c>
      <c r="J1328" s="8">
        <v>26.314848850000001</v>
      </c>
      <c r="K1328" s="8">
        <v>-129.91628890000001</v>
      </c>
      <c r="L1328" s="8">
        <v>193.39473799999999</v>
      </c>
      <c r="M1328" s="9" t="str">
        <f>IF(A1328="",M1329,A1328)</f>
        <v>Estonia</v>
      </c>
      <c r="N1328" s="3" t="str">
        <f t="shared" si="41"/>
        <v>Jul-2020</v>
      </c>
    </row>
    <row r="1329" spans="1:14" x14ac:dyDescent="0.3">
      <c r="A1329" s="3" t="s">
        <v>118</v>
      </c>
      <c r="B1329" s="3" t="s">
        <v>119</v>
      </c>
      <c r="C1329" s="8">
        <v>2020</v>
      </c>
      <c r="D1329" s="8">
        <v>8</v>
      </c>
      <c r="E1329" s="3" t="str">
        <f t="shared" si="40"/>
        <v>August</v>
      </c>
      <c r="F1329" s="3" t="s">
        <v>13</v>
      </c>
      <c r="G1329" s="8">
        <v>1185.311338</v>
      </c>
      <c r="H1329" s="8">
        <v>1254</v>
      </c>
      <c r="I1329" s="8">
        <v>68.688661940000003</v>
      </c>
      <c r="J1329" s="8">
        <v>95.003510790000007</v>
      </c>
      <c r="K1329" s="8">
        <v>-70.149896839999997</v>
      </c>
      <c r="L1329" s="8">
        <v>259.3730066</v>
      </c>
      <c r="M1329" s="9" t="str">
        <f>IF(A1329="",M1330,A1329)</f>
        <v>Estonia</v>
      </c>
      <c r="N1329" s="3" t="str">
        <f t="shared" si="41"/>
        <v>Aug-2020</v>
      </c>
    </row>
    <row r="1330" spans="1:14" x14ac:dyDescent="0.3">
      <c r="A1330" s="3" t="s">
        <v>118</v>
      </c>
      <c r="B1330" s="3" t="s">
        <v>119</v>
      </c>
      <c r="C1330" s="8">
        <v>2020</v>
      </c>
      <c r="D1330" s="8">
        <v>9</v>
      </c>
      <c r="E1330" s="3" t="str">
        <f t="shared" si="40"/>
        <v>September</v>
      </c>
      <c r="F1330" s="3" t="s">
        <v>13</v>
      </c>
      <c r="G1330" s="8">
        <v>1202.835018</v>
      </c>
      <c r="H1330" s="8">
        <v>1261</v>
      </c>
      <c r="I1330" s="8">
        <v>58.164981849999997</v>
      </c>
      <c r="J1330" s="8">
        <v>153.16849260000001</v>
      </c>
      <c r="K1330" s="8">
        <v>-17.983510039999999</v>
      </c>
      <c r="L1330" s="8">
        <v>332.46201050000002</v>
      </c>
      <c r="M1330" s="9" t="str">
        <f>IF(A1330="",M1331,A1330)</f>
        <v>Estonia</v>
      </c>
      <c r="N1330" s="3" t="str">
        <f t="shared" si="41"/>
        <v>Sep-2020</v>
      </c>
    </row>
    <row r="1331" spans="1:14" x14ac:dyDescent="0.3">
      <c r="A1331" s="3" t="s">
        <v>118</v>
      </c>
      <c r="B1331" s="3" t="s">
        <v>119</v>
      </c>
      <c r="C1331" s="8">
        <v>2020</v>
      </c>
      <c r="D1331" s="8">
        <v>10</v>
      </c>
      <c r="E1331" s="3" t="str">
        <f t="shared" si="40"/>
        <v>October</v>
      </c>
      <c r="F1331" s="3" t="s">
        <v>13</v>
      </c>
      <c r="G1331" s="8">
        <v>1243.3302309999999</v>
      </c>
      <c r="H1331" s="8">
        <v>1284</v>
      </c>
      <c r="I1331" s="8">
        <v>40.669768920000003</v>
      </c>
      <c r="J1331" s="8">
        <v>193.83826160000001</v>
      </c>
      <c r="K1331" s="8">
        <v>13.797713659999999</v>
      </c>
      <c r="L1331" s="8">
        <v>376.34375649999998</v>
      </c>
      <c r="M1331" s="9" t="str">
        <f>IF(A1331="",M1332,A1331)</f>
        <v>Estonia</v>
      </c>
      <c r="N1331" s="3" t="str">
        <f t="shared" si="41"/>
        <v>Oct-2020</v>
      </c>
    </row>
    <row r="1332" spans="1:14" x14ac:dyDescent="0.3">
      <c r="A1332" s="3" t="s">
        <v>118</v>
      </c>
      <c r="B1332" s="3" t="s">
        <v>119</v>
      </c>
      <c r="C1332" s="8">
        <v>2020</v>
      </c>
      <c r="D1332" s="8">
        <v>11</v>
      </c>
      <c r="E1332" s="3" t="str">
        <f t="shared" si="40"/>
        <v>November</v>
      </c>
      <c r="F1332" s="3" t="s">
        <v>13</v>
      </c>
      <c r="G1332" s="8">
        <v>1294.328078</v>
      </c>
      <c r="H1332" s="8">
        <v>1311</v>
      </c>
      <c r="I1332" s="8">
        <v>16.67192227</v>
      </c>
      <c r="J1332" s="8">
        <v>210.51018379999999</v>
      </c>
      <c r="K1332" s="8">
        <v>10.84802638</v>
      </c>
      <c r="L1332" s="8">
        <v>407.16119429999998</v>
      </c>
      <c r="M1332" s="9" t="str">
        <f>IF(A1332="",M1333,A1332)</f>
        <v>Estonia</v>
      </c>
      <c r="N1332" s="3" t="str">
        <f t="shared" si="41"/>
        <v>Nov-2020</v>
      </c>
    </row>
    <row r="1333" spans="1:14" x14ac:dyDescent="0.3">
      <c r="A1333" s="3" t="s">
        <v>118</v>
      </c>
      <c r="B1333" s="3" t="s">
        <v>119</v>
      </c>
      <c r="C1333" s="8">
        <v>2020</v>
      </c>
      <c r="D1333" s="8">
        <v>12</v>
      </c>
      <c r="E1333" s="3" t="str">
        <f t="shared" si="40"/>
        <v>December</v>
      </c>
      <c r="F1333" s="3" t="s">
        <v>13</v>
      </c>
      <c r="G1333" s="8">
        <v>1368.9306429999999</v>
      </c>
      <c r="H1333" s="8">
        <v>1535</v>
      </c>
      <c r="I1333" s="8">
        <v>166.06935720000001</v>
      </c>
      <c r="J1333" s="8">
        <v>376.57954100000001</v>
      </c>
      <c r="K1333" s="8">
        <v>171.75592829999999</v>
      </c>
      <c r="L1333" s="8">
        <v>581.81220519999999</v>
      </c>
      <c r="M1333" s="9" t="str">
        <f>IF(A1333="",M1334,A1333)</f>
        <v>Estonia</v>
      </c>
      <c r="N1333" s="3" t="str">
        <f t="shared" si="41"/>
        <v>Dec-2020</v>
      </c>
    </row>
    <row r="1334" spans="1:14" x14ac:dyDescent="0.3">
      <c r="A1334" s="3" t="s">
        <v>118</v>
      </c>
      <c r="B1334" s="3" t="s">
        <v>119</v>
      </c>
      <c r="C1334" s="8">
        <v>2021</v>
      </c>
      <c r="D1334" s="8">
        <v>1</v>
      </c>
      <c r="E1334" s="3" t="str">
        <f t="shared" si="40"/>
        <v>January</v>
      </c>
      <c r="F1334" s="3" t="s">
        <v>13</v>
      </c>
      <c r="G1334" s="8">
        <v>1370.091332</v>
      </c>
      <c r="H1334" s="8">
        <v>1666</v>
      </c>
      <c r="I1334" s="8">
        <v>295.82533480000001</v>
      </c>
      <c r="J1334" s="8">
        <v>672.40487580000001</v>
      </c>
      <c r="K1334" s="8">
        <v>452.81930080000001</v>
      </c>
      <c r="L1334" s="8">
        <v>882.71467659999996</v>
      </c>
      <c r="M1334" s="9" t="str">
        <f>IF(A1334="",M1335,A1334)</f>
        <v>Estonia</v>
      </c>
      <c r="N1334" s="3" t="str">
        <f t="shared" si="41"/>
        <v>Jan-2021</v>
      </c>
    </row>
    <row r="1335" spans="1:14" x14ac:dyDescent="0.3">
      <c r="A1335" s="3" t="s">
        <v>118</v>
      </c>
      <c r="B1335" s="3" t="s">
        <v>119</v>
      </c>
      <c r="C1335" s="8">
        <v>2021</v>
      </c>
      <c r="D1335" s="8">
        <v>2</v>
      </c>
      <c r="E1335" s="3" t="str">
        <f t="shared" si="40"/>
        <v>February</v>
      </c>
      <c r="F1335" s="3" t="s">
        <v>13</v>
      </c>
      <c r="G1335" s="8">
        <v>1386.201149</v>
      </c>
      <c r="H1335" s="8">
        <v>1457</v>
      </c>
      <c r="I1335" s="8">
        <v>70.715518009999997</v>
      </c>
      <c r="J1335" s="8">
        <v>743.12039379999999</v>
      </c>
      <c r="K1335" s="8">
        <v>514.8383685</v>
      </c>
      <c r="L1335" s="8">
        <v>967.90012190000004</v>
      </c>
      <c r="M1335" s="9" t="str">
        <f>IF(A1335="",M1336,A1335)</f>
        <v>Estonia</v>
      </c>
      <c r="N1335" s="3" t="str">
        <f t="shared" si="41"/>
        <v>Feb-2021</v>
      </c>
    </row>
    <row r="1336" spans="1:14" x14ac:dyDescent="0.3">
      <c r="A1336" s="3" t="s">
        <v>118</v>
      </c>
      <c r="B1336" s="3" t="s">
        <v>119</v>
      </c>
      <c r="C1336" s="8">
        <v>2021</v>
      </c>
      <c r="D1336" s="8">
        <v>3</v>
      </c>
      <c r="E1336" s="3" t="str">
        <f t="shared" si="40"/>
        <v>March</v>
      </c>
      <c r="F1336" s="3" t="s">
        <v>13</v>
      </c>
      <c r="G1336" s="8">
        <v>1365.1474390000001</v>
      </c>
      <c r="H1336" s="8">
        <v>1819</v>
      </c>
      <c r="I1336" s="8">
        <v>453.7692275</v>
      </c>
      <c r="J1336" s="8">
        <v>1196.889621</v>
      </c>
      <c r="K1336" s="8">
        <v>963.86842409999997</v>
      </c>
      <c r="L1336" s="8">
        <v>1433.365147</v>
      </c>
      <c r="M1336" s="9" t="str">
        <f>IF(A1336="",M1337,A1336)</f>
        <v>Estonia</v>
      </c>
      <c r="N1336" s="3" t="str">
        <f t="shared" si="41"/>
        <v>Mar-2021</v>
      </c>
    </row>
    <row r="1337" spans="1:14" x14ac:dyDescent="0.3">
      <c r="A1337" s="3" t="s">
        <v>118</v>
      </c>
      <c r="B1337" s="3" t="s">
        <v>119</v>
      </c>
      <c r="C1337" s="8">
        <v>2021</v>
      </c>
      <c r="D1337" s="8">
        <v>4</v>
      </c>
      <c r="E1337" s="3" t="str">
        <f t="shared" si="40"/>
        <v>April</v>
      </c>
      <c r="F1337" s="3" t="s">
        <v>13</v>
      </c>
      <c r="G1337" s="8">
        <v>1301.8743300000001</v>
      </c>
      <c r="H1337" s="8">
        <v>1595</v>
      </c>
      <c r="I1337" s="8">
        <v>293.04233629999999</v>
      </c>
      <c r="J1337" s="8">
        <v>1489.9319579999999</v>
      </c>
      <c r="K1337" s="8">
        <v>1244.5495530000001</v>
      </c>
      <c r="L1337" s="8">
        <v>1736.7683030000001</v>
      </c>
      <c r="M1337" s="9" t="str">
        <f>IF(A1337="",M1338,A1337)</f>
        <v>Estonia</v>
      </c>
      <c r="N1337" s="3" t="str">
        <f t="shared" si="41"/>
        <v>Apr-2021</v>
      </c>
    </row>
    <row r="1338" spans="1:14" x14ac:dyDescent="0.3">
      <c r="A1338" s="3" t="s">
        <v>118</v>
      </c>
      <c r="B1338" s="3" t="s">
        <v>119</v>
      </c>
      <c r="C1338" s="8">
        <v>2021</v>
      </c>
      <c r="D1338" s="8">
        <v>5</v>
      </c>
      <c r="E1338" s="3" t="str">
        <f t="shared" si="40"/>
        <v>May</v>
      </c>
      <c r="F1338" s="3" t="s">
        <v>13</v>
      </c>
      <c r="G1338" s="8">
        <v>1243.757801</v>
      </c>
      <c r="H1338" s="8">
        <v>1440</v>
      </c>
      <c r="I1338" s="8">
        <v>196.15886599999999</v>
      </c>
      <c r="J1338" s="8">
        <v>1686.0908240000001</v>
      </c>
      <c r="K1338" s="8">
        <v>1421.805989</v>
      </c>
      <c r="L1338" s="8">
        <v>1935.8042780000001</v>
      </c>
      <c r="M1338" s="9" t="str">
        <f>IF(A1338="",M1339,A1338)</f>
        <v>Estonia</v>
      </c>
      <c r="N1338" s="3" t="str">
        <f t="shared" si="41"/>
        <v>May-2021</v>
      </c>
    </row>
    <row r="1339" spans="1:14" x14ac:dyDescent="0.3">
      <c r="A1339" s="3" t="s">
        <v>118</v>
      </c>
      <c r="B1339" s="3" t="s">
        <v>119</v>
      </c>
      <c r="C1339" s="8">
        <v>2021</v>
      </c>
      <c r="D1339" s="8">
        <v>6</v>
      </c>
      <c r="E1339" s="3" t="str">
        <f t="shared" si="40"/>
        <v>June</v>
      </c>
      <c r="F1339" s="3" t="s">
        <v>13</v>
      </c>
      <c r="G1339" s="8">
        <v>1188.151719</v>
      </c>
      <c r="H1339" s="8">
        <v>1367</v>
      </c>
      <c r="I1339" s="8">
        <v>178.76494740000001</v>
      </c>
      <c r="J1339" s="8">
        <v>1864.855771</v>
      </c>
      <c r="K1339" s="8">
        <v>1597.470372</v>
      </c>
      <c r="L1339" s="8">
        <v>2130.0064200000002</v>
      </c>
      <c r="M1339" s="9" t="str">
        <f>IF(A1339="",M1340,A1339)</f>
        <v>Estonia</v>
      </c>
      <c r="N1339" s="3" t="str">
        <f t="shared" si="41"/>
        <v>Jun-2021</v>
      </c>
    </row>
    <row r="1340" spans="1:14" x14ac:dyDescent="0.3">
      <c r="A1340" s="3" t="s">
        <v>118</v>
      </c>
      <c r="B1340" s="3" t="s">
        <v>119</v>
      </c>
      <c r="C1340" s="8">
        <v>2021</v>
      </c>
      <c r="D1340" s="8">
        <v>7</v>
      </c>
      <c r="E1340" s="3" t="str">
        <f t="shared" si="40"/>
        <v>July</v>
      </c>
      <c r="F1340" s="3" t="s">
        <v>13</v>
      </c>
      <c r="G1340" s="8">
        <v>1175.1155409999999</v>
      </c>
      <c r="H1340" s="8">
        <v>1356</v>
      </c>
      <c r="I1340" s="8">
        <v>180.80112579999999</v>
      </c>
      <c r="J1340" s="8">
        <v>2045.6568970000001</v>
      </c>
      <c r="K1340" s="8">
        <v>1770.576928</v>
      </c>
      <c r="L1340" s="8">
        <v>2313.3548540000002</v>
      </c>
      <c r="M1340" s="9" t="str">
        <f>IF(A1340="",M1341,A1340)</f>
        <v>Estonia</v>
      </c>
      <c r="N1340" s="3" t="str">
        <f t="shared" si="41"/>
        <v>Jul-2021</v>
      </c>
    </row>
    <row r="1341" spans="1:14" x14ac:dyDescent="0.3">
      <c r="A1341" s="3" t="s">
        <v>118</v>
      </c>
      <c r="B1341" s="3" t="s">
        <v>119</v>
      </c>
      <c r="C1341" s="8">
        <v>2021</v>
      </c>
      <c r="D1341" s="8">
        <v>8</v>
      </c>
      <c r="E1341" s="3" t="str">
        <f t="shared" si="40"/>
        <v>August</v>
      </c>
      <c r="F1341" s="3" t="s">
        <v>13</v>
      </c>
      <c r="G1341" s="8">
        <v>1182.1241170000001</v>
      </c>
      <c r="H1341" s="8">
        <v>1311</v>
      </c>
      <c r="I1341" s="8">
        <v>128.79254950000001</v>
      </c>
      <c r="J1341" s="8">
        <v>2174.4494460000001</v>
      </c>
      <c r="K1341" s="8">
        <v>1879.8303759999999</v>
      </c>
      <c r="L1341" s="8">
        <v>2450.6781989999999</v>
      </c>
      <c r="M1341" s="9" t="str">
        <f>IF(A1341="",M1342,A1341)</f>
        <v>Estonia</v>
      </c>
      <c r="N1341" s="3" t="str">
        <f t="shared" si="41"/>
        <v>Aug-2021</v>
      </c>
    </row>
    <row r="1342" spans="1:14" x14ac:dyDescent="0.3">
      <c r="A1342" s="3" t="s">
        <v>118</v>
      </c>
      <c r="B1342" s="3" t="s">
        <v>119</v>
      </c>
      <c r="C1342" s="8">
        <v>2021</v>
      </c>
      <c r="D1342" s="8">
        <v>9</v>
      </c>
      <c r="E1342" s="3" t="str">
        <f t="shared" si="40"/>
        <v>September</v>
      </c>
      <c r="F1342" s="3" t="s">
        <v>13</v>
      </c>
      <c r="G1342" s="8">
        <v>1202.6756989999999</v>
      </c>
      <c r="H1342" s="8">
        <v>1391</v>
      </c>
      <c r="I1342" s="8">
        <v>188.24096800000001</v>
      </c>
      <c r="J1342" s="8">
        <v>2362.6904140000001</v>
      </c>
      <c r="K1342" s="8">
        <v>2075.9692700000001</v>
      </c>
      <c r="L1342" s="8">
        <v>2646.1940030000001</v>
      </c>
      <c r="M1342" s="9" t="str">
        <f>IF(A1342="",M1343,A1342)</f>
        <v>Estonia</v>
      </c>
      <c r="N1342" s="3" t="str">
        <f t="shared" si="41"/>
        <v>Sep-2021</v>
      </c>
    </row>
    <row r="1343" spans="1:14" x14ac:dyDescent="0.3">
      <c r="A1343" s="3" t="s">
        <v>118</v>
      </c>
      <c r="B1343" s="3" t="s">
        <v>119</v>
      </c>
      <c r="C1343" s="8">
        <v>2021</v>
      </c>
      <c r="D1343" s="8">
        <v>10</v>
      </c>
      <c r="E1343" s="3" t="str">
        <f t="shared" si="40"/>
        <v>October</v>
      </c>
      <c r="F1343" s="3" t="s">
        <v>13</v>
      </c>
      <c r="G1343" s="8">
        <v>1241.3453770000001</v>
      </c>
      <c r="H1343" s="8">
        <v>1591</v>
      </c>
      <c r="I1343" s="8">
        <v>349.57128940000001</v>
      </c>
      <c r="J1343" s="8">
        <v>2712.261704</v>
      </c>
      <c r="K1343" s="8">
        <v>2412.1070410000002</v>
      </c>
      <c r="L1343" s="8">
        <v>3005.9022749999999</v>
      </c>
      <c r="M1343" s="9" t="str">
        <f>IF(A1343="",M1344,A1343)</f>
        <v>Estonia</v>
      </c>
      <c r="N1343" s="3" t="str">
        <f t="shared" si="41"/>
        <v>Oct-2021</v>
      </c>
    </row>
    <row r="1344" spans="1:14" x14ac:dyDescent="0.3">
      <c r="A1344" s="3" t="s">
        <v>118</v>
      </c>
      <c r="B1344" s="3" t="s">
        <v>119</v>
      </c>
      <c r="C1344" s="8">
        <v>2021</v>
      </c>
      <c r="D1344" s="8">
        <v>11</v>
      </c>
      <c r="E1344" s="3" t="str">
        <f t="shared" si="40"/>
        <v>November</v>
      </c>
      <c r="F1344" s="3" t="s">
        <v>13</v>
      </c>
      <c r="G1344" s="8">
        <v>1293.8453870000001</v>
      </c>
      <c r="H1344" s="8">
        <v>1710</v>
      </c>
      <c r="I1344" s="8">
        <v>416.07127980000001</v>
      </c>
      <c r="J1344" s="8">
        <v>3128.3329840000001</v>
      </c>
      <c r="K1344" s="8">
        <v>2811.0381339999999</v>
      </c>
      <c r="L1344" s="8">
        <v>3437.871314</v>
      </c>
      <c r="M1344" s="9" t="str">
        <f>IF(A1344="",M1345,A1344)</f>
        <v>Estonia</v>
      </c>
      <c r="N1344" s="3" t="str">
        <f t="shared" si="41"/>
        <v>Nov-2021</v>
      </c>
    </row>
    <row r="1345" spans="1:14" x14ac:dyDescent="0.3">
      <c r="A1345" s="3" t="s">
        <v>118</v>
      </c>
      <c r="B1345" s="3" t="s">
        <v>119</v>
      </c>
      <c r="C1345" s="8">
        <v>2021</v>
      </c>
      <c r="D1345" s="8">
        <v>12</v>
      </c>
      <c r="E1345" s="3" t="str">
        <f t="shared" si="40"/>
        <v>December</v>
      </c>
      <c r="F1345" s="3" t="s">
        <v>13</v>
      </c>
      <c r="G1345" s="8">
        <v>1366.057609</v>
      </c>
      <c r="H1345" s="8">
        <v>1652</v>
      </c>
      <c r="I1345" s="8">
        <v>285.85905810000003</v>
      </c>
      <c r="J1345" s="8">
        <v>3414.1920420000001</v>
      </c>
      <c r="K1345" s="8">
        <v>3097.2491190000001</v>
      </c>
      <c r="L1345" s="8">
        <v>3720.3152030000001</v>
      </c>
      <c r="M1345" s="9" t="str">
        <f>IF(A1345="",M1346,A1345)</f>
        <v>Estonia</v>
      </c>
      <c r="N1345" s="3" t="str">
        <f t="shared" si="41"/>
        <v>Dec-2021</v>
      </c>
    </row>
    <row r="1346" spans="1:14" x14ac:dyDescent="0.3">
      <c r="A1346" s="3" t="s">
        <v>120</v>
      </c>
      <c r="B1346" s="3" t="s">
        <v>121</v>
      </c>
      <c r="C1346" s="8">
        <v>2020</v>
      </c>
      <c r="D1346" s="8">
        <v>1</v>
      </c>
      <c r="E1346" s="3" t="str">
        <f t="shared" ref="E1346:E1409" si="42">TEXT(DATE(C1346,D1346,1),"MMMM")</f>
        <v>January</v>
      </c>
      <c r="F1346" s="3" t="s">
        <v>8</v>
      </c>
      <c r="G1346" s="8">
        <v>52783.377399999998</v>
      </c>
      <c r="H1346" s="8">
        <v>54619.656000000003</v>
      </c>
      <c r="I1346" s="8">
        <v>1836.278601</v>
      </c>
      <c r="J1346" s="8">
        <v>1836.278601</v>
      </c>
      <c r="K1346" s="8">
        <v>-10825.194299999999</v>
      </c>
      <c r="L1346" s="8">
        <v>17725.324329999999</v>
      </c>
      <c r="M1346" s="9" t="str">
        <f>IF(A1346="",M1347,A1346)</f>
        <v>Ethiopia</v>
      </c>
      <c r="N1346" s="3" t="str">
        <f t="shared" ref="N1346:N1409" si="43">TEXT(DATE(C1346,D1346,1),"MMM-YYYY")</f>
        <v>Jan-2020</v>
      </c>
    </row>
    <row r="1347" spans="1:14" x14ac:dyDescent="0.3">
      <c r="A1347" s="3" t="s">
        <v>120</v>
      </c>
      <c r="B1347" s="3" t="s">
        <v>121</v>
      </c>
      <c r="C1347" s="8">
        <v>2020</v>
      </c>
      <c r="D1347" s="8">
        <v>2</v>
      </c>
      <c r="E1347" s="3" t="str">
        <f t="shared" si="42"/>
        <v>February</v>
      </c>
      <c r="F1347" s="3" t="s">
        <v>8</v>
      </c>
      <c r="G1347" s="8">
        <v>52217.673970000003</v>
      </c>
      <c r="H1347" s="8">
        <v>52245.337</v>
      </c>
      <c r="I1347" s="8">
        <v>27.663031060000002</v>
      </c>
      <c r="J1347" s="8">
        <v>1863.941632</v>
      </c>
      <c r="K1347" s="8">
        <v>-16522.342970000002</v>
      </c>
      <c r="L1347" s="8">
        <v>23019.215810000002</v>
      </c>
      <c r="M1347" s="9" t="str">
        <f>IF(A1347="",M1348,A1347)</f>
        <v>Ethiopia</v>
      </c>
      <c r="N1347" s="3" t="str">
        <f t="shared" si="43"/>
        <v>Feb-2020</v>
      </c>
    </row>
    <row r="1348" spans="1:14" x14ac:dyDescent="0.3">
      <c r="A1348" s="3" t="s">
        <v>120</v>
      </c>
      <c r="B1348" s="3" t="s">
        <v>121</v>
      </c>
      <c r="C1348" s="8">
        <v>2020</v>
      </c>
      <c r="D1348" s="8">
        <v>3</v>
      </c>
      <c r="E1348" s="3" t="str">
        <f t="shared" si="42"/>
        <v>March</v>
      </c>
      <c r="F1348" s="3" t="s">
        <v>8</v>
      </c>
      <c r="G1348" s="8">
        <v>51653.302640000002</v>
      </c>
      <c r="H1348" s="8">
        <v>48763.322999999997</v>
      </c>
      <c r="I1348" s="8">
        <v>-2889.979636</v>
      </c>
      <c r="J1348" s="8">
        <v>-1026.038004</v>
      </c>
      <c r="K1348" s="8">
        <v>-24774.62126</v>
      </c>
      <c r="L1348" s="8">
        <v>23875.95422</v>
      </c>
      <c r="M1348" s="9" t="str">
        <f>IF(A1348="",M1349,A1348)</f>
        <v>Ethiopia</v>
      </c>
      <c r="N1348" s="3" t="str">
        <f t="shared" si="43"/>
        <v>Mar-2020</v>
      </c>
    </row>
    <row r="1349" spans="1:14" x14ac:dyDescent="0.3">
      <c r="A1349" s="3" t="s">
        <v>120</v>
      </c>
      <c r="B1349" s="3" t="s">
        <v>121</v>
      </c>
      <c r="C1349" s="8">
        <v>2020</v>
      </c>
      <c r="D1349" s="8">
        <v>4</v>
      </c>
      <c r="E1349" s="3" t="str">
        <f t="shared" si="42"/>
        <v>April</v>
      </c>
      <c r="F1349" s="3" t="s">
        <v>8</v>
      </c>
      <c r="G1349" s="8">
        <v>51847.758730000001</v>
      </c>
      <c r="H1349" s="8">
        <v>47591.258999999998</v>
      </c>
      <c r="I1349" s="8">
        <v>-4256.4997329999997</v>
      </c>
      <c r="J1349" s="8">
        <v>-5282.5377369999997</v>
      </c>
      <c r="K1349" s="8">
        <v>-32636.089840000001</v>
      </c>
      <c r="L1349" s="8">
        <v>23709.539570000001</v>
      </c>
      <c r="M1349" s="9" t="str">
        <f>IF(A1349="",M1350,A1349)</f>
        <v>Ethiopia</v>
      </c>
      <c r="N1349" s="3" t="str">
        <f t="shared" si="43"/>
        <v>Apr-2020</v>
      </c>
    </row>
    <row r="1350" spans="1:14" x14ac:dyDescent="0.3">
      <c r="A1350" s="3" t="s">
        <v>120</v>
      </c>
      <c r="B1350" s="3" t="s">
        <v>121</v>
      </c>
      <c r="C1350" s="8">
        <v>2020</v>
      </c>
      <c r="D1350" s="8">
        <v>5</v>
      </c>
      <c r="E1350" s="3" t="str">
        <f t="shared" si="42"/>
        <v>May</v>
      </c>
      <c r="F1350" s="3" t="s">
        <v>8</v>
      </c>
      <c r="G1350" s="8">
        <v>51646.579030000001</v>
      </c>
      <c r="H1350" s="8">
        <v>47977.588000000003</v>
      </c>
      <c r="I1350" s="8">
        <v>-3668.9910319999999</v>
      </c>
      <c r="J1350" s="8">
        <v>-8951.5287690000005</v>
      </c>
      <c r="K1350" s="8">
        <v>-39012.653180000001</v>
      </c>
      <c r="L1350" s="8">
        <v>22958.16747</v>
      </c>
      <c r="M1350" s="9" t="str">
        <f>IF(A1350="",M1351,A1350)</f>
        <v>Ethiopia</v>
      </c>
      <c r="N1350" s="3" t="str">
        <f t="shared" si="43"/>
        <v>May-2020</v>
      </c>
    </row>
    <row r="1351" spans="1:14" x14ac:dyDescent="0.3">
      <c r="A1351" s="3" t="s">
        <v>120</v>
      </c>
      <c r="B1351" s="3" t="s">
        <v>121</v>
      </c>
      <c r="C1351" s="8">
        <v>2020</v>
      </c>
      <c r="D1351" s="8">
        <v>6</v>
      </c>
      <c r="E1351" s="3" t="str">
        <f t="shared" si="42"/>
        <v>June</v>
      </c>
      <c r="F1351" s="3" t="s">
        <v>8</v>
      </c>
      <c r="G1351" s="8">
        <v>51920.902090000003</v>
      </c>
      <c r="H1351" s="8">
        <v>51563.156999999999</v>
      </c>
      <c r="I1351" s="8">
        <v>-357.74509360000002</v>
      </c>
      <c r="J1351" s="8">
        <v>-9309.2738630000003</v>
      </c>
      <c r="K1351" s="8">
        <v>-41364.774559999998</v>
      </c>
      <c r="L1351" s="8">
        <v>26313.23256</v>
      </c>
      <c r="M1351" s="9" t="str">
        <f>IF(A1351="",M1352,A1351)</f>
        <v>Ethiopia</v>
      </c>
      <c r="N1351" s="3" t="str">
        <f t="shared" si="43"/>
        <v>Jun-2020</v>
      </c>
    </row>
    <row r="1352" spans="1:14" x14ac:dyDescent="0.3">
      <c r="A1352" s="3" t="s">
        <v>120</v>
      </c>
      <c r="B1352" s="3" t="s">
        <v>121</v>
      </c>
      <c r="C1352" s="8">
        <v>2020</v>
      </c>
      <c r="D1352" s="8">
        <v>7</v>
      </c>
      <c r="E1352" s="3" t="str">
        <f t="shared" si="42"/>
        <v>July</v>
      </c>
      <c r="F1352" s="3" t="s">
        <v>8</v>
      </c>
      <c r="G1352" s="8">
        <v>51991.313069999997</v>
      </c>
      <c r="H1352" s="8">
        <v>53778.642999999996</v>
      </c>
      <c r="I1352" s="8">
        <v>1787.329933</v>
      </c>
      <c r="J1352" s="8">
        <v>-7521.9439300000004</v>
      </c>
      <c r="K1352" s="8">
        <v>-42107.276460000001</v>
      </c>
      <c r="L1352" s="8">
        <v>32823.902540000003</v>
      </c>
      <c r="M1352" s="9" t="str">
        <f>IF(A1352="",M1353,A1352)</f>
        <v>Ethiopia</v>
      </c>
      <c r="N1352" s="3" t="str">
        <f t="shared" si="43"/>
        <v>Jul-2020</v>
      </c>
    </row>
    <row r="1353" spans="1:14" x14ac:dyDescent="0.3">
      <c r="A1353" s="3" t="s">
        <v>120</v>
      </c>
      <c r="B1353" s="3" t="s">
        <v>121</v>
      </c>
      <c r="C1353" s="8">
        <v>2020</v>
      </c>
      <c r="D1353" s="8">
        <v>8</v>
      </c>
      <c r="E1353" s="3" t="str">
        <f t="shared" si="42"/>
        <v>August</v>
      </c>
      <c r="F1353" s="3" t="s">
        <v>8</v>
      </c>
      <c r="G1353" s="8">
        <v>52206.316200000001</v>
      </c>
      <c r="H1353" s="8">
        <v>55870.228999999999</v>
      </c>
      <c r="I1353" s="8">
        <v>3663.9127990000002</v>
      </c>
      <c r="J1353" s="8">
        <v>-3858.0311310000002</v>
      </c>
      <c r="K1353" s="8">
        <v>-43369.562839999999</v>
      </c>
      <c r="L1353" s="8">
        <v>36959.104339999998</v>
      </c>
      <c r="M1353" s="9" t="str">
        <f>IF(A1353="",M1354,A1353)</f>
        <v>Ethiopia</v>
      </c>
      <c r="N1353" s="3" t="str">
        <f t="shared" si="43"/>
        <v>Aug-2020</v>
      </c>
    </row>
    <row r="1354" spans="1:14" x14ac:dyDescent="0.3">
      <c r="A1354" s="3" t="s">
        <v>120</v>
      </c>
      <c r="B1354" s="3" t="s">
        <v>121</v>
      </c>
      <c r="C1354" s="8">
        <v>2020</v>
      </c>
      <c r="D1354" s="8">
        <v>9</v>
      </c>
      <c r="E1354" s="3" t="str">
        <f t="shared" si="42"/>
        <v>September</v>
      </c>
      <c r="F1354" s="3" t="s">
        <v>8</v>
      </c>
      <c r="G1354" s="8">
        <v>52051.951569999997</v>
      </c>
      <c r="H1354" s="8">
        <v>55167.659</v>
      </c>
      <c r="I1354" s="8">
        <v>3115.7074299999999</v>
      </c>
      <c r="J1354" s="8">
        <v>-742.32370060000005</v>
      </c>
      <c r="K1354" s="8">
        <v>-41333.684399999998</v>
      </c>
      <c r="L1354" s="8">
        <v>44140.11148</v>
      </c>
      <c r="M1354" s="9" t="str">
        <f>IF(A1354="",M1355,A1354)</f>
        <v>Ethiopia</v>
      </c>
      <c r="N1354" s="3" t="str">
        <f t="shared" si="43"/>
        <v>Sep-2020</v>
      </c>
    </row>
    <row r="1355" spans="1:14" x14ac:dyDescent="0.3">
      <c r="A1355" s="3" t="s">
        <v>120</v>
      </c>
      <c r="B1355" s="3" t="s">
        <v>121</v>
      </c>
      <c r="C1355" s="8">
        <v>2020</v>
      </c>
      <c r="D1355" s="8">
        <v>10</v>
      </c>
      <c r="E1355" s="3" t="str">
        <f t="shared" si="42"/>
        <v>October</v>
      </c>
      <c r="F1355" s="3" t="s">
        <v>8</v>
      </c>
      <c r="G1355" s="8">
        <v>52097.94814</v>
      </c>
      <c r="H1355" s="8">
        <v>54855.476000000002</v>
      </c>
      <c r="I1355" s="8">
        <v>2757.5278619999999</v>
      </c>
      <c r="J1355" s="8">
        <v>2015.204162</v>
      </c>
      <c r="K1355" s="8">
        <v>-42727.316200000001</v>
      </c>
      <c r="L1355" s="8">
        <v>49499.579980000002</v>
      </c>
      <c r="M1355" s="9" t="str">
        <f>IF(A1355="",M1356,A1355)</f>
        <v>Ethiopia</v>
      </c>
      <c r="N1355" s="3" t="str">
        <f t="shared" si="43"/>
        <v>Oct-2020</v>
      </c>
    </row>
    <row r="1356" spans="1:14" x14ac:dyDescent="0.3">
      <c r="A1356" s="3" t="s">
        <v>120</v>
      </c>
      <c r="B1356" s="3" t="s">
        <v>121</v>
      </c>
      <c r="C1356" s="8">
        <v>2020</v>
      </c>
      <c r="D1356" s="8">
        <v>11</v>
      </c>
      <c r="E1356" s="3" t="str">
        <f t="shared" si="42"/>
        <v>November</v>
      </c>
      <c r="F1356" s="3" t="s">
        <v>8</v>
      </c>
      <c r="G1356" s="8">
        <v>52540.674749999998</v>
      </c>
      <c r="H1356" s="8">
        <v>54464.514000000003</v>
      </c>
      <c r="I1356" s="8">
        <v>1923.839252</v>
      </c>
      <c r="J1356" s="8">
        <v>3939.0434129999999</v>
      </c>
      <c r="K1356" s="8">
        <v>-41264.738420000001</v>
      </c>
      <c r="L1356" s="8">
        <v>53519.434280000001</v>
      </c>
      <c r="M1356" s="9" t="str">
        <f>IF(A1356="",M1357,A1356)</f>
        <v>Ethiopia</v>
      </c>
      <c r="N1356" s="3" t="str">
        <f t="shared" si="43"/>
        <v>Nov-2020</v>
      </c>
    </row>
    <row r="1357" spans="1:14" x14ac:dyDescent="0.3">
      <c r="A1357" s="3" t="s">
        <v>120</v>
      </c>
      <c r="B1357" s="3" t="s">
        <v>121</v>
      </c>
      <c r="C1357" s="8">
        <v>2020</v>
      </c>
      <c r="D1357" s="8">
        <v>12</v>
      </c>
      <c r="E1357" s="3" t="str">
        <f t="shared" si="42"/>
        <v>December</v>
      </c>
      <c r="F1357" s="3" t="s">
        <v>8</v>
      </c>
      <c r="G1357" s="8">
        <v>52407.724349999997</v>
      </c>
      <c r="H1357" s="8">
        <v>54270.99</v>
      </c>
      <c r="I1357" s="8">
        <v>1863.2656480000001</v>
      </c>
      <c r="J1357" s="8">
        <v>5802.3090609999999</v>
      </c>
      <c r="K1357" s="8">
        <v>-45514.374680000001</v>
      </c>
      <c r="L1357" s="8">
        <v>56510.570500000002</v>
      </c>
      <c r="M1357" s="9" t="str">
        <f>IF(A1357="",M1358,A1357)</f>
        <v>Ethiopia</v>
      </c>
      <c r="N1357" s="3" t="str">
        <f t="shared" si="43"/>
        <v>Dec-2020</v>
      </c>
    </row>
    <row r="1358" spans="1:14" x14ac:dyDescent="0.3">
      <c r="A1358" s="3" t="s">
        <v>120</v>
      </c>
      <c r="B1358" s="3" t="s">
        <v>121</v>
      </c>
      <c r="C1358" s="8">
        <v>2021</v>
      </c>
      <c r="D1358" s="8">
        <v>1</v>
      </c>
      <c r="E1358" s="3" t="str">
        <f t="shared" si="42"/>
        <v>January</v>
      </c>
      <c r="F1358" s="3" t="s">
        <v>8</v>
      </c>
      <c r="G1358" s="8">
        <v>52674.180500000002</v>
      </c>
      <c r="H1358" s="8">
        <v>54474.949000000001</v>
      </c>
      <c r="I1358" s="8">
        <v>1800.7685019999999</v>
      </c>
      <c r="J1358" s="8">
        <v>7603.0775629999998</v>
      </c>
      <c r="K1358" s="8">
        <v>-44995.673139999999</v>
      </c>
      <c r="L1358" s="8">
        <v>59024.337169999999</v>
      </c>
      <c r="M1358" s="9" t="str">
        <f>IF(A1358="",M1359,A1358)</f>
        <v>Ethiopia</v>
      </c>
      <c r="N1358" s="3" t="str">
        <f t="shared" si="43"/>
        <v>Jan-2021</v>
      </c>
    </row>
    <row r="1359" spans="1:14" x14ac:dyDescent="0.3">
      <c r="A1359" s="3" t="s">
        <v>120</v>
      </c>
      <c r="B1359" s="3" t="s">
        <v>121</v>
      </c>
      <c r="C1359" s="8">
        <v>2021</v>
      </c>
      <c r="D1359" s="8">
        <v>2</v>
      </c>
      <c r="E1359" s="3" t="str">
        <f t="shared" si="42"/>
        <v>February</v>
      </c>
      <c r="F1359" s="3" t="s">
        <v>8</v>
      </c>
      <c r="G1359" s="8">
        <v>52142.041279999998</v>
      </c>
      <c r="H1359" s="8">
        <v>55852.375999999997</v>
      </c>
      <c r="I1359" s="8">
        <v>3710.3347239999998</v>
      </c>
      <c r="J1359" s="8">
        <v>11313.41229</v>
      </c>
      <c r="K1359" s="8">
        <v>-41791.429300000003</v>
      </c>
      <c r="L1359" s="8">
        <v>69770.490909999993</v>
      </c>
      <c r="M1359" s="9" t="str">
        <f>IF(A1359="",M1360,A1359)</f>
        <v>Ethiopia</v>
      </c>
      <c r="N1359" s="3" t="str">
        <f t="shared" si="43"/>
        <v>Feb-2021</v>
      </c>
    </row>
    <row r="1360" spans="1:14" x14ac:dyDescent="0.3">
      <c r="A1360" s="3" t="s">
        <v>120</v>
      </c>
      <c r="B1360" s="3" t="s">
        <v>121</v>
      </c>
      <c r="C1360" s="8">
        <v>2021</v>
      </c>
      <c r="D1360" s="8">
        <v>3</v>
      </c>
      <c r="E1360" s="3" t="str">
        <f t="shared" si="42"/>
        <v>March</v>
      </c>
      <c r="F1360" s="3" t="s">
        <v>8</v>
      </c>
      <c r="G1360" s="8">
        <v>51543.49007</v>
      </c>
      <c r="H1360" s="8">
        <v>58590.587</v>
      </c>
      <c r="I1360" s="8">
        <v>7047.0969340000001</v>
      </c>
      <c r="J1360" s="8">
        <v>18360.50922</v>
      </c>
      <c r="K1360" s="8">
        <v>-38325.395900000003</v>
      </c>
      <c r="L1360" s="8">
        <v>76921.388219999993</v>
      </c>
      <c r="M1360" s="9" t="str">
        <f>IF(A1360="",M1361,A1360)</f>
        <v>Ethiopia</v>
      </c>
      <c r="N1360" s="3" t="str">
        <f t="shared" si="43"/>
        <v>Mar-2021</v>
      </c>
    </row>
    <row r="1361" spans="1:14" x14ac:dyDescent="0.3">
      <c r="A1361" s="3" t="s">
        <v>120</v>
      </c>
      <c r="B1361" s="3" t="s">
        <v>121</v>
      </c>
      <c r="C1361" s="8">
        <v>2021</v>
      </c>
      <c r="D1361" s="8">
        <v>4</v>
      </c>
      <c r="E1361" s="3" t="str">
        <f t="shared" si="42"/>
        <v>April</v>
      </c>
      <c r="F1361" s="3" t="s">
        <v>8</v>
      </c>
      <c r="G1361" s="8">
        <v>51756.979420000003</v>
      </c>
      <c r="H1361" s="8">
        <v>61782.73</v>
      </c>
      <c r="I1361" s="8">
        <v>10025.75058</v>
      </c>
      <c r="J1361" s="8">
        <v>28386.2598</v>
      </c>
      <c r="K1361" s="8">
        <v>-30119.095710000001</v>
      </c>
      <c r="L1361" s="8">
        <v>88933.153909999994</v>
      </c>
      <c r="M1361" s="9" t="str">
        <f>IF(A1361="",M1362,A1361)</f>
        <v>Ethiopia</v>
      </c>
      <c r="N1361" s="3" t="str">
        <f t="shared" si="43"/>
        <v>Apr-2021</v>
      </c>
    </row>
    <row r="1362" spans="1:14" x14ac:dyDescent="0.3">
      <c r="A1362" s="3" t="s">
        <v>120</v>
      </c>
      <c r="B1362" s="3" t="s">
        <v>121</v>
      </c>
      <c r="C1362" s="8">
        <v>2021</v>
      </c>
      <c r="D1362" s="8">
        <v>5</v>
      </c>
      <c r="E1362" s="3" t="str">
        <f t="shared" si="42"/>
        <v>May</v>
      </c>
      <c r="F1362" s="3" t="s">
        <v>8</v>
      </c>
      <c r="G1362" s="8">
        <v>51557.178469999999</v>
      </c>
      <c r="H1362" s="8">
        <v>56539.491999999998</v>
      </c>
      <c r="I1362" s="8">
        <v>4982.3135350000002</v>
      </c>
      <c r="J1362" s="8">
        <v>33368.573329999999</v>
      </c>
      <c r="K1362" s="8">
        <v>-25920.362550000002</v>
      </c>
      <c r="L1362" s="8">
        <v>96896.253119999994</v>
      </c>
      <c r="M1362" s="9" t="str">
        <f>IF(A1362="",M1363,A1362)</f>
        <v>Ethiopia</v>
      </c>
      <c r="N1362" s="3" t="str">
        <f t="shared" si="43"/>
        <v>May-2021</v>
      </c>
    </row>
    <row r="1363" spans="1:14" x14ac:dyDescent="0.3">
      <c r="A1363" s="3" t="s">
        <v>120</v>
      </c>
      <c r="B1363" s="3" t="s">
        <v>121</v>
      </c>
      <c r="C1363" s="8">
        <v>2021</v>
      </c>
      <c r="D1363" s="8">
        <v>6</v>
      </c>
      <c r="E1363" s="3" t="str">
        <f t="shared" si="42"/>
        <v>June</v>
      </c>
      <c r="F1363" s="3" t="s">
        <v>8</v>
      </c>
      <c r="G1363" s="8">
        <v>51811.164449999997</v>
      </c>
      <c r="H1363" s="8">
        <v>52898.326999999997</v>
      </c>
      <c r="I1363" s="8">
        <v>1087.1625529999999</v>
      </c>
      <c r="J1363" s="8">
        <v>34455.73588</v>
      </c>
      <c r="K1363" s="8">
        <v>-25971.55473</v>
      </c>
      <c r="L1363" s="8">
        <v>97936.005470000004</v>
      </c>
      <c r="M1363" s="9" t="str">
        <f>IF(A1363="",M1364,A1363)</f>
        <v>Ethiopia</v>
      </c>
      <c r="N1363" s="3" t="str">
        <f t="shared" si="43"/>
        <v>Jun-2021</v>
      </c>
    </row>
    <row r="1364" spans="1:14" x14ac:dyDescent="0.3">
      <c r="A1364" s="3" t="s">
        <v>120</v>
      </c>
      <c r="B1364" s="3" t="s">
        <v>121</v>
      </c>
      <c r="C1364" s="8">
        <v>2021</v>
      </c>
      <c r="D1364" s="8">
        <v>7</v>
      </c>
      <c r="E1364" s="3" t="str">
        <f t="shared" si="42"/>
        <v>July</v>
      </c>
      <c r="F1364" s="3" t="s">
        <v>8</v>
      </c>
      <c r="G1364" s="8">
        <v>51899.317770000001</v>
      </c>
      <c r="H1364" s="8">
        <v>51222.571000000004</v>
      </c>
      <c r="I1364" s="8">
        <v>-676.74677369999995</v>
      </c>
      <c r="J1364" s="8">
        <v>33778.989110000002</v>
      </c>
      <c r="K1364" s="8">
        <v>-26687.88034</v>
      </c>
      <c r="L1364" s="8">
        <v>97109.988289999994</v>
      </c>
      <c r="M1364" s="9" t="str">
        <f>IF(A1364="",M1365,A1364)</f>
        <v>Ethiopia</v>
      </c>
      <c r="N1364" s="3" t="str">
        <f t="shared" si="43"/>
        <v>Jul-2021</v>
      </c>
    </row>
    <row r="1365" spans="1:14" x14ac:dyDescent="0.3">
      <c r="A1365" s="3" t="s">
        <v>120</v>
      </c>
      <c r="B1365" s="3" t="s">
        <v>121</v>
      </c>
      <c r="C1365" s="8">
        <v>2021</v>
      </c>
      <c r="D1365" s="8">
        <v>8</v>
      </c>
      <c r="E1365" s="3" t="str">
        <f t="shared" si="42"/>
        <v>August</v>
      </c>
      <c r="F1365" s="3" t="s">
        <v>8</v>
      </c>
      <c r="G1365" s="8">
        <v>52081.440289999999</v>
      </c>
      <c r="H1365" s="8">
        <v>54836.461000000003</v>
      </c>
      <c r="I1365" s="8">
        <v>2755.0207150000001</v>
      </c>
      <c r="J1365" s="8">
        <v>36534.009830000003</v>
      </c>
      <c r="K1365" s="8">
        <v>-24133.773290000001</v>
      </c>
      <c r="L1365" s="8">
        <v>105305.09849999999</v>
      </c>
      <c r="M1365" s="9" t="str">
        <f>IF(A1365="",M1366,A1365)</f>
        <v>Ethiopia</v>
      </c>
      <c r="N1365" s="3" t="str">
        <f t="shared" si="43"/>
        <v>Aug-2021</v>
      </c>
    </row>
    <row r="1366" spans="1:14" x14ac:dyDescent="0.3">
      <c r="A1366" s="3" t="s">
        <v>120</v>
      </c>
      <c r="B1366" s="3" t="s">
        <v>121</v>
      </c>
      <c r="C1366" s="8">
        <v>2021</v>
      </c>
      <c r="D1366" s="8">
        <v>9</v>
      </c>
      <c r="E1366" s="3" t="str">
        <f t="shared" si="42"/>
        <v>September</v>
      </c>
      <c r="F1366" s="3" t="s">
        <v>8</v>
      </c>
      <c r="G1366" s="8">
        <v>51950.328079999999</v>
      </c>
      <c r="H1366" s="8">
        <v>58307.500999999997</v>
      </c>
      <c r="I1366" s="8">
        <v>6357.1729189999996</v>
      </c>
      <c r="J1366" s="8">
        <v>42891.182739999997</v>
      </c>
      <c r="K1366" s="8">
        <v>-21070.12991</v>
      </c>
      <c r="L1366" s="8">
        <v>112097.7022</v>
      </c>
      <c r="M1366" s="9" t="str">
        <f>IF(A1366="",M1367,A1366)</f>
        <v>Ethiopia</v>
      </c>
      <c r="N1366" s="3" t="str">
        <f t="shared" si="43"/>
        <v>Sep-2021</v>
      </c>
    </row>
    <row r="1367" spans="1:14" x14ac:dyDescent="0.3">
      <c r="A1367" s="3" t="s">
        <v>120</v>
      </c>
      <c r="B1367" s="3" t="s">
        <v>121</v>
      </c>
      <c r="C1367" s="8">
        <v>2021</v>
      </c>
      <c r="D1367" s="8">
        <v>10</v>
      </c>
      <c r="E1367" s="3" t="str">
        <f t="shared" si="42"/>
        <v>October</v>
      </c>
      <c r="F1367" s="3" t="s">
        <v>8</v>
      </c>
      <c r="G1367" s="8">
        <v>52000.708850000003</v>
      </c>
      <c r="H1367" s="8">
        <v>56018.766000000003</v>
      </c>
      <c r="I1367" s="8">
        <v>4018.0571530000002</v>
      </c>
      <c r="J1367" s="8">
        <v>46909.2399</v>
      </c>
      <c r="K1367" s="8">
        <v>-16668.66201</v>
      </c>
      <c r="L1367" s="8">
        <v>119643.58839999999</v>
      </c>
      <c r="M1367" s="9" t="str">
        <f>IF(A1367="",M1368,A1367)</f>
        <v>Ethiopia</v>
      </c>
      <c r="N1367" s="3" t="str">
        <f t="shared" si="43"/>
        <v>Oct-2021</v>
      </c>
    </row>
    <row r="1368" spans="1:14" x14ac:dyDescent="0.3">
      <c r="A1368" s="3" t="s">
        <v>120</v>
      </c>
      <c r="B1368" s="3" t="s">
        <v>121</v>
      </c>
      <c r="C1368" s="8">
        <v>2021</v>
      </c>
      <c r="D1368" s="8">
        <v>11</v>
      </c>
      <c r="E1368" s="3" t="str">
        <f t="shared" si="42"/>
        <v>November</v>
      </c>
      <c r="F1368" s="3" t="s">
        <v>8</v>
      </c>
      <c r="G1368" s="8">
        <v>52398.228660000001</v>
      </c>
      <c r="H1368" s="8">
        <v>54503.821000000004</v>
      </c>
      <c r="I1368" s="8">
        <v>2105.592341</v>
      </c>
      <c r="J1368" s="8">
        <v>49014.832240000003</v>
      </c>
      <c r="K1368" s="8">
        <v>-15380.39868</v>
      </c>
      <c r="L1368" s="8">
        <v>122802.9207</v>
      </c>
      <c r="M1368" s="9" t="str">
        <f>IF(A1368="",M1369,A1368)</f>
        <v>Ethiopia</v>
      </c>
      <c r="N1368" s="3" t="str">
        <f t="shared" si="43"/>
        <v>Nov-2021</v>
      </c>
    </row>
    <row r="1369" spans="1:14" x14ac:dyDescent="0.3">
      <c r="A1369" s="3" t="s">
        <v>120</v>
      </c>
      <c r="B1369" s="3" t="s">
        <v>121</v>
      </c>
      <c r="C1369" s="8">
        <v>2021</v>
      </c>
      <c r="D1369" s="8">
        <v>12</v>
      </c>
      <c r="E1369" s="3" t="str">
        <f t="shared" si="42"/>
        <v>December</v>
      </c>
      <c r="F1369" s="3" t="s">
        <v>8</v>
      </c>
      <c r="G1369" s="8">
        <v>52284.322260000001</v>
      </c>
      <c r="H1369" s="8">
        <v>55480.618000000002</v>
      </c>
      <c r="I1369" s="8">
        <v>3196.29574</v>
      </c>
      <c r="J1369" s="8">
        <v>52211.127979999997</v>
      </c>
      <c r="K1369" s="8">
        <v>-15628.08862</v>
      </c>
      <c r="L1369" s="8">
        <v>125842.9348</v>
      </c>
      <c r="M1369" s="9" t="str">
        <f>IF(A1369="",M1370,A1369)</f>
        <v>Ethiopia</v>
      </c>
      <c r="N1369" s="3" t="str">
        <f t="shared" si="43"/>
        <v>Dec-2021</v>
      </c>
    </row>
    <row r="1370" spans="1:14" x14ac:dyDescent="0.3">
      <c r="A1370" s="3" t="s">
        <v>122</v>
      </c>
      <c r="B1370" s="3" t="s">
        <v>123</v>
      </c>
      <c r="C1370" s="8">
        <v>2020</v>
      </c>
      <c r="D1370" s="8">
        <v>1</v>
      </c>
      <c r="E1370" s="3" t="str">
        <f t="shared" si="42"/>
        <v>January</v>
      </c>
      <c r="F1370" s="3" t="s">
        <v>13</v>
      </c>
      <c r="G1370" s="8">
        <v>5003.5441000000001</v>
      </c>
      <c r="H1370" s="8">
        <v>4685</v>
      </c>
      <c r="I1370" s="8">
        <v>-318.6274335</v>
      </c>
      <c r="J1370" s="8">
        <v>-318.6274335</v>
      </c>
      <c r="K1370" s="8">
        <v>-454.93660399999999</v>
      </c>
      <c r="L1370" s="8">
        <v>-180.9419978</v>
      </c>
      <c r="M1370" s="9" t="str">
        <f>IF(A1370="",M1371,A1370)</f>
        <v>Finland</v>
      </c>
      <c r="N1370" s="3" t="str">
        <f t="shared" si="43"/>
        <v>Jan-2020</v>
      </c>
    </row>
    <row r="1371" spans="1:14" x14ac:dyDescent="0.3">
      <c r="A1371" s="3" t="s">
        <v>122</v>
      </c>
      <c r="B1371" s="3" t="s">
        <v>123</v>
      </c>
      <c r="C1371" s="8">
        <v>2020</v>
      </c>
      <c r="D1371" s="8">
        <v>2</v>
      </c>
      <c r="E1371" s="3" t="str">
        <f t="shared" si="42"/>
        <v>February</v>
      </c>
      <c r="F1371" s="3" t="s">
        <v>13</v>
      </c>
      <c r="G1371" s="8">
        <v>4632.5267190000004</v>
      </c>
      <c r="H1371" s="8">
        <v>4511</v>
      </c>
      <c r="I1371" s="8">
        <v>-121.6100526</v>
      </c>
      <c r="J1371" s="8">
        <v>-440.23748610000001</v>
      </c>
      <c r="K1371" s="8">
        <v>-654.95811809999998</v>
      </c>
      <c r="L1371" s="8">
        <v>-225.6019311</v>
      </c>
      <c r="M1371" s="9" t="str">
        <f>IF(A1371="",M1372,A1371)</f>
        <v>Finland</v>
      </c>
      <c r="N1371" s="3" t="str">
        <f t="shared" si="43"/>
        <v>Feb-2020</v>
      </c>
    </row>
    <row r="1372" spans="1:14" x14ac:dyDescent="0.3">
      <c r="A1372" s="3" t="s">
        <v>122</v>
      </c>
      <c r="B1372" s="3" t="s">
        <v>123</v>
      </c>
      <c r="C1372" s="8">
        <v>2020</v>
      </c>
      <c r="D1372" s="8">
        <v>3</v>
      </c>
      <c r="E1372" s="3" t="str">
        <f t="shared" si="42"/>
        <v>March</v>
      </c>
      <c r="F1372" s="3" t="s">
        <v>13</v>
      </c>
      <c r="G1372" s="8">
        <v>4870.4144539999998</v>
      </c>
      <c r="H1372" s="8">
        <v>4908</v>
      </c>
      <c r="I1372" s="8">
        <v>37.502212540000002</v>
      </c>
      <c r="J1372" s="8">
        <v>-402.73527350000001</v>
      </c>
      <c r="K1372" s="8">
        <v>-691.49307650000003</v>
      </c>
      <c r="L1372" s="8">
        <v>-124.99409110000001</v>
      </c>
      <c r="M1372" s="9" t="str">
        <f>IF(A1372="",M1373,A1372)</f>
        <v>Finland</v>
      </c>
      <c r="N1372" s="3" t="str">
        <f t="shared" si="43"/>
        <v>Mar-2020</v>
      </c>
    </row>
    <row r="1373" spans="1:14" x14ac:dyDescent="0.3">
      <c r="A1373" s="3" t="s">
        <v>122</v>
      </c>
      <c r="B1373" s="3" t="s">
        <v>123</v>
      </c>
      <c r="C1373" s="8">
        <v>2020</v>
      </c>
      <c r="D1373" s="8">
        <v>4</v>
      </c>
      <c r="E1373" s="3" t="str">
        <f t="shared" si="42"/>
        <v>April</v>
      </c>
      <c r="F1373" s="3" t="s">
        <v>13</v>
      </c>
      <c r="G1373" s="8">
        <v>4592.0633619999999</v>
      </c>
      <c r="H1373" s="8">
        <v>4856</v>
      </c>
      <c r="I1373" s="8">
        <v>263.85330470000002</v>
      </c>
      <c r="J1373" s="8">
        <v>-138.88196880000001</v>
      </c>
      <c r="K1373" s="8">
        <v>-482.8415</v>
      </c>
      <c r="L1373" s="8">
        <v>184.98612550000001</v>
      </c>
      <c r="M1373" s="9" t="str">
        <f>IF(A1373="",M1374,A1373)</f>
        <v>Finland</v>
      </c>
      <c r="N1373" s="3" t="str">
        <f t="shared" si="43"/>
        <v>Apr-2020</v>
      </c>
    </row>
    <row r="1374" spans="1:14" x14ac:dyDescent="0.3">
      <c r="A1374" s="3" t="s">
        <v>122</v>
      </c>
      <c r="B1374" s="3" t="s">
        <v>123</v>
      </c>
      <c r="C1374" s="8">
        <v>2020</v>
      </c>
      <c r="D1374" s="8">
        <v>5</v>
      </c>
      <c r="E1374" s="3" t="str">
        <f t="shared" si="42"/>
        <v>May</v>
      </c>
      <c r="F1374" s="3" t="s">
        <v>13</v>
      </c>
      <c r="G1374" s="8">
        <v>4401.2150240000001</v>
      </c>
      <c r="H1374" s="8">
        <v>4610</v>
      </c>
      <c r="I1374" s="8">
        <v>208.7016429</v>
      </c>
      <c r="J1374" s="8">
        <v>69.819674140000004</v>
      </c>
      <c r="K1374" s="8">
        <v>-339.43243130000002</v>
      </c>
      <c r="L1374" s="8">
        <v>433.95925779999999</v>
      </c>
      <c r="M1374" s="9" t="str">
        <f>IF(A1374="",M1375,A1374)</f>
        <v>Finland</v>
      </c>
      <c r="N1374" s="3" t="str">
        <f t="shared" si="43"/>
        <v>May-2020</v>
      </c>
    </row>
    <row r="1375" spans="1:14" x14ac:dyDescent="0.3">
      <c r="A1375" s="3" t="s">
        <v>122</v>
      </c>
      <c r="B1375" s="3" t="s">
        <v>123</v>
      </c>
      <c r="C1375" s="8">
        <v>2020</v>
      </c>
      <c r="D1375" s="8">
        <v>6</v>
      </c>
      <c r="E1375" s="3" t="str">
        <f t="shared" si="42"/>
        <v>June</v>
      </c>
      <c r="F1375" s="3" t="s">
        <v>13</v>
      </c>
      <c r="G1375" s="8">
        <v>4195.503487</v>
      </c>
      <c r="H1375" s="8">
        <v>4361</v>
      </c>
      <c r="I1375" s="8">
        <v>165.41318000000001</v>
      </c>
      <c r="J1375" s="8">
        <v>235.2328541</v>
      </c>
      <c r="K1375" s="8">
        <v>-184.77911700000001</v>
      </c>
      <c r="L1375" s="8">
        <v>621.32388300000002</v>
      </c>
      <c r="M1375" s="9" t="str">
        <f>IF(A1375="",M1376,A1375)</f>
        <v>Finland</v>
      </c>
      <c r="N1375" s="3" t="str">
        <f t="shared" si="43"/>
        <v>Jun-2020</v>
      </c>
    </row>
    <row r="1376" spans="1:14" x14ac:dyDescent="0.3">
      <c r="A1376" s="3" t="s">
        <v>122</v>
      </c>
      <c r="B1376" s="3" t="s">
        <v>123</v>
      </c>
      <c r="C1376" s="8">
        <v>2020</v>
      </c>
      <c r="D1376" s="8">
        <v>7</v>
      </c>
      <c r="E1376" s="3" t="str">
        <f t="shared" si="42"/>
        <v>July</v>
      </c>
      <c r="F1376" s="3" t="s">
        <v>13</v>
      </c>
      <c r="G1376" s="8">
        <v>4281.1301000000003</v>
      </c>
      <c r="H1376" s="8">
        <v>4342</v>
      </c>
      <c r="I1376" s="8">
        <v>60.786566319999999</v>
      </c>
      <c r="J1376" s="8">
        <v>296.01942050000002</v>
      </c>
      <c r="K1376" s="8">
        <v>-161.92397919999999</v>
      </c>
      <c r="L1376" s="8">
        <v>712.46051150000005</v>
      </c>
      <c r="M1376" s="9" t="str">
        <f>IF(A1376="",M1377,A1376)</f>
        <v>Finland</v>
      </c>
      <c r="N1376" s="3" t="str">
        <f t="shared" si="43"/>
        <v>Jul-2020</v>
      </c>
    </row>
    <row r="1377" spans="1:14" x14ac:dyDescent="0.3">
      <c r="A1377" s="3" t="s">
        <v>122</v>
      </c>
      <c r="B1377" s="3" t="s">
        <v>123</v>
      </c>
      <c r="C1377" s="8">
        <v>2020</v>
      </c>
      <c r="D1377" s="8">
        <v>8</v>
      </c>
      <c r="E1377" s="3" t="str">
        <f t="shared" si="42"/>
        <v>August</v>
      </c>
      <c r="F1377" s="3" t="s">
        <v>13</v>
      </c>
      <c r="G1377" s="8">
        <v>4257.5538909999996</v>
      </c>
      <c r="H1377" s="8">
        <v>4356</v>
      </c>
      <c r="I1377" s="8">
        <v>98.362775189999994</v>
      </c>
      <c r="J1377" s="8">
        <v>394.38219559999999</v>
      </c>
      <c r="K1377" s="8">
        <v>-92.695419630000004</v>
      </c>
      <c r="L1377" s="8">
        <v>848.78107850000004</v>
      </c>
      <c r="M1377" s="9" t="str">
        <f>IF(A1377="",M1378,A1377)</f>
        <v>Finland</v>
      </c>
      <c r="N1377" s="3" t="str">
        <f t="shared" si="43"/>
        <v>Aug-2020</v>
      </c>
    </row>
    <row r="1378" spans="1:14" x14ac:dyDescent="0.3">
      <c r="A1378" s="3" t="s">
        <v>122</v>
      </c>
      <c r="B1378" s="3" t="s">
        <v>123</v>
      </c>
      <c r="C1378" s="8">
        <v>2020</v>
      </c>
      <c r="D1378" s="8">
        <v>9</v>
      </c>
      <c r="E1378" s="3" t="str">
        <f t="shared" si="42"/>
        <v>September</v>
      </c>
      <c r="F1378" s="3" t="s">
        <v>13</v>
      </c>
      <c r="G1378" s="8">
        <v>4275.3938010000002</v>
      </c>
      <c r="H1378" s="8">
        <v>4517</v>
      </c>
      <c r="I1378" s="8">
        <v>241.52286580000001</v>
      </c>
      <c r="J1378" s="8">
        <v>635.90506140000002</v>
      </c>
      <c r="K1378" s="8">
        <v>90.208336520000003</v>
      </c>
      <c r="L1378" s="8">
        <v>1092.404579</v>
      </c>
      <c r="M1378" s="9" t="str">
        <f>IF(A1378="",M1379,A1378)</f>
        <v>Finland</v>
      </c>
      <c r="N1378" s="3" t="str">
        <f t="shared" si="43"/>
        <v>Sep-2020</v>
      </c>
    </row>
    <row r="1379" spans="1:14" x14ac:dyDescent="0.3">
      <c r="A1379" s="3" t="s">
        <v>122</v>
      </c>
      <c r="B1379" s="3" t="s">
        <v>123</v>
      </c>
      <c r="C1379" s="8">
        <v>2020</v>
      </c>
      <c r="D1379" s="8">
        <v>10</v>
      </c>
      <c r="E1379" s="3" t="str">
        <f t="shared" si="42"/>
        <v>October</v>
      </c>
      <c r="F1379" s="3" t="s">
        <v>13</v>
      </c>
      <c r="G1379" s="8">
        <v>4551.0410689999999</v>
      </c>
      <c r="H1379" s="8">
        <v>4657</v>
      </c>
      <c r="I1379" s="8">
        <v>105.87559760000001</v>
      </c>
      <c r="J1379" s="8">
        <v>741.78065909999998</v>
      </c>
      <c r="K1379" s="8">
        <v>168.83277709999999</v>
      </c>
      <c r="L1379" s="8">
        <v>1239.7880950000001</v>
      </c>
      <c r="M1379" s="9" t="str">
        <f>IF(A1379="",M1380,A1379)</f>
        <v>Finland</v>
      </c>
      <c r="N1379" s="3" t="str">
        <f t="shared" si="43"/>
        <v>Oct-2020</v>
      </c>
    </row>
    <row r="1380" spans="1:14" x14ac:dyDescent="0.3">
      <c r="A1380" s="3" t="s">
        <v>122</v>
      </c>
      <c r="B1380" s="3" t="s">
        <v>123</v>
      </c>
      <c r="C1380" s="8">
        <v>2020</v>
      </c>
      <c r="D1380" s="8">
        <v>11</v>
      </c>
      <c r="E1380" s="3" t="str">
        <f t="shared" si="42"/>
        <v>November</v>
      </c>
      <c r="F1380" s="3" t="s">
        <v>13</v>
      </c>
      <c r="G1380" s="8">
        <v>4457.2333689999996</v>
      </c>
      <c r="H1380" s="8">
        <v>4617</v>
      </c>
      <c r="I1380" s="8">
        <v>159.68329729999999</v>
      </c>
      <c r="J1380" s="8">
        <v>901.46395640000003</v>
      </c>
      <c r="K1380" s="8">
        <v>305.66524049999998</v>
      </c>
      <c r="L1380" s="8">
        <v>1430.340872</v>
      </c>
      <c r="M1380" s="9" t="str">
        <f>IF(A1380="",M1381,A1380)</f>
        <v>Finland</v>
      </c>
      <c r="N1380" s="3" t="str">
        <f t="shared" si="43"/>
        <v>Nov-2020</v>
      </c>
    </row>
    <row r="1381" spans="1:14" x14ac:dyDescent="0.3">
      <c r="A1381" s="3" t="s">
        <v>122</v>
      </c>
      <c r="B1381" s="3" t="s">
        <v>123</v>
      </c>
      <c r="C1381" s="8">
        <v>2020</v>
      </c>
      <c r="D1381" s="8">
        <v>12</v>
      </c>
      <c r="E1381" s="3" t="str">
        <f t="shared" si="42"/>
        <v>December</v>
      </c>
      <c r="F1381" s="3" t="s">
        <v>13</v>
      </c>
      <c r="G1381" s="8">
        <v>5017.0949899999996</v>
      </c>
      <c r="H1381" s="8">
        <v>5015</v>
      </c>
      <c r="I1381" s="8">
        <v>-2.1783229569999998</v>
      </c>
      <c r="J1381" s="8">
        <v>899.28563340000005</v>
      </c>
      <c r="K1381" s="8">
        <v>289.35512490000002</v>
      </c>
      <c r="L1381" s="8">
        <v>1454.3135239999999</v>
      </c>
      <c r="M1381" s="9" t="str">
        <f>IF(A1381="",M1382,A1381)</f>
        <v>Finland</v>
      </c>
      <c r="N1381" s="3" t="str">
        <f t="shared" si="43"/>
        <v>Dec-2020</v>
      </c>
    </row>
    <row r="1382" spans="1:14" x14ac:dyDescent="0.3">
      <c r="A1382" s="3" t="s">
        <v>122</v>
      </c>
      <c r="B1382" s="3" t="s">
        <v>123</v>
      </c>
      <c r="C1382" s="8">
        <v>2021</v>
      </c>
      <c r="D1382" s="8">
        <v>1</v>
      </c>
      <c r="E1382" s="3" t="str">
        <f t="shared" si="42"/>
        <v>January</v>
      </c>
      <c r="F1382" s="3" t="s">
        <v>13</v>
      </c>
      <c r="G1382" s="8">
        <v>5023.7521120000001</v>
      </c>
      <c r="H1382" s="8">
        <v>5101</v>
      </c>
      <c r="I1382" s="8">
        <v>77.164554980000005</v>
      </c>
      <c r="J1382" s="8">
        <v>976.4501884</v>
      </c>
      <c r="K1382" s="8">
        <v>370.27571519999998</v>
      </c>
      <c r="L1382" s="8">
        <v>1557.3709060000001</v>
      </c>
      <c r="M1382" s="9" t="str">
        <f>IF(A1382="",M1383,A1382)</f>
        <v>Finland</v>
      </c>
      <c r="N1382" s="3" t="str">
        <f t="shared" si="43"/>
        <v>Jan-2021</v>
      </c>
    </row>
    <row r="1383" spans="1:14" x14ac:dyDescent="0.3">
      <c r="A1383" s="3" t="s">
        <v>122</v>
      </c>
      <c r="B1383" s="3" t="s">
        <v>123</v>
      </c>
      <c r="C1383" s="8">
        <v>2021</v>
      </c>
      <c r="D1383" s="8">
        <v>2</v>
      </c>
      <c r="E1383" s="3" t="str">
        <f t="shared" si="42"/>
        <v>February</v>
      </c>
      <c r="F1383" s="3" t="s">
        <v>13</v>
      </c>
      <c r="G1383" s="8">
        <v>4657.8162259999999</v>
      </c>
      <c r="H1383" s="8">
        <v>4452</v>
      </c>
      <c r="I1383" s="8">
        <v>-205.89955929999999</v>
      </c>
      <c r="J1383" s="8">
        <v>770.55062910000004</v>
      </c>
      <c r="K1383" s="8">
        <v>130.4449802</v>
      </c>
      <c r="L1383" s="8">
        <v>1360.4921959999999</v>
      </c>
      <c r="M1383" s="9" t="str">
        <f>IF(A1383="",M1384,A1383)</f>
        <v>Finland</v>
      </c>
      <c r="N1383" s="3" t="str">
        <f t="shared" si="43"/>
        <v>Feb-2021</v>
      </c>
    </row>
    <row r="1384" spans="1:14" x14ac:dyDescent="0.3">
      <c r="A1384" s="3" t="s">
        <v>122</v>
      </c>
      <c r="B1384" s="3" t="s">
        <v>123</v>
      </c>
      <c r="C1384" s="8">
        <v>2021</v>
      </c>
      <c r="D1384" s="8">
        <v>3</v>
      </c>
      <c r="E1384" s="3" t="str">
        <f t="shared" si="42"/>
        <v>March</v>
      </c>
      <c r="F1384" s="3" t="s">
        <v>13</v>
      </c>
      <c r="G1384" s="8">
        <v>4897.0290969999996</v>
      </c>
      <c r="H1384" s="8">
        <v>4703</v>
      </c>
      <c r="I1384" s="8">
        <v>-194.1124307</v>
      </c>
      <c r="J1384" s="8">
        <v>576.43819840000003</v>
      </c>
      <c r="K1384" s="8">
        <v>-114.5324389</v>
      </c>
      <c r="L1384" s="8">
        <v>1225.5499649999999</v>
      </c>
      <c r="M1384" s="9" t="str">
        <f>IF(A1384="",M1385,A1384)</f>
        <v>Finland</v>
      </c>
      <c r="N1384" s="3" t="str">
        <f t="shared" si="43"/>
        <v>Mar-2021</v>
      </c>
    </row>
    <row r="1385" spans="1:14" x14ac:dyDescent="0.3">
      <c r="A1385" s="3" t="s">
        <v>122</v>
      </c>
      <c r="B1385" s="3" t="s">
        <v>123</v>
      </c>
      <c r="C1385" s="8">
        <v>2021</v>
      </c>
      <c r="D1385" s="8">
        <v>4</v>
      </c>
      <c r="E1385" s="3" t="str">
        <f t="shared" si="42"/>
        <v>April</v>
      </c>
      <c r="F1385" s="3" t="s">
        <v>13</v>
      </c>
      <c r="G1385" s="8">
        <v>4626.7543809999997</v>
      </c>
      <c r="H1385" s="8">
        <v>4466</v>
      </c>
      <c r="I1385" s="8">
        <v>-160.83771419999999</v>
      </c>
      <c r="J1385" s="8">
        <v>415.60048419999998</v>
      </c>
      <c r="K1385" s="8">
        <v>-269.53516960000002</v>
      </c>
      <c r="L1385" s="8">
        <v>1050.076867</v>
      </c>
      <c r="M1385" s="9" t="str">
        <f>IF(A1385="",M1386,A1385)</f>
        <v>Finland</v>
      </c>
      <c r="N1385" s="3" t="str">
        <f t="shared" si="43"/>
        <v>Apr-2021</v>
      </c>
    </row>
    <row r="1386" spans="1:14" x14ac:dyDescent="0.3">
      <c r="A1386" s="3" t="s">
        <v>122</v>
      </c>
      <c r="B1386" s="3" t="s">
        <v>123</v>
      </c>
      <c r="C1386" s="8">
        <v>2021</v>
      </c>
      <c r="D1386" s="8">
        <v>5</v>
      </c>
      <c r="E1386" s="3" t="str">
        <f t="shared" si="42"/>
        <v>May</v>
      </c>
      <c r="F1386" s="3" t="s">
        <v>13</v>
      </c>
      <c r="G1386" s="8">
        <v>4428.280017</v>
      </c>
      <c r="H1386" s="8">
        <v>4622</v>
      </c>
      <c r="I1386" s="8">
        <v>193.63664919999999</v>
      </c>
      <c r="J1386" s="8">
        <v>609.23713339999995</v>
      </c>
      <c r="K1386" s="8">
        <v>-100.9070474</v>
      </c>
      <c r="L1386" s="8">
        <v>1247.351324</v>
      </c>
      <c r="M1386" s="9" t="str">
        <f>IF(A1386="",M1387,A1386)</f>
        <v>Finland</v>
      </c>
      <c r="N1386" s="3" t="str">
        <f t="shared" si="43"/>
        <v>May-2021</v>
      </c>
    </row>
    <row r="1387" spans="1:14" x14ac:dyDescent="0.3">
      <c r="A1387" s="3" t="s">
        <v>122</v>
      </c>
      <c r="B1387" s="3" t="s">
        <v>123</v>
      </c>
      <c r="C1387" s="8">
        <v>2021</v>
      </c>
      <c r="D1387" s="8">
        <v>6</v>
      </c>
      <c r="E1387" s="3" t="str">
        <f t="shared" si="42"/>
        <v>June</v>
      </c>
      <c r="F1387" s="3" t="s">
        <v>13</v>
      </c>
      <c r="G1387" s="8">
        <v>4209.6642039999997</v>
      </c>
      <c r="H1387" s="8">
        <v>4371</v>
      </c>
      <c r="I1387" s="8">
        <v>161.2524626</v>
      </c>
      <c r="J1387" s="8">
        <v>770.48959600000001</v>
      </c>
      <c r="K1387" s="8">
        <v>34.296996999999998</v>
      </c>
      <c r="L1387" s="8">
        <v>1424.3174469999999</v>
      </c>
      <c r="M1387" s="9" t="str">
        <f>IF(A1387="",M1388,A1387)</f>
        <v>Finland</v>
      </c>
      <c r="N1387" s="3" t="str">
        <f t="shared" si="43"/>
        <v>Jun-2021</v>
      </c>
    </row>
    <row r="1388" spans="1:14" x14ac:dyDescent="0.3">
      <c r="A1388" s="3" t="s">
        <v>122</v>
      </c>
      <c r="B1388" s="3" t="s">
        <v>123</v>
      </c>
      <c r="C1388" s="8">
        <v>2021</v>
      </c>
      <c r="D1388" s="8">
        <v>7</v>
      </c>
      <c r="E1388" s="3" t="str">
        <f t="shared" si="42"/>
        <v>July</v>
      </c>
      <c r="F1388" s="3" t="s">
        <v>13</v>
      </c>
      <c r="G1388" s="8">
        <v>4307.1751160000003</v>
      </c>
      <c r="H1388" s="8">
        <v>4713</v>
      </c>
      <c r="I1388" s="8">
        <v>405.74155089999999</v>
      </c>
      <c r="J1388" s="8">
        <v>1176.231147</v>
      </c>
      <c r="K1388" s="8">
        <v>439.7294498</v>
      </c>
      <c r="L1388" s="8">
        <v>1846.001297</v>
      </c>
      <c r="M1388" s="9" t="str">
        <f>IF(A1388="",M1389,A1388)</f>
        <v>Finland</v>
      </c>
      <c r="N1388" s="3" t="str">
        <f t="shared" si="43"/>
        <v>Jul-2021</v>
      </c>
    </row>
    <row r="1389" spans="1:14" x14ac:dyDescent="0.3">
      <c r="A1389" s="3" t="s">
        <v>122</v>
      </c>
      <c r="B1389" s="3" t="s">
        <v>123</v>
      </c>
      <c r="C1389" s="8">
        <v>2021</v>
      </c>
      <c r="D1389" s="8">
        <v>8</v>
      </c>
      <c r="E1389" s="3" t="str">
        <f t="shared" si="42"/>
        <v>August</v>
      </c>
      <c r="F1389" s="3" t="s">
        <v>13</v>
      </c>
      <c r="G1389" s="8">
        <v>4284.0508339999997</v>
      </c>
      <c r="H1389" s="8">
        <v>4765</v>
      </c>
      <c r="I1389" s="8">
        <v>480.86583309999997</v>
      </c>
      <c r="J1389" s="8">
        <v>1657.09698</v>
      </c>
      <c r="K1389" s="8">
        <v>887.01455450000003</v>
      </c>
      <c r="L1389" s="8">
        <v>2411.0399640000001</v>
      </c>
      <c r="M1389" s="9" t="str">
        <f>IF(A1389="",M1390,A1389)</f>
        <v>Finland</v>
      </c>
      <c r="N1389" s="3" t="str">
        <f t="shared" si="43"/>
        <v>Aug-2021</v>
      </c>
    </row>
    <row r="1390" spans="1:14" x14ac:dyDescent="0.3">
      <c r="A1390" s="3" t="s">
        <v>122</v>
      </c>
      <c r="B1390" s="3" t="s">
        <v>123</v>
      </c>
      <c r="C1390" s="8">
        <v>2021</v>
      </c>
      <c r="D1390" s="8">
        <v>9</v>
      </c>
      <c r="E1390" s="3" t="str">
        <f t="shared" si="42"/>
        <v>September</v>
      </c>
      <c r="F1390" s="3" t="s">
        <v>13</v>
      </c>
      <c r="G1390" s="8">
        <v>4298.9185639999996</v>
      </c>
      <c r="H1390" s="8">
        <v>4752</v>
      </c>
      <c r="I1390" s="8">
        <v>452.99810280000003</v>
      </c>
      <c r="J1390" s="8">
        <v>2110.0950830000002</v>
      </c>
      <c r="K1390" s="8">
        <v>1292.180104</v>
      </c>
      <c r="L1390" s="8">
        <v>2880.7538530000002</v>
      </c>
      <c r="M1390" s="9" t="str">
        <f>IF(A1390="",M1391,A1390)</f>
        <v>Finland</v>
      </c>
      <c r="N1390" s="3" t="str">
        <f t="shared" si="43"/>
        <v>Sep-2021</v>
      </c>
    </row>
    <row r="1391" spans="1:14" x14ac:dyDescent="0.3">
      <c r="A1391" s="3" t="s">
        <v>122</v>
      </c>
      <c r="B1391" s="3" t="s">
        <v>123</v>
      </c>
      <c r="C1391" s="8">
        <v>2021</v>
      </c>
      <c r="D1391" s="8">
        <v>10</v>
      </c>
      <c r="E1391" s="3" t="str">
        <f t="shared" si="42"/>
        <v>October</v>
      </c>
      <c r="F1391" s="3" t="s">
        <v>13</v>
      </c>
      <c r="G1391" s="8">
        <v>4574.1951600000002</v>
      </c>
      <c r="H1391" s="8">
        <v>5140</v>
      </c>
      <c r="I1391" s="8">
        <v>565.72150639999995</v>
      </c>
      <c r="J1391" s="8">
        <v>2675.816589</v>
      </c>
      <c r="K1391" s="8">
        <v>1846.048286</v>
      </c>
      <c r="L1391" s="8">
        <v>3496.3911440000002</v>
      </c>
      <c r="M1391" s="9" t="str">
        <f>IF(A1391="",M1392,A1391)</f>
        <v>Finland</v>
      </c>
      <c r="N1391" s="3" t="str">
        <f t="shared" si="43"/>
        <v>Oct-2021</v>
      </c>
    </row>
    <row r="1392" spans="1:14" x14ac:dyDescent="0.3">
      <c r="A1392" s="3" t="s">
        <v>122</v>
      </c>
      <c r="B1392" s="3" t="s">
        <v>123</v>
      </c>
      <c r="C1392" s="8">
        <v>2021</v>
      </c>
      <c r="D1392" s="8">
        <v>11</v>
      </c>
      <c r="E1392" s="3" t="str">
        <f t="shared" si="42"/>
        <v>November</v>
      </c>
      <c r="F1392" s="3" t="s">
        <v>13</v>
      </c>
      <c r="G1392" s="8">
        <v>4483.1835149999997</v>
      </c>
      <c r="H1392" s="8">
        <v>5023</v>
      </c>
      <c r="I1392" s="8">
        <v>539.73315130000003</v>
      </c>
      <c r="J1392" s="8">
        <v>3215.5497409999998</v>
      </c>
      <c r="K1392" s="8">
        <v>2388.2184120000002</v>
      </c>
      <c r="L1392" s="8">
        <v>4076.8811310000001</v>
      </c>
      <c r="M1392" s="9" t="str">
        <f>IF(A1392="",M1393,A1392)</f>
        <v>Finland</v>
      </c>
      <c r="N1392" s="3" t="str">
        <f t="shared" si="43"/>
        <v>Nov-2021</v>
      </c>
    </row>
    <row r="1393" spans="1:14" x14ac:dyDescent="0.3">
      <c r="A1393" s="3" t="s">
        <v>122</v>
      </c>
      <c r="B1393" s="3" t="s">
        <v>123</v>
      </c>
      <c r="C1393" s="8">
        <v>2021</v>
      </c>
      <c r="D1393" s="8">
        <v>12</v>
      </c>
      <c r="E1393" s="3" t="str">
        <f t="shared" si="42"/>
        <v>December</v>
      </c>
      <c r="F1393" s="3" t="s">
        <v>13</v>
      </c>
      <c r="G1393" s="8">
        <v>5043.158684</v>
      </c>
      <c r="H1393" s="8">
        <v>5595</v>
      </c>
      <c r="I1393" s="8">
        <v>551.75798220000001</v>
      </c>
      <c r="J1393" s="8">
        <v>3767.3077229999999</v>
      </c>
      <c r="K1393" s="8">
        <v>2945.5593909999998</v>
      </c>
      <c r="L1393" s="8">
        <v>4590.0311750000001</v>
      </c>
      <c r="M1393" s="9" t="str">
        <f>IF(A1393="",M1394,A1393)</f>
        <v>Finland</v>
      </c>
      <c r="N1393" s="3" t="str">
        <f t="shared" si="43"/>
        <v>Dec-2021</v>
      </c>
    </row>
    <row r="1394" spans="1:14" x14ac:dyDescent="0.3">
      <c r="A1394" s="3" t="s">
        <v>124</v>
      </c>
      <c r="B1394" s="3" t="s">
        <v>125</v>
      </c>
      <c r="C1394" s="8">
        <v>2020</v>
      </c>
      <c r="D1394" s="8">
        <v>1</v>
      </c>
      <c r="E1394" s="3" t="str">
        <f t="shared" si="42"/>
        <v>January</v>
      </c>
      <c r="F1394" s="3" t="s">
        <v>8</v>
      </c>
      <c r="G1394" s="8">
        <v>601.56706489999999</v>
      </c>
      <c r="H1394" s="8">
        <v>593.85799999999995</v>
      </c>
      <c r="I1394" s="8">
        <v>-7.7090649429999996</v>
      </c>
      <c r="J1394" s="8">
        <v>-7.7090649429999996</v>
      </c>
      <c r="K1394" s="8">
        <v>-155.6741778</v>
      </c>
      <c r="L1394" s="8">
        <v>174.7549941</v>
      </c>
      <c r="M1394" s="9" t="str">
        <f>IF(A1394="",M1395,A1394)</f>
        <v>Fiji</v>
      </c>
      <c r="N1394" s="3" t="str">
        <f t="shared" si="43"/>
        <v>Jan-2020</v>
      </c>
    </row>
    <row r="1395" spans="1:14" x14ac:dyDescent="0.3">
      <c r="A1395" s="3" t="s">
        <v>124</v>
      </c>
      <c r="B1395" s="3" t="s">
        <v>125</v>
      </c>
      <c r="C1395" s="8">
        <v>2020</v>
      </c>
      <c r="D1395" s="8">
        <v>2</v>
      </c>
      <c r="E1395" s="3" t="str">
        <f t="shared" si="42"/>
        <v>February</v>
      </c>
      <c r="F1395" s="3" t="s">
        <v>8</v>
      </c>
      <c r="G1395" s="8">
        <v>599.44655569999998</v>
      </c>
      <c r="H1395" s="8">
        <v>579.50800000000004</v>
      </c>
      <c r="I1395" s="8">
        <v>-19.93855568</v>
      </c>
      <c r="J1395" s="8">
        <v>-27.647620620000001</v>
      </c>
      <c r="K1395" s="8">
        <v>-240.69221669999999</v>
      </c>
      <c r="L1395" s="8">
        <v>213.89903519999999</v>
      </c>
      <c r="M1395" s="9" t="str">
        <f>IF(A1395="",M1396,A1395)</f>
        <v>Fiji</v>
      </c>
      <c r="N1395" s="3" t="str">
        <f t="shared" si="43"/>
        <v>Feb-2020</v>
      </c>
    </row>
    <row r="1396" spans="1:14" x14ac:dyDescent="0.3">
      <c r="A1396" s="3" t="s">
        <v>124</v>
      </c>
      <c r="B1396" s="3" t="s">
        <v>125</v>
      </c>
      <c r="C1396" s="8">
        <v>2020</v>
      </c>
      <c r="D1396" s="8">
        <v>3</v>
      </c>
      <c r="E1396" s="3" t="str">
        <f t="shared" si="42"/>
        <v>March</v>
      </c>
      <c r="F1396" s="3" t="s">
        <v>8</v>
      </c>
      <c r="G1396" s="8">
        <v>599.57804880000003</v>
      </c>
      <c r="H1396" s="8">
        <v>580.15300000000002</v>
      </c>
      <c r="I1396" s="8">
        <v>-19.425048839999999</v>
      </c>
      <c r="J1396" s="8">
        <v>-47.07266946</v>
      </c>
      <c r="K1396" s="8">
        <v>-318.2942481</v>
      </c>
      <c r="L1396" s="8">
        <v>229.21620390000001</v>
      </c>
      <c r="M1396" s="9" t="str">
        <f>IF(A1396="",M1397,A1396)</f>
        <v>Fiji</v>
      </c>
      <c r="N1396" s="3" t="str">
        <f t="shared" si="43"/>
        <v>Mar-2020</v>
      </c>
    </row>
    <row r="1397" spans="1:14" x14ac:dyDescent="0.3">
      <c r="A1397" s="3" t="s">
        <v>124</v>
      </c>
      <c r="B1397" s="3" t="s">
        <v>125</v>
      </c>
      <c r="C1397" s="8">
        <v>2020</v>
      </c>
      <c r="D1397" s="8">
        <v>4</v>
      </c>
      <c r="E1397" s="3" t="str">
        <f t="shared" si="42"/>
        <v>April</v>
      </c>
      <c r="F1397" s="3" t="s">
        <v>8</v>
      </c>
      <c r="G1397" s="8">
        <v>600.78362630000004</v>
      </c>
      <c r="H1397" s="8">
        <v>542.09</v>
      </c>
      <c r="I1397" s="8">
        <v>-58.693626299999998</v>
      </c>
      <c r="J1397" s="8">
        <v>-105.76629579999999</v>
      </c>
      <c r="K1397" s="8">
        <v>-429.84887930000002</v>
      </c>
      <c r="L1397" s="8">
        <v>248.0014846</v>
      </c>
      <c r="M1397" s="9" t="str">
        <f>IF(A1397="",M1398,A1397)</f>
        <v>Fiji</v>
      </c>
      <c r="N1397" s="3" t="str">
        <f t="shared" si="43"/>
        <v>Apr-2020</v>
      </c>
    </row>
    <row r="1398" spans="1:14" x14ac:dyDescent="0.3">
      <c r="A1398" s="3" t="s">
        <v>124</v>
      </c>
      <c r="B1398" s="3" t="s">
        <v>125</v>
      </c>
      <c r="C1398" s="8">
        <v>2020</v>
      </c>
      <c r="D1398" s="8">
        <v>5</v>
      </c>
      <c r="E1398" s="3" t="str">
        <f t="shared" si="42"/>
        <v>May</v>
      </c>
      <c r="F1398" s="3" t="s">
        <v>8</v>
      </c>
      <c r="G1398" s="8">
        <v>606.46009330000004</v>
      </c>
      <c r="H1398" s="8">
        <v>588.93299999999999</v>
      </c>
      <c r="I1398" s="8">
        <v>-17.52709325</v>
      </c>
      <c r="J1398" s="8">
        <v>-123.293389</v>
      </c>
      <c r="K1398" s="8">
        <v>-498.52196229999998</v>
      </c>
      <c r="L1398" s="8">
        <v>244.37711820000001</v>
      </c>
      <c r="M1398" s="9" t="str">
        <f>IF(A1398="",M1399,A1398)</f>
        <v>Fiji</v>
      </c>
      <c r="N1398" s="3" t="str">
        <f t="shared" si="43"/>
        <v>May-2020</v>
      </c>
    </row>
    <row r="1399" spans="1:14" x14ac:dyDescent="0.3">
      <c r="A1399" s="3" t="s">
        <v>124</v>
      </c>
      <c r="B1399" s="3" t="s">
        <v>125</v>
      </c>
      <c r="C1399" s="8">
        <v>2020</v>
      </c>
      <c r="D1399" s="8">
        <v>6</v>
      </c>
      <c r="E1399" s="3" t="str">
        <f t="shared" si="42"/>
        <v>June</v>
      </c>
      <c r="F1399" s="3" t="s">
        <v>8</v>
      </c>
      <c r="G1399" s="8">
        <v>607.92272509999998</v>
      </c>
      <c r="H1399" s="8">
        <v>630.18399999999997</v>
      </c>
      <c r="I1399" s="8">
        <v>22.26127486</v>
      </c>
      <c r="J1399" s="8">
        <v>-101.0321142</v>
      </c>
      <c r="K1399" s="8">
        <v>-526.92433689999996</v>
      </c>
      <c r="L1399" s="8">
        <v>306.62293949999997</v>
      </c>
      <c r="M1399" s="9" t="str">
        <f>IF(A1399="",M1400,A1399)</f>
        <v>Fiji</v>
      </c>
      <c r="N1399" s="3" t="str">
        <f t="shared" si="43"/>
        <v>Jun-2020</v>
      </c>
    </row>
    <row r="1400" spans="1:14" x14ac:dyDescent="0.3">
      <c r="A1400" s="3" t="s">
        <v>124</v>
      </c>
      <c r="B1400" s="3" t="s">
        <v>125</v>
      </c>
      <c r="C1400" s="8">
        <v>2020</v>
      </c>
      <c r="D1400" s="8">
        <v>7</v>
      </c>
      <c r="E1400" s="3" t="str">
        <f t="shared" si="42"/>
        <v>July</v>
      </c>
      <c r="F1400" s="3" t="s">
        <v>8</v>
      </c>
      <c r="G1400" s="8">
        <v>610.82980090000001</v>
      </c>
      <c r="H1400" s="8">
        <v>645.65099999999995</v>
      </c>
      <c r="I1400" s="8">
        <v>34.821199059999998</v>
      </c>
      <c r="J1400" s="8">
        <v>-66.21091509</v>
      </c>
      <c r="K1400" s="8">
        <v>-518.36924590000001</v>
      </c>
      <c r="L1400" s="8">
        <v>384.70022970000002</v>
      </c>
      <c r="M1400" s="9" t="str">
        <f>IF(A1400="",M1401,A1400)</f>
        <v>Fiji</v>
      </c>
      <c r="N1400" s="3" t="str">
        <f t="shared" si="43"/>
        <v>Jul-2020</v>
      </c>
    </row>
    <row r="1401" spans="1:14" x14ac:dyDescent="0.3">
      <c r="A1401" s="3" t="s">
        <v>124</v>
      </c>
      <c r="B1401" s="3" t="s">
        <v>125</v>
      </c>
      <c r="C1401" s="8">
        <v>2020</v>
      </c>
      <c r="D1401" s="8">
        <v>8</v>
      </c>
      <c r="E1401" s="3" t="str">
        <f t="shared" si="42"/>
        <v>August</v>
      </c>
      <c r="F1401" s="3" t="s">
        <v>8</v>
      </c>
      <c r="G1401" s="8">
        <v>609.12149460000001</v>
      </c>
      <c r="H1401" s="8">
        <v>677.87900000000002</v>
      </c>
      <c r="I1401" s="8">
        <v>68.757505420000001</v>
      </c>
      <c r="J1401" s="8">
        <v>2.5465903249999999</v>
      </c>
      <c r="K1401" s="8">
        <v>-484.0169009</v>
      </c>
      <c r="L1401" s="8">
        <v>487.4244281</v>
      </c>
      <c r="M1401" s="9" t="str">
        <f>IF(A1401="",M1402,A1401)</f>
        <v>Fiji</v>
      </c>
      <c r="N1401" s="3" t="str">
        <f t="shared" si="43"/>
        <v>Aug-2020</v>
      </c>
    </row>
    <row r="1402" spans="1:14" x14ac:dyDescent="0.3">
      <c r="A1402" s="3" t="s">
        <v>124</v>
      </c>
      <c r="B1402" s="3" t="s">
        <v>125</v>
      </c>
      <c r="C1402" s="8">
        <v>2020</v>
      </c>
      <c r="D1402" s="8">
        <v>9</v>
      </c>
      <c r="E1402" s="3" t="str">
        <f t="shared" si="42"/>
        <v>September</v>
      </c>
      <c r="F1402" s="3" t="s">
        <v>8</v>
      </c>
      <c r="G1402" s="8">
        <v>609.81102280000005</v>
      </c>
      <c r="H1402" s="8">
        <v>647.54999999999995</v>
      </c>
      <c r="I1402" s="8">
        <v>37.738977169999998</v>
      </c>
      <c r="J1402" s="8">
        <v>40.285567489999998</v>
      </c>
      <c r="K1402" s="8">
        <v>-480.31452530000001</v>
      </c>
      <c r="L1402" s="8">
        <v>567.58570220000001</v>
      </c>
      <c r="M1402" s="9" t="str">
        <f>IF(A1402="",M1403,A1402)</f>
        <v>Fiji</v>
      </c>
      <c r="N1402" s="3" t="str">
        <f t="shared" si="43"/>
        <v>Sep-2020</v>
      </c>
    </row>
    <row r="1403" spans="1:14" x14ac:dyDescent="0.3">
      <c r="A1403" s="3" t="s">
        <v>124</v>
      </c>
      <c r="B1403" s="3" t="s">
        <v>125</v>
      </c>
      <c r="C1403" s="8">
        <v>2020</v>
      </c>
      <c r="D1403" s="8">
        <v>10</v>
      </c>
      <c r="E1403" s="3" t="str">
        <f t="shared" si="42"/>
        <v>October</v>
      </c>
      <c r="F1403" s="3" t="s">
        <v>8</v>
      </c>
      <c r="G1403" s="8">
        <v>606.36206019999997</v>
      </c>
      <c r="H1403" s="8">
        <v>623.74699999999996</v>
      </c>
      <c r="I1403" s="8">
        <v>17.384939849999999</v>
      </c>
      <c r="J1403" s="8">
        <v>57.67050734</v>
      </c>
      <c r="K1403" s="8">
        <v>-509.42208160000001</v>
      </c>
      <c r="L1403" s="8">
        <v>636.62245640000003</v>
      </c>
      <c r="M1403" s="9" t="str">
        <f>IF(A1403="",M1404,A1403)</f>
        <v>Fiji</v>
      </c>
      <c r="N1403" s="3" t="str">
        <f t="shared" si="43"/>
        <v>Oct-2020</v>
      </c>
    </row>
    <row r="1404" spans="1:14" x14ac:dyDescent="0.3">
      <c r="A1404" s="3" t="s">
        <v>124</v>
      </c>
      <c r="B1404" s="3" t="s">
        <v>125</v>
      </c>
      <c r="C1404" s="8">
        <v>2020</v>
      </c>
      <c r="D1404" s="8">
        <v>11</v>
      </c>
      <c r="E1404" s="3" t="str">
        <f t="shared" si="42"/>
        <v>November</v>
      </c>
      <c r="F1404" s="3" t="s">
        <v>8</v>
      </c>
      <c r="G1404" s="8">
        <v>603.58627969999998</v>
      </c>
      <c r="H1404" s="8">
        <v>617.18499999999995</v>
      </c>
      <c r="I1404" s="8">
        <v>13.59872026</v>
      </c>
      <c r="J1404" s="8">
        <v>71.269227599999994</v>
      </c>
      <c r="K1404" s="8">
        <v>-528.74779769999998</v>
      </c>
      <c r="L1404" s="8">
        <v>666.93644429999995</v>
      </c>
      <c r="M1404" s="9" t="str">
        <f>IF(A1404="",M1405,A1404)</f>
        <v>Fiji</v>
      </c>
      <c r="N1404" s="3" t="str">
        <f t="shared" si="43"/>
        <v>Nov-2020</v>
      </c>
    </row>
    <row r="1405" spans="1:14" x14ac:dyDescent="0.3">
      <c r="A1405" s="3" t="s">
        <v>124</v>
      </c>
      <c r="B1405" s="3" t="s">
        <v>125</v>
      </c>
      <c r="C1405" s="8">
        <v>2020</v>
      </c>
      <c r="D1405" s="8">
        <v>12</v>
      </c>
      <c r="E1405" s="3" t="str">
        <f t="shared" si="42"/>
        <v>December</v>
      </c>
      <c r="F1405" s="3" t="s">
        <v>8</v>
      </c>
      <c r="G1405" s="8">
        <v>601.72075810000001</v>
      </c>
      <c r="H1405" s="8">
        <v>608.21600000000001</v>
      </c>
      <c r="I1405" s="8">
        <v>6.4952418769999998</v>
      </c>
      <c r="J1405" s="8">
        <v>77.764469480000002</v>
      </c>
      <c r="K1405" s="8">
        <v>-538.03413420000004</v>
      </c>
      <c r="L1405" s="8">
        <v>690.38932890000001</v>
      </c>
      <c r="M1405" s="9" t="str">
        <f>IF(A1405="",M1406,A1405)</f>
        <v>Fiji</v>
      </c>
      <c r="N1405" s="3" t="str">
        <f t="shared" si="43"/>
        <v>Dec-2020</v>
      </c>
    </row>
    <row r="1406" spans="1:14" x14ac:dyDescent="0.3">
      <c r="A1406" s="3" t="s">
        <v>124</v>
      </c>
      <c r="B1406" s="3" t="s">
        <v>125</v>
      </c>
      <c r="C1406" s="8">
        <v>2021</v>
      </c>
      <c r="D1406" s="8">
        <v>1</v>
      </c>
      <c r="E1406" s="3" t="str">
        <f t="shared" si="42"/>
        <v>January</v>
      </c>
      <c r="F1406" s="3" t="s">
        <v>8</v>
      </c>
      <c r="G1406" s="8">
        <v>613.63211409999997</v>
      </c>
      <c r="H1406" s="8">
        <v>620.55799999999999</v>
      </c>
      <c r="I1406" s="8">
        <v>6.9258858700000001</v>
      </c>
      <c r="J1406" s="8">
        <v>84.690355350000004</v>
      </c>
      <c r="K1406" s="8">
        <v>-560.25296230000004</v>
      </c>
      <c r="L1406" s="8">
        <v>738.84573850000004</v>
      </c>
      <c r="M1406" s="9" t="str">
        <f>IF(A1406="",M1407,A1406)</f>
        <v>Fiji</v>
      </c>
      <c r="N1406" s="3" t="str">
        <f t="shared" si="43"/>
        <v>Jan-2021</v>
      </c>
    </row>
    <row r="1407" spans="1:14" x14ac:dyDescent="0.3">
      <c r="A1407" s="3" t="s">
        <v>124</v>
      </c>
      <c r="B1407" s="3" t="s">
        <v>125</v>
      </c>
      <c r="C1407" s="8">
        <v>2021</v>
      </c>
      <c r="D1407" s="8">
        <v>2</v>
      </c>
      <c r="E1407" s="3" t="str">
        <f t="shared" si="42"/>
        <v>February</v>
      </c>
      <c r="F1407" s="3" t="s">
        <v>8</v>
      </c>
      <c r="G1407" s="8">
        <v>611.15330110000002</v>
      </c>
      <c r="H1407" s="8">
        <v>618.20600000000002</v>
      </c>
      <c r="I1407" s="8">
        <v>7.0526989269999998</v>
      </c>
      <c r="J1407" s="8">
        <v>91.743054270000002</v>
      </c>
      <c r="K1407" s="8">
        <v>-575.58692910000002</v>
      </c>
      <c r="L1407" s="8">
        <v>763.55716389999998</v>
      </c>
      <c r="M1407" s="9" t="str">
        <f>IF(A1407="",M1408,A1407)</f>
        <v>Fiji</v>
      </c>
      <c r="N1407" s="3" t="str">
        <f t="shared" si="43"/>
        <v>Feb-2021</v>
      </c>
    </row>
    <row r="1408" spans="1:14" x14ac:dyDescent="0.3">
      <c r="A1408" s="3" t="s">
        <v>124</v>
      </c>
      <c r="B1408" s="3" t="s">
        <v>125</v>
      </c>
      <c r="C1408" s="8">
        <v>2021</v>
      </c>
      <c r="D1408" s="8">
        <v>3</v>
      </c>
      <c r="E1408" s="3" t="str">
        <f t="shared" si="42"/>
        <v>March</v>
      </c>
      <c r="F1408" s="3" t="s">
        <v>8</v>
      </c>
      <c r="G1408" s="8">
        <v>611.76171250000004</v>
      </c>
      <c r="H1408" s="8">
        <v>611.04700000000003</v>
      </c>
      <c r="I1408" s="8">
        <v>-0.71471253499999998</v>
      </c>
      <c r="J1408" s="8">
        <v>91.028341740000002</v>
      </c>
      <c r="K1408" s="8">
        <v>-575.01438380000002</v>
      </c>
      <c r="L1408" s="8">
        <v>820.84920320000003</v>
      </c>
      <c r="M1408" s="9" t="str">
        <f>IF(A1408="",M1409,A1408)</f>
        <v>Fiji</v>
      </c>
      <c r="N1408" s="3" t="str">
        <f t="shared" si="43"/>
        <v>Mar-2021</v>
      </c>
    </row>
    <row r="1409" spans="1:14" x14ac:dyDescent="0.3">
      <c r="A1409" s="3" t="s">
        <v>124</v>
      </c>
      <c r="B1409" s="3" t="s">
        <v>125</v>
      </c>
      <c r="C1409" s="8">
        <v>2021</v>
      </c>
      <c r="D1409" s="8">
        <v>4</v>
      </c>
      <c r="E1409" s="3" t="str">
        <f t="shared" si="42"/>
        <v>April</v>
      </c>
      <c r="F1409" s="3" t="s">
        <v>8</v>
      </c>
      <c r="G1409" s="8">
        <v>612.55208800000003</v>
      </c>
      <c r="H1409" s="8">
        <v>601.16499999999996</v>
      </c>
      <c r="I1409" s="8">
        <v>-11.387088029999999</v>
      </c>
      <c r="J1409" s="8">
        <v>79.641253710000001</v>
      </c>
      <c r="K1409" s="8">
        <v>-631.22286250000002</v>
      </c>
      <c r="L1409" s="8">
        <v>821.44702340000003</v>
      </c>
      <c r="M1409" s="9" t="str">
        <f>IF(A1409="",M1410,A1409)</f>
        <v>Fiji</v>
      </c>
      <c r="N1409" s="3" t="str">
        <f t="shared" si="43"/>
        <v>Apr-2021</v>
      </c>
    </row>
    <row r="1410" spans="1:14" x14ac:dyDescent="0.3">
      <c r="A1410" s="3" t="s">
        <v>124</v>
      </c>
      <c r="B1410" s="3" t="s">
        <v>125</v>
      </c>
      <c r="C1410" s="8">
        <v>2021</v>
      </c>
      <c r="D1410" s="8">
        <v>5</v>
      </c>
      <c r="E1410" s="3" t="str">
        <f t="shared" ref="E1410:E1473" si="44">TEXT(DATE(C1410,D1410,1),"MMMM")</f>
        <v>May</v>
      </c>
      <c r="F1410" s="3" t="s">
        <v>8</v>
      </c>
      <c r="G1410" s="8">
        <v>619.18626630000006</v>
      </c>
      <c r="H1410" s="8">
        <v>646.00800000000004</v>
      </c>
      <c r="I1410" s="8">
        <v>26.821733689999999</v>
      </c>
      <c r="J1410" s="8">
        <v>106.4629874</v>
      </c>
      <c r="K1410" s="8">
        <v>-596.17544789999999</v>
      </c>
      <c r="L1410" s="8">
        <v>878.35659840000005</v>
      </c>
      <c r="M1410" s="9" t="str">
        <f>IF(A1410="",M1411,A1410)</f>
        <v>Fiji</v>
      </c>
      <c r="N1410" s="3" t="str">
        <f t="shared" ref="N1410:N1473" si="45">TEXT(DATE(C1410,D1410,1),"MMM-YYYY")</f>
        <v>May-2021</v>
      </c>
    </row>
    <row r="1411" spans="1:14" x14ac:dyDescent="0.3">
      <c r="A1411" s="3" t="s">
        <v>124</v>
      </c>
      <c r="B1411" s="3" t="s">
        <v>125</v>
      </c>
      <c r="C1411" s="8">
        <v>2021</v>
      </c>
      <c r="D1411" s="8">
        <v>6</v>
      </c>
      <c r="E1411" s="3" t="str">
        <f t="shared" si="44"/>
        <v>June</v>
      </c>
      <c r="F1411" s="3" t="s">
        <v>8</v>
      </c>
      <c r="G1411" s="8">
        <v>620.49098149999998</v>
      </c>
      <c r="H1411" s="8">
        <v>682.89300000000003</v>
      </c>
      <c r="I1411" s="8">
        <v>62.402018529999999</v>
      </c>
      <c r="J1411" s="8">
        <v>168.8650059</v>
      </c>
      <c r="K1411" s="8">
        <v>-551.80427220000001</v>
      </c>
      <c r="L1411" s="8">
        <v>1011.42144</v>
      </c>
      <c r="M1411" s="9" t="str">
        <f>IF(A1411="",M1412,A1411)</f>
        <v>Fiji</v>
      </c>
      <c r="N1411" s="3" t="str">
        <f t="shared" si="45"/>
        <v>Jun-2021</v>
      </c>
    </row>
    <row r="1412" spans="1:14" x14ac:dyDescent="0.3">
      <c r="A1412" s="3" t="s">
        <v>124</v>
      </c>
      <c r="B1412" s="3" t="s">
        <v>125</v>
      </c>
      <c r="C1412" s="8">
        <v>2021</v>
      </c>
      <c r="D1412" s="8">
        <v>7</v>
      </c>
      <c r="E1412" s="3" t="str">
        <f t="shared" si="44"/>
        <v>July</v>
      </c>
      <c r="F1412" s="3" t="s">
        <v>8</v>
      </c>
      <c r="G1412" s="8">
        <v>623.14839830000005</v>
      </c>
      <c r="H1412" s="8">
        <v>990.49699999999996</v>
      </c>
      <c r="I1412" s="8">
        <v>367.34860170000002</v>
      </c>
      <c r="J1412" s="8">
        <v>536.21360760000005</v>
      </c>
      <c r="K1412" s="8">
        <v>-218.92445710000001</v>
      </c>
      <c r="L1412" s="8">
        <v>1400.912777</v>
      </c>
      <c r="M1412" s="9" t="str">
        <f>IF(A1412="",M1413,A1412)</f>
        <v>Fiji</v>
      </c>
      <c r="N1412" s="3" t="str">
        <f t="shared" si="45"/>
        <v>Jul-2021</v>
      </c>
    </row>
    <row r="1413" spans="1:14" x14ac:dyDescent="0.3">
      <c r="A1413" s="3" t="s">
        <v>124</v>
      </c>
      <c r="B1413" s="3" t="s">
        <v>125</v>
      </c>
      <c r="C1413" s="8">
        <v>2021</v>
      </c>
      <c r="D1413" s="8">
        <v>8</v>
      </c>
      <c r="E1413" s="3" t="str">
        <f t="shared" si="44"/>
        <v>August</v>
      </c>
      <c r="F1413" s="3" t="s">
        <v>8</v>
      </c>
      <c r="G1413" s="8">
        <v>621.54334919999997</v>
      </c>
      <c r="H1413" s="8">
        <v>1110</v>
      </c>
      <c r="I1413" s="8">
        <v>488.45665079999998</v>
      </c>
      <c r="J1413" s="8">
        <v>1024.6702580000001</v>
      </c>
      <c r="K1413" s="8">
        <v>170.60967160000001</v>
      </c>
      <c r="L1413" s="8">
        <v>1941.6010699999999</v>
      </c>
      <c r="M1413" s="9" t="str">
        <f>IF(A1413="",M1414,A1413)</f>
        <v>Fiji</v>
      </c>
      <c r="N1413" s="3" t="str">
        <f t="shared" si="45"/>
        <v>Aug-2021</v>
      </c>
    </row>
    <row r="1414" spans="1:14" x14ac:dyDescent="0.3">
      <c r="A1414" s="3" t="s">
        <v>124</v>
      </c>
      <c r="B1414" s="3" t="s">
        <v>125</v>
      </c>
      <c r="C1414" s="8">
        <v>2021</v>
      </c>
      <c r="D1414" s="8">
        <v>9</v>
      </c>
      <c r="E1414" s="3" t="str">
        <f t="shared" si="44"/>
        <v>September</v>
      </c>
      <c r="F1414" s="3" t="s">
        <v>8</v>
      </c>
      <c r="G1414" s="8">
        <v>622.41017969999996</v>
      </c>
      <c r="H1414" s="8">
        <v>939.48900000000003</v>
      </c>
      <c r="I1414" s="8">
        <v>317.07882030000002</v>
      </c>
      <c r="J1414" s="8">
        <v>1341.7490789999999</v>
      </c>
      <c r="K1414" s="8">
        <v>429.53207359999999</v>
      </c>
      <c r="L1414" s="8">
        <v>2287.0371500000001</v>
      </c>
      <c r="M1414" s="9" t="str">
        <f>IF(A1414="",M1415,A1414)</f>
        <v>Fiji</v>
      </c>
      <c r="N1414" s="3" t="str">
        <f t="shared" si="45"/>
        <v>Sep-2021</v>
      </c>
    </row>
    <row r="1415" spans="1:14" x14ac:dyDescent="0.3">
      <c r="A1415" s="3" t="s">
        <v>124</v>
      </c>
      <c r="B1415" s="3" t="s">
        <v>125</v>
      </c>
      <c r="C1415" s="8">
        <v>2021</v>
      </c>
      <c r="D1415" s="8">
        <v>10</v>
      </c>
      <c r="E1415" s="3" t="str">
        <f t="shared" si="44"/>
        <v>October</v>
      </c>
      <c r="F1415" s="3" t="s">
        <v>8</v>
      </c>
      <c r="G1415" s="8">
        <v>618.2799953</v>
      </c>
      <c r="H1415" s="8">
        <v>780.08900000000006</v>
      </c>
      <c r="I1415" s="8">
        <v>161.8090047</v>
      </c>
      <c r="J1415" s="8">
        <v>1503.558084</v>
      </c>
      <c r="K1415" s="8">
        <v>585.18562559999998</v>
      </c>
      <c r="L1415" s="8">
        <v>2463.2620860000002</v>
      </c>
      <c r="M1415" s="9" t="str">
        <f>IF(A1415="",M1416,A1415)</f>
        <v>Fiji</v>
      </c>
      <c r="N1415" s="3" t="str">
        <f t="shared" si="45"/>
        <v>Oct-2021</v>
      </c>
    </row>
    <row r="1416" spans="1:14" x14ac:dyDescent="0.3">
      <c r="A1416" s="3" t="s">
        <v>124</v>
      </c>
      <c r="B1416" s="3" t="s">
        <v>125</v>
      </c>
      <c r="C1416" s="8">
        <v>2021</v>
      </c>
      <c r="D1416" s="8">
        <v>11</v>
      </c>
      <c r="E1416" s="3" t="str">
        <f t="shared" si="44"/>
        <v>November</v>
      </c>
      <c r="F1416" s="3" t="s">
        <v>8</v>
      </c>
      <c r="G1416" s="8">
        <v>615.29509829999995</v>
      </c>
      <c r="H1416" s="8">
        <v>738.29499999999996</v>
      </c>
      <c r="I1416" s="8">
        <v>122.9999017</v>
      </c>
      <c r="J1416" s="8">
        <v>1626.5579849999999</v>
      </c>
      <c r="K1416" s="8">
        <v>698.80890939999995</v>
      </c>
      <c r="L1416" s="8">
        <v>2640.5648150000002</v>
      </c>
      <c r="M1416" s="9" t="str">
        <f>IF(A1416="",M1417,A1416)</f>
        <v>Fiji</v>
      </c>
      <c r="N1416" s="3" t="str">
        <f t="shared" si="45"/>
        <v>Nov-2021</v>
      </c>
    </row>
    <row r="1417" spans="1:14" x14ac:dyDescent="0.3">
      <c r="A1417" s="3" t="s">
        <v>124</v>
      </c>
      <c r="B1417" s="3" t="s">
        <v>125</v>
      </c>
      <c r="C1417" s="8">
        <v>2021</v>
      </c>
      <c r="D1417" s="8">
        <v>12</v>
      </c>
      <c r="E1417" s="3" t="str">
        <f t="shared" si="44"/>
        <v>December</v>
      </c>
      <c r="F1417" s="3" t="s">
        <v>8</v>
      </c>
      <c r="G1417" s="8">
        <v>613.51774880000005</v>
      </c>
      <c r="H1417" s="8">
        <v>709.83</v>
      </c>
      <c r="I1417" s="8">
        <v>96.312251180000004</v>
      </c>
      <c r="J1417" s="8">
        <v>1722.870236</v>
      </c>
      <c r="K1417" s="8">
        <v>743.73212239999998</v>
      </c>
      <c r="L1417" s="8">
        <v>2762.9104419999999</v>
      </c>
      <c r="M1417" s="9" t="str">
        <f>IF(A1417="",M1418,A1417)</f>
        <v>Fiji</v>
      </c>
      <c r="N1417" s="3" t="str">
        <f t="shared" si="45"/>
        <v>Dec-2021</v>
      </c>
    </row>
    <row r="1418" spans="1:14" x14ac:dyDescent="0.3">
      <c r="A1418" s="3" t="s">
        <v>126</v>
      </c>
      <c r="B1418" s="3" t="s">
        <v>127</v>
      </c>
      <c r="C1418" s="8">
        <v>2020</v>
      </c>
      <c r="D1418" s="8">
        <v>1</v>
      </c>
      <c r="E1418" s="3" t="str">
        <f t="shared" si="44"/>
        <v>January</v>
      </c>
      <c r="F1418" s="3" t="s">
        <v>13</v>
      </c>
      <c r="G1418" s="8">
        <v>55949.195339999998</v>
      </c>
      <c r="H1418" s="8">
        <v>56185</v>
      </c>
      <c r="I1418" s="8">
        <v>73.721325230000005</v>
      </c>
      <c r="J1418" s="8">
        <v>73.721325230000005</v>
      </c>
      <c r="K1418" s="8">
        <v>-1870.7750940000001</v>
      </c>
      <c r="L1418" s="8">
        <v>2033.48498</v>
      </c>
      <c r="M1418" s="9" t="str">
        <f>IF(A1418="",M1419,A1418)</f>
        <v>France</v>
      </c>
      <c r="N1418" s="3" t="str">
        <f t="shared" si="45"/>
        <v>Jan-2020</v>
      </c>
    </row>
    <row r="1419" spans="1:14" x14ac:dyDescent="0.3">
      <c r="A1419" s="3" t="s">
        <v>126</v>
      </c>
      <c r="B1419" s="3" t="s">
        <v>127</v>
      </c>
      <c r="C1419" s="8">
        <v>2020</v>
      </c>
      <c r="D1419" s="8">
        <v>2</v>
      </c>
      <c r="E1419" s="3" t="str">
        <f t="shared" si="44"/>
        <v>February</v>
      </c>
      <c r="F1419" s="3" t="s">
        <v>13</v>
      </c>
      <c r="G1419" s="8">
        <v>55263.947809999998</v>
      </c>
      <c r="H1419" s="8">
        <v>50408</v>
      </c>
      <c r="I1419" s="8">
        <v>-5018.0311430000002</v>
      </c>
      <c r="J1419" s="8">
        <v>-4944.3098179999997</v>
      </c>
      <c r="K1419" s="8">
        <v>-8098.8170090000003</v>
      </c>
      <c r="L1419" s="8">
        <v>-1930.699243</v>
      </c>
      <c r="M1419" s="9" t="str">
        <f>IF(A1419="",M1420,A1419)</f>
        <v>France</v>
      </c>
      <c r="N1419" s="3" t="str">
        <f t="shared" si="45"/>
        <v>Feb-2020</v>
      </c>
    </row>
    <row r="1420" spans="1:14" x14ac:dyDescent="0.3">
      <c r="A1420" s="3" t="s">
        <v>126</v>
      </c>
      <c r="B1420" s="3" t="s">
        <v>127</v>
      </c>
      <c r="C1420" s="8">
        <v>2020</v>
      </c>
      <c r="D1420" s="8">
        <v>3</v>
      </c>
      <c r="E1420" s="3" t="str">
        <f t="shared" si="44"/>
        <v>March</v>
      </c>
      <c r="F1420" s="3" t="s">
        <v>13</v>
      </c>
      <c r="G1420" s="8">
        <v>53418.967559999997</v>
      </c>
      <c r="H1420" s="8">
        <v>61913</v>
      </c>
      <c r="I1420" s="8">
        <v>8331.9491020000005</v>
      </c>
      <c r="J1420" s="8">
        <v>3387.6392839999999</v>
      </c>
      <c r="K1420" s="8">
        <v>-484.95128149999999</v>
      </c>
      <c r="L1420" s="8">
        <v>7316.984203</v>
      </c>
      <c r="M1420" s="9" t="str">
        <f>IF(A1420="",M1421,A1420)</f>
        <v>France</v>
      </c>
      <c r="N1420" s="3" t="str">
        <f t="shared" si="45"/>
        <v>Mar-2020</v>
      </c>
    </row>
    <row r="1421" spans="1:14" x14ac:dyDescent="0.3">
      <c r="A1421" s="3" t="s">
        <v>126</v>
      </c>
      <c r="B1421" s="3" t="s">
        <v>127</v>
      </c>
      <c r="C1421" s="8">
        <v>2020</v>
      </c>
      <c r="D1421" s="8">
        <v>4</v>
      </c>
      <c r="E1421" s="3" t="str">
        <f t="shared" si="44"/>
        <v>April</v>
      </c>
      <c r="F1421" s="3" t="s">
        <v>13</v>
      </c>
      <c r="G1421" s="8">
        <v>49621.734239999998</v>
      </c>
      <c r="H1421" s="8">
        <v>65646</v>
      </c>
      <c r="I1421" s="8">
        <v>15862.182430000001</v>
      </c>
      <c r="J1421" s="8">
        <v>19249.82171</v>
      </c>
      <c r="K1421" s="8">
        <v>14641.53671</v>
      </c>
      <c r="L1421" s="8">
        <v>23560.81278</v>
      </c>
      <c r="M1421" s="9" t="str">
        <f>IF(A1421="",M1422,A1421)</f>
        <v>France</v>
      </c>
      <c r="N1421" s="3" t="str">
        <f t="shared" si="45"/>
        <v>Apr-2020</v>
      </c>
    </row>
    <row r="1422" spans="1:14" x14ac:dyDescent="0.3">
      <c r="A1422" s="3" t="s">
        <v>126</v>
      </c>
      <c r="B1422" s="3" t="s">
        <v>127</v>
      </c>
      <c r="C1422" s="8">
        <v>2020</v>
      </c>
      <c r="D1422" s="8">
        <v>5</v>
      </c>
      <c r="E1422" s="3" t="str">
        <f t="shared" si="44"/>
        <v>May</v>
      </c>
      <c r="F1422" s="3" t="s">
        <v>13</v>
      </c>
      <c r="G1422" s="8">
        <v>47129.391860000003</v>
      </c>
      <c r="H1422" s="8">
        <v>48161</v>
      </c>
      <c r="I1422" s="8">
        <v>869.52480709999998</v>
      </c>
      <c r="J1422" s="8">
        <v>20119.346519999999</v>
      </c>
      <c r="K1422" s="8">
        <v>15243.382799999999</v>
      </c>
      <c r="L1422" s="8">
        <v>24883.43087</v>
      </c>
      <c r="M1422" s="9" t="str">
        <f>IF(A1422="",M1423,A1422)</f>
        <v>France</v>
      </c>
      <c r="N1422" s="3" t="str">
        <f t="shared" si="45"/>
        <v>May-2020</v>
      </c>
    </row>
    <row r="1423" spans="1:14" x14ac:dyDescent="0.3">
      <c r="A1423" s="3" t="s">
        <v>126</v>
      </c>
      <c r="B1423" s="3" t="s">
        <v>127</v>
      </c>
      <c r="C1423" s="8">
        <v>2020</v>
      </c>
      <c r="D1423" s="8">
        <v>6</v>
      </c>
      <c r="E1423" s="3" t="str">
        <f t="shared" si="44"/>
        <v>June</v>
      </c>
      <c r="F1423" s="3" t="s">
        <v>13</v>
      </c>
      <c r="G1423" s="8">
        <v>45722.967770000003</v>
      </c>
      <c r="H1423" s="8">
        <v>45153</v>
      </c>
      <c r="I1423" s="8">
        <v>-732.05110720000005</v>
      </c>
      <c r="J1423" s="8">
        <v>19387.295409999999</v>
      </c>
      <c r="K1423" s="8">
        <v>13831.535330000001</v>
      </c>
      <c r="L1423" s="8">
        <v>24663.320169999999</v>
      </c>
      <c r="M1423" s="9" t="str">
        <f>IF(A1423="",M1424,A1423)</f>
        <v>France</v>
      </c>
      <c r="N1423" s="3" t="str">
        <f t="shared" si="45"/>
        <v>Jun-2020</v>
      </c>
    </row>
    <row r="1424" spans="1:14" x14ac:dyDescent="0.3">
      <c r="A1424" s="3" t="s">
        <v>126</v>
      </c>
      <c r="B1424" s="3" t="s">
        <v>127</v>
      </c>
      <c r="C1424" s="8">
        <v>2020</v>
      </c>
      <c r="D1424" s="8">
        <v>7</v>
      </c>
      <c r="E1424" s="3" t="str">
        <f t="shared" si="44"/>
        <v>July</v>
      </c>
      <c r="F1424" s="3" t="s">
        <v>13</v>
      </c>
      <c r="G1424" s="8">
        <v>46326.255100000002</v>
      </c>
      <c r="H1424" s="8">
        <v>45906</v>
      </c>
      <c r="I1424" s="8">
        <v>-582.33843109999998</v>
      </c>
      <c r="J1424" s="8">
        <v>18804.956979999999</v>
      </c>
      <c r="K1424" s="8">
        <v>12656.332689999999</v>
      </c>
      <c r="L1424" s="8">
        <v>24718.359949999998</v>
      </c>
      <c r="M1424" s="9" t="str">
        <f>IF(A1424="",M1425,A1424)</f>
        <v>France</v>
      </c>
      <c r="N1424" s="3" t="str">
        <f t="shared" si="45"/>
        <v>Jul-2020</v>
      </c>
    </row>
    <row r="1425" spans="1:14" x14ac:dyDescent="0.3">
      <c r="A1425" s="3" t="s">
        <v>126</v>
      </c>
      <c r="B1425" s="3" t="s">
        <v>127</v>
      </c>
      <c r="C1425" s="8">
        <v>2020</v>
      </c>
      <c r="D1425" s="8">
        <v>8</v>
      </c>
      <c r="E1425" s="3" t="str">
        <f t="shared" si="44"/>
        <v>August</v>
      </c>
      <c r="F1425" s="3" t="s">
        <v>13</v>
      </c>
      <c r="G1425" s="8">
        <v>45983.008130000002</v>
      </c>
      <c r="H1425" s="8">
        <v>48130</v>
      </c>
      <c r="I1425" s="8">
        <v>1984.9085359999999</v>
      </c>
      <c r="J1425" s="8">
        <v>20789.86551</v>
      </c>
      <c r="K1425" s="8">
        <v>14568.621279999999</v>
      </c>
      <c r="L1425" s="8">
        <v>27027.943039999998</v>
      </c>
      <c r="M1425" s="9" t="str">
        <f>IF(A1425="",M1426,A1425)</f>
        <v>France</v>
      </c>
      <c r="N1425" s="3" t="str">
        <f t="shared" si="45"/>
        <v>Aug-2020</v>
      </c>
    </row>
    <row r="1426" spans="1:14" x14ac:dyDescent="0.3">
      <c r="A1426" s="3" t="s">
        <v>126</v>
      </c>
      <c r="B1426" s="3" t="s">
        <v>127</v>
      </c>
      <c r="C1426" s="8">
        <v>2020</v>
      </c>
      <c r="D1426" s="8">
        <v>9</v>
      </c>
      <c r="E1426" s="3" t="str">
        <f t="shared" si="44"/>
        <v>September</v>
      </c>
      <c r="F1426" s="3" t="s">
        <v>13</v>
      </c>
      <c r="G1426" s="8">
        <v>46299.109839999997</v>
      </c>
      <c r="H1426" s="8">
        <v>48035</v>
      </c>
      <c r="I1426" s="8">
        <v>1573.8068270000001</v>
      </c>
      <c r="J1426" s="8">
        <v>22363.672340000001</v>
      </c>
      <c r="K1426" s="8">
        <v>15745.38128</v>
      </c>
      <c r="L1426" s="8">
        <v>28697.013050000001</v>
      </c>
      <c r="M1426" s="9" t="str">
        <f>IF(A1426="",M1427,A1426)</f>
        <v>France</v>
      </c>
      <c r="N1426" s="3" t="str">
        <f t="shared" si="45"/>
        <v>Sep-2020</v>
      </c>
    </row>
    <row r="1427" spans="1:14" x14ac:dyDescent="0.3">
      <c r="A1427" s="3" t="s">
        <v>126</v>
      </c>
      <c r="B1427" s="3" t="s">
        <v>127</v>
      </c>
      <c r="C1427" s="8">
        <v>2020</v>
      </c>
      <c r="D1427" s="8">
        <v>10</v>
      </c>
      <c r="E1427" s="3" t="str">
        <f t="shared" si="44"/>
        <v>October</v>
      </c>
      <c r="F1427" s="3" t="s">
        <v>13</v>
      </c>
      <c r="G1427" s="8">
        <v>48810.569190000002</v>
      </c>
      <c r="H1427" s="8">
        <v>56997</v>
      </c>
      <c r="I1427" s="8">
        <v>8024.3474770000003</v>
      </c>
      <c r="J1427" s="8">
        <v>30388.019820000001</v>
      </c>
      <c r="K1427" s="8">
        <v>23276.22207</v>
      </c>
      <c r="L1427" s="8">
        <v>37119.661690000001</v>
      </c>
      <c r="M1427" s="9" t="str">
        <f>IF(A1427="",M1428,A1427)</f>
        <v>France</v>
      </c>
      <c r="N1427" s="3" t="str">
        <f t="shared" si="45"/>
        <v>Oct-2020</v>
      </c>
    </row>
    <row r="1428" spans="1:14" x14ac:dyDescent="0.3">
      <c r="A1428" s="3" t="s">
        <v>126</v>
      </c>
      <c r="B1428" s="3" t="s">
        <v>127</v>
      </c>
      <c r="C1428" s="8">
        <v>2020</v>
      </c>
      <c r="D1428" s="8">
        <v>11</v>
      </c>
      <c r="E1428" s="3" t="str">
        <f t="shared" si="44"/>
        <v>November</v>
      </c>
      <c r="F1428" s="3" t="s">
        <v>13</v>
      </c>
      <c r="G1428" s="8">
        <v>51607.148849999998</v>
      </c>
      <c r="H1428" s="8">
        <v>64930</v>
      </c>
      <c r="I1428" s="8">
        <v>13160.767819999999</v>
      </c>
      <c r="J1428" s="8">
        <v>43548.787640000002</v>
      </c>
      <c r="K1428" s="8">
        <v>36050.782749999998</v>
      </c>
      <c r="L1428" s="8">
        <v>50671.330679999999</v>
      </c>
      <c r="M1428" s="9" t="str">
        <f>IF(A1428="",M1429,A1428)</f>
        <v>France</v>
      </c>
      <c r="N1428" s="3" t="str">
        <f t="shared" si="45"/>
        <v>Nov-2020</v>
      </c>
    </row>
    <row r="1429" spans="1:14" x14ac:dyDescent="0.3">
      <c r="A1429" s="3" t="s">
        <v>126</v>
      </c>
      <c r="B1429" s="3" t="s">
        <v>127</v>
      </c>
      <c r="C1429" s="8">
        <v>2020</v>
      </c>
      <c r="D1429" s="8">
        <v>12</v>
      </c>
      <c r="E1429" s="3" t="str">
        <f t="shared" si="44"/>
        <v>December</v>
      </c>
      <c r="F1429" s="3" t="s">
        <v>13</v>
      </c>
      <c r="G1429" s="8">
        <v>56262.586109999997</v>
      </c>
      <c r="H1429" s="8">
        <v>63076</v>
      </c>
      <c r="I1429" s="8">
        <v>6651.3305529999998</v>
      </c>
      <c r="J1429" s="8">
        <v>50200.118190000001</v>
      </c>
      <c r="K1429" s="8">
        <v>42719.269410000001</v>
      </c>
      <c r="L1429" s="8">
        <v>57426.538670000002</v>
      </c>
      <c r="M1429" s="9" t="str">
        <f>IF(A1429="",M1430,A1429)</f>
        <v>France</v>
      </c>
      <c r="N1429" s="3" t="str">
        <f t="shared" si="45"/>
        <v>Dec-2020</v>
      </c>
    </row>
    <row r="1430" spans="1:14" x14ac:dyDescent="0.3">
      <c r="A1430" s="3" t="s">
        <v>126</v>
      </c>
      <c r="B1430" s="3" t="s">
        <v>127</v>
      </c>
      <c r="C1430" s="8">
        <v>2021</v>
      </c>
      <c r="D1430" s="8">
        <v>1</v>
      </c>
      <c r="E1430" s="3" t="str">
        <f t="shared" si="44"/>
        <v>January</v>
      </c>
      <c r="F1430" s="3" t="s">
        <v>13</v>
      </c>
      <c r="G1430" s="8">
        <v>56265.029710000003</v>
      </c>
      <c r="H1430" s="8">
        <v>65408</v>
      </c>
      <c r="I1430" s="8">
        <v>9139.9702899999993</v>
      </c>
      <c r="J1430" s="8">
        <v>59340.088479999999</v>
      </c>
      <c r="K1430" s="8">
        <v>51119.247439999999</v>
      </c>
      <c r="L1430" s="8">
        <v>67259.027700000006</v>
      </c>
      <c r="M1430" s="9" t="str">
        <f>IF(A1430="",M1431,A1430)</f>
        <v>France</v>
      </c>
      <c r="N1430" s="3" t="str">
        <f t="shared" si="45"/>
        <v>Jan-2021</v>
      </c>
    </row>
    <row r="1431" spans="1:14" x14ac:dyDescent="0.3">
      <c r="A1431" s="3" t="s">
        <v>126</v>
      </c>
      <c r="B1431" s="3" t="s">
        <v>127</v>
      </c>
      <c r="C1431" s="8">
        <v>2021</v>
      </c>
      <c r="D1431" s="8">
        <v>2</v>
      </c>
      <c r="E1431" s="3" t="str">
        <f t="shared" si="44"/>
        <v>February</v>
      </c>
      <c r="F1431" s="3" t="s">
        <v>13</v>
      </c>
      <c r="G1431" s="8">
        <v>55601.273730000001</v>
      </c>
      <c r="H1431" s="8">
        <v>56048</v>
      </c>
      <c r="I1431" s="8">
        <v>443.72627399999999</v>
      </c>
      <c r="J1431" s="8">
        <v>59783.814749999998</v>
      </c>
      <c r="K1431" s="8">
        <v>51320.015330000002</v>
      </c>
      <c r="L1431" s="8">
        <v>68009.890549999996</v>
      </c>
      <c r="M1431" s="9" t="str">
        <f>IF(A1431="",M1432,A1431)</f>
        <v>France</v>
      </c>
      <c r="N1431" s="3" t="str">
        <f t="shared" si="45"/>
        <v>Feb-2021</v>
      </c>
    </row>
    <row r="1432" spans="1:14" x14ac:dyDescent="0.3">
      <c r="A1432" s="3" t="s">
        <v>126</v>
      </c>
      <c r="B1432" s="3" t="s">
        <v>127</v>
      </c>
      <c r="C1432" s="8">
        <v>2021</v>
      </c>
      <c r="D1432" s="8">
        <v>3</v>
      </c>
      <c r="E1432" s="3" t="str">
        <f t="shared" si="44"/>
        <v>March</v>
      </c>
      <c r="F1432" s="3" t="s">
        <v>13</v>
      </c>
      <c r="G1432" s="8">
        <v>53707.124360000002</v>
      </c>
      <c r="H1432" s="8">
        <v>57186</v>
      </c>
      <c r="I1432" s="8">
        <v>3475.8756450000001</v>
      </c>
      <c r="J1432" s="8">
        <v>63259.690399999999</v>
      </c>
      <c r="K1432" s="8">
        <v>54194.226179999998</v>
      </c>
      <c r="L1432" s="8">
        <v>71465.471860000005</v>
      </c>
      <c r="M1432" s="9" t="str">
        <f>IF(A1432="",M1433,A1432)</f>
        <v>France</v>
      </c>
      <c r="N1432" s="3" t="str">
        <f t="shared" si="45"/>
        <v>Mar-2021</v>
      </c>
    </row>
    <row r="1433" spans="1:14" x14ac:dyDescent="0.3">
      <c r="A1433" s="3" t="s">
        <v>126</v>
      </c>
      <c r="B1433" s="3" t="s">
        <v>127</v>
      </c>
      <c r="C1433" s="8">
        <v>2021</v>
      </c>
      <c r="D1433" s="8">
        <v>4</v>
      </c>
      <c r="E1433" s="3" t="str">
        <f t="shared" si="44"/>
        <v>April</v>
      </c>
      <c r="F1433" s="3" t="s">
        <v>13</v>
      </c>
      <c r="G1433" s="8">
        <v>49921.744359999997</v>
      </c>
      <c r="H1433" s="8">
        <v>55983</v>
      </c>
      <c r="I1433" s="8">
        <v>6058.2556379999996</v>
      </c>
      <c r="J1433" s="8">
        <v>69317.946039999995</v>
      </c>
      <c r="K1433" s="8">
        <v>59734.721940000003</v>
      </c>
      <c r="L1433" s="8">
        <v>77883.848530000003</v>
      </c>
      <c r="M1433" s="9" t="str">
        <f>IF(A1433="",M1434,A1433)</f>
        <v>France</v>
      </c>
      <c r="N1433" s="3" t="str">
        <f t="shared" si="45"/>
        <v>Apr-2021</v>
      </c>
    </row>
    <row r="1434" spans="1:14" x14ac:dyDescent="0.3">
      <c r="A1434" s="3" t="s">
        <v>126</v>
      </c>
      <c r="B1434" s="3" t="s">
        <v>127</v>
      </c>
      <c r="C1434" s="8">
        <v>2021</v>
      </c>
      <c r="D1434" s="8">
        <v>5</v>
      </c>
      <c r="E1434" s="3" t="str">
        <f t="shared" si="44"/>
        <v>May</v>
      </c>
      <c r="F1434" s="3" t="s">
        <v>13</v>
      </c>
      <c r="G1434" s="8">
        <v>47487.199919999999</v>
      </c>
      <c r="H1434" s="8">
        <v>51498</v>
      </c>
      <c r="I1434" s="8">
        <v>4007.8000820000002</v>
      </c>
      <c r="J1434" s="8">
        <v>73325.746119999996</v>
      </c>
      <c r="K1434" s="8">
        <v>63113.110099999998</v>
      </c>
      <c r="L1434" s="8">
        <v>82184.745420000007</v>
      </c>
      <c r="M1434" s="9" t="str">
        <f>IF(A1434="",M1435,A1434)</f>
        <v>France</v>
      </c>
      <c r="N1434" s="3" t="str">
        <f t="shared" si="45"/>
        <v>May-2021</v>
      </c>
    </row>
    <row r="1435" spans="1:14" x14ac:dyDescent="0.3">
      <c r="A1435" s="3" t="s">
        <v>126</v>
      </c>
      <c r="B1435" s="3" t="s">
        <v>127</v>
      </c>
      <c r="C1435" s="8">
        <v>2021</v>
      </c>
      <c r="D1435" s="8">
        <v>6</v>
      </c>
      <c r="E1435" s="3" t="str">
        <f t="shared" si="44"/>
        <v>June</v>
      </c>
      <c r="F1435" s="3" t="s">
        <v>13</v>
      </c>
      <c r="G1435" s="8">
        <v>46032.212619999998</v>
      </c>
      <c r="H1435" s="8">
        <v>45016</v>
      </c>
      <c r="I1435" s="8">
        <v>-1019.212617</v>
      </c>
      <c r="J1435" s="8">
        <v>72306.533500000005</v>
      </c>
      <c r="K1435" s="8">
        <v>61783.740120000002</v>
      </c>
      <c r="L1435" s="8">
        <v>81456.702210000003</v>
      </c>
      <c r="M1435" s="9" t="str">
        <f>IF(A1435="",M1436,A1435)</f>
        <v>France</v>
      </c>
      <c r="N1435" s="3" t="str">
        <f t="shared" si="45"/>
        <v>Jun-2021</v>
      </c>
    </row>
    <row r="1436" spans="1:14" x14ac:dyDescent="0.3">
      <c r="A1436" s="3" t="s">
        <v>126</v>
      </c>
      <c r="B1436" s="3" t="s">
        <v>127</v>
      </c>
      <c r="C1436" s="8">
        <v>2021</v>
      </c>
      <c r="D1436" s="8">
        <v>7</v>
      </c>
      <c r="E1436" s="3" t="str">
        <f t="shared" si="44"/>
        <v>July</v>
      </c>
      <c r="F1436" s="3" t="s">
        <v>13</v>
      </c>
      <c r="G1436" s="8">
        <v>46560.9548</v>
      </c>
      <c r="H1436" s="8">
        <v>47270</v>
      </c>
      <c r="I1436" s="8">
        <v>706.04520430000002</v>
      </c>
      <c r="J1436" s="8">
        <v>73012.578710000002</v>
      </c>
      <c r="K1436" s="8">
        <v>62299.296479999997</v>
      </c>
      <c r="L1436" s="8">
        <v>82383.653720000002</v>
      </c>
      <c r="M1436" s="9" t="str">
        <f>IF(A1436="",M1437,A1436)</f>
        <v>France</v>
      </c>
      <c r="N1436" s="3" t="str">
        <f t="shared" si="45"/>
        <v>Jul-2021</v>
      </c>
    </row>
    <row r="1437" spans="1:14" x14ac:dyDescent="0.3">
      <c r="A1437" s="3" t="s">
        <v>126</v>
      </c>
      <c r="B1437" s="3" t="s">
        <v>127</v>
      </c>
      <c r="C1437" s="8">
        <v>2021</v>
      </c>
      <c r="D1437" s="8">
        <v>8</v>
      </c>
      <c r="E1437" s="3" t="str">
        <f t="shared" si="44"/>
        <v>August</v>
      </c>
      <c r="F1437" s="3" t="s">
        <v>13</v>
      </c>
      <c r="G1437" s="8">
        <v>46356.206969999999</v>
      </c>
      <c r="H1437" s="8">
        <v>49078</v>
      </c>
      <c r="I1437" s="8">
        <v>2718.7930329999999</v>
      </c>
      <c r="J1437" s="8">
        <v>75731.371740000002</v>
      </c>
      <c r="K1437" s="8">
        <v>65052.03067</v>
      </c>
      <c r="L1437" s="8">
        <v>85641.111900000004</v>
      </c>
      <c r="M1437" s="9" t="str">
        <f>IF(A1437="",M1438,A1437)</f>
        <v>France</v>
      </c>
      <c r="N1437" s="3" t="str">
        <f t="shared" si="45"/>
        <v>Aug-2021</v>
      </c>
    </row>
    <row r="1438" spans="1:14" x14ac:dyDescent="0.3">
      <c r="A1438" s="3" t="s">
        <v>126</v>
      </c>
      <c r="B1438" s="3" t="s">
        <v>127</v>
      </c>
      <c r="C1438" s="8">
        <v>2021</v>
      </c>
      <c r="D1438" s="8">
        <v>9</v>
      </c>
      <c r="E1438" s="3" t="str">
        <f t="shared" si="44"/>
        <v>September</v>
      </c>
      <c r="F1438" s="3" t="s">
        <v>13</v>
      </c>
      <c r="G1438" s="8">
        <v>46595.940049999997</v>
      </c>
      <c r="H1438" s="8">
        <v>48256</v>
      </c>
      <c r="I1438" s="8">
        <v>1657.0599520000001</v>
      </c>
      <c r="J1438" s="8">
        <v>77388.431689999998</v>
      </c>
      <c r="K1438" s="8">
        <v>66928.57372</v>
      </c>
      <c r="L1438" s="8">
        <v>87645.671329999997</v>
      </c>
      <c r="M1438" s="9" t="str">
        <f>IF(A1438="",M1439,A1438)</f>
        <v>France</v>
      </c>
      <c r="N1438" s="3" t="str">
        <f t="shared" si="45"/>
        <v>Sep-2021</v>
      </c>
    </row>
    <row r="1439" spans="1:14" x14ac:dyDescent="0.3">
      <c r="A1439" s="3" t="s">
        <v>126</v>
      </c>
      <c r="B1439" s="3" t="s">
        <v>127</v>
      </c>
      <c r="C1439" s="8">
        <v>2021</v>
      </c>
      <c r="D1439" s="8">
        <v>10</v>
      </c>
      <c r="E1439" s="3" t="str">
        <f t="shared" si="44"/>
        <v>October</v>
      </c>
      <c r="F1439" s="3" t="s">
        <v>13</v>
      </c>
      <c r="G1439" s="8">
        <v>49089.355300000003</v>
      </c>
      <c r="H1439" s="8">
        <v>52561</v>
      </c>
      <c r="I1439" s="8">
        <v>3468.6446959999998</v>
      </c>
      <c r="J1439" s="8">
        <v>80857.076390000002</v>
      </c>
      <c r="K1439" s="8">
        <v>70147.859129999997</v>
      </c>
      <c r="L1439" s="8">
        <v>91695.201979999998</v>
      </c>
      <c r="M1439" s="9" t="str">
        <f>IF(A1439="",M1440,A1439)</f>
        <v>France</v>
      </c>
      <c r="N1439" s="3" t="str">
        <f t="shared" si="45"/>
        <v>Oct-2021</v>
      </c>
    </row>
    <row r="1440" spans="1:14" x14ac:dyDescent="0.3">
      <c r="A1440" s="3" t="s">
        <v>126</v>
      </c>
      <c r="B1440" s="3" t="s">
        <v>127</v>
      </c>
      <c r="C1440" s="8">
        <v>2021</v>
      </c>
      <c r="D1440" s="8">
        <v>11</v>
      </c>
      <c r="E1440" s="3" t="str">
        <f t="shared" si="44"/>
        <v>November</v>
      </c>
      <c r="F1440" s="3" t="s">
        <v>13</v>
      </c>
      <c r="G1440" s="8">
        <v>51950.909299999999</v>
      </c>
      <c r="H1440" s="8">
        <v>52786</v>
      </c>
      <c r="I1440" s="8">
        <v>832.09070359999998</v>
      </c>
      <c r="J1440" s="8">
        <v>81689.167090000003</v>
      </c>
      <c r="K1440" s="8">
        <v>69887.884760000001</v>
      </c>
      <c r="L1440" s="8">
        <v>93141.856979999997</v>
      </c>
      <c r="M1440" s="9" t="str">
        <f>IF(A1440="",M1441,A1440)</f>
        <v>France</v>
      </c>
      <c r="N1440" s="3" t="str">
        <f t="shared" si="45"/>
        <v>Nov-2021</v>
      </c>
    </row>
    <row r="1441" spans="1:14" x14ac:dyDescent="0.3">
      <c r="A1441" s="3" t="s">
        <v>126</v>
      </c>
      <c r="B1441" s="3" t="s">
        <v>127</v>
      </c>
      <c r="C1441" s="8">
        <v>2021</v>
      </c>
      <c r="D1441" s="8">
        <v>12</v>
      </c>
      <c r="E1441" s="3" t="str">
        <f t="shared" si="44"/>
        <v>December</v>
      </c>
      <c r="F1441" s="3" t="s">
        <v>13</v>
      </c>
      <c r="G1441" s="8">
        <v>56698.691250000003</v>
      </c>
      <c r="H1441" s="8">
        <v>62658</v>
      </c>
      <c r="I1441" s="8">
        <v>5956.3087500000001</v>
      </c>
      <c r="J1441" s="8">
        <v>87645.475839999999</v>
      </c>
      <c r="K1441" s="8">
        <v>75720.039319999996</v>
      </c>
      <c r="L1441" s="8">
        <v>99266.867490000004</v>
      </c>
      <c r="M1441" s="9" t="str">
        <f>IF(A1441="",M1442,A1441)</f>
        <v>France</v>
      </c>
      <c r="N1441" s="3" t="str">
        <f t="shared" si="45"/>
        <v>Dec-2021</v>
      </c>
    </row>
    <row r="1442" spans="1:14" x14ac:dyDescent="0.3">
      <c r="A1442" s="3" t="s">
        <v>128</v>
      </c>
      <c r="B1442" s="3" t="s">
        <v>129</v>
      </c>
      <c r="C1442" s="8">
        <v>2020</v>
      </c>
      <c r="D1442" s="8">
        <v>1</v>
      </c>
      <c r="E1442" s="3" t="str">
        <f t="shared" si="44"/>
        <v>January</v>
      </c>
      <c r="F1442" s="3" t="s">
        <v>8</v>
      </c>
      <c r="G1442" s="8">
        <v>87.243446719999994</v>
      </c>
      <c r="H1442" s="8">
        <v>87.813999999999993</v>
      </c>
      <c r="I1442" s="8">
        <v>0.57055327700000003</v>
      </c>
      <c r="J1442" s="8">
        <v>0.57055327700000003</v>
      </c>
      <c r="K1442" s="8">
        <v>-27.469998090000001</v>
      </c>
      <c r="L1442" s="8">
        <v>35.668836120000002</v>
      </c>
      <c r="M1442" s="9" t="str">
        <f>IF(A1442="",M1443,A1442)</f>
        <v>Micronesia (Federated States of)</v>
      </c>
      <c r="N1442" s="3" t="str">
        <f t="shared" si="45"/>
        <v>Jan-2020</v>
      </c>
    </row>
    <row r="1443" spans="1:14" x14ac:dyDescent="0.3">
      <c r="A1443" s="3" t="s">
        <v>128</v>
      </c>
      <c r="B1443" s="3" t="s">
        <v>129</v>
      </c>
      <c r="C1443" s="8">
        <v>2020</v>
      </c>
      <c r="D1443" s="8">
        <v>2</v>
      </c>
      <c r="E1443" s="3" t="str">
        <f t="shared" si="44"/>
        <v>February</v>
      </c>
      <c r="F1443" s="3" t="s">
        <v>8</v>
      </c>
      <c r="G1443" s="8">
        <v>87.108044939999999</v>
      </c>
      <c r="H1443" s="8">
        <v>86.882999999999996</v>
      </c>
      <c r="I1443" s="8">
        <v>-0.225044943</v>
      </c>
      <c r="J1443" s="8">
        <v>0.34550833399999997</v>
      </c>
      <c r="K1443" s="8">
        <v>-41.222685149999997</v>
      </c>
      <c r="L1443" s="8">
        <v>48.785597260000003</v>
      </c>
      <c r="M1443" s="9" t="str">
        <f>IF(A1443="",M1444,A1443)</f>
        <v>Micronesia (Federated States of)</v>
      </c>
      <c r="N1443" s="3" t="str">
        <f t="shared" si="45"/>
        <v>Feb-2020</v>
      </c>
    </row>
    <row r="1444" spans="1:14" x14ac:dyDescent="0.3">
      <c r="A1444" s="3" t="s">
        <v>128</v>
      </c>
      <c r="B1444" s="3" t="s">
        <v>129</v>
      </c>
      <c r="C1444" s="8">
        <v>2020</v>
      </c>
      <c r="D1444" s="8">
        <v>3</v>
      </c>
      <c r="E1444" s="3" t="str">
        <f t="shared" si="44"/>
        <v>March</v>
      </c>
      <c r="F1444" s="3" t="s">
        <v>8</v>
      </c>
      <c r="G1444" s="8">
        <v>87.192976830000006</v>
      </c>
      <c r="H1444" s="8">
        <v>88.29</v>
      </c>
      <c r="I1444" s="8">
        <v>1.097023173</v>
      </c>
      <c r="J1444" s="8">
        <v>1.442531507</v>
      </c>
      <c r="K1444" s="8">
        <v>-47.838404480000001</v>
      </c>
      <c r="L1444" s="8">
        <v>59.390563960000001</v>
      </c>
      <c r="M1444" s="9" t="str">
        <f>IF(A1444="",M1445,A1444)</f>
        <v>Micronesia (Federated States of)</v>
      </c>
      <c r="N1444" s="3" t="str">
        <f t="shared" si="45"/>
        <v>Mar-2020</v>
      </c>
    </row>
    <row r="1445" spans="1:14" x14ac:dyDescent="0.3">
      <c r="A1445" s="3" t="s">
        <v>128</v>
      </c>
      <c r="B1445" s="3" t="s">
        <v>129</v>
      </c>
      <c r="C1445" s="8">
        <v>2020</v>
      </c>
      <c r="D1445" s="8">
        <v>4</v>
      </c>
      <c r="E1445" s="3" t="str">
        <f t="shared" si="44"/>
        <v>April</v>
      </c>
      <c r="F1445" s="3" t="s">
        <v>8</v>
      </c>
      <c r="G1445" s="8">
        <v>87.111166960000006</v>
      </c>
      <c r="H1445" s="8">
        <v>90.704999999999998</v>
      </c>
      <c r="I1445" s="8">
        <v>3.593833042</v>
      </c>
      <c r="J1445" s="8">
        <v>5.036364549</v>
      </c>
      <c r="K1445" s="8">
        <v>-53.161799330000001</v>
      </c>
      <c r="L1445" s="8">
        <v>67.935469490000003</v>
      </c>
      <c r="M1445" s="9" t="str">
        <f>IF(A1445="",M1446,A1445)</f>
        <v>Micronesia (Federated States of)</v>
      </c>
      <c r="N1445" s="3" t="str">
        <f t="shared" si="45"/>
        <v>Apr-2020</v>
      </c>
    </row>
    <row r="1446" spans="1:14" x14ac:dyDescent="0.3">
      <c r="A1446" s="3" t="s">
        <v>128</v>
      </c>
      <c r="B1446" s="3" t="s">
        <v>129</v>
      </c>
      <c r="C1446" s="8">
        <v>2020</v>
      </c>
      <c r="D1446" s="8">
        <v>5</v>
      </c>
      <c r="E1446" s="3" t="str">
        <f t="shared" si="44"/>
        <v>May</v>
      </c>
      <c r="F1446" s="3" t="s">
        <v>8</v>
      </c>
      <c r="G1446" s="8">
        <v>87.053732049999994</v>
      </c>
      <c r="H1446" s="8">
        <v>92.364999999999995</v>
      </c>
      <c r="I1446" s="8">
        <v>5.3112679500000004</v>
      </c>
      <c r="J1446" s="8">
        <v>10.3476325</v>
      </c>
      <c r="K1446" s="8">
        <v>-57.496242940000002</v>
      </c>
      <c r="L1446" s="8">
        <v>81.030164110000001</v>
      </c>
      <c r="M1446" s="9" t="str">
        <f>IF(A1446="",M1447,A1446)</f>
        <v>Micronesia (Federated States of)</v>
      </c>
      <c r="N1446" s="3" t="str">
        <f t="shared" si="45"/>
        <v>May-2020</v>
      </c>
    </row>
    <row r="1447" spans="1:14" x14ac:dyDescent="0.3">
      <c r="A1447" s="3" t="s">
        <v>128</v>
      </c>
      <c r="B1447" s="3" t="s">
        <v>129</v>
      </c>
      <c r="C1447" s="8">
        <v>2020</v>
      </c>
      <c r="D1447" s="8">
        <v>6</v>
      </c>
      <c r="E1447" s="3" t="str">
        <f t="shared" si="44"/>
        <v>June</v>
      </c>
      <c r="F1447" s="3" t="s">
        <v>8</v>
      </c>
      <c r="G1447" s="8">
        <v>87.304544660000005</v>
      </c>
      <c r="H1447" s="8">
        <v>93.433999999999997</v>
      </c>
      <c r="I1447" s="8">
        <v>6.1294553379999996</v>
      </c>
      <c r="J1447" s="8">
        <v>16.477087839999999</v>
      </c>
      <c r="K1447" s="8">
        <v>-60.108838540000001</v>
      </c>
      <c r="L1447" s="8">
        <v>92.279831459999997</v>
      </c>
      <c r="M1447" s="9" t="str">
        <f>IF(A1447="",M1448,A1447)</f>
        <v>Micronesia (Federated States of)</v>
      </c>
      <c r="N1447" s="3" t="str">
        <f t="shared" si="45"/>
        <v>Jun-2020</v>
      </c>
    </row>
    <row r="1448" spans="1:14" x14ac:dyDescent="0.3">
      <c r="A1448" s="3" t="s">
        <v>128</v>
      </c>
      <c r="B1448" s="3" t="s">
        <v>129</v>
      </c>
      <c r="C1448" s="8">
        <v>2020</v>
      </c>
      <c r="D1448" s="8">
        <v>7</v>
      </c>
      <c r="E1448" s="3" t="str">
        <f t="shared" si="44"/>
        <v>July</v>
      </c>
      <c r="F1448" s="3" t="s">
        <v>8</v>
      </c>
      <c r="G1448" s="8">
        <v>87.244763079999998</v>
      </c>
      <c r="H1448" s="8">
        <v>92.710999999999999</v>
      </c>
      <c r="I1448" s="8">
        <v>5.4662369220000002</v>
      </c>
      <c r="J1448" s="8">
        <v>21.943324759999999</v>
      </c>
      <c r="K1448" s="8">
        <v>-66.786954600000001</v>
      </c>
      <c r="L1448" s="8">
        <v>106.43409269999999</v>
      </c>
      <c r="M1448" s="9" t="str">
        <f>IF(A1448="",M1449,A1448)</f>
        <v>Micronesia (Federated States of)</v>
      </c>
      <c r="N1448" s="3" t="str">
        <f t="shared" si="45"/>
        <v>Jul-2020</v>
      </c>
    </row>
    <row r="1449" spans="1:14" x14ac:dyDescent="0.3">
      <c r="A1449" s="3" t="s">
        <v>128</v>
      </c>
      <c r="B1449" s="3" t="s">
        <v>129</v>
      </c>
      <c r="C1449" s="8">
        <v>2020</v>
      </c>
      <c r="D1449" s="8">
        <v>8</v>
      </c>
      <c r="E1449" s="3" t="str">
        <f t="shared" si="44"/>
        <v>August</v>
      </c>
      <c r="F1449" s="3" t="s">
        <v>8</v>
      </c>
      <c r="G1449" s="8">
        <v>87.096171459999994</v>
      </c>
      <c r="H1449" s="8">
        <v>91.400999999999996</v>
      </c>
      <c r="I1449" s="8">
        <v>4.3048285369999997</v>
      </c>
      <c r="J1449" s="8">
        <v>26.248153299999998</v>
      </c>
      <c r="K1449" s="8">
        <v>-67.688570189999993</v>
      </c>
      <c r="L1449" s="8">
        <v>119.6599616</v>
      </c>
      <c r="M1449" s="9" t="str">
        <f>IF(A1449="",M1450,A1449)</f>
        <v>Micronesia (Federated States of)</v>
      </c>
      <c r="N1449" s="3" t="str">
        <f t="shared" si="45"/>
        <v>Aug-2020</v>
      </c>
    </row>
    <row r="1450" spans="1:14" x14ac:dyDescent="0.3">
      <c r="A1450" s="3" t="s">
        <v>128</v>
      </c>
      <c r="B1450" s="3" t="s">
        <v>129</v>
      </c>
      <c r="C1450" s="8">
        <v>2020</v>
      </c>
      <c r="D1450" s="8">
        <v>9</v>
      </c>
      <c r="E1450" s="3" t="str">
        <f t="shared" si="44"/>
        <v>September</v>
      </c>
      <c r="F1450" s="3" t="s">
        <v>8</v>
      </c>
      <c r="G1450" s="8">
        <v>87.338670539999995</v>
      </c>
      <c r="H1450" s="8">
        <v>91.483000000000004</v>
      </c>
      <c r="I1450" s="8">
        <v>4.1443294599999998</v>
      </c>
      <c r="J1450" s="8">
        <v>30.39248276</v>
      </c>
      <c r="K1450" s="8">
        <v>-70.618535719999997</v>
      </c>
      <c r="L1450" s="8">
        <v>130.4986504</v>
      </c>
      <c r="M1450" s="9" t="str">
        <f>IF(A1450="",M1451,A1450)</f>
        <v>Micronesia (Federated States of)</v>
      </c>
      <c r="N1450" s="3" t="str">
        <f t="shared" si="45"/>
        <v>Sep-2020</v>
      </c>
    </row>
    <row r="1451" spans="1:14" x14ac:dyDescent="0.3">
      <c r="A1451" s="3" t="s">
        <v>128</v>
      </c>
      <c r="B1451" s="3" t="s">
        <v>129</v>
      </c>
      <c r="C1451" s="8">
        <v>2020</v>
      </c>
      <c r="D1451" s="8">
        <v>10</v>
      </c>
      <c r="E1451" s="3" t="str">
        <f t="shared" si="44"/>
        <v>October</v>
      </c>
      <c r="F1451" s="3" t="s">
        <v>8</v>
      </c>
      <c r="G1451" s="8">
        <v>87.096518340000003</v>
      </c>
      <c r="H1451" s="8">
        <v>90.087999999999994</v>
      </c>
      <c r="I1451" s="8">
        <v>2.9914816609999999</v>
      </c>
      <c r="J1451" s="8">
        <v>33.383964419999998</v>
      </c>
      <c r="K1451" s="8">
        <v>-76.139171669999996</v>
      </c>
      <c r="L1451" s="8">
        <v>136.26168519999999</v>
      </c>
      <c r="M1451" s="9" t="str">
        <f>IF(A1451="",M1452,A1451)</f>
        <v>Micronesia (Federated States of)</v>
      </c>
      <c r="N1451" s="3" t="str">
        <f t="shared" si="45"/>
        <v>Oct-2020</v>
      </c>
    </row>
    <row r="1452" spans="1:14" x14ac:dyDescent="0.3">
      <c r="A1452" s="3" t="s">
        <v>128</v>
      </c>
      <c r="B1452" s="3" t="s">
        <v>129</v>
      </c>
      <c r="C1452" s="8">
        <v>2020</v>
      </c>
      <c r="D1452" s="8">
        <v>11</v>
      </c>
      <c r="E1452" s="3" t="str">
        <f t="shared" si="44"/>
        <v>November</v>
      </c>
      <c r="F1452" s="3" t="s">
        <v>8</v>
      </c>
      <c r="G1452" s="8">
        <v>87.553723520000005</v>
      </c>
      <c r="H1452" s="8">
        <v>89.813000000000002</v>
      </c>
      <c r="I1452" s="8">
        <v>2.2592764750000001</v>
      </c>
      <c r="J1452" s="8">
        <v>35.643240890000001</v>
      </c>
      <c r="K1452" s="8">
        <v>-73.416723439999998</v>
      </c>
      <c r="L1452" s="8">
        <v>147.19509110000001</v>
      </c>
      <c r="M1452" s="9" t="str">
        <f>IF(A1452="",M1453,A1452)</f>
        <v>Micronesia (Federated States of)</v>
      </c>
      <c r="N1452" s="3" t="str">
        <f t="shared" si="45"/>
        <v>Nov-2020</v>
      </c>
    </row>
    <row r="1453" spans="1:14" x14ac:dyDescent="0.3">
      <c r="A1453" s="3" t="s">
        <v>128</v>
      </c>
      <c r="B1453" s="3" t="s">
        <v>129</v>
      </c>
      <c r="C1453" s="8">
        <v>2020</v>
      </c>
      <c r="D1453" s="8">
        <v>12</v>
      </c>
      <c r="E1453" s="3" t="str">
        <f t="shared" si="44"/>
        <v>December</v>
      </c>
      <c r="F1453" s="3" t="s">
        <v>8</v>
      </c>
      <c r="G1453" s="8">
        <v>87.405226760000005</v>
      </c>
      <c r="H1453" s="8">
        <v>90.483000000000004</v>
      </c>
      <c r="I1453" s="8">
        <v>3.0777732420000001</v>
      </c>
      <c r="J1453" s="8">
        <v>38.72101413</v>
      </c>
      <c r="K1453" s="8">
        <v>-78.164373780000005</v>
      </c>
      <c r="L1453" s="8">
        <v>154.1286891</v>
      </c>
      <c r="M1453" s="9" t="str">
        <f>IF(A1453="",M1454,A1453)</f>
        <v>Micronesia (Federated States of)</v>
      </c>
      <c r="N1453" s="3" t="str">
        <f t="shared" si="45"/>
        <v>Dec-2020</v>
      </c>
    </row>
    <row r="1454" spans="1:14" x14ac:dyDescent="0.3">
      <c r="A1454" s="3" t="s">
        <v>128</v>
      </c>
      <c r="B1454" s="3" t="s">
        <v>129</v>
      </c>
      <c r="C1454" s="8">
        <v>2021</v>
      </c>
      <c r="D1454" s="8">
        <v>1</v>
      </c>
      <c r="E1454" s="3" t="str">
        <f t="shared" si="44"/>
        <v>January</v>
      </c>
      <c r="F1454" s="3" t="s">
        <v>8</v>
      </c>
      <c r="G1454" s="8">
        <v>89.124458259999997</v>
      </c>
      <c r="H1454" s="8">
        <v>90.076999999999998</v>
      </c>
      <c r="I1454" s="8">
        <v>0.95254173900000005</v>
      </c>
      <c r="J1454" s="8">
        <v>39.673555870000001</v>
      </c>
      <c r="K1454" s="8">
        <v>-73.272663730000005</v>
      </c>
      <c r="L1454" s="8">
        <v>154.01041620000001</v>
      </c>
      <c r="M1454" s="9" t="str">
        <f>IF(A1454="",M1455,A1454)</f>
        <v>Micronesia (Federated States of)</v>
      </c>
      <c r="N1454" s="3" t="str">
        <f t="shared" si="45"/>
        <v>Jan-2021</v>
      </c>
    </row>
    <row r="1455" spans="1:14" x14ac:dyDescent="0.3">
      <c r="A1455" s="3" t="s">
        <v>128</v>
      </c>
      <c r="B1455" s="3" t="s">
        <v>129</v>
      </c>
      <c r="C1455" s="8">
        <v>2021</v>
      </c>
      <c r="D1455" s="8">
        <v>2</v>
      </c>
      <c r="E1455" s="3" t="str">
        <f t="shared" si="44"/>
        <v>February</v>
      </c>
      <c r="F1455" s="3" t="s">
        <v>8</v>
      </c>
      <c r="G1455" s="8">
        <v>89.181147050000007</v>
      </c>
      <c r="H1455" s="8">
        <v>91.067999999999998</v>
      </c>
      <c r="I1455" s="8">
        <v>1.8868529489999999</v>
      </c>
      <c r="J1455" s="8">
        <v>41.560408819999999</v>
      </c>
      <c r="K1455" s="8">
        <v>-73.337084529999998</v>
      </c>
      <c r="L1455" s="8">
        <v>157.71349190000001</v>
      </c>
      <c r="M1455" s="9" t="str">
        <f>IF(A1455="",M1456,A1455)</f>
        <v>Micronesia (Federated States of)</v>
      </c>
      <c r="N1455" s="3" t="str">
        <f t="shared" si="45"/>
        <v>Feb-2021</v>
      </c>
    </row>
    <row r="1456" spans="1:14" x14ac:dyDescent="0.3">
      <c r="A1456" s="3" t="s">
        <v>128</v>
      </c>
      <c r="B1456" s="3" t="s">
        <v>129</v>
      </c>
      <c r="C1456" s="8">
        <v>2021</v>
      </c>
      <c r="D1456" s="8">
        <v>3</v>
      </c>
      <c r="E1456" s="3" t="str">
        <f t="shared" si="44"/>
        <v>March</v>
      </c>
      <c r="F1456" s="3" t="s">
        <v>8</v>
      </c>
      <c r="G1456" s="8">
        <v>89.078388570000001</v>
      </c>
      <c r="H1456" s="8">
        <v>87.855000000000004</v>
      </c>
      <c r="I1456" s="8">
        <v>-1.2233885710000001</v>
      </c>
      <c r="J1456" s="8">
        <v>40.337020250000002</v>
      </c>
      <c r="K1456" s="8">
        <v>-81.210862599999999</v>
      </c>
      <c r="L1456" s="8">
        <v>162.7776235</v>
      </c>
      <c r="M1456" s="9" t="str">
        <f>IF(A1456="",M1457,A1456)</f>
        <v>Micronesia (Federated States of)</v>
      </c>
      <c r="N1456" s="3" t="str">
        <f t="shared" si="45"/>
        <v>Mar-2021</v>
      </c>
    </row>
    <row r="1457" spans="1:14" x14ac:dyDescent="0.3">
      <c r="A1457" s="3" t="s">
        <v>128</v>
      </c>
      <c r="B1457" s="3" t="s">
        <v>129</v>
      </c>
      <c r="C1457" s="8">
        <v>2021</v>
      </c>
      <c r="D1457" s="8">
        <v>4</v>
      </c>
      <c r="E1457" s="3" t="str">
        <f t="shared" si="44"/>
        <v>April</v>
      </c>
      <c r="F1457" s="3" t="s">
        <v>8</v>
      </c>
      <c r="G1457" s="8">
        <v>88.965134599999999</v>
      </c>
      <c r="H1457" s="8">
        <v>89.227000000000004</v>
      </c>
      <c r="I1457" s="8">
        <v>0.26186539800000003</v>
      </c>
      <c r="J1457" s="8">
        <v>40.59888565</v>
      </c>
      <c r="K1457" s="8">
        <v>-88.718224759999998</v>
      </c>
      <c r="L1457" s="8">
        <v>162.7576402</v>
      </c>
      <c r="M1457" s="9" t="str">
        <f>IF(A1457="",M1458,A1457)</f>
        <v>Micronesia (Federated States of)</v>
      </c>
      <c r="N1457" s="3" t="str">
        <f t="shared" si="45"/>
        <v>Apr-2021</v>
      </c>
    </row>
    <row r="1458" spans="1:14" x14ac:dyDescent="0.3">
      <c r="A1458" s="3" t="s">
        <v>128</v>
      </c>
      <c r="B1458" s="3" t="s">
        <v>129</v>
      </c>
      <c r="C1458" s="8">
        <v>2021</v>
      </c>
      <c r="D1458" s="8">
        <v>5</v>
      </c>
      <c r="E1458" s="3" t="str">
        <f t="shared" si="44"/>
        <v>May</v>
      </c>
      <c r="F1458" s="3" t="s">
        <v>8</v>
      </c>
      <c r="G1458" s="8">
        <v>89.144081150000005</v>
      </c>
      <c r="H1458" s="8">
        <v>89.322000000000003</v>
      </c>
      <c r="I1458" s="8">
        <v>0.17791884899999999</v>
      </c>
      <c r="J1458" s="8">
        <v>40.776804499999997</v>
      </c>
      <c r="K1458" s="8">
        <v>-91.308370339999996</v>
      </c>
      <c r="L1458" s="8">
        <v>172.40158149999999</v>
      </c>
      <c r="M1458" s="9" t="str">
        <f>IF(A1458="",M1459,A1458)</f>
        <v>Micronesia (Federated States of)</v>
      </c>
      <c r="N1458" s="3" t="str">
        <f t="shared" si="45"/>
        <v>May-2021</v>
      </c>
    </row>
    <row r="1459" spans="1:14" x14ac:dyDescent="0.3">
      <c r="A1459" s="3" t="s">
        <v>128</v>
      </c>
      <c r="B1459" s="3" t="s">
        <v>129</v>
      </c>
      <c r="C1459" s="8">
        <v>2021</v>
      </c>
      <c r="D1459" s="8">
        <v>6</v>
      </c>
      <c r="E1459" s="3" t="str">
        <f t="shared" si="44"/>
        <v>June</v>
      </c>
      <c r="F1459" s="3" t="s">
        <v>8</v>
      </c>
      <c r="G1459" s="8">
        <v>89.257779830000004</v>
      </c>
      <c r="H1459" s="8">
        <v>90.727999999999994</v>
      </c>
      <c r="I1459" s="8">
        <v>1.4702201660000001</v>
      </c>
      <c r="J1459" s="8">
        <v>42.247024660000001</v>
      </c>
      <c r="K1459" s="8">
        <v>-93.136075070000004</v>
      </c>
      <c r="L1459" s="8">
        <v>177.06442910000001</v>
      </c>
      <c r="M1459" s="9" t="str">
        <f>IF(A1459="",M1460,A1459)</f>
        <v>Micronesia (Federated States of)</v>
      </c>
      <c r="N1459" s="3" t="str">
        <f t="shared" si="45"/>
        <v>Jun-2021</v>
      </c>
    </row>
    <row r="1460" spans="1:14" x14ac:dyDescent="0.3">
      <c r="A1460" s="3" t="s">
        <v>128</v>
      </c>
      <c r="B1460" s="3" t="s">
        <v>129</v>
      </c>
      <c r="C1460" s="8">
        <v>2021</v>
      </c>
      <c r="D1460" s="8">
        <v>7</v>
      </c>
      <c r="E1460" s="3" t="str">
        <f t="shared" si="44"/>
        <v>July</v>
      </c>
      <c r="F1460" s="3" t="s">
        <v>8</v>
      </c>
      <c r="G1460" s="8">
        <v>89.119626499999995</v>
      </c>
      <c r="H1460" s="8">
        <v>93.561999999999998</v>
      </c>
      <c r="I1460" s="8">
        <v>4.4423734970000002</v>
      </c>
      <c r="J1460" s="8">
        <v>46.689398160000003</v>
      </c>
      <c r="K1460" s="8">
        <v>-88.193698850000004</v>
      </c>
      <c r="L1460" s="8">
        <v>186.93522139999999</v>
      </c>
      <c r="M1460" s="9" t="str">
        <f>IF(A1460="",M1461,A1460)</f>
        <v>Micronesia (Federated States of)</v>
      </c>
      <c r="N1460" s="3" t="str">
        <f t="shared" si="45"/>
        <v>Jul-2021</v>
      </c>
    </row>
    <row r="1461" spans="1:14" x14ac:dyDescent="0.3">
      <c r="A1461" s="3" t="s">
        <v>128</v>
      </c>
      <c r="B1461" s="3" t="s">
        <v>129</v>
      </c>
      <c r="C1461" s="8">
        <v>2021</v>
      </c>
      <c r="D1461" s="8">
        <v>8</v>
      </c>
      <c r="E1461" s="3" t="str">
        <f t="shared" si="44"/>
        <v>August</v>
      </c>
      <c r="F1461" s="3" t="s">
        <v>8</v>
      </c>
      <c r="G1461" s="8">
        <v>89.075521269999996</v>
      </c>
      <c r="H1461" s="8">
        <v>93.698999999999998</v>
      </c>
      <c r="I1461" s="8">
        <v>4.6234787280000003</v>
      </c>
      <c r="J1461" s="8">
        <v>51.312876889999998</v>
      </c>
      <c r="K1461" s="8">
        <v>-87.979986839999995</v>
      </c>
      <c r="L1461" s="8">
        <v>194.69020380000001</v>
      </c>
      <c r="M1461" s="9" t="str">
        <f>IF(A1461="",M1462,A1461)</f>
        <v>Micronesia (Federated States of)</v>
      </c>
      <c r="N1461" s="3" t="str">
        <f t="shared" si="45"/>
        <v>Aug-2021</v>
      </c>
    </row>
    <row r="1462" spans="1:14" x14ac:dyDescent="0.3">
      <c r="A1462" s="3" t="s">
        <v>128</v>
      </c>
      <c r="B1462" s="3" t="s">
        <v>129</v>
      </c>
      <c r="C1462" s="8">
        <v>2021</v>
      </c>
      <c r="D1462" s="8">
        <v>9</v>
      </c>
      <c r="E1462" s="3" t="str">
        <f t="shared" si="44"/>
        <v>September</v>
      </c>
      <c r="F1462" s="3" t="s">
        <v>8</v>
      </c>
      <c r="G1462" s="8">
        <v>89.456958400000005</v>
      </c>
      <c r="H1462" s="8">
        <v>93.89</v>
      </c>
      <c r="I1462" s="8">
        <v>4.4330415959999998</v>
      </c>
      <c r="J1462" s="8">
        <v>55.745918490000001</v>
      </c>
      <c r="K1462" s="8">
        <v>-85.474901299999999</v>
      </c>
      <c r="L1462" s="8">
        <v>204.54795590000001</v>
      </c>
      <c r="M1462" s="9" t="str">
        <f>IF(A1462="",M1463,A1462)</f>
        <v>Micronesia (Federated States of)</v>
      </c>
      <c r="N1462" s="3" t="str">
        <f t="shared" si="45"/>
        <v>Sep-2021</v>
      </c>
    </row>
    <row r="1463" spans="1:14" x14ac:dyDescent="0.3">
      <c r="A1463" s="3" t="s">
        <v>128</v>
      </c>
      <c r="B1463" s="3" t="s">
        <v>129</v>
      </c>
      <c r="C1463" s="8">
        <v>2021</v>
      </c>
      <c r="D1463" s="8">
        <v>10</v>
      </c>
      <c r="E1463" s="3" t="str">
        <f t="shared" si="44"/>
        <v>October</v>
      </c>
      <c r="F1463" s="3" t="s">
        <v>8</v>
      </c>
      <c r="G1463" s="8">
        <v>89.16674476</v>
      </c>
      <c r="H1463" s="8">
        <v>93.683000000000007</v>
      </c>
      <c r="I1463" s="8">
        <v>4.5162552380000003</v>
      </c>
      <c r="J1463" s="8">
        <v>60.26217372</v>
      </c>
      <c r="K1463" s="8">
        <v>-87.994611680000006</v>
      </c>
      <c r="L1463" s="8">
        <v>214.63410020000001</v>
      </c>
      <c r="M1463" s="9" t="str">
        <f>IF(A1463="",M1464,A1463)</f>
        <v>Micronesia (Federated States of)</v>
      </c>
      <c r="N1463" s="3" t="str">
        <f t="shared" si="45"/>
        <v>Oct-2021</v>
      </c>
    </row>
    <row r="1464" spans="1:14" x14ac:dyDescent="0.3">
      <c r="A1464" s="3" t="s">
        <v>128</v>
      </c>
      <c r="B1464" s="3" t="s">
        <v>129</v>
      </c>
      <c r="C1464" s="8">
        <v>2021</v>
      </c>
      <c r="D1464" s="8">
        <v>11</v>
      </c>
      <c r="E1464" s="3" t="str">
        <f t="shared" si="44"/>
        <v>November</v>
      </c>
      <c r="F1464" s="3" t="s">
        <v>8</v>
      </c>
      <c r="G1464" s="8">
        <v>89.734727910000004</v>
      </c>
      <c r="H1464" s="8">
        <v>95.933000000000007</v>
      </c>
      <c r="I1464" s="8">
        <v>6.1982720880000004</v>
      </c>
      <c r="J1464" s="8">
        <v>66.460445809999996</v>
      </c>
      <c r="K1464" s="8">
        <v>-80.886528960000007</v>
      </c>
      <c r="L1464" s="8">
        <v>226.12936139999999</v>
      </c>
      <c r="M1464" s="9" t="str">
        <f>IF(A1464="",M1465,A1464)</f>
        <v>Micronesia (Federated States of)</v>
      </c>
      <c r="N1464" s="3" t="str">
        <f t="shared" si="45"/>
        <v>Nov-2021</v>
      </c>
    </row>
    <row r="1465" spans="1:14" x14ac:dyDescent="0.3">
      <c r="A1465" s="3" t="s">
        <v>128</v>
      </c>
      <c r="B1465" s="3" t="s">
        <v>129</v>
      </c>
      <c r="C1465" s="8">
        <v>2021</v>
      </c>
      <c r="D1465" s="8">
        <v>12</v>
      </c>
      <c r="E1465" s="3" t="str">
        <f t="shared" si="44"/>
        <v>December</v>
      </c>
      <c r="F1465" s="3" t="s">
        <v>8</v>
      </c>
      <c r="G1465" s="8">
        <v>89.548021680000005</v>
      </c>
      <c r="H1465" s="8">
        <v>98.087999999999994</v>
      </c>
      <c r="I1465" s="8">
        <v>8.5399783199999995</v>
      </c>
      <c r="J1465" s="8">
        <v>75.000424129999999</v>
      </c>
      <c r="K1465" s="8">
        <v>-76.534761070000002</v>
      </c>
      <c r="L1465" s="8">
        <v>241.23598279999999</v>
      </c>
      <c r="M1465" s="9" t="str">
        <f>IF(A1465="",M1466,A1465)</f>
        <v>Micronesia (Federated States of)</v>
      </c>
      <c r="N1465" s="3" t="str">
        <f t="shared" si="45"/>
        <v>Dec-2021</v>
      </c>
    </row>
    <row r="1466" spans="1:14" x14ac:dyDescent="0.3">
      <c r="A1466" s="3" t="s">
        <v>130</v>
      </c>
      <c r="B1466" s="3" t="s">
        <v>131</v>
      </c>
      <c r="C1466" s="8">
        <v>2020</v>
      </c>
      <c r="D1466" s="8">
        <v>1</v>
      </c>
      <c r="E1466" s="3" t="str">
        <f t="shared" si="44"/>
        <v>January</v>
      </c>
      <c r="F1466" s="3" t="s">
        <v>8</v>
      </c>
      <c r="G1466" s="8">
        <v>1184.4825510000001</v>
      </c>
      <c r="H1466" s="8">
        <v>1210.499</v>
      </c>
      <c r="I1466" s="8">
        <v>26.01644877</v>
      </c>
      <c r="J1466" s="8">
        <v>26.01644877</v>
      </c>
      <c r="K1466" s="8">
        <v>-275.81544129999997</v>
      </c>
      <c r="L1466" s="8">
        <v>379.25444959999999</v>
      </c>
      <c r="M1466" s="9" t="str">
        <f>IF(A1466="",M1467,A1466)</f>
        <v>Gabon</v>
      </c>
      <c r="N1466" s="3" t="str">
        <f t="shared" si="45"/>
        <v>Jan-2020</v>
      </c>
    </row>
    <row r="1467" spans="1:14" x14ac:dyDescent="0.3">
      <c r="A1467" s="3" t="s">
        <v>130</v>
      </c>
      <c r="B1467" s="3" t="s">
        <v>131</v>
      </c>
      <c r="C1467" s="8">
        <v>2020</v>
      </c>
      <c r="D1467" s="8">
        <v>2</v>
      </c>
      <c r="E1467" s="3" t="str">
        <f t="shared" si="44"/>
        <v>February</v>
      </c>
      <c r="F1467" s="3" t="s">
        <v>8</v>
      </c>
      <c r="G1467" s="8">
        <v>1184.3136099999999</v>
      </c>
      <c r="H1467" s="8">
        <v>1177.222</v>
      </c>
      <c r="I1467" s="8">
        <v>-7.0916098759999997</v>
      </c>
      <c r="J1467" s="8">
        <v>18.92483889</v>
      </c>
      <c r="K1467" s="8">
        <v>-422.27258590000002</v>
      </c>
      <c r="L1467" s="8">
        <v>507.29270150000002</v>
      </c>
      <c r="M1467" s="9" t="str">
        <f>IF(A1467="",M1468,A1467)</f>
        <v>Gabon</v>
      </c>
      <c r="N1467" s="3" t="str">
        <f t="shared" si="45"/>
        <v>Feb-2020</v>
      </c>
    </row>
    <row r="1468" spans="1:14" x14ac:dyDescent="0.3">
      <c r="A1468" s="3" t="s">
        <v>130</v>
      </c>
      <c r="B1468" s="3" t="s">
        <v>131</v>
      </c>
      <c r="C1468" s="8">
        <v>2020</v>
      </c>
      <c r="D1468" s="8">
        <v>3</v>
      </c>
      <c r="E1468" s="3" t="str">
        <f t="shared" si="44"/>
        <v>March</v>
      </c>
      <c r="F1468" s="3" t="s">
        <v>8</v>
      </c>
      <c r="G1468" s="8">
        <v>1183.5852239999999</v>
      </c>
      <c r="H1468" s="8">
        <v>1183.4559999999999</v>
      </c>
      <c r="I1468" s="8">
        <v>-0.12922430100000001</v>
      </c>
      <c r="J1468" s="8">
        <v>18.79561459</v>
      </c>
      <c r="K1468" s="8">
        <v>-526.78230689999998</v>
      </c>
      <c r="L1468" s="8">
        <v>606.81980020000003</v>
      </c>
      <c r="M1468" s="9" t="str">
        <f>IF(A1468="",M1469,A1468)</f>
        <v>Gabon</v>
      </c>
      <c r="N1468" s="3" t="str">
        <f t="shared" si="45"/>
        <v>Mar-2020</v>
      </c>
    </row>
    <row r="1469" spans="1:14" x14ac:dyDescent="0.3">
      <c r="A1469" s="3" t="s">
        <v>130</v>
      </c>
      <c r="B1469" s="3" t="s">
        <v>131</v>
      </c>
      <c r="C1469" s="8">
        <v>2020</v>
      </c>
      <c r="D1469" s="8">
        <v>4</v>
      </c>
      <c r="E1469" s="3" t="str">
        <f t="shared" si="44"/>
        <v>April</v>
      </c>
      <c r="F1469" s="3" t="s">
        <v>8</v>
      </c>
      <c r="G1469" s="8">
        <v>1182.709155</v>
      </c>
      <c r="H1469" s="8">
        <v>1111.318</v>
      </c>
      <c r="I1469" s="8">
        <v>-71.391155280000007</v>
      </c>
      <c r="J1469" s="8">
        <v>-52.59554069</v>
      </c>
      <c r="K1469" s="8">
        <v>-635.52775469999995</v>
      </c>
      <c r="L1469" s="8">
        <v>598.79170939999995</v>
      </c>
      <c r="M1469" s="9" t="str">
        <f>IF(A1469="",M1470,A1469)</f>
        <v>Gabon</v>
      </c>
      <c r="N1469" s="3" t="str">
        <f t="shared" si="45"/>
        <v>Apr-2020</v>
      </c>
    </row>
    <row r="1470" spans="1:14" x14ac:dyDescent="0.3">
      <c r="A1470" s="3" t="s">
        <v>130</v>
      </c>
      <c r="B1470" s="3" t="s">
        <v>131</v>
      </c>
      <c r="C1470" s="8">
        <v>2020</v>
      </c>
      <c r="D1470" s="8">
        <v>5</v>
      </c>
      <c r="E1470" s="3" t="str">
        <f t="shared" si="44"/>
        <v>May</v>
      </c>
      <c r="F1470" s="3" t="s">
        <v>8</v>
      </c>
      <c r="G1470" s="8">
        <v>1186.1899080000001</v>
      </c>
      <c r="H1470" s="8">
        <v>1233.1489999999999</v>
      </c>
      <c r="I1470" s="8">
        <v>46.959091739999998</v>
      </c>
      <c r="J1470" s="8">
        <v>-5.6364489549999996</v>
      </c>
      <c r="K1470" s="8">
        <v>-705.37399259999995</v>
      </c>
      <c r="L1470" s="8">
        <v>727.06970809999996</v>
      </c>
      <c r="M1470" s="9" t="str">
        <f>IF(A1470="",M1471,A1470)</f>
        <v>Gabon</v>
      </c>
      <c r="N1470" s="3" t="str">
        <f t="shared" si="45"/>
        <v>May-2020</v>
      </c>
    </row>
    <row r="1471" spans="1:14" x14ac:dyDescent="0.3">
      <c r="A1471" s="3" t="s">
        <v>130</v>
      </c>
      <c r="B1471" s="3" t="s">
        <v>131</v>
      </c>
      <c r="C1471" s="8">
        <v>2020</v>
      </c>
      <c r="D1471" s="8">
        <v>6</v>
      </c>
      <c r="E1471" s="3" t="str">
        <f t="shared" si="44"/>
        <v>June</v>
      </c>
      <c r="F1471" s="3" t="s">
        <v>8</v>
      </c>
      <c r="G1471" s="8">
        <v>1199.395671</v>
      </c>
      <c r="H1471" s="8">
        <v>1320.67</v>
      </c>
      <c r="I1471" s="8">
        <v>121.2743286</v>
      </c>
      <c r="J1471" s="8">
        <v>115.6378797</v>
      </c>
      <c r="K1471" s="8">
        <v>-681.97680119999995</v>
      </c>
      <c r="L1471" s="8">
        <v>895.12309419999997</v>
      </c>
      <c r="M1471" s="9" t="str">
        <f>IF(A1471="",M1472,A1471)</f>
        <v>Gabon</v>
      </c>
      <c r="N1471" s="3" t="str">
        <f t="shared" si="45"/>
        <v>Jun-2020</v>
      </c>
    </row>
    <row r="1472" spans="1:14" x14ac:dyDescent="0.3">
      <c r="A1472" s="3" t="s">
        <v>130</v>
      </c>
      <c r="B1472" s="3" t="s">
        <v>131</v>
      </c>
      <c r="C1472" s="8">
        <v>2020</v>
      </c>
      <c r="D1472" s="8">
        <v>7</v>
      </c>
      <c r="E1472" s="3" t="str">
        <f t="shared" si="44"/>
        <v>July</v>
      </c>
      <c r="F1472" s="3" t="s">
        <v>8</v>
      </c>
      <c r="G1472" s="8">
        <v>1203.4358569999999</v>
      </c>
      <c r="H1472" s="8">
        <v>1281.5920000000001</v>
      </c>
      <c r="I1472" s="8">
        <v>78.156143040000003</v>
      </c>
      <c r="J1472" s="8">
        <v>193.7940227</v>
      </c>
      <c r="K1472" s="8">
        <v>-680.43224970000006</v>
      </c>
      <c r="L1472" s="8">
        <v>1102.2205899999999</v>
      </c>
      <c r="M1472" s="9" t="str">
        <f>IF(A1472="",M1473,A1472)</f>
        <v>Gabon</v>
      </c>
      <c r="N1472" s="3" t="str">
        <f t="shared" si="45"/>
        <v>Jul-2020</v>
      </c>
    </row>
    <row r="1473" spans="1:14" x14ac:dyDescent="0.3">
      <c r="A1473" s="3" t="s">
        <v>130</v>
      </c>
      <c r="B1473" s="3" t="s">
        <v>131</v>
      </c>
      <c r="C1473" s="8">
        <v>2020</v>
      </c>
      <c r="D1473" s="8">
        <v>8</v>
      </c>
      <c r="E1473" s="3" t="str">
        <f t="shared" si="44"/>
        <v>August</v>
      </c>
      <c r="F1473" s="3" t="s">
        <v>8</v>
      </c>
      <c r="G1473" s="8">
        <v>1201.7780439999999</v>
      </c>
      <c r="H1473" s="8">
        <v>1276.5940000000001</v>
      </c>
      <c r="I1473" s="8">
        <v>74.815956159999999</v>
      </c>
      <c r="J1473" s="8">
        <v>268.60997889999999</v>
      </c>
      <c r="K1473" s="8">
        <v>-688.82124090000002</v>
      </c>
      <c r="L1473" s="8">
        <v>1260.163192</v>
      </c>
      <c r="M1473" s="9" t="str">
        <f>IF(A1473="",M1474,A1473)</f>
        <v>Gabon</v>
      </c>
      <c r="N1473" s="3" t="str">
        <f t="shared" si="45"/>
        <v>Aug-2020</v>
      </c>
    </row>
    <row r="1474" spans="1:14" x14ac:dyDescent="0.3">
      <c r="A1474" s="3" t="s">
        <v>130</v>
      </c>
      <c r="B1474" s="3" t="s">
        <v>131</v>
      </c>
      <c r="C1474" s="8">
        <v>2020</v>
      </c>
      <c r="D1474" s="8">
        <v>9</v>
      </c>
      <c r="E1474" s="3" t="str">
        <f t="shared" ref="E1474:E1537" si="46">TEXT(DATE(C1474,D1474,1),"MMMM")</f>
        <v>September</v>
      </c>
      <c r="F1474" s="3" t="s">
        <v>8</v>
      </c>
      <c r="G1474" s="8">
        <v>1197.188304</v>
      </c>
      <c r="H1474" s="8">
        <v>1240.7660000000001</v>
      </c>
      <c r="I1474" s="8">
        <v>43.577696500000002</v>
      </c>
      <c r="J1474" s="8">
        <v>312.18767539999999</v>
      </c>
      <c r="K1474" s="8">
        <v>-660.70023849999995</v>
      </c>
      <c r="L1474" s="8">
        <v>1344.6488999999999</v>
      </c>
      <c r="M1474" s="9" t="str">
        <f>IF(A1474="",M1475,A1474)</f>
        <v>Gabon</v>
      </c>
      <c r="N1474" s="3" t="str">
        <f t="shared" ref="N1474:N1537" si="47">TEXT(DATE(C1474,D1474,1),"MMM-YYYY")</f>
        <v>Sep-2020</v>
      </c>
    </row>
    <row r="1475" spans="1:14" x14ac:dyDescent="0.3">
      <c r="A1475" s="3" t="s">
        <v>130</v>
      </c>
      <c r="B1475" s="3" t="s">
        <v>131</v>
      </c>
      <c r="C1475" s="8">
        <v>2020</v>
      </c>
      <c r="D1475" s="8">
        <v>10</v>
      </c>
      <c r="E1475" s="3" t="str">
        <f t="shared" si="46"/>
        <v>October</v>
      </c>
      <c r="F1475" s="3" t="s">
        <v>8</v>
      </c>
      <c r="G1475" s="8">
        <v>1191.5429320000001</v>
      </c>
      <c r="H1475" s="8">
        <v>1212.152</v>
      </c>
      <c r="I1475" s="8">
        <v>20.609068229999998</v>
      </c>
      <c r="J1475" s="8">
        <v>332.79674360000001</v>
      </c>
      <c r="K1475" s="8">
        <v>-687.62753559999999</v>
      </c>
      <c r="L1475" s="8">
        <v>1400.3009440000001</v>
      </c>
      <c r="M1475" s="9" t="str">
        <f>IF(A1475="",M1476,A1475)</f>
        <v>Gabon</v>
      </c>
      <c r="N1475" s="3" t="str">
        <f t="shared" si="47"/>
        <v>Oct-2020</v>
      </c>
    </row>
    <row r="1476" spans="1:14" x14ac:dyDescent="0.3">
      <c r="A1476" s="3" t="s">
        <v>130</v>
      </c>
      <c r="B1476" s="3" t="s">
        <v>131</v>
      </c>
      <c r="C1476" s="8">
        <v>2020</v>
      </c>
      <c r="D1476" s="8">
        <v>11</v>
      </c>
      <c r="E1476" s="3" t="str">
        <f t="shared" si="46"/>
        <v>November</v>
      </c>
      <c r="F1476" s="3" t="s">
        <v>8</v>
      </c>
      <c r="G1476" s="8">
        <v>1193.8313470000001</v>
      </c>
      <c r="H1476" s="8">
        <v>1220.6300000000001</v>
      </c>
      <c r="I1476" s="8">
        <v>26.79865255</v>
      </c>
      <c r="J1476" s="8">
        <v>359.59539610000002</v>
      </c>
      <c r="K1476" s="8">
        <v>-737.48449649999998</v>
      </c>
      <c r="L1476" s="8">
        <v>1467.219832</v>
      </c>
      <c r="M1476" s="9" t="str">
        <f>IF(A1476="",M1477,A1476)</f>
        <v>Gabon</v>
      </c>
      <c r="N1476" s="3" t="str">
        <f t="shared" si="47"/>
        <v>Nov-2020</v>
      </c>
    </row>
    <row r="1477" spans="1:14" x14ac:dyDescent="0.3">
      <c r="A1477" s="3" t="s">
        <v>130</v>
      </c>
      <c r="B1477" s="3" t="s">
        <v>131</v>
      </c>
      <c r="C1477" s="8">
        <v>2020</v>
      </c>
      <c r="D1477" s="8">
        <v>12</v>
      </c>
      <c r="E1477" s="3" t="str">
        <f t="shared" si="46"/>
        <v>December</v>
      </c>
      <c r="F1477" s="3" t="s">
        <v>8</v>
      </c>
      <c r="G1477" s="8">
        <v>1192.959779</v>
      </c>
      <c r="H1477" s="8">
        <v>1211.1959999999999</v>
      </c>
      <c r="I1477" s="8">
        <v>18.23622104</v>
      </c>
      <c r="J1477" s="8">
        <v>377.83161719999998</v>
      </c>
      <c r="K1477" s="8">
        <v>-699.87311120000004</v>
      </c>
      <c r="L1477" s="8">
        <v>1536.739032</v>
      </c>
      <c r="M1477" s="9" t="str">
        <f>IF(A1477="",M1478,A1477)</f>
        <v>Gabon</v>
      </c>
      <c r="N1477" s="3" t="str">
        <f t="shared" si="47"/>
        <v>Dec-2020</v>
      </c>
    </row>
    <row r="1478" spans="1:14" x14ac:dyDescent="0.3">
      <c r="A1478" s="3" t="s">
        <v>130</v>
      </c>
      <c r="B1478" s="3" t="s">
        <v>131</v>
      </c>
      <c r="C1478" s="8">
        <v>2021</v>
      </c>
      <c r="D1478" s="8">
        <v>1</v>
      </c>
      <c r="E1478" s="3" t="str">
        <f t="shared" si="46"/>
        <v>January</v>
      </c>
      <c r="F1478" s="3" t="s">
        <v>8</v>
      </c>
      <c r="G1478" s="8">
        <v>1187.2753970000001</v>
      </c>
      <c r="H1478" s="8">
        <v>1213.0550000000001</v>
      </c>
      <c r="I1478" s="8">
        <v>25.779602839999999</v>
      </c>
      <c r="J1478" s="8">
        <v>403.61122</v>
      </c>
      <c r="K1478" s="8">
        <v>-744.98665840000001</v>
      </c>
      <c r="L1478" s="8">
        <v>1698.7743969999999</v>
      </c>
      <c r="M1478" s="9" t="str">
        <f>IF(A1478="",M1479,A1478)</f>
        <v>Gabon</v>
      </c>
      <c r="N1478" s="3" t="str">
        <f t="shared" si="47"/>
        <v>Jan-2021</v>
      </c>
    </row>
    <row r="1479" spans="1:14" x14ac:dyDescent="0.3">
      <c r="A1479" s="3" t="s">
        <v>130</v>
      </c>
      <c r="B1479" s="3" t="s">
        <v>131</v>
      </c>
      <c r="C1479" s="8">
        <v>2021</v>
      </c>
      <c r="D1479" s="8">
        <v>2</v>
      </c>
      <c r="E1479" s="3" t="str">
        <f t="shared" si="46"/>
        <v>February</v>
      </c>
      <c r="F1479" s="3" t="s">
        <v>8</v>
      </c>
      <c r="G1479" s="8">
        <v>1187.121069</v>
      </c>
      <c r="H1479" s="8">
        <v>1270.421</v>
      </c>
      <c r="I1479" s="8">
        <v>83.299931360000002</v>
      </c>
      <c r="J1479" s="8">
        <v>486.91115139999999</v>
      </c>
      <c r="K1479" s="8">
        <v>-684.07010000000002</v>
      </c>
      <c r="L1479" s="8">
        <v>1783.542672</v>
      </c>
      <c r="M1479" s="9" t="str">
        <f>IF(A1479="",M1480,A1479)</f>
        <v>Gabon</v>
      </c>
      <c r="N1479" s="3" t="str">
        <f t="shared" si="47"/>
        <v>Feb-2021</v>
      </c>
    </row>
    <row r="1480" spans="1:14" x14ac:dyDescent="0.3">
      <c r="A1480" s="3" t="s">
        <v>130</v>
      </c>
      <c r="B1480" s="3" t="s">
        <v>131</v>
      </c>
      <c r="C1480" s="8">
        <v>2021</v>
      </c>
      <c r="D1480" s="8">
        <v>3</v>
      </c>
      <c r="E1480" s="3" t="str">
        <f t="shared" si="46"/>
        <v>March</v>
      </c>
      <c r="F1480" s="3" t="s">
        <v>8</v>
      </c>
      <c r="G1480" s="8">
        <v>1186.910302</v>
      </c>
      <c r="H1480" s="8">
        <v>1302.662</v>
      </c>
      <c r="I1480" s="8">
        <v>115.751698</v>
      </c>
      <c r="J1480" s="8">
        <v>602.66284940000003</v>
      </c>
      <c r="K1480" s="8">
        <v>-677.12187229999995</v>
      </c>
      <c r="L1480" s="8">
        <v>1977.029583</v>
      </c>
      <c r="M1480" s="9" t="str">
        <f>IF(A1480="",M1481,A1480)</f>
        <v>Gabon</v>
      </c>
      <c r="N1480" s="3" t="str">
        <f t="shared" si="47"/>
        <v>Mar-2021</v>
      </c>
    </row>
    <row r="1481" spans="1:14" x14ac:dyDescent="0.3">
      <c r="A1481" s="3" t="s">
        <v>130</v>
      </c>
      <c r="B1481" s="3" t="s">
        <v>131</v>
      </c>
      <c r="C1481" s="8">
        <v>2021</v>
      </c>
      <c r="D1481" s="8">
        <v>4</v>
      </c>
      <c r="E1481" s="3" t="str">
        <f t="shared" si="46"/>
        <v>April</v>
      </c>
      <c r="F1481" s="3" t="s">
        <v>8</v>
      </c>
      <c r="G1481" s="8">
        <v>1185.7236150000001</v>
      </c>
      <c r="H1481" s="8">
        <v>1279.32</v>
      </c>
      <c r="I1481" s="8">
        <v>93.596384779999994</v>
      </c>
      <c r="J1481" s="8">
        <v>696.25923420000004</v>
      </c>
      <c r="K1481" s="8">
        <v>-670.24133319999999</v>
      </c>
      <c r="L1481" s="8">
        <v>2159.3383950000002</v>
      </c>
      <c r="M1481" s="9" t="str">
        <f>IF(A1481="",M1482,A1481)</f>
        <v>Gabon</v>
      </c>
      <c r="N1481" s="3" t="str">
        <f t="shared" si="47"/>
        <v>Apr-2021</v>
      </c>
    </row>
    <row r="1482" spans="1:14" x14ac:dyDescent="0.3">
      <c r="A1482" s="3" t="s">
        <v>130</v>
      </c>
      <c r="B1482" s="3" t="s">
        <v>131</v>
      </c>
      <c r="C1482" s="8">
        <v>2021</v>
      </c>
      <c r="D1482" s="8">
        <v>5</v>
      </c>
      <c r="E1482" s="3" t="str">
        <f t="shared" si="46"/>
        <v>May</v>
      </c>
      <c r="F1482" s="3" t="s">
        <v>8</v>
      </c>
      <c r="G1482" s="8">
        <v>1188.961505</v>
      </c>
      <c r="H1482" s="8">
        <v>1249.846</v>
      </c>
      <c r="I1482" s="8">
        <v>60.884494959999998</v>
      </c>
      <c r="J1482" s="8">
        <v>757.14372909999997</v>
      </c>
      <c r="K1482" s="8">
        <v>-636.10696040000005</v>
      </c>
      <c r="L1482" s="8">
        <v>2293.6415609999999</v>
      </c>
      <c r="M1482" s="9" t="str">
        <f>IF(A1482="",M1483,A1482)</f>
        <v>Gabon</v>
      </c>
      <c r="N1482" s="3" t="str">
        <f t="shared" si="47"/>
        <v>May-2021</v>
      </c>
    </row>
    <row r="1483" spans="1:14" x14ac:dyDescent="0.3">
      <c r="A1483" s="3" t="s">
        <v>130</v>
      </c>
      <c r="B1483" s="3" t="s">
        <v>131</v>
      </c>
      <c r="C1483" s="8">
        <v>2021</v>
      </c>
      <c r="D1483" s="8">
        <v>6</v>
      </c>
      <c r="E1483" s="3" t="str">
        <f t="shared" si="46"/>
        <v>June</v>
      </c>
      <c r="F1483" s="3" t="s">
        <v>8</v>
      </c>
      <c r="G1483" s="8">
        <v>1201.978018</v>
      </c>
      <c r="H1483" s="8">
        <v>1243.6690000000001</v>
      </c>
      <c r="I1483" s="8">
        <v>41.690981860000001</v>
      </c>
      <c r="J1483" s="8">
        <v>798.83471099999997</v>
      </c>
      <c r="K1483" s="8">
        <v>-693.20862090000003</v>
      </c>
      <c r="L1483" s="8">
        <v>2378.2478150000002</v>
      </c>
      <c r="M1483" s="9" t="str">
        <f>IF(A1483="",M1484,A1483)</f>
        <v>Gabon</v>
      </c>
      <c r="N1483" s="3" t="str">
        <f t="shared" si="47"/>
        <v>Jun-2021</v>
      </c>
    </row>
    <row r="1484" spans="1:14" x14ac:dyDescent="0.3">
      <c r="A1484" s="3" t="s">
        <v>130</v>
      </c>
      <c r="B1484" s="3" t="s">
        <v>131</v>
      </c>
      <c r="C1484" s="8">
        <v>2021</v>
      </c>
      <c r="D1484" s="8">
        <v>7</v>
      </c>
      <c r="E1484" s="3" t="str">
        <f t="shared" si="46"/>
        <v>July</v>
      </c>
      <c r="F1484" s="3" t="s">
        <v>8</v>
      </c>
      <c r="G1484" s="8">
        <v>1206.1495050000001</v>
      </c>
      <c r="H1484" s="8">
        <v>1219.5709999999999</v>
      </c>
      <c r="I1484" s="8">
        <v>13.42149451</v>
      </c>
      <c r="J1484" s="8">
        <v>812.25620549999996</v>
      </c>
      <c r="K1484" s="8">
        <v>-675.82833960000005</v>
      </c>
      <c r="L1484" s="8">
        <v>2373.653472</v>
      </c>
      <c r="M1484" s="9" t="str">
        <f>IF(A1484="",M1485,A1484)</f>
        <v>Gabon</v>
      </c>
      <c r="N1484" s="3" t="str">
        <f t="shared" si="47"/>
        <v>Jul-2021</v>
      </c>
    </row>
    <row r="1485" spans="1:14" x14ac:dyDescent="0.3">
      <c r="A1485" s="3" t="s">
        <v>130</v>
      </c>
      <c r="B1485" s="3" t="s">
        <v>131</v>
      </c>
      <c r="C1485" s="8">
        <v>2021</v>
      </c>
      <c r="D1485" s="8">
        <v>8</v>
      </c>
      <c r="E1485" s="3" t="str">
        <f t="shared" si="46"/>
        <v>August</v>
      </c>
      <c r="F1485" s="3" t="s">
        <v>8</v>
      </c>
      <c r="G1485" s="8">
        <v>1204.8023029999999</v>
      </c>
      <c r="H1485" s="8">
        <v>1180.6130000000001</v>
      </c>
      <c r="I1485" s="8">
        <v>-24.189302739999999</v>
      </c>
      <c r="J1485" s="8">
        <v>788.06690279999998</v>
      </c>
      <c r="K1485" s="8">
        <v>-761.02071969999997</v>
      </c>
      <c r="L1485" s="8">
        <v>2429.7813489999999</v>
      </c>
      <c r="M1485" s="9" t="str">
        <f>IF(A1485="",M1486,A1485)</f>
        <v>Gabon</v>
      </c>
      <c r="N1485" s="3" t="str">
        <f t="shared" si="47"/>
        <v>Aug-2021</v>
      </c>
    </row>
    <row r="1486" spans="1:14" x14ac:dyDescent="0.3">
      <c r="A1486" s="3" t="s">
        <v>130</v>
      </c>
      <c r="B1486" s="3" t="s">
        <v>131</v>
      </c>
      <c r="C1486" s="8">
        <v>2021</v>
      </c>
      <c r="D1486" s="8">
        <v>9</v>
      </c>
      <c r="E1486" s="3" t="str">
        <f t="shared" si="46"/>
        <v>September</v>
      </c>
      <c r="F1486" s="3" t="s">
        <v>8</v>
      </c>
      <c r="G1486" s="8">
        <v>1200.5034479999999</v>
      </c>
      <c r="H1486" s="8">
        <v>1290.25</v>
      </c>
      <c r="I1486" s="8">
        <v>89.74655181</v>
      </c>
      <c r="J1486" s="8">
        <v>877.8134546</v>
      </c>
      <c r="K1486" s="8">
        <v>-711.52143639999997</v>
      </c>
      <c r="L1486" s="8">
        <v>2568.6971589999998</v>
      </c>
      <c r="M1486" s="9" t="str">
        <f>IF(A1486="",M1487,A1486)</f>
        <v>Gabon</v>
      </c>
      <c r="N1486" s="3" t="str">
        <f t="shared" si="47"/>
        <v>Sep-2021</v>
      </c>
    </row>
    <row r="1487" spans="1:14" x14ac:dyDescent="0.3">
      <c r="A1487" s="3" t="s">
        <v>130</v>
      </c>
      <c r="B1487" s="3" t="s">
        <v>131</v>
      </c>
      <c r="C1487" s="8">
        <v>2021</v>
      </c>
      <c r="D1487" s="8">
        <v>10</v>
      </c>
      <c r="E1487" s="3" t="str">
        <f t="shared" si="46"/>
        <v>October</v>
      </c>
      <c r="F1487" s="3" t="s">
        <v>8</v>
      </c>
      <c r="G1487" s="8">
        <v>1194.8237790000001</v>
      </c>
      <c r="H1487" s="8">
        <v>1349.3109999999999</v>
      </c>
      <c r="I1487" s="8">
        <v>154.48722119999999</v>
      </c>
      <c r="J1487" s="8">
        <v>1032.3006760000001</v>
      </c>
      <c r="K1487" s="8">
        <v>-599.65355209999996</v>
      </c>
      <c r="L1487" s="8">
        <v>2841.2209929999999</v>
      </c>
      <c r="M1487" s="9" t="str">
        <f>IF(A1487="",M1488,A1487)</f>
        <v>Gabon</v>
      </c>
      <c r="N1487" s="3" t="str">
        <f t="shared" si="47"/>
        <v>Oct-2021</v>
      </c>
    </row>
    <row r="1488" spans="1:14" x14ac:dyDescent="0.3">
      <c r="A1488" s="3" t="s">
        <v>130</v>
      </c>
      <c r="B1488" s="3" t="s">
        <v>131</v>
      </c>
      <c r="C1488" s="8">
        <v>2021</v>
      </c>
      <c r="D1488" s="8">
        <v>11</v>
      </c>
      <c r="E1488" s="3" t="str">
        <f t="shared" si="46"/>
        <v>November</v>
      </c>
      <c r="F1488" s="3" t="s">
        <v>8</v>
      </c>
      <c r="G1488" s="8">
        <v>1197.195657</v>
      </c>
      <c r="H1488" s="8">
        <v>1329.0119999999999</v>
      </c>
      <c r="I1488" s="8">
        <v>131.81634320000001</v>
      </c>
      <c r="J1488" s="8">
        <v>1164.117019</v>
      </c>
      <c r="K1488" s="8">
        <v>-485.73205669999999</v>
      </c>
      <c r="L1488" s="8">
        <v>2917.7978119999998</v>
      </c>
      <c r="M1488" s="9" t="str">
        <f>IF(A1488="",M1489,A1488)</f>
        <v>Gabon</v>
      </c>
      <c r="N1488" s="3" t="str">
        <f t="shared" si="47"/>
        <v>Nov-2021</v>
      </c>
    </row>
    <row r="1489" spans="1:14" x14ac:dyDescent="0.3">
      <c r="A1489" s="3" t="s">
        <v>130</v>
      </c>
      <c r="B1489" s="3" t="s">
        <v>131</v>
      </c>
      <c r="C1489" s="8">
        <v>2021</v>
      </c>
      <c r="D1489" s="8">
        <v>12</v>
      </c>
      <c r="E1489" s="3" t="str">
        <f t="shared" si="46"/>
        <v>December</v>
      </c>
      <c r="F1489" s="3" t="s">
        <v>8</v>
      </c>
      <c r="G1489" s="8">
        <v>1196.675297</v>
      </c>
      <c r="H1489" s="8">
        <v>1270.6659999999999</v>
      </c>
      <c r="I1489" s="8">
        <v>73.990702870000007</v>
      </c>
      <c r="J1489" s="8">
        <v>1238.107722</v>
      </c>
      <c r="K1489" s="8">
        <v>-408.15381239999999</v>
      </c>
      <c r="L1489" s="8">
        <v>3074.418064</v>
      </c>
      <c r="M1489" s="9" t="str">
        <f>IF(A1489="",M1490,A1489)</f>
        <v>Gabon</v>
      </c>
      <c r="N1489" s="3" t="str">
        <f t="shared" si="47"/>
        <v>Dec-2021</v>
      </c>
    </row>
    <row r="1490" spans="1:14" x14ac:dyDescent="0.3">
      <c r="A1490" s="3" t="s">
        <v>132</v>
      </c>
      <c r="B1490" s="3" t="s">
        <v>133</v>
      </c>
      <c r="C1490" s="8">
        <v>2020</v>
      </c>
      <c r="D1490" s="8">
        <v>1</v>
      </c>
      <c r="E1490" s="3" t="str">
        <f t="shared" si="46"/>
        <v>January</v>
      </c>
      <c r="F1490" s="3" t="s">
        <v>13</v>
      </c>
      <c r="G1490" s="8">
        <v>56093.790260000002</v>
      </c>
      <c r="H1490" s="8">
        <v>63190</v>
      </c>
      <c r="I1490" s="8">
        <v>6882.9597370000001</v>
      </c>
      <c r="J1490" s="8">
        <v>6882.9597370000001</v>
      </c>
      <c r="K1490" s="8">
        <v>4116.7860650000002</v>
      </c>
      <c r="L1490" s="8">
        <v>9409.9072080000005</v>
      </c>
      <c r="M1490" s="9" t="str">
        <f>IF(A1490="",M1491,A1490)</f>
        <v>The United Kingdom</v>
      </c>
      <c r="N1490" s="3" t="str">
        <f t="shared" si="47"/>
        <v>Jan-2020</v>
      </c>
    </row>
    <row r="1491" spans="1:14" x14ac:dyDescent="0.3">
      <c r="A1491" s="3" t="s">
        <v>132</v>
      </c>
      <c r="B1491" s="3" t="s">
        <v>133</v>
      </c>
      <c r="C1491" s="8">
        <v>2020</v>
      </c>
      <c r="D1491" s="8">
        <v>2</v>
      </c>
      <c r="E1491" s="3" t="str">
        <f t="shared" si="46"/>
        <v>February</v>
      </c>
      <c r="F1491" s="3" t="s">
        <v>13</v>
      </c>
      <c r="G1491" s="8">
        <v>55361.388290000003</v>
      </c>
      <c r="H1491" s="8">
        <v>51353</v>
      </c>
      <c r="I1491" s="8">
        <v>-4221.6382949999997</v>
      </c>
      <c r="J1491" s="8">
        <v>2661.3214419999999</v>
      </c>
      <c r="K1491" s="8">
        <v>-1145.2344450000001</v>
      </c>
      <c r="L1491" s="8">
        <v>6368.4747260000004</v>
      </c>
      <c r="M1491" s="9" t="str">
        <f>IF(A1491="",M1492,A1491)</f>
        <v>The United Kingdom</v>
      </c>
      <c r="N1491" s="3" t="str">
        <f t="shared" si="47"/>
        <v>Feb-2020</v>
      </c>
    </row>
    <row r="1492" spans="1:14" x14ac:dyDescent="0.3">
      <c r="A1492" s="3" t="s">
        <v>132</v>
      </c>
      <c r="B1492" s="3" t="s">
        <v>133</v>
      </c>
      <c r="C1492" s="8">
        <v>2020</v>
      </c>
      <c r="D1492" s="8">
        <v>3</v>
      </c>
      <c r="E1492" s="3" t="str">
        <f t="shared" si="46"/>
        <v>March</v>
      </c>
      <c r="F1492" s="3" t="s">
        <v>13</v>
      </c>
      <c r="G1492" s="8">
        <v>53331.47984</v>
      </c>
      <c r="H1492" s="8">
        <v>58407</v>
      </c>
      <c r="I1492" s="8">
        <v>4862.2701619999998</v>
      </c>
      <c r="J1492" s="8">
        <v>7523.5916040000002</v>
      </c>
      <c r="K1492" s="8">
        <v>3041.0449840000001</v>
      </c>
      <c r="L1492" s="8">
        <v>12162.317580000001</v>
      </c>
      <c r="M1492" s="9" t="str">
        <f>IF(A1492="",M1493,A1492)</f>
        <v>The United Kingdom</v>
      </c>
      <c r="N1492" s="3" t="str">
        <f t="shared" si="47"/>
        <v>Mar-2020</v>
      </c>
    </row>
    <row r="1493" spans="1:14" x14ac:dyDescent="0.3">
      <c r="A1493" s="3" t="s">
        <v>132</v>
      </c>
      <c r="B1493" s="3" t="s">
        <v>133</v>
      </c>
      <c r="C1493" s="8">
        <v>2020</v>
      </c>
      <c r="D1493" s="8">
        <v>4</v>
      </c>
      <c r="E1493" s="3" t="str">
        <f t="shared" si="46"/>
        <v>April</v>
      </c>
      <c r="F1493" s="3" t="s">
        <v>13</v>
      </c>
      <c r="G1493" s="8">
        <v>50717.931830000001</v>
      </c>
      <c r="H1493" s="8">
        <v>95072</v>
      </c>
      <c r="I1493" s="8">
        <v>44140.818169999999</v>
      </c>
      <c r="J1493" s="8">
        <v>51664.409769999998</v>
      </c>
      <c r="K1493" s="8">
        <v>46161.811179999997</v>
      </c>
      <c r="L1493" s="8">
        <v>57106.737869999997</v>
      </c>
      <c r="M1493" s="9" t="str">
        <f>IF(A1493="",M1494,A1493)</f>
        <v>The United Kingdom</v>
      </c>
      <c r="N1493" s="3" t="str">
        <f t="shared" si="47"/>
        <v>Apr-2020</v>
      </c>
    </row>
    <row r="1494" spans="1:14" x14ac:dyDescent="0.3">
      <c r="A1494" s="3" t="s">
        <v>132</v>
      </c>
      <c r="B1494" s="3" t="s">
        <v>133</v>
      </c>
      <c r="C1494" s="8">
        <v>2020</v>
      </c>
      <c r="D1494" s="8">
        <v>5</v>
      </c>
      <c r="E1494" s="3" t="str">
        <f t="shared" si="46"/>
        <v>May</v>
      </c>
      <c r="F1494" s="3" t="s">
        <v>13</v>
      </c>
      <c r="G1494" s="8">
        <v>48100.426780000002</v>
      </c>
      <c r="H1494" s="8">
        <v>62249</v>
      </c>
      <c r="I1494" s="8">
        <v>13935.32322</v>
      </c>
      <c r="J1494" s="8">
        <v>65599.732990000004</v>
      </c>
      <c r="K1494" s="8">
        <v>59093.30874</v>
      </c>
      <c r="L1494" s="8">
        <v>71816.260150000002</v>
      </c>
      <c r="M1494" s="9" t="str">
        <f>IF(A1494="",M1495,A1494)</f>
        <v>The United Kingdom</v>
      </c>
      <c r="N1494" s="3" t="str">
        <f t="shared" si="47"/>
        <v>May-2020</v>
      </c>
    </row>
    <row r="1495" spans="1:14" x14ac:dyDescent="0.3">
      <c r="A1495" s="3" t="s">
        <v>132</v>
      </c>
      <c r="B1495" s="3" t="s">
        <v>133</v>
      </c>
      <c r="C1495" s="8">
        <v>2020</v>
      </c>
      <c r="D1495" s="8">
        <v>6</v>
      </c>
      <c r="E1495" s="3" t="str">
        <f t="shared" si="46"/>
        <v>June</v>
      </c>
      <c r="F1495" s="3" t="s">
        <v>13</v>
      </c>
      <c r="G1495" s="8">
        <v>46174.331230000003</v>
      </c>
      <c r="H1495" s="8">
        <v>46875</v>
      </c>
      <c r="I1495" s="8">
        <v>487.4187743</v>
      </c>
      <c r="J1495" s="8">
        <v>66087.151769999997</v>
      </c>
      <c r="K1495" s="8">
        <v>59254.869429999999</v>
      </c>
      <c r="L1495" s="8">
        <v>72422.643630000006</v>
      </c>
      <c r="M1495" s="9" t="str">
        <f>IF(A1495="",M1496,A1495)</f>
        <v>The United Kingdom</v>
      </c>
      <c r="N1495" s="3" t="str">
        <f t="shared" si="47"/>
        <v>Jun-2020</v>
      </c>
    </row>
    <row r="1496" spans="1:14" x14ac:dyDescent="0.3">
      <c r="A1496" s="3" t="s">
        <v>132</v>
      </c>
      <c r="B1496" s="3" t="s">
        <v>133</v>
      </c>
      <c r="C1496" s="8">
        <v>2020</v>
      </c>
      <c r="D1496" s="8">
        <v>7</v>
      </c>
      <c r="E1496" s="3" t="str">
        <f t="shared" si="46"/>
        <v>July</v>
      </c>
      <c r="F1496" s="3" t="s">
        <v>13</v>
      </c>
      <c r="G1496" s="8">
        <v>45311.231079999998</v>
      </c>
      <c r="H1496" s="8">
        <v>44922</v>
      </c>
      <c r="I1496" s="8">
        <v>-602.48108079999997</v>
      </c>
      <c r="J1496" s="8">
        <v>65484.670689999999</v>
      </c>
      <c r="K1496" s="8">
        <v>58110.010990000002</v>
      </c>
      <c r="L1496" s="8">
        <v>72761.595979999998</v>
      </c>
      <c r="M1496" s="9" t="str">
        <f>IF(A1496="",M1497,A1496)</f>
        <v>The United Kingdom</v>
      </c>
      <c r="N1496" s="3" t="str">
        <f t="shared" si="47"/>
        <v>Jul-2020</v>
      </c>
    </row>
    <row r="1497" spans="1:14" x14ac:dyDescent="0.3">
      <c r="A1497" s="3" t="s">
        <v>132</v>
      </c>
      <c r="B1497" s="3" t="s">
        <v>133</v>
      </c>
      <c r="C1497" s="8">
        <v>2020</v>
      </c>
      <c r="D1497" s="8">
        <v>8</v>
      </c>
      <c r="E1497" s="3" t="str">
        <f t="shared" si="46"/>
        <v>August</v>
      </c>
      <c r="F1497" s="3" t="s">
        <v>13</v>
      </c>
      <c r="G1497" s="8">
        <v>44962.060310000001</v>
      </c>
      <c r="H1497" s="8">
        <v>46056</v>
      </c>
      <c r="I1497" s="8">
        <v>880.68969349999998</v>
      </c>
      <c r="J1497" s="8">
        <v>66365.360379999998</v>
      </c>
      <c r="K1497" s="8">
        <v>58406.099159999998</v>
      </c>
      <c r="L1497" s="8">
        <v>73533.030530000004</v>
      </c>
      <c r="M1497" s="9" t="str">
        <f>IF(A1497="",M1498,A1497)</f>
        <v>The United Kingdom</v>
      </c>
      <c r="N1497" s="3" t="str">
        <f t="shared" si="47"/>
        <v>Aug-2020</v>
      </c>
    </row>
    <row r="1498" spans="1:14" x14ac:dyDescent="0.3">
      <c r="A1498" s="3" t="s">
        <v>132</v>
      </c>
      <c r="B1498" s="3" t="s">
        <v>133</v>
      </c>
      <c r="C1498" s="8">
        <v>2020</v>
      </c>
      <c r="D1498" s="8">
        <v>9</v>
      </c>
      <c r="E1498" s="3" t="str">
        <f t="shared" si="46"/>
        <v>September</v>
      </c>
      <c r="F1498" s="3" t="s">
        <v>13</v>
      </c>
      <c r="G1498" s="8">
        <v>45873.466139999997</v>
      </c>
      <c r="H1498" s="8">
        <v>46210</v>
      </c>
      <c r="I1498" s="8">
        <v>123.2838603</v>
      </c>
      <c r="J1498" s="8">
        <v>66488.644239999994</v>
      </c>
      <c r="K1498" s="8">
        <v>57988.336349999998</v>
      </c>
      <c r="L1498" s="8">
        <v>74501.745490000001</v>
      </c>
      <c r="M1498" s="9" t="str">
        <f>IF(A1498="",M1499,A1498)</f>
        <v>The United Kingdom</v>
      </c>
      <c r="N1498" s="3" t="str">
        <f t="shared" si="47"/>
        <v>Sep-2020</v>
      </c>
    </row>
    <row r="1499" spans="1:14" x14ac:dyDescent="0.3">
      <c r="A1499" s="3" t="s">
        <v>132</v>
      </c>
      <c r="B1499" s="3" t="s">
        <v>133</v>
      </c>
      <c r="C1499" s="8">
        <v>2020</v>
      </c>
      <c r="D1499" s="8">
        <v>10</v>
      </c>
      <c r="E1499" s="3" t="str">
        <f t="shared" si="46"/>
        <v>October</v>
      </c>
      <c r="F1499" s="3" t="s">
        <v>13</v>
      </c>
      <c r="G1499" s="8">
        <v>48605.013559999999</v>
      </c>
      <c r="H1499" s="8">
        <v>53352</v>
      </c>
      <c r="I1499" s="8">
        <v>4533.7364449999995</v>
      </c>
      <c r="J1499" s="8">
        <v>71022.380680000002</v>
      </c>
      <c r="K1499" s="8">
        <v>61777.190399999999</v>
      </c>
      <c r="L1499" s="8">
        <v>79607.523910000004</v>
      </c>
      <c r="M1499" s="9" t="str">
        <f>IF(A1499="",M1500,A1499)</f>
        <v>The United Kingdom</v>
      </c>
      <c r="N1499" s="3" t="str">
        <f t="shared" si="47"/>
        <v>Oct-2020</v>
      </c>
    </row>
    <row r="1500" spans="1:14" x14ac:dyDescent="0.3">
      <c r="A1500" s="3" t="s">
        <v>132</v>
      </c>
      <c r="B1500" s="3" t="s">
        <v>133</v>
      </c>
      <c r="C1500" s="8">
        <v>2020</v>
      </c>
      <c r="D1500" s="8">
        <v>11</v>
      </c>
      <c r="E1500" s="3" t="str">
        <f t="shared" si="46"/>
        <v>November</v>
      </c>
      <c r="F1500" s="3" t="s">
        <v>13</v>
      </c>
      <c r="G1500" s="8">
        <v>52371.407270000003</v>
      </c>
      <c r="H1500" s="8">
        <v>59943</v>
      </c>
      <c r="I1500" s="8">
        <v>7358.3427339999998</v>
      </c>
      <c r="J1500" s="8">
        <v>78380.723419999995</v>
      </c>
      <c r="K1500" s="8">
        <v>68770.445919999998</v>
      </c>
      <c r="L1500" s="8">
        <v>87441.421910000005</v>
      </c>
      <c r="M1500" s="9" t="str">
        <f>IF(A1500="",M1501,A1500)</f>
        <v>The United Kingdom</v>
      </c>
      <c r="N1500" s="3" t="str">
        <f t="shared" si="47"/>
        <v>Nov-2020</v>
      </c>
    </row>
    <row r="1501" spans="1:14" x14ac:dyDescent="0.3">
      <c r="A1501" s="3" t="s">
        <v>132</v>
      </c>
      <c r="B1501" s="3" t="s">
        <v>133</v>
      </c>
      <c r="C1501" s="8">
        <v>2020</v>
      </c>
      <c r="D1501" s="8">
        <v>12</v>
      </c>
      <c r="E1501" s="3" t="str">
        <f t="shared" si="46"/>
        <v>December</v>
      </c>
      <c r="F1501" s="3" t="s">
        <v>13</v>
      </c>
      <c r="G1501" s="8">
        <v>55985.799209999997</v>
      </c>
      <c r="H1501" s="8">
        <v>59553</v>
      </c>
      <c r="I1501" s="8">
        <v>3353.9507910000002</v>
      </c>
      <c r="J1501" s="8">
        <v>81734.674209999997</v>
      </c>
      <c r="K1501" s="8">
        <v>71480.86563</v>
      </c>
      <c r="L1501" s="8">
        <v>90893.970799999996</v>
      </c>
      <c r="M1501" s="9" t="str">
        <f>IF(A1501="",M1502,A1501)</f>
        <v>The United Kingdom</v>
      </c>
      <c r="N1501" s="3" t="str">
        <f t="shared" si="47"/>
        <v>Dec-2020</v>
      </c>
    </row>
    <row r="1502" spans="1:14" x14ac:dyDescent="0.3">
      <c r="A1502" s="3" t="s">
        <v>132</v>
      </c>
      <c r="B1502" s="3" t="s">
        <v>133</v>
      </c>
      <c r="C1502" s="8">
        <v>2021</v>
      </c>
      <c r="D1502" s="8">
        <v>1</v>
      </c>
      <c r="E1502" s="3" t="str">
        <f t="shared" si="46"/>
        <v>January</v>
      </c>
      <c r="F1502" s="3" t="s">
        <v>13</v>
      </c>
      <c r="G1502" s="8">
        <v>56095.009689999999</v>
      </c>
      <c r="H1502" s="8">
        <v>88401</v>
      </c>
      <c r="I1502" s="8">
        <v>32305.573649999998</v>
      </c>
      <c r="J1502" s="8">
        <v>114040.2479</v>
      </c>
      <c r="K1502" s="8">
        <v>103590.5162</v>
      </c>
      <c r="L1502" s="8">
        <v>123956.575</v>
      </c>
      <c r="M1502" s="9" t="str">
        <f>IF(A1502="",M1503,A1502)</f>
        <v>The United Kingdom</v>
      </c>
      <c r="N1502" s="3" t="str">
        <f t="shared" si="47"/>
        <v>Jan-2021</v>
      </c>
    </row>
    <row r="1503" spans="1:14" x14ac:dyDescent="0.3">
      <c r="A1503" s="3" t="s">
        <v>132</v>
      </c>
      <c r="B1503" s="3" t="s">
        <v>133</v>
      </c>
      <c r="C1503" s="8">
        <v>2021</v>
      </c>
      <c r="D1503" s="8">
        <v>2</v>
      </c>
      <c r="E1503" s="3" t="str">
        <f t="shared" si="46"/>
        <v>February</v>
      </c>
      <c r="F1503" s="3" t="s">
        <v>13</v>
      </c>
      <c r="G1503" s="8">
        <v>55295.149740000001</v>
      </c>
      <c r="H1503" s="8">
        <v>64454</v>
      </c>
      <c r="I1503" s="8">
        <v>9158.4335929999997</v>
      </c>
      <c r="J1503" s="8">
        <v>123198.6814</v>
      </c>
      <c r="K1503" s="8">
        <v>112335.31200000001</v>
      </c>
      <c r="L1503" s="8">
        <v>133550.85750000001</v>
      </c>
      <c r="M1503" s="9" t="str">
        <f>IF(A1503="",M1504,A1503)</f>
        <v>The United Kingdom</v>
      </c>
      <c r="N1503" s="3" t="str">
        <f t="shared" si="47"/>
        <v>Feb-2021</v>
      </c>
    </row>
    <row r="1504" spans="1:14" x14ac:dyDescent="0.3">
      <c r="A1504" s="3" t="s">
        <v>132</v>
      </c>
      <c r="B1504" s="3" t="s">
        <v>133</v>
      </c>
      <c r="C1504" s="8">
        <v>2021</v>
      </c>
      <c r="D1504" s="8">
        <v>3</v>
      </c>
      <c r="E1504" s="3" t="str">
        <f t="shared" si="46"/>
        <v>March</v>
      </c>
      <c r="F1504" s="3" t="s">
        <v>13</v>
      </c>
      <c r="G1504" s="8">
        <v>53242.268450000003</v>
      </c>
      <c r="H1504" s="8">
        <v>51724</v>
      </c>
      <c r="I1504" s="8">
        <v>-1518.6851200000001</v>
      </c>
      <c r="J1504" s="8">
        <v>121679.9963</v>
      </c>
      <c r="K1504" s="8">
        <v>110002.8573</v>
      </c>
      <c r="L1504" s="8">
        <v>132341.25640000001</v>
      </c>
      <c r="M1504" s="9" t="str">
        <f>IF(A1504="",M1505,A1504)</f>
        <v>The United Kingdom</v>
      </c>
      <c r="N1504" s="3" t="str">
        <f t="shared" si="47"/>
        <v>Mar-2021</v>
      </c>
    </row>
    <row r="1505" spans="1:14" x14ac:dyDescent="0.3">
      <c r="A1505" s="3" t="s">
        <v>132</v>
      </c>
      <c r="B1505" s="3" t="s">
        <v>133</v>
      </c>
      <c r="C1505" s="8">
        <v>2021</v>
      </c>
      <c r="D1505" s="8">
        <v>4</v>
      </c>
      <c r="E1505" s="3" t="str">
        <f t="shared" si="46"/>
        <v>April</v>
      </c>
      <c r="F1505" s="3" t="s">
        <v>13</v>
      </c>
      <c r="G1505" s="8">
        <v>50634.122860000003</v>
      </c>
      <c r="H1505" s="8">
        <v>45959</v>
      </c>
      <c r="I1505" s="8">
        <v>-4675.539522</v>
      </c>
      <c r="J1505" s="8">
        <v>117004.4568</v>
      </c>
      <c r="K1505" s="8">
        <v>104575.20299999999</v>
      </c>
      <c r="L1505" s="8">
        <v>127886.7539</v>
      </c>
      <c r="M1505" s="9" t="str">
        <f>IF(A1505="",M1506,A1505)</f>
        <v>The United Kingdom</v>
      </c>
      <c r="N1505" s="3" t="str">
        <f t="shared" si="47"/>
        <v>Apr-2021</v>
      </c>
    </row>
    <row r="1506" spans="1:14" x14ac:dyDescent="0.3">
      <c r="A1506" s="3" t="s">
        <v>132</v>
      </c>
      <c r="B1506" s="3" t="s">
        <v>133</v>
      </c>
      <c r="C1506" s="8">
        <v>2021</v>
      </c>
      <c r="D1506" s="8">
        <v>5</v>
      </c>
      <c r="E1506" s="3" t="str">
        <f t="shared" si="46"/>
        <v>May</v>
      </c>
      <c r="F1506" s="3" t="s">
        <v>13</v>
      </c>
      <c r="G1506" s="8">
        <v>48044.462930000002</v>
      </c>
      <c r="H1506" s="8">
        <v>46894</v>
      </c>
      <c r="I1506" s="8">
        <v>-1150.8796</v>
      </c>
      <c r="J1506" s="8">
        <v>115853.5772</v>
      </c>
      <c r="K1506" s="8">
        <v>103346.4789</v>
      </c>
      <c r="L1506" s="8">
        <v>126870.15549999999</v>
      </c>
      <c r="M1506" s="9" t="str">
        <f>IF(A1506="",M1507,A1506)</f>
        <v>The United Kingdom</v>
      </c>
      <c r="N1506" s="3" t="str">
        <f t="shared" si="47"/>
        <v>May-2021</v>
      </c>
    </row>
    <row r="1507" spans="1:14" x14ac:dyDescent="0.3">
      <c r="A1507" s="3" t="s">
        <v>132</v>
      </c>
      <c r="B1507" s="3" t="s">
        <v>133</v>
      </c>
      <c r="C1507" s="8">
        <v>2021</v>
      </c>
      <c r="D1507" s="8">
        <v>6</v>
      </c>
      <c r="E1507" s="3" t="str">
        <f t="shared" si="46"/>
        <v>June</v>
      </c>
      <c r="F1507" s="3" t="s">
        <v>13</v>
      </c>
      <c r="G1507" s="8">
        <v>46120.288079999998</v>
      </c>
      <c r="H1507" s="8">
        <v>44985</v>
      </c>
      <c r="I1507" s="8">
        <v>-1135.704751</v>
      </c>
      <c r="J1507" s="8">
        <v>114717.8725</v>
      </c>
      <c r="K1507" s="8">
        <v>101707.66529999999</v>
      </c>
      <c r="L1507" s="8">
        <v>126181.4991</v>
      </c>
      <c r="M1507" s="9" t="str">
        <f>IF(A1507="",M1508,A1507)</f>
        <v>The United Kingdom</v>
      </c>
      <c r="N1507" s="3" t="str">
        <f t="shared" si="47"/>
        <v>Jun-2021</v>
      </c>
    </row>
    <row r="1508" spans="1:14" x14ac:dyDescent="0.3">
      <c r="A1508" s="3" t="s">
        <v>132</v>
      </c>
      <c r="B1508" s="3" t="s">
        <v>133</v>
      </c>
      <c r="C1508" s="8">
        <v>2021</v>
      </c>
      <c r="D1508" s="8">
        <v>7</v>
      </c>
      <c r="E1508" s="3" t="str">
        <f t="shared" si="46"/>
        <v>July</v>
      </c>
      <c r="F1508" s="3" t="s">
        <v>13</v>
      </c>
      <c r="G1508" s="8">
        <v>45142.436829999999</v>
      </c>
      <c r="H1508" s="8">
        <v>49516</v>
      </c>
      <c r="I1508" s="8">
        <v>4373.1465040000003</v>
      </c>
      <c r="J1508" s="8">
        <v>119091.019</v>
      </c>
      <c r="K1508" s="8">
        <v>105813.3514</v>
      </c>
      <c r="L1508" s="8">
        <v>130824.9232</v>
      </c>
      <c r="M1508" s="9" t="str">
        <f>IF(A1508="",M1509,A1508)</f>
        <v>The United Kingdom</v>
      </c>
      <c r="N1508" s="3" t="str">
        <f t="shared" si="47"/>
        <v>Jul-2021</v>
      </c>
    </row>
    <row r="1509" spans="1:14" x14ac:dyDescent="0.3">
      <c r="A1509" s="3" t="s">
        <v>132</v>
      </c>
      <c r="B1509" s="3" t="s">
        <v>133</v>
      </c>
      <c r="C1509" s="8">
        <v>2021</v>
      </c>
      <c r="D1509" s="8">
        <v>8</v>
      </c>
      <c r="E1509" s="3" t="str">
        <f t="shared" si="46"/>
        <v>August</v>
      </c>
      <c r="F1509" s="3" t="s">
        <v>13</v>
      </c>
      <c r="G1509" s="8">
        <v>44891.642119999997</v>
      </c>
      <c r="H1509" s="8">
        <v>50865</v>
      </c>
      <c r="I1509" s="8">
        <v>5972.9412160000002</v>
      </c>
      <c r="J1509" s="8">
        <v>125063.9602</v>
      </c>
      <c r="K1509" s="8">
        <v>111863.77</v>
      </c>
      <c r="L1509" s="8">
        <v>137001.69080000001</v>
      </c>
      <c r="M1509" s="9" t="str">
        <f>IF(A1509="",M1510,A1509)</f>
        <v>The United Kingdom</v>
      </c>
      <c r="N1509" s="3" t="str">
        <f t="shared" si="47"/>
        <v>Aug-2021</v>
      </c>
    </row>
    <row r="1510" spans="1:14" x14ac:dyDescent="0.3">
      <c r="A1510" s="3" t="s">
        <v>132</v>
      </c>
      <c r="B1510" s="3" t="s">
        <v>133</v>
      </c>
      <c r="C1510" s="8">
        <v>2021</v>
      </c>
      <c r="D1510" s="8">
        <v>9</v>
      </c>
      <c r="E1510" s="3" t="str">
        <f t="shared" si="46"/>
        <v>September</v>
      </c>
      <c r="F1510" s="3" t="s">
        <v>13</v>
      </c>
      <c r="G1510" s="8">
        <v>45820.03499</v>
      </c>
      <c r="H1510" s="8">
        <v>52279</v>
      </c>
      <c r="I1510" s="8">
        <v>6458.5483409999997</v>
      </c>
      <c r="J1510" s="8">
        <v>131522.5085</v>
      </c>
      <c r="K1510" s="8">
        <v>118203.1703</v>
      </c>
      <c r="L1510" s="8">
        <v>144098.58910000001</v>
      </c>
      <c r="M1510" s="9" t="str">
        <f>IF(A1510="",M1511,A1510)</f>
        <v>The United Kingdom</v>
      </c>
      <c r="N1510" s="3" t="str">
        <f t="shared" si="47"/>
        <v>Sep-2021</v>
      </c>
    </row>
    <row r="1511" spans="1:14" x14ac:dyDescent="0.3">
      <c r="A1511" s="3" t="s">
        <v>132</v>
      </c>
      <c r="B1511" s="3" t="s">
        <v>133</v>
      </c>
      <c r="C1511" s="8">
        <v>2021</v>
      </c>
      <c r="D1511" s="8">
        <v>10</v>
      </c>
      <c r="E1511" s="3" t="str">
        <f t="shared" si="46"/>
        <v>October</v>
      </c>
      <c r="F1511" s="3" t="s">
        <v>13</v>
      </c>
      <c r="G1511" s="8">
        <v>48484.419990000002</v>
      </c>
      <c r="H1511" s="8">
        <v>56469</v>
      </c>
      <c r="I1511" s="8">
        <v>7984.1633389999997</v>
      </c>
      <c r="J1511" s="8">
        <v>139506.67189999999</v>
      </c>
      <c r="K1511" s="8">
        <v>125935.30899999999</v>
      </c>
      <c r="L1511" s="8">
        <v>152190.00940000001</v>
      </c>
      <c r="M1511" s="9" t="str">
        <f>IF(A1511="",M1512,A1511)</f>
        <v>The United Kingdom</v>
      </c>
      <c r="N1511" s="3" t="str">
        <f t="shared" si="47"/>
        <v>Oct-2021</v>
      </c>
    </row>
    <row r="1512" spans="1:14" x14ac:dyDescent="0.3">
      <c r="A1512" s="3" t="s">
        <v>132</v>
      </c>
      <c r="B1512" s="3" t="s">
        <v>133</v>
      </c>
      <c r="C1512" s="8">
        <v>2021</v>
      </c>
      <c r="D1512" s="8">
        <v>11</v>
      </c>
      <c r="E1512" s="3" t="str">
        <f t="shared" si="46"/>
        <v>November</v>
      </c>
      <c r="F1512" s="3" t="s">
        <v>13</v>
      </c>
      <c r="G1512" s="8">
        <v>52271.802589999999</v>
      </c>
      <c r="H1512" s="8">
        <v>57794</v>
      </c>
      <c r="I1512" s="8">
        <v>5521.780745</v>
      </c>
      <c r="J1512" s="8">
        <v>145028.45259999999</v>
      </c>
      <c r="K1512" s="8">
        <v>131349.93479999999</v>
      </c>
      <c r="L1512" s="8">
        <v>158260.1249</v>
      </c>
      <c r="M1512" s="9" t="str">
        <f>IF(A1512="",M1513,A1512)</f>
        <v>The United Kingdom</v>
      </c>
      <c r="N1512" s="3" t="str">
        <f t="shared" si="47"/>
        <v>Nov-2021</v>
      </c>
    </row>
    <row r="1513" spans="1:14" x14ac:dyDescent="0.3">
      <c r="A1513" s="3" t="s">
        <v>132</v>
      </c>
      <c r="B1513" s="3" t="s">
        <v>133</v>
      </c>
      <c r="C1513" s="8">
        <v>2021</v>
      </c>
      <c r="D1513" s="8">
        <v>12</v>
      </c>
      <c r="E1513" s="3" t="str">
        <f t="shared" si="46"/>
        <v>December</v>
      </c>
      <c r="F1513" s="3" t="s">
        <v>13</v>
      </c>
      <c r="G1513" s="8">
        <v>55921.053879999999</v>
      </c>
      <c r="H1513" s="8">
        <v>57978</v>
      </c>
      <c r="I1513" s="8">
        <v>2056.5294490000001</v>
      </c>
      <c r="J1513" s="8">
        <v>147084.98199999999</v>
      </c>
      <c r="K1513" s="8">
        <v>132915.76920000001</v>
      </c>
      <c r="L1513" s="8">
        <v>160802.23699999999</v>
      </c>
      <c r="M1513" s="9" t="str">
        <f>IF(A1513="",M1514,A1513)</f>
        <v>The United Kingdom</v>
      </c>
      <c r="N1513" s="3" t="str">
        <f t="shared" si="47"/>
        <v>Dec-2021</v>
      </c>
    </row>
    <row r="1514" spans="1:14" x14ac:dyDescent="0.3">
      <c r="A1514" s="3" t="s">
        <v>134</v>
      </c>
      <c r="B1514" s="3" t="s">
        <v>135</v>
      </c>
      <c r="C1514" s="8">
        <v>2020</v>
      </c>
      <c r="D1514" s="8">
        <v>1</v>
      </c>
      <c r="E1514" s="3" t="str">
        <f t="shared" si="46"/>
        <v>January</v>
      </c>
      <c r="F1514" s="3" t="s">
        <v>13</v>
      </c>
      <c r="G1514" s="8">
        <v>4943.1823940000004</v>
      </c>
      <c r="H1514" s="8">
        <v>5293</v>
      </c>
      <c r="I1514" s="8">
        <v>348.10254789999999</v>
      </c>
      <c r="J1514" s="8">
        <v>348.10254789999999</v>
      </c>
      <c r="K1514" s="8">
        <v>153.25941320000001</v>
      </c>
      <c r="L1514" s="8">
        <v>541.66724869999996</v>
      </c>
      <c r="M1514" s="9" t="str">
        <f>IF(A1514="",M1515,A1514)</f>
        <v>Georgia</v>
      </c>
      <c r="N1514" s="3" t="str">
        <f t="shared" si="47"/>
        <v>Jan-2020</v>
      </c>
    </row>
    <row r="1515" spans="1:14" x14ac:dyDescent="0.3">
      <c r="A1515" s="3" t="s">
        <v>134</v>
      </c>
      <c r="B1515" s="3" t="s">
        <v>135</v>
      </c>
      <c r="C1515" s="8">
        <v>2020</v>
      </c>
      <c r="D1515" s="8">
        <v>2</v>
      </c>
      <c r="E1515" s="3" t="str">
        <f t="shared" si="46"/>
        <v>February</v>
      </c>
      <c r="F1515" s="3" t="s">
        <v>13</v>
      </c>
      <c r="G1515" s="8">
        <v>4600.919656</v>
      </c>
      <c r="H1515" s="8">
        <v>4728</v>
      </c>
      <c r="I1515" s="8">
        <v>125.3652864</v>
      </c>
      <c r="J1515" s="8">
        <v>473.46783429999999</v>
      </c>
      <c r="K1515" s="8">
        <v>171.92060570000001</v>
      </c>
      <c r="L1515" s="8">
        <v>778.59402560000001</v>
      </c>
      <c r="M1515" s="9" t="str">
        <f>IF(A1515="",M1516,A1515)</f>
        <v>Georgia</v>
      </c>
      <c r="N1515" s="3" t="str">
        <f t="shared" si="47"/>
        <v>Feb-2020</v>
      </c>
    </row>
    <row r="1516" spans="1:14" x14ac:dyDescent="0.3">
      <c r="A1516" s="3" t="s">
        <v>134</v>
      </c>
      <c r="B1516" s="3" t="s">
        <v>135</v>
      </c>
      <c r="C1516" s="8">
        <v>2020</v>
      </c>
      <c r="D1516" s="8">
        <v>3</v>
      </c>
      <c r="E1516" s="3" t="str">
        <f t="shared" si="46"/>
        <v>March</v>
      </c>
      <c r="F1516" s="3" t="s">
        <v>13</v>
      </c>
      <c r="G1516" s="8">
        <v>4632.0864959999999</v>
      </c>
      <c r="H1516" s="8">
        <v>4574</v>
      </c>
      <c r="I1516" s="8">
        <v>-59.801554260000003</v>
      </c>
      <c r="J1516" s="8">
        <v>413.66628009999999</v>
      </c>
      <c r="K1516" s="8">
        <v>23.798017439999999</v>
      </c>
      <c r="L1516" s="8">
        <v>781.02370199999996</v>
      </c>
      <c r="M1516" s="9" t="str">
        <f>IF(A1516="",M1517,A1516)</f>
        <v>Georgia</v>
      </c>
      <c r="N1516" s="3" t="str">
        <f t="shared" si="47"/>
        <v>Mar-2020</v>
      </c>
    </row>
    <row r="1517" spans="1:14" x14ac:dyDescent="0.3">
      <c r="A1517" s="3" t="s">
        <v>134</v>
      </c>
      <c r="B1517" s="3" t="s">
        <v>135</v>
      </c>
      <c r="C1517" s="8">
        <v>2020</v>
      </c>
      <c r="D1517" s="8">
        <v>4</v>
      </c>
      <c r="E1517" s="3" t="str">
        <f t="shared" si="46"/>
        <v>April</v>
      </c>
      <c r="F1517" s="3" t="s">
        <v>13</v>
      </c>
      <c r="G1517" s="8">
        <v>4493.2849020000003</v>
      </c>
      <c r="H1517" s="8">
        <v>4166</v>
      </c>
      <c r="I1517" s="8">
        <v>-328.99995969999998</v>
      </c>
      <c r="J1517" s="8">
        <v>84.666320339999999</v>
      </c>
      <c r="K1517" s="8">
        <v>-391.37316220000002</v>
      </c>
      <c r="L1517" s="8">
        <v>533.8006891</v>
      </c>
      <c r="M1517" s="9" t="str">
        <f>IF(A1517="",M1518,A1517)</f>
        <v>Georgia</v>
      </c>
      <c r="N1517" s="3" t="str">
        <f t="shared" si="47"/>
        <v>Apr-2020</v>
      </c>
    </row>
    <row r="1518" spans="1:14" x14ac:dyDescent="0.3">
      <c r="A1518" s="3" t="s">
        <v>134</v>
      </c>
      <c r="B1518" s="3" t="s">
        <v>135</v>
      </c>
      <c r="C1518" s="8">
        <v>2020</v>
      </c>
      <c r="D1518" s="8">
        <v>5</v>
      </c>
      <c r="E1518" s="3" t="str">
        <f t="shared" si="46"/>
        <v>May</v>
      </c>
      <c r="F1518" s="3" t="s">
        <v>13</v>
      </c>
      <c r="G1518" s="8">
        <v>4325.0516610000004</v>
      </c>
      <c r="H1518" s="8">
        <v>4413</v>
      </c>
      <c r="I1518" s="8">
        <v>86.233281489999996</v>
      </c>
      <c r="J1518" s="8">
        <v>170.8996018</v>
      </c>
      <c r="K1518" s="8">
        <v>-345.75838290000002</v>
      </c>
      <c r="L1518" s="8">
        <v>657.105277</v>
      </c>
      <c r="M1518" s="9" t="str">
        <f>IF(A1518="",M1519,A1518)</f>
        <v>Georgia</v>
      </c>
      <c r="N1518" s="3" t="str">
        <f t="shared" si="47"/>
        <v>May-2020</v>
      </c>
    </row>
    <row r="1519" spans="1:14" x14ac:dyDescent="0.3">
      <c r="A1519" s="3" t="s">
        <v>134</v>
      </c>
      <c r="B1519" s="3" t="s">
        <v>135</v>
      </c>
      <c r="C1519" s="8">
        <v>2020</v>
      </c>
      <c r="D1519" s="8">
        <v>6</v>
      </c>
      <c r="E1519" s="3" t="str">
        <f t="shared" si="46"/>
        <v>June</v>
      </c>
      <c r="F1519" s="3" t="s">
        <v>13</v>
      </c>
      <c r="G1519" s="8">
        <v>4033.3386310000001</v>
      </c>
      <c r="H1519" s="8">
        <v>4028</v>
      </c>
      <c r="I1519" s="8">
        <v>-7.053688384</v>
      </c>
      <c r="J1519" s="8">
        <v>163.84591349999999</v>
      </c>
      <c r="K1519" s="8">
        <v>-382.3513542</v>
      </c>
      <c r="L1519" s="8">
        <v>708.94557589999999</v>
      </c>
      <c r="M1519" s="9" t="str">
        <f>IF(A1519="",M1520,A1519)</f>
        <v>Georgia</v>
      </c>
      <c r="N1519" s="3" t="str">
        <f t="shared" si="47"/>
        <v>Jun-2020</v>
      </c>
    </row>
    <row r="1520" spans="1:14" x14ac:dyDescent="0.3">
      <c r="A1520" s="3" t="s">
        <v>134</v>
      </c>
      <c r="B1520" s="3" t="s">
        <v>135</v>
      </c>
      <c r="C1520" s="8">
        <v>2020</v>
      </c>
      <c r="D1520" s="8">
        <v>7</v>
      </c>
      <c r="E1520" s="3" t="str">
        <f t="shared" si="46"/>
        <v>July</v>
      </c>
      <c r="F1520" s="3" t="s">
        <v>13</v>
      </c>
      <c r="G1520" s="8">
        <v>3945.9073349999999</v>
      </c>
      <c r="H1520" s="8">
        <v>4237</v>
      </c>
      <c r="I1520" s="8">
        <v>289.3776072</v>
      </c>
      <c r="J1520" s="8">
        <v>453.22352069999999</v>
      </c>
      <c r="K1520" s="8">
        <v>-131.8831648</v>
      </c>
      <c r="L1520" s="8">
        <v>1039.544768</v>
      </c>
      <c r="M1520" s="9" t="str">
        <f>IF(A1520="",M1521,A1520)</f>
        <v>Georgia</v>
      </c>
      <c r="N1520" s="3" t="str">
        <f t="shared" si="47"/>
        <v>Jul-2020</v>
      </c>
    </row>
    <row r="1521" spans="1:14" x14ac:dyDescent="0.3">
      <c r="A1521" s="3" t="s">
        <v>134</v>
      </c>
      <c r="B1521" s="3" t="s">
        <v>135</v>
      </c>
      <c r="C1521" s="8">
        <v>2020</v>
      </c>
      <c r="D1521" s="8">
        <v>8</v>
      </c>
      <c r="E1521" s="3" t="str">
        <f t="shared" si="46"/>
        <v>August</v>
      </c>
      <c r="F1521" s="3" t="s">
        <v>13</v>
      </c>
      <c r="G1521" s="8">
        <v>3918.1212780000001</v>
      </c>
      <c r="H1521" s="8">
        <v>3842</v>
      </c>
      <c r="I1521" s="8">
        <v>-77.836336110000005</v>
      </c>
      <c r="J1521" s="8">
        <v>375.38718460000001</v>
      </c>
      <c r="K1521" s="8">
        <v>-248.6619312</v>
      </c>
      <c r="L1521" s="8">
        <v>969.75538830000005</v>
      </c>
      <c r="M1521" s="9" t="str">
        <f>IF(A1521="",M1522,A1521)</f>
        <v>Georgia</v>
      </c>
      <c r="N1521" s="3" t="str">
        <f t="shared" si="47"/>
        <v>Aug-2020</v>
      </c>
    </row>
    <row r="1522" spans="1:14" x14ac:dyDescent="0.3">
      <c r="A1522" s="3" t="s">
        <v>134</v>
      </c>
      <c r="B1522" s="3" t="s">
        <v>135</v>
      </c>
      <c r="C1522" s="8">
        <v>2020</v>
      </c>
      <c r="D1522" s="8">
        <v>9</v>
      </c>
      <c r="E1522" s="3" t="str">
        <f t="shared" si="46"/>
        <v>September</v>
      </c>
      <c r="F1522" s="3" t="s">
        <v>13</v>
      </c>
      <c r="G1522" s="8">
        <v>3730.7208989999999</v>
      </c>
      <c r="H1522" s="8">
        <v>3771</v>
      </c>
      <c r="I1522" s="8">
        <v>38.564043130000002</v>
      </c>
      <c r="J1522" s="8">
        <v>413.9512277</v>
      </c>
      <c r="K1522" s="8">
        <v>-247.76821290000001</v>
      </c>
      <c r="L1522" s="8">
        <v>1057.458464</v>
      </c>
      <c r="M1522" s="9" t="str">
        <f>IF(A1522="",M1523,A1522)</f>
        <v>Georgia</v>
      </c>
      <c r="N1522" s="3" t="str">
        <f t="shared" si="47"/>
        <v>Sep-2020</v>
      </c>
    </row>
    <row r="1523" spans="1:14" x14ac:dyDescent="0.3">
      <c r="A1523" s="3" t="s">
        <v>134</v>
      </c>
      <c r="B1523" s="3" t="s">
        <v>135</v>
      </c>
      <c r="C1523" s="8">
        <v>2020</v>
      </c>
      <c r="D1523" s="8">
        <v>10</v>
      </c>
      <c r="E1523" s="3" t="str">
        <f t="shared" si="46"/>
        <v>October</v>
      </c>
      <c r="F1523" s="3" t="s">
        <v>13</v>
      </c>
      <c r="G1523" s="8">
        <v>4053.118927</v>
      </c>
      <c r="H1523" s="8">
        <v>4670</v>
      </c>
      <c r="I1523" s="8">
        <v>615.16601549999996</v>
      </c>
      <c r="J1523" s="8">
        <v>1029.1172429999999</v>
      </c>
      <c r="K1523" s="8">
        <v>334.56495039999999</v>
      </c>
      <c r="L1523" s="8">
        <v>1718.8180970000001</v>
      </c>
      <c r="M1523" s="9" t="str">
        <f>IF(A1523="",M1524,A1523)</f>
        <v>Georgia</v>
      </c>
      <c r="N1523" s="3" t="str">
        <f t="shared" si="47"/>
        <v>Oct-2020</v>
      </c>
    </row>
    <row r="1524" spans="1:14" x14ac:dyDescent="0.3">
      <c r="A1524" s="3" t="s">
        <v>134</v>
      </c>
      <c r="B1524" s="3" t="s">
        <v>135</v>
      </c>
      <c r="C1524" s="8">
        <v>2020</v>
      </c>
      <c r="D1524" s="8">
        <v>11</v>
      </c>
      <c r="E1524" s="3" t="str">
        <f t="shared" si="46"/>
        <v>November</v>
      </c>
      <c r="F1524" s="3" t="s">
        <v>13</v>
      </c>
      <c r="G1524" s="8">
        <v>4462.3874539999997</v>
      </c>
      <c r="H1524" s="8">
        <v>6779</v>
      </c>
      <c r="I1524" s="8">
        <v>2314.897489</v>
      </c>
      <c r="J1524" s="8">
        <v>3344.0147320000001</v>
      </c>
      <c r="K1524" s="8">
        <v>2599.0322630000001</v>
      </c>
      <c r="L1524" s="8">
        <v>4051.8122010000002</v>
      </c>
      <c r="M1524" s="9" t="str">
        <f>IF(A1524="",M1525,A1524)</f>
        <v>Georgia</v>
      </c>
      <c r="N1524" s="3" t="str">
        <f t="shared" si="47"/>
        <v>Nov-2020</v>
      </c>
    </row>
    <row r="1525" spans="1:14" x14ac:dyDescent="0.3">
      <c r="A1525" s="3" t="s">
        <v>134</v>
      </c>
      <c r="B1525" s="3" t="s">
        <v>135</v>
      </c>
      <c r="C1525" s="8">
        <v>2020</v>
      </c>
      <c r="D1525" s="8">
        <v>12</v>
      </c>
      <c r="E1525" s="3" t="str">
        <f t="shared" si="46"/>
        <v>December</v>
      </c>
      <c r="F1525" s="3" t="s">
        <v>13</v>
      </c>
      <c r="G1525" s="8">
        <v>4879.1067700000003</v>
      </c>
      <c r="H1525" s="8">
        <v>7275</v>
      </c>
      <c r="I1525" s="8">
        <v>2394.1781719999999</v>
      </c>
      <c r="J1525" s="8">
        <v>5738.1929040000005</v>
      </c>
      <c r="K1525" s="8">
        <v>4942.6268250000003</v>
      </c>
      <c r="L1525" s="8">
        <v>6497.3223150000003</v>
      </c>
      <c r="M1525" s="9" t="str">
        <f>IF(A1525="",M1526,A1525)</f>
        <v>Georgia</v>
      </c>
      <c r="N1525" s="3" t="str">
        <f t="shared" si="47"/>
        <v>Dec-2020</v>
      </c>
    </row>
    <row r="1526" spans="1:14" x14ac:dyDescent="0.3">
      <c r="A1526" s="3" t="s">
        <v>134</v>
      </c>
      <c r="B1526" s="3" t="s">
        <v>135</v>
      </c>
      <c r="C1526" s="8">
        <v>2021</v>
      </c>
      <c r="D1526" s="8">
        <v>1</v>
      </c>
      <c r="E1526" s="3" t="str">
        <f t="shared" si="46"/>
        <v>January</v>
      </c>
      <c r="F1526" s="3" t="s">
        <v>13</v>
      </c>
      <c r="G1526" s="8">
        <v>4869.5322859999997</v>
      </c>
      <c r="H1526" s="8">
        <v>5870</v>
      </c>
      <c r="I1526" s="8">
        <v>1000.467714</v>
      </c>
      <c r="J1526" s="8">
        <v>6738.6606179999999</v>
      </c>
      <c r="K1526" s="8">
        <v>5918.6503089999997</v>
      </c>
      <c r="L1526" s="8">
        <v>7519.2812459999996</v>
      </c>
      <c r="M1526" s="9" t="str">
        <f>IF(A1526="",M1527,A1526)</f>
        <v>Georgia</v>
      </c>
      <c r="N1526" s="3" t="str">
        <f t="shared" si="47"/>
        <v>Jan-2021</v>
      </c>
    </row>
    <row r="1527" spans="1:14" x14ac:dyDescent="0.3">
      <c r="A1527" s="3" t="s">
        <v>134</v>
      </c>
      <c r="B1527" s="3" t="s">
        <v>135</v>
      </c>
      <c r="C1527" s="8">
        <v>2021</v>
      </c>
      <c r="D1527" s="8">
        <v>2</v>
      </c>
      <c r="E1527" s="3" t="str">
        <f t="shared" si="46"/>
        <v>February</v>
      </c>
      <c r="F1527" s="3" t="s">
        <v>13</v>
      </c>
      <c r="G1527" s="8">
        <v>4523.7517820000003</v>
      </c>
      <c r="H1527" s="8">
        <v>4450</v>
      </c>
      <c r="I1527" s="8">
        <v>-73.751782059999996</v>
      </c>
      <c r="J1527" s="8">
        <v>6664.9088359999996</v>
      </c>
      <c r="K1527" s="8">
        <v>5806.0219100000004</v>
      </c>
      <c r="L1527" s="8">
        <v>7516.5568190000004</v>
      </c>
      <c r="M1527" s="9" t="str">
        <f>IF(A1527="",M1528,A1527)</f>
        <v>Georgia</v>
      </c>
      <c r="N1527" s="3" t="str">
        <f t="shared" si="47"/>
        <v>Feb-2021</v>
      </c>
    </row>
    <row r="1528" spans="1:14" x14ac:dyDescent="0.3">
      <c r="A1528" s="3" t="s">
        <v>134</v>
      </c>
      <c r="B1528" s="3" t="s">
        <v>135</v>
      </c>
      <c r="C1528" s="8">
        <v>2021</v>
      </c>
      <c r="D1528" s="8">
        <v>3</v>
      </c>
      <c r="E1528" s="3" t="str">
        <f t="shared" si="46"/>
        <v>March</v>
      </c>
      <c r="F1528" s="3" t="s">
        <v>13</v>
      </c>
      <c r="G1528" s="8">
        <v>4555.4591380000002</v>
      </c>
      <c r="H1528" s="8">
        <v>4937</v>
      </c>
      <c r="I1528" s="8">
        <v>381.540862</v>
      </c>
      <c r="J1528" s="8">
        <v>7046.4496980000004</v>
      </c>
      <c r="K1528" s="8">
        <v>6165.6425639999998</v>
      </c>
      <c r="L1528" s="8">
        <v>7934.1020859999999</v>
      </c>
      <c r="M1528" s="9" t="str">
        <f>IF(A1528="",M1529,A1528)</f>
        <v>Georgia</v>
      </c>
      <c r="N1528" s="3" t="str">
        <f t="shared" si="47"/>
        <v>Mar-2021</v>
      </c>
    </row>
    <row r="1529" spans="1:14" x14ac:dyDescent="0.3">
      <c r="A1529" s="3" t="s">
        <v>134</v>
      </c>
      <c r="B1529" s="3" t="s">
        <v>135</v>
      </c>
      <c r="C1529" s="8">
        <v>2021</v>
      </c>
      <c r="D1529" s="8">
        <v>4</v>
      </c>
      <c r="E1529" s="3" t="str">
        <f t="shared" si="46"/>
        <v>April</v>
      </c>
      <c r="F1529" s="3" t="s">
        <v>13</v>
      </c>
      <c r="G1529" s="8">
        <v>4423.6651629999997</v>
      </c>
      <c r="H1529" s="8">
        <v>4767</v>
      </c>
      <c r="I1529" s="8">
        <v>343.33483660000002</v>
      </c>
      <c r="J1529" s="8">
        <v>7389.7845349999998</v>
      </c>
      <c r="K1529" s="8">
        <v>6452.3509240000003</v>
      </c>
      <c r="L1529" s="8">
        <v>8285.0991450000001</v>
      </c>
      <c r="M1529" s="9" t="str">
        <f>IF(A1529="",M1530,A1529)</f>
        <v>Georgia</v>
      </c>
      <c r="N1529" s="3" t="str">
        <f t="shared" si="47"/>
        <v>Apr-2021</v>
      </c>
    </row>
    <row r="1530" spans="1:14" x14ac:dyDescent="0.3">
      <c r="A1530" s="3" t="s">
        <v>134</v>
      </c>
      <c r="B1530" s="3" t="s">
        <v>135</v>
      </c>
      <c r="C1530" s="8">
        <v>2021</v>
      </c>
      <c r="D1530" s="8">
        <v>5</v>
      </c>
      <c r="E1530" s="3" t="str">
        <f t="shared" si="46"/>
        <v>May</v>
      </c>
      <c r="F1530" s="3" t="s">
        <v>13</v>
      </c>
      <c r="G1530" s="8">
        <v>4257.8183090000002</v>
      </c>
      <c r="H1530" s="8">
        <v>5210</v>
      </c>
      <c r="I1530" s="8">
        <v>952.181691</v>
      </c>
      <c r="J1530" s="8">
        <v>8341.9662260000005</v>
      </c>
      <c r="K1530" s="8">
        <v>7355.2037380000002</v>
      </c>
      <c r="L1530" s="8">
        <v>9289.8441600000006</v>
      </c>
      <c r="M1530" s="9" t="str">
        <f>IF(A1530="",M1531,A1530)</f>
        <v>Georgia</v>
      </c>
      <c r="N1530" s="3" t="str">
        <f t="shared" si="47"/>
        <v>May-2021</v>
      </c>
    </row>
    <row r="1531" spans="1:14" x14ac:dyDescent="0.3">
      <c r="A1531" s="3" t="s">
        <v>134</v>
      </c>
      <c r="B1531" s="3" t="s">
        <v>135</v>
      </c>
      <c r="C1531" s="8">
        <v>2021</v>
      </c>
      <c r="D1531" s="8">
        <v>6</v>
      </c>
      <c r="E1531" s="3" t="str">
        <f t="shared" si="46"/>
        <v>June</v>
      </c>
      <c r="F1531" s="3" t="s">
        <v>13</v>
      </c>
      <c r="G1531" s="8">
        <v>3980.4788440000002</v>
      </c>
      <c r="H1531" s="8">
        <v>4710</v>
      </c>
      <c r="I1531" s="8">
        <v>729.52115579999997</v>
      </c>
      <c r="J1531" s="8">
        <v>9071.4873810000008</v>
      </c>
      <c r="K1531" s="8">
        <v>8026.5306419999997</v>
      </c>
      <c r="L1531" s="8">
        <v>10118.86774</v>
      </c>
      <c r="M1531" s="9" t="str">
        <f>IF(A1531="",M1532,A1531)</f>
        <v>Georgia</v>
      </c>
      <c r="N1531" s="3" t="str">
        <f t="shared" si="47"/>
        <v>Jun-2021</v>
      </c>
    </row>
    <row r="1532" spans="1:14" x14ac:dyDescent="0.3">
      <c r="A1532" s="3" t="s">
        <v>134</v>
      </c>
      <c r="B1532" s="3" t="s">
        <v>135</v>
      </c>
      <c r="C1532" s="8">
        <v>2021</v>
      </c>
      <c r="D1532" s="8">
        <v>7</v>
      </c>
      <c r="E1532" s="3" t="str">
        <f t="shared" si="46"/>
        <v>July</v>
      </c>
      <c r="F1532" s="3" t="s">
        <v>13</v>
      </c>
      <c r="G1532" s="8">
        <v>3881.3424879999998</v>
      </c>
      <c r="H1532" s="8">
        <v>4805</v>
      </c>
      <c r="I1532" s="8">
        <v>923.657512</v>
      </c>
      <c r="J1532" s="8">
        <v>9995.1448930000006</v>
      </c>
      <c r="K1532" s="8">
        <v>8890.8257269999995</v>
      </c>
      <c r="L1532" s="8">
        <v>11096.751969999999</v>
      </c>
      <c r="M1532" s="9" t="str">
        <f>IF(A1532="",M1533,A1532)</f>
        <v>Georgia</v>
      </c>
      <c r="N1532" s="3" t="str">
        <f t="shared" si="47"/>
        <v>Jul-2021</v>
      </c>
    </row>
    <row r="1533" spans="1:14" x14ac:dyDescent="0.3">
      <c r="A1533" s="3" t="s">
        <v>134</v>
      </c>
      <c r="B1533" s="3" t="s">
        <v>135</v>
      </c>
      <c r="C1533" s="8">
        <v>2021</v>
      </c>
      <c r="D1533" s="8">
        <v>8</v>
      </c>
      <c r="E1533" s="3" t="str">
        <f t="shared" si="46"/>
        <v>August</v>
      </c>
      <c r="F1533" s="3" t="s">
        <v>13</v>
      </c>
      <c r="G1533" s="8">
        <v>3866.195361</v>
      </c>
      <c r="H1533" s="8">
        <v>6833</v>
      </c>
      <c r="I1533" s="8">
        <v>2966.804639</v>
      </c>
      <c r="J1533" s="8">
        <v>12961.94953</v>
      </c>
      <c r="K1533" s="8">
        <v>11823.39669</v>
      </c>
      <c r="L1533" s="8">
        <v>14082.286840000001</v>
      </c>
      <c r="M1533" s="9" t="str">
        <f>IF(A1533="",M1534,A1533)</f>
        <v>Georgia</v>
      </c>
      <c r="N1533" s="3" t="str">
        <f t="shared" si="47"/>
        <v>Aug-2021</v>
      </c>
    </row>
    <row r="1534" spans="1:14" x14ac:dyDescent="0.3">
      <c r="A1534" s="3" t="s">
        <v>134</v>
      </c>
      <c r="B1534" s="3" t="s">
        <v>135</v>
      </c>
      <c r="C1534" s="8">
        <v>2021</v>
      </c>
      <c r="D1534" s="8">
        <v>9</v>
      </c>
      <c r="E1534" s="3" t="str">
        <f t="shared" si="46"/>
        <v>September</v>
      </c>
      <c r="F1534" s="3" t="s">
        <v>13</v>
      </c>
      <c r="G1534" s="8">
        <v>3680.7621960000001</v>
      </c>
      <c r="H1534" s="8">
        <v>6070</v>
      </c>
      <c r="I1534" s="8">
        <v>2389.2378039999999</v>
      </c>
      <c r="J1534" s="8">
        <v>15351.18734</v>
      </c>
      <c r="K1534" s="8">
        <v>14251.64813</v>
      </c>
      <c r="L1534" s="8">
        <v>16471.61046</v>
      </c>
      <c r="M1534" s="9" t="str">
        <f>IF(A1534="",M1535,A1534)</f>
        <v>Georgia</v>
      </c>
      <c r="N1534" s="3" t="str">
        <f t="shared" si="47"/>
        <v>Sep-2021</v>
      </c>
    </row>
    <row r="1535" spans="1:14" x14ac:dyDescent="0.3">
      <c r="A1535" s="3" t="s">
        <v>134</v>
      </c>
      <c r="B1535" s="3" t="s">
        <v>135</v>
      </c>
      <c r="C1535" s="8">
        <v>2021</v>
      </c>
      <c r="D1535" s="8">
        <v>10</v>
      </c>
      <c r="E1535" s="3" t="str">
        <f t="shared" si="46"/>
        <v>October</v>
      </c>
      <c r="F1535" s="3" t="s">
        <v>13</v>
      </c>
      <c r="G1535" s="8">
        <v>3986.5979689999999</v>
      </c>
      <c r="H1535" s="8">
        <v>6414</v>
      </c>
      <c r="I1535" s="8">
        <v>2427.4020310000001</v>
      </c>
      <c r="J1535" s="8">
        <v>17778.589370000002</v>
      </c>
      <c r="K1535" s="8">
        <v>16633.4012</v>
      </c>
      <c r="L1535" s="8">
        <v>18910.173559999999</v>
      </c>
      <c r="M1535" s="9" t="str">
        <f>IF(A1535="",M1536,A1535)</f>
        <v>Georgia</v>
      </c>
      <c r="N1535" s="3" t="str">
        <f t="shared" si="47"/>
        <v>Oct-2021</v>
      </c>
    </row>
    <row r="1536" spans="1:14" x14ac:dyDescent="0.3">
      <c r="A1536" s="3" t="s">
        <v>134</v>
      </c>
      <c r="B1536" s="3" t="s">
        <v>135</v>
      </c>
      <c r="C1536" s="8">
        <v>2021</v>
      </c>
      <c r="D1536" s="8">
        <v>11</v>
      </c>
      <c r="E1536" s="3" t="str">
        <f t="shared" si="46"/>
        <v>November</v>
      </c>
      <c r="F1536" s="3" t="s">
        <v>13</v>
      </c>
      <c r="G1536" s="8">
        <v>4403.7953799999996</v>
      </c>
      <c r="H1536" s="8">
        <v>7503</v>
      </c>
      <c r="I1536" s="8">
        <v>3099.20462</v>
      </c>
      <c r="J1536" s="8">
        <v>20877.793989999998</v>
      </c>
      <c r="K1536" s="8">
        <v>19706.297460000002</v>
      </c>
      <c r="L1536" s="8">
        <v>22018.376100000001</v>
      </c>
      <c r="M1536" s="9" t="str">
        <f>IF(A1536="",M1537,A1536)</f>
        <v>Georgia</v>
      </c>
      <c r="N1536" s="3" t="str">
        <f t="shared" si="47"/>
        <v>Nov-2021</v>
      </c>
    </row>
    <row r="1537" spans="1:14" x14ac:dyDescent="0.3">
      <c r="A1537" s="3" t="s">
        <v>134</v>
      </c>
      <c r="B1537" s="3" t="s">
        <v>135</v>
      </c>
      <c r="C1537" s="8">
        <v>2021</v>
      </c>
      <c r="D1537" s="8">
        <v>12</v>
      </c>
      <c r="E1537" s="3" t="str">
        <f t="shared" si="46"/>
        <v>December</v>
      </c>
      <c r="F1537" s="3" t="s">
        <v>13</v>
      </c>
      <c r="G1537" s="8">
        <v>4803.8364760000004</v>
      </c>
      <c r="H1537" s="8">
        <v>6920</v>
      </c>
      <c r="I1537" s="8">
        <v>2116.1635240000001</v>
      </c>
      <c r="J1537" s="8">
        <v>22993.95751</v>
      </c>
      <c r="K1537" s="8">
        <v>21780.656589999999</v>
      </c>
      <c r="L1537" s="8">
        <v>24209.805939999998</v>
      </c>
      <c r="M1537" s="9" t="str">
        <f>IF(A1537="",M1538,A1537)</f>
        <v>Georgia</v>
      </c>
      <c r="N1537" s="3" t="str">
        <f t="shared" si="47"/>
        <v>Dec-2021</v>
      </c>
    </row>
    <row r="1538" spans="1:14" x14ac:dyDescent="0.3">
      <c r="A1538" s="3" t="s">
        <v>136</v>
      </c>
      <c r="B1538" s="3" t="s">
        <v>137</v>
      </c>
      <c r="C1538" s="8">
        <v>2020</v>
      </c>
      <c r="D1538" s="8">
        <v>1</v>
      </c>
      <c r="E1538" s="3" t="str">
        <f t="shared" ref="E1538:E1601" si="48">TEXT(DATE(C1538,D1538,1),"MMMM")</f>
        <v>January</v>
      </c>
      <c r="F1538" s="3" t="s">
        <v>8</v>
      </c>
      <c r="G1538" s="8">
        <v>15848.93341</v>
      </c>
      <c r="H1538" s="8">
        <v>16252.598</v>
      </c>
      <c r="I1538" s="8">
        <v>403.6645901</v>
      </c>
      <c r="J1538" s="8">
        <v>403.6645901</v>
      </c>
      <c r="K1538" s="8">
        <v>-3509.3886649999999</v>
      </c>
      <c r="L1538" s="8">
        <v>5151.6655810000002</v>
      </c>
      <c r="M1538" s="9" t="str">
        <f>IF(A1538="",M1539,A1538)</f>
        <v>Ghana</v>
      </c>
      <c r="N1538" s="3" t="str">
        <f t="shared" ref="N1538:N1601" si="49">TEXT(DATE(C1538,D1538,1),"MMM-YYYY")</f>
        <v>Jan-2020</v>
      </c>
    </row>
    <row r="1539" spans="1:14" x14ac:dyDescent="0.3">
      <c r="A1539" s="3" t="s">
        <v>136</v>
      </c>
      <c r="B1539" s="3" t="s">
        <v>137</v>
      </c>
      <c r="C1539" s="8">
        <v>2020</v>
      </c>
      <c r="D1539" s="8">
        <v>2</v>
      </c>
      <c r="E1539" s="3" t="str">
        <f t="shared" si="48"/>
        <v>February</v>
      </c>
      <c r="F1539" s="3" t="s">
        <v>8</v>
      </c>
      <c r="G1539" s="8">
        <v>15630.703170000001</v>
      </c>
      <c r="H1539" s="8">
        <v>15627.842000000001</v>
      </c>
      <c r="I1539" s="8">
        <v>-2.8611710800000001</v>
      </c>
      <c r="J1539" s="8">
        <v>400.80341909999999</v>
      </c>
      <c r="K1539" s="8">
        <v>-5248.0058760000002</v>
      </c>
      <c r="L1539" s="8">
        <v>6859.4848840000004</v>
      </c>
      <c r="M1539" s="9" t="str">
        <f>IF(A1539="",M1540,A1539)</f>
        <v>Ghana</v>
      </c>
      <c r="N1539" s="3" t="str">
        <f t="shared" si="49"/>
        <v>Feb-2020</v>
      </c>
    </row>
    <row r="1540" spans="1:14" x14ac:dyDescent="0.3">
      <c r="A1540" s="3" t="s">
        <v>136</v>
      </c>
      <c r="B1540" s="3" t="s">
        <v>137</v>
      </c>
      <c r="C1540" s="8">
        <v>2020</v>
      </c>
      <c r="D1540" s="8">
        <v>3</v>
      </c>
      <c r="E1540" s="3" t="str">
        <f t="shared" si="48"/>
        <v>March</v>
      </c>
      <c r="F1540" s="3" t="s">
        <v>8</v>
      </c>
      <c r="G1540" s="8">
        <v>15546.22861</v>
      </c>
      <c r="H1540" s="8">
        <v>14798.004000000001</v>
      </c>
      <c r="I1540" s="8">
        <v>-748.22460650000005</v>
      </c>
      <c r="J1540" s="8">
        <v>-347.42118749999997</v>
      </c>
      <c r="K1540" s="8">
        <v>-7001.617808</v>
      </c>
      <c r="L1540" s="8">
        <v>7002.6828690000002</v>
      </c>
      <c r="M1540" s="9" t="str">
        <f>IF(A1540="",M1541,A1540)</f>
        <v>Ghana</v>
      </c>
      <c r="N1540" s="3" t="str">
        <f t="shared" si="49"/>
        <v>Mar-2020</v>
      </c>
    </row>
    <row r="1541" spans="1:14" x14ac:dyDescent="0.3">
      <c r="A1541" s="3" t="s">
        <v>136</v>
      </c>
      <c r="B1541" s="3" t="s">
        <v>137</v>
      </c>
      <c r="C1541" s="8">
        <v>2020</v>
      </c>
      <c r="D1541" s="8">
        <v>4</v>
      </c>
      <c r="E1541" s="3" t="str">
        <f t="shared" si="48"/>
        <v>April</v>
      </c>
      <c r="F1541" s="3" t="s">
        <v>8</v>
      </c>
      <c r="G1541" s="8">
        <v>15599.62516</v>
      </c>
      <c r="H1541" s="8">
        <v>14055.293</v>
      </c>
      <c r="I1541" s="8">
        <v>-1544.3321599999999</v>
      </c>
      <c r="J1541" s="8">
        <v>-1891.753348</v>
      </c>
      <c r="K1541" s="8">
        <v>-9476.681928</v>
      </c>
      <c r="L1541" s="8">
        <v>6156.2532869999995</v>
      </c>
      <c r="M1541" s="9" t="str">
        <f>IF(A1541="",M1542,A1541)</f>
        <v>Ghana</v>
      </c>
      <c r="N1541" s="3" t="str">
        <f t="shared" si="49"/>
        <v>Apr-2020</v>
      </c>
    </row>
    <row r="1542" spans="1:14" x14ac:dyDescent="0.3">
      <c r="A1542" s="3" t="s">
        <v>136</v>
      </c>
      <c r="B1542" s="3" t="s">
        <v>137</v>
      </c>
      <c r="C1542" s="8">
        <v>2020</v>
      </c>
      <c r="D1542" s="8">
        <v>5</v>
      </c>
      <c r="E1542" s="3" t="str">
        <f t="shared" si="48"/>
        <v>May</v>
      </c>
      <c r="F1542" s="3" t="s">
        <v>8</v>
      </c>
      <c r="G1542" s="8">
        <v>15700.258180000001</v>
      </c>
      <c r="H1542" s="8">
        <v>15326.763999999999</v>
      </c>
      <c r="I1542" s="8">
        <v>-373.4941776</v>
      </c>
      <c r="J1542" s="8">
        <v>-2265.2475250000002</v>
      </c>
      <c r="K1542" s="8">
        <v>-10426.084290000001</v>
      </c>
      <c r="L1542" s="8">
        <v>7079.1140809999997</v>
      </c>
      <c r="M1542" s="9" t="str">
        <f>IF(A1542="",M1543,A1542)</f>
        <v>Ghana</v>
      </c>
      <c r="N1542" s="3" t="str">
        <f t="shared" si="49"/>
        <v>May-2020</v>
      </c>
    </row>
    <row r="1543" spans="1:14" x14ac:dyDescent="0.3">
      <c r="A1543" s="3" t="s">
        <v>136</v>
      </c>
      <c r="B1543" s="3" t="s">
        <v>137</v>
      </c>
      <c r="C1543" s="8">
        <v>2020</v>
      </c>
      <c r="D1543" s="8">
        <v>6</v>
      </c>
      <c r="E1543" s="3" t="str">
        <f t="shared" si="48"/>
        <v>June</v>
      </c>
      <c r="F1543" s="3" t="s">
        <v>8</v>
      </c>
      <c r="G1543" s="8">
        <v>15869.591759999999</v>
      </c>
      <c r="H1543" s="8">
        <v>16146.102999999999</v>
      </c>
      <c r="I1543" s="8">
        <v>276.51123869999998</v>
      </c>
      <c r="J1543" s="8">
        <v>-1988.7362869999999</v>
      </c>
      <c r="K1543" s="8">
        <v>-10826.063829999999</v>
      </c>
      <c r="L1543" s="8">
        <v>8832.5744140000006</v>
      </c>
      <c r="M1543" s="9" t="str">
        <f>IF(A1543="",M1544,A1543)</f>
        <v>Ghana</v>
      </c>
      <c r="N1543" s="3" t="str">
        <f t="shared" si="49"/>
        <v>Jun-2020</v>
      </c>
    </row>
    <row r="1544" spans="1:14" x14ac:dyDescent="0.3">
      <c r="A1544" s="3" t="s">
        <v>136</v>
      </c>
      <c r="B1544" s="3" t="s">
        <v>137</v>
      </c>
      <c r="C1544" s="8">
        <v>2020</v>
      </c>
      <c r="D1544" s="8">
        <v>7</v>
      </c>
      <c r="E1544" s="3" t="str">
        <f t="shared" si="48"/>
        <v>July</v>
      </c>
      <c r="F1544" s="3" t="s">
        <v>8</v>
      </c>
      <c r="G1544" s="8">
        <v>15987.462450000001</v>
      </c>
      <c r="H1544" s="8">
        <v>17180.739000000001</v>
      </c>
      <c r="I1544" s="8">
        <v>1193.276552</v>
      </c>
      <c r="J1544" s="8">
        <v>-795.45973500000002</v>
      </c>
      <c r="K1544" s="8">
        <v>-11043.158729999999</v>
      </c>
      <c r="L1544" s="8">
        <v>11479.71254</v>
      </c>
      <c r="M1544" s="9" t="str">
        <f>IF(A1544="",M1545,A1544)</f>
        <v>Ghana</v>
      </c>
      <c r="N1544" s="3" t="str">
        <f t="shared" si="49"/>
        <v>Jul-2020</v>
      </c>
    </row>
    <row r="1545" spans="1:14" x14ac:dyDescent="0.3">
      <c r="A1545" s="3" t="s">
        <v>136</v>
      </c>
      <c r="B1545" s="3" t="s">
        <v>137</v>
      </c>
      <c r="C1545" s="8">
        <v>2020</v>
      </c>
      <c r="D1545" s="8">
        <v>8</v>
      </c>
      <c r="E1545" s="3" t="str">
        <f t="shared" si="48"/>
        <v>August</v>
      </c>
      <c r="F1545" s="3" t="s">
        <v>8</v>
      </c>
      <c r="G1545" s="8">
        <v>16053.16992</v>
      </c>
      <c r="H1545" s="8">
        <v>17306.842000000001</v>
      </c>
      <c r="I1545" s="8">
        <v>1253.6720760000001</v>
      </c>
      <c r="J1545" s="8">
        <v>458.21234129999999</v>
      </c>
      <c r="K1545" s="8">
        <v>-10854.983099999999</v>
      </c>
      <c r="L1545" s="8">
        <v>13023.486430000001</v>
      </c>
      <c r="M1545" s="9" t="str">
        <f>IF(A1545="",M1546,A1545)</f>
        <v>Ghana</v>
      </c>
      <c r="N1545" s="3" t="str">
        <f t="shared" si="49"/>
        <v>Aug-2020</v>
      </c>
    </row>
    <row r="1546" spans="1:14" x14ac:dyDescent="0.3">
      <c r="A1546" s="3" t="s">
        <v>136</v>
      </c>
      <c r="B1546" s="3" t="s">
        <v>137</v>
      </c>
      <c r="C1546" s="8">
        <v>2020</v>
      </c>
      <c r="D1546" s="8">
        <v>9</v>
      </c>
      <c r="E1546" s="3" t="str">
        <f t="shared" si="48"/>
        <v>September</v>
      </c>
      <c r="F1546" s="3" t="s">
        <v>8</v>
      </c>
      <c r="G1546" s="8">
        <v>16002.33603</v>
      </c>
      <c r="H1546" s="8">
        <v>17692.620999999999</v>
      </c>
      <c r="I1546" s="8">
        <v>1690.2849670000001</v>
      </c>
      <c r="J1546" s="8">
        <v>2148.497308</v>
      </c>
      <c r="K1546" s="8">
        <v>-9937.7924330000005</v>
      </c>
      <c r="L1546" s="8">
        <v>15806.83785</v>
      </c>
      <c r="M1546" s="9" t="str">
        <f>IF(A1546="",M1547,A1546)</f>
        <v>Ghana</v>
      </c>
      <c r="N1546" s="3" t="str">
        <f t="shared" si="49"/>
        <v>Sep-2020</v>
      </c>
    </row>
    <row r="1547" spans="1:14" x14ac:dyDescent="0.3">
      <c r="A1547" s="3" t="s">
        <v>136</v>
      </c>
      <c r="B1547" s="3" t="s">
        <v>137</v>
      </c>
      <c r="C1547" s="8">
        <v>2020</v>
      </c>
      <c r="D1547" s="8">
        <v>10</v>
      </c>
      <c r="E1547" s="3" t="str">
        <f t="shared" si="48"/>
        <v>October</v>
      </c>
      <c r="F1547" s="3" t="s">
        <v>8</v>
      </c>
      <c r="G1547" s="8">
        <v>15928.28147</v>
      </c>
      <c r="H1547" s="8">
        <v>16300.816999999999</v>
      </c>
      <c r="I1547" s="8">
        <v>372.53552760000002</v>
      </c>
      <c r="J1547" s="8">
        <v>2521.032835</v>
      </c>
      <c r="K1547" s="8">
        <v>-10557.619650000001</v>
      </c>
      <c r="L1547" s="8">
        <v>16911.55501</v>
      </c>
      <c r="M1547" s="9" t="str">
        <f>IF(A1547="",M1548,A1547)</f>
        <v>Ghana</v>
      </c>
      <c r="N1547" s="3" t="str">
        <f t="shared" si="49"/>
        <v>Oct-2020</v>
      </c>
    </row>
    <row r="1548" spans="1:14" x14ac:dyDescent="0.3">
      <c r="A1548" s="3" t="s">
        <v>136</v>
      </c>
      <c r="B1548" s="3" t="s">
        <v>137</v>
      </c>
      <c r="C1548" s="8">
        <v>2020</v>
      </c>
      <c r="D1548" s="8">
        <v>11</v>
      </c>
      <c r="E1548" s="3" t="str">
        <f t="shared" si="48"/>
        <v>November</v>
      </c>
      <c r="F1548" s="3" t="s">
        <v>8</v>
      </c>
      <c r="G1548" s="8">
        <v>15827.900079999999</v>
      </c>
      <c r="H1548" s="8">
        <v>16162.054</v>
      </c>
      <c r="I1548" s="8">
        <v>334.15392329999997</v>
      </c>
      <c r="J1548" s="8">
        <v>2855.1867590000002</v>
      </c>
      <c r="K1548" s="8">
        <v>-10821.75288</v>
      </c>
      <c r="L1548" s="8">
        <v>18162.862089999999</v>
      </c>
      <c r="M1548" s="9" t="str">
        <f>IF(A1548="",M1549,A1548)</f>
        <v>Ghana</v>
      </c>
      <c r="N1548" s="3" t="str">
        <f t="shared" si="49"/>
        <v>Nov-2020</v>
      </c>
    </row>
    <row r="1549" spans="1:14" x14ac:dyDescent="0.3">
      <c r="A1549" s="3" t="s">
        <v>136</v>
      </c>
      <c r="B1549" s="3" t="s">
        <v>137</v>
      </c>
      <c r="C1549" s="8">
        <v>2020</v>
      </c>
      <c r="D1549" s="8">
        <v>12</v>
      </c>
      <c r="E1549" s="3" t="str">
        <f t="shared" si="48"/>
        <v>December</v>
      </c>
      <c r="F1549" s="3" t="s">
        <v>8</v>
      </c>
      <c r="G1549" s="8">
        <v>15813.084199999999</v>
      </c>
      <c r="H1549" s="8">
        <v>16212.8</v>
      </c>
      <c r="I1549" s="8">
        <v>399.7157977</v>
      </c>
      <c r="J1549" s="8">
        <v>3254.902556</v>
      </c>
      <c r="K1549" s="8">
        <v>-11266.47913</v>
      </c>
      <c r="L1549" s="8">
        <v>18084.938849999999</v>
      </c>
      <c r="M1549" s="9" t="str">
        <f>IF(A1549="",M1550,A1549)</f>
        <v>Ghana</v>
      </c>
      <c r="N1549" s="3" t="str">
        <f t="shared" si="49"/>
        <v>Dec-2020</v>
      </c>
    </row>
    <row r="1550" spans="1:14" x14ac:dyDescent="0.3">
      <c r="A1550" s="3" t="s">
        <v>136</v>
      </c>
      <c r="B1550" s="3" t="s">
        <v>137</v>
      </c>
      <c r="C1550" s="8">
        <v>2021</v>
      </c>
      <c r="D1550" s="8">
        <v>1</v>
      </c>
      <c r="E1550" s="3" t="str">
        <f t="shared" si="48"/>
        <v>January</v>
      </c>
      <c r="F1550" s="3" t="s">
        <v>8</v>
      </c>
      <c r="G1550" s="8">
        <v>15816.57987</v>
      </c>
      <c r="H1550" s="8">
        <v>17016.84</v>
      </c>
      <c r="I1550" s="8">
        <v>1200.2601299999999</v>
      </c>
      <c r="J1550" s="8">
        <v>4455.162687</v>
      </c>
      <c r="K1550" s="8">
        <v>-10681.66207</v>
      </c>
      <c r="L1550" s="8">
        <v>20016.782220000001</v>
      </c>
      <c r="M1550" s="9" t="str">
        <f>IF(A1550="",M1551,A1550)</f>
        <v>Ghana</v>
      </c>
      <c r="N1550" s="3" t="str">
        <f t="shared" si="49"/>
        <v>Jan-2021</v>
      </c>
    </row>
    <row r="1551" spans="1:14" x14ac:dyDescent="0.3">
      <c r="A1551" s="3" t="s">
        <v>136</v>
      </c>
      <c r="B1551" s="3" t="s">
        <v>137</v>
      </c>
      <c r="C1551" s="8">
        <v>2021</v>
      </c>
      <c r="D1551" s="8">
        <v>2</v>
      </c>
      <c r="E1551" s="3" t="str">
        <f t="shared" si="48"/>
        <v>February</v>
      </c>
      <c r="F1551" s="3" t="s">
        <v>8</v>
      </c>
      <c r="G1551" s="8">
        <v>15606.26046</v>
      </c>
      <c r="H1551" s="8">
        <v>17774.637999999999</v>
      </c>
      <c r="I1551" s="8">
        <v>2168.3775350000001</v>
      </c>
      <c r="J1551" s="8">
        <v>6623.5402219999996</v>
      </c>
      <c r="K1551" s="8">
        <v>-9457.5279069999997</v>
      </c>
      <c r="L1551" s="8">
        <v>23282.847000000002</v>
      </c>
      <c r="M1551" s="9" t="str">
        <f>IF(A1551="",M1552,A1551)</f>
        <v>Ghana</v>
      </c>
      <c r="N1551" s="3" t="str">
        <f t="shared" si="49"/>
        <v>Feb-2021</v>
      </c>
    </row>
    <row r="1552" spans="1:14" x14ac:dyDescent="0.3">
      <c r="A1552" s="3" t="s">
        <v>136</v>
      </c>
      <c r="B1552" s="3" t="s">
        <v>137</v>
      </c>
      <c r="C1552" s="8">
        <v>2021</v>
      </c>
      <c r="D1552" s="8">
        <v>3</v>
      </c>
      <c r="E1552" s="3" t="str">
        <f t="shared" si="48"/>
        <v>March</v>
      </c>
      <c r="F1552" s="3" t="s">
        <v>8</v>
      </c>
      <c r="G1552" s="8">
        <v>15520.440490000001</v>
      </c>
      <c r="H1552" s="8">
        <v>16860.484</v>
      </c>
      <c r="I1552" s="8">
        <v>1340.043514</v>
      </c>
      <c r="J1552" s="8">
        <v>7963.5837359999996</v>
      </c>
      <c r="K1552" s="8">
        <v>-8558.1431979999998</v>
      </c>
      <c r="L1552" s="8">
        <v>24244.596939999999</v>
      </c>
      <c r="M1552" s="9" t="str">
        <f>IF(A1552="",M1553,A1552)</f>
        <v>Ghana</v>
      </c>
      <c r="N1552" s="3" t="str">
        <f t="shared" si="49"/>
        <v>Mar-2021</v>
      </c>
    </row>
    <row r="1553" spans="1:14" x14ac:dyDescent="0.3">
      <c r="A1553" s="3" t="s">
        <v>136</v>
      </c>
      <c r="B1553" s="3" t="s">
        <v>137</v>
      </c>
      <c r="C1553" s="8">
        <v>2021</v>
      </c>
      <c r="D1553" s="8">
        <v>4</v>
      </c>
      <c r="E1553" s="3" t="str">
        <f t="shared" si="48"/>
        <v>April</v>
      </c>
      <c r="F1553" s="3" t="s">
        <v>8</v>
      </c>
      <c r="G1553" s="8">
        <v>15566.88185</v>
      </c>
      <c r="H1553" s="8">
        <v>15916.924999999999</v>
      </c>
      <c r="I1553" s="8">
        <v>350.04315170000001</v>
      </c>
      <c r="J1553" s="8">
        <v>8313.6268880000007</v>
      </c>
      <c r="K1553" s="8">
        <v>-8914.8033450000003</v>
      </c>
      <c r="L1553" s="8">
        <v>25849.112590000001</v>
      </c>
      <c r="M1553" s="9" t="str">
        <f>IF(A1553="",M1554,A1553)</f>
        <v>Ghana</v>
      </c>
      <c r="N1553" s="3" t="str">
        <f t="shared" si="49"/>
        <v>Apr-2021</v>
      </c>
    </row>
    <row r="1554" spans="1:14" x14ac:dyDescent="0.3">
      <c r="A1554" s="3" t="s">
        <v>136</v>
      </c>
      <c r="B1554" s="3" t="s">
        <v>137</v>
      </c>
      <c r="C1554" s="8">
        <v>2021</v>
      </c>
      <c r="D1554" s="8">
        <v>5</v>
      </c>
      <c r="E1554" s="3" t="str">
        <f t="shared" si="48"/>
        <v>May</v>
      </c>
      <c r="F1554" s="3" t="s">
        <v>8</v>
      </c>
      <c r="G1554" s="8">
        <v>15676.45527</v>
      </c>
      <c r="H1554" s="8">
        <v>15648.411</v>
      </c>
      <c r="I1554" s="8">
        <v>-28.04426999</v>
      </c>
      <c r="J1554" s="8">
        <v>8285.5826180000004</v>
      </c>
      <c r="K1554" s="8">
        <v>-9367.9681959999998</v>
      </c>
      <c r="L1554" s="8">
        <v>26021.189180000001</v>
      </c>
      <c r="M1554" s="9" t="str">
        <f>IF(A1554="",M1555,A1554)</f>
        <v>Ghana</v>
      </c>
      <c r="N1554" s="3" t="str">
        <f t="shared" si="49"/>
        <v>May-2021</v>
      </c>
    </row>
    <row r="1555" spans="1:14" x14ac:dyDescent="0.3">
      <c r="A1555" s="3" t="s">
        <v>136</v>
      </c>
      <c r="B1555" s="3" t="s">
        <v>137</v>
      </c>
      <c r="C1555" s="8">
        <v>2021</v>
      </c>
      <c r="D1555" s="8">
        <v>6</v>
      </c>
      <c r="E1555" s="3" t="str">
        <f t="shared" si="48"/>
        <v>June</v>
      </c>
      <c r="F1555" s="3" t="s">
        <v>8</v>
      </c>
      <c r="G1555" s="8">
        <v>15838.620999999999</v>
      </c>
      <c r="H1555" s="8">
        <v>15899.281000000001</v>
      </c>
      <c r="I1555" s="8">
        <v>60.659998229999999</v>
      </c>
      <c r="J1555" s="8">
        <v>8346.2426159999995</v>
      </c>
      <c r="K1555" s="8">
        <v>-10493.761630000001</v>
      </c>
      <c r="L1555" s="8">
        <v>26883.090329999999</v>
      </c>
      <c r="M1555" s="9" t="str">
        <f>IF(A1555="",M1556,A1555)</f>
        <v>Ghana</v>
      </c>
      <c r="N1555" s="3" t="str">
        <f t="shared" si="49"/>
        <v>Jun-2021</v>
      </c>
    </row>
    <row r="1556" spans="1:14" x14ac:dyDescent="0.3">
      <c r="A1556" s="3" t="s">
        <v>136</v>
      </c>
      <c r="B1556" s="3" t="s">
        <v>137</v>
      </c>
      <c r="C1556" s="8">
        <v>2021</v>
      </c>
      <c r="D1556" s="8">
        <v>7</v>
      </c>
      <c r="E1556" s="3" t="str">
        <f t="shared" si="48"/>
        <v>July</v>
      </c>
      <c r="F1556" s="3" t="s">
        <v>8</v>
      </c>
      <c r="G1556" s="8">
        <v>15958.77771</v>
      </c>
      <c r="H1556" s="8">
        <v>16280.905000000001</v>
      </c>
      <c r="I1556" s="8">
        <v>322.1272912</v>
      </c>
      <c r="J1556" s="8">
        <v>8668.3699070000002</v>
      </c>
      <c r="K1556" s="8">
        <v>-10499.13998</v>
      </c>
      <c r="L1556" s="8">
        <v>27653.110280000001</v>
      </c>
      <c r="M1556" s="9" t="str">
        <f>IF(A1556="",M1557,A1556)</f>
        <v>Ghana</v>
      </c>
      <c r="N1556" s="3" t="str">
        <f t="shared" si="49"/>
        <v>Jul-2021</v>
      </c>
    </row>
    <row r="1557" spans="1:14" x14ac:dyDescent="0.3">
      <c r="A1557" s="3" t="s">
        <v>136</v>
      </c>
      <c r="B1557" s="3" t="s">
        <v>137</v>
      </c>
      <c r="C1557" s="8">
        <v>2021</v>
      </c>
      <c r="D1557" s="8">
        <v>8</v>
      </c>
      <c r="E1557" s="3" t="str">
        <f t="shared" si="48"/>
        <v>August</v>
      </c>
      <c r="F1557" s="3" t="s">
        <v>8</v>
      </c>
      <c r="G1557" s="8">
        <v>16025.153700000001</v>
      </c>
      <c r="H1557" s="8">
        <v>17505.468000000001</v>
      </c>
      <c r="I1557" s="8">
        <v>1480.314304</v>
      </c>
      <c r="J1557" s="8">
        <v>10148.684209999999</v>
      </c>
      <c r="K1557" s="8">
        <v>-9584.7058469999993</v>
      </c>
      <c r="L1557" s="8">
        <v>29999.34203</v>
      </c>
      <c r="M1557" s="9" t="str">
        <f>IF(A1557="",M1558,A1557)</f>
        <v>Ghana</v>
      </c>
      <c r="N1557" s="3" t="str">
        <f t="shared" si="49"/>
        <v>Aug-2021</v>
      </c>
    </row>
    <row r="1558" spans="1:14" x14ac:dyDescent="0.3">
      <c r="A1558" s="3" t="s">
        <v>136</v>
      </c>
      <c r="B1558" s="3" t="s">
        <v>137</v>
      </c>
      <c r="C1558" s="8">
        <v>2021</v>
      </c>
      <c r="D1558" s="8">
        <v>9</v>
      </c>
      <c r="E1558" s="3" t="str">
        <f t="shared" si="48"/>
        <v>September</v>
      </c>
      <c r="F1558" s="3" t="s">
        <v>8</v>
      </c>
      <c r="G1558" s="8">
        <v>15975.52564</v>
      </c>
      <c r="H1558" s="8">
        <v>16997.069</v>
      </c>
      <c r="I1558" s="8">
        <v>1021.543364</v>
      </c>
      <c r="J1558" s="8">
        <v>11170.227580000001</v>
      </c>
      <c r="K1558" s="8">
        <v>-9234.3711770000009</v>
      </c>
      <c r="L1558" s="8">
        <v>32022.56294</v>
      </c>
      <c r="M1558" s="9" t="str">
        <f>IF(A1558="",M1559,A1558)</f>
        <v>Ghana</v>
      </c>
      <c r="N1558" s="3" t="str">
        <f t="shared" si="49"/>
        <v>Sep-2021</v>
      </c>
    </row>
    <row r="1559" spans="1:14" x14ac:dyDescent="0.3">
      <c r="A1559" s="3" t="s">
        <v>136</v>
      </c>
      <c r="B1559" s="3" t="s">
        <v>137</v>
      </c>
      <c r="C1559" s="8">
        <v>2021</v>
      </c>
      <c r="D1559" s="8">
        <v>10</v>
      </c>
      <c r="E1559" s="3" t="str">
        <f t="shared" si="48"/>
        <v>October</v>
      </c>
      <c r="F1559" s="3" t="s">
        <v>8</v>
      </c>
      <c r="G1559" s="8">
        <v>15899.970869999999</v>
      </c>
      <c r="H1559" s="8">
        <v>16359.450999999999</v>
      </c>
      <c r="I1559" s="8">
        <v>459.48012929999999</v>
      </c>
      <c r="J1559" s="8">
        <v>11629.707700000001</v>
      </c>
      <c r="K1559" s="8">
        <v>-10212.01822</v>
      </c>
      <c r="L1559" s="8">
        <v>33735.252670000002</v>
      </c>
      <c r="M1559" s="9" t="str">
        <f>IF(A1559="",M1560,A1559)</f>
        <v>Ghana</v>
      </c>
      <c r="N1559" s="3" t="str">
        <f t="shared" si="49"/>
        <v>Oct-2021</v>
      </c>
    </row>
    <row r="1560" spans="1:14" x14ac:dyDescent="0.3">
      <c r="A1560" s="3" t="s">
        <v>136</v>
      </c>
      <c r="B1560" s="3" t="s">
        <v>137</v>
      </c>
      <c r="C1560" s="8">
        <v>2021</v>
      </c>
      <c r="D1560" s="8">
        <v>11</v>
      </c>
      <c r="E1560" s="3" t="str">
        <f t="shared" si="48"/>
        <v>November</v>
      </c>
      <c r="F1560" s="3" t="s">
        <v>8</v>
      </c>
      <c r="G1560" s="8">
        <v>15805.65382</v>
      </c>
      <c r="H1560" s="8">
        <v>16320.021000000001</v>
      </c>
      <c r="I1560" s="8">
        <v>514.36718129999997</v>
      </c>
      <c r="J1560" s="8">
        <v>12144.07489</v>
      </c>
      <c r="K1560" s="8">
        <v>-10497.77583</v>
      </c>
      <c r="L1560" s="8">
        <v>34702.34319</v>
      </c>
      <c r="M1560" s="9" t="str">
        <f>IF(A1560="",M1561,A1560)</f>
        <v>Ghana</v>
      </c>
      <c r="N1560" s="3" t="str">
        <f t="shared" si="49"/>
        <v>Nov-2021</v>
      </c>
    </row>
    <row r="1561" spans="1:14" x14ac:dyDescent="0.3">
      <c r="A1561" s="3" t="s">
        <v>136</v>
      </c>
      <c r="B1561" s="3" t="s">
        <v>137</v>
      </c>
      <c r="C1561" s="8">
        <v>2021</v>
      </c>
      <c r="D1561" s="8">
        <v>12</v>
      </c>
      <c r="E1561" s="3" t="str">
        <f t="shared" si="48"/>
        <v>December</v>
      </c>
      <c r="F1561" s="3" t="s">
        <v>8</v>
      </c>
      <c r="G1561" s="8">
        <v>15786.993109999999</v>
      </c>
      <c r="H1561" s="8">
        <v>16861.010999999999</v>
      </c>
      <c r="I1561" s="8">
        <v>1074.017893</v>
      </c>
      <c r="J1561" s="8">
        <v>13218.092780000001</v>
      </c>
      <c r="K1561" s="8">
        <v>-9706.6683099999991</v>
      </c>
      <c r="L1561" s="8">
        <v>35917.03314</v>
      </c>
      <c r="M1561" s="9" t="str">
        <f>IF(A1561="",M1562,A1561)</f>
        <v>Ghana</v>
      </c>
      <c r="N1561" s="3" t="str">
        <f t="shared" si="49"/>
        <v>Dec-2021</v>
      </c>
    </row>
    <row r="1562" spans="1:14" x14ac:dyDescent="0.3">
      <c r="A1562" s="3" t="s">
        <v>138</v>
      </c>
      <c r="B1562" s="3" t="s">
        <v>139</v>
      </c>
      <c r="C1562" s="8">
        <v>2020</v>
      </c>
      <c r="D1562" s="8">
        <v>1</v>
      </c>
      <c r="E1562" s="3" t="str">
        <f t="shared" si="48"/>
        <v>January</v>
      </c>
      <c r="F1562" s="3" t="s">
        <v>8</v>
      </c>
      <c r="G1562" s="8">
        <v>9069.8112440000004</v>
      </c>
      <c r="H1562" s="8">
        <v>9301.4660000000003</v>
      </c>
      <c r="I1562" s="8">
        <v>231.65475599999999</v>
      </c>
      <c r="J1562" s="8">
        <v>231.65475599999999</v>
      </c>
      <c r="K1562" s="8">
        <v>-2013.4457420000001</v>
      </c>
      <c r="L1562" s="8">
        <v>3065.0808969999998</v>
      </c>
      <c r="M1562" s="9" t="str">
        <f>IF(A1562="",M1563,A1562)</f>
        <v>Guinea</v>
      </c>
      <c r="N1562" s="3" t="str">
        <f t="shared" si="49"/>
        <v>Jan-2020</v>
      </c>
    </row>
    <row r="1563" spans="1:14" x14ac:dyDescent="0.3">
      <c r="A1563" s="3" t="s">
        <v>138</v>
      </c>
      <c r="B1563" s="3" t="s">
        <v>139</v>
      </c>
      <c r="C1563" s="8">
        <v>2020</v>
      </c>
      <c r="D1563" s="8">
        <v>2</v>
      </c>
      <c r="E1563" s="3" t="str">
        <f t="shared" si="48"/>
        <v>February</v>
      </c>
      <c r="F1563" s="3" t="s">
        <v>8</v>
      </c>
      <c r="G1563" s="8">
        <v>8922.9315800000004</v>
      </c>
      <c r="H1563" s="8">
        <v>8746.5949999999993</v>
      </c>
      <c r="I1563" s="8">
        <v>-176.33658009999999</v>
      </c>
      <c r="J1563" s="8">
        <v>55.318175840000002</v>
      </c>
      <c r="K1563" s="8">
        <v>-3359.8319660000002</v>
      </c>
      <c r="L1563" s="8">
        <v>3984.482383</v>
      </c>
      <c r="M1563" s="9" t="str">
        <f>IF(A1563="",M1564,A1563)</f>
        <v>Guinea</v>
      </c>
      <c r="N1563" s="3" t="str">
        <f t="shared" si="49"/>
        <v>Feb-2020</v>
      </c>
    </row>
    <row r="1564" spans="1:14" x14ac:dyDescent="0.3">
      <c r="A1564" s="3" t="s">
        <v>138</v>
      </c>
      <c r="B1564" s="3" t="s">
        <v>139</v>
      </c>
      <c r="C1564" s="8">
        <v>2020</v>
      </c>
      <c r="D1564" s="8">
        <v>3</v>
      </c>
      <c r="E1564" s="3" t="str">
        <f t="shared" si="48"/>
        <v>March</v>
      </c>
      <c r="F1564" s="3" t="s">
        <v>8</v>
      </c>
      <c r="G1564" s="8">
        <v>8853.7920150000009</v>
      </c>
      <c r="H1564" s="8">
        <v>8752.8670000000002</v>
      </c>
      <c r="I1564" s="8">
        <v>-100.9250152</v>
      </c>
      <c r="J1564" s="8">
        <v>-45.606839319999999</v>
      </c>
      <c r="K1564" s="8">
        <v>-4081.4839379999999</v>
      </c>
      <c r="L1564" s="8">
        <v>4318.5592379999998</v>
      </c>
      <c r="M1564" s="9" t="str">
        <f>IF(A1564="",M1565,A1564)</f>
        <v>Guinea</v>
      </c>
      <c r="N1564" s="3" t="str">
        <f t="shared" si="49"/>
        <v>Mar-2020</v>
      </c>
    </row>
    <row r="1565" spans="1:14" x14ac:dyDescent="0.3">
      <c r="A1565" s="3" t="s">
        <v>138</v>
      </c>
      <c r="B1565" s="3" t="s">
        <v>139</v>
      </c>
      <c r="C1565" s="8">
        <v>2020</v>
      </c>
      <c r="D1565" s="8">
        <v>4</v>
      </c>
      <c r="E1565" s="3" t="str">
        <f t="shared" si="48"/>
        <v>April</v>
      </c>
      <c r="F1565" s="3" t="s">
        <v>8</v>
      </c>
      <c r="G1565" s="8">
        <v>8814.0846949999996</v>
      </c>
      <c r="H1565" s="8">
        <v>8493.5360000000001</v>
      </c>
      <c r="I1565" s="8">
        <v>-320.54869539999999</v>
      </c>
      <c r="J1565" s="8">
        <v>-366.15553469999998</v>
      </c>
      <c r="K1565" s="8">
        <v>-4684.1265949999997</v>
      </c>
      <c r="L1565" s="8">
        <v>4950.9606940000003</v>
      </c>
      <c r="M1565" s="9" t="str">
        <f>IF(A1565="",M1566,A1565)</f>
        <v>Guinea</v>
      </c>
      <c r="N1565" s="3" t="str">
        <f t="shared" si="49"/>
        <v>Apr-2020</v>
      </c>
    </row>
    <row r="1566" spans="1:14" x14ac:dyDescent="0.3">
      <c r="A1566" s="3" t="s">
        <v>138</v>
      </c>
      <c r="B1566" s="3" t="s">
        <v>139</v>
      </c>
      <c r="C1566" s="8">
        <v>2020</v>
      </c>
      <c r="D1566" s="8">
        <v>5</v>
      </c>
      <c r="E1566" s="3" t="str">
        <f t="shared" si="48"/>
        <v>May</v>
      </c>
      <c r="F1566" s="3" t="s">
        <v>8</v>
      </c>
      <c r="G1566" s="8">
        <v>8878.1280700000007</v>
      </c>
      <c r="H1566" s="8">
        <v>8993.1020000000008</v>
      </c>
      <c r="I1566" s="8">
        <v>114.97392979999999</v>
      </c>
      <c r="J1566" s="8">
        <v>-251.18160499999999</v>
      </c>
      <c r="K1566" s="8">
        <v>-5348.3104139999996</v>
      </c>
      <c r="L1566" s="8">
        <v>5482.2364630000002</v>
      </c>
      <c r="M1566" s="9" t="str">
        <f>IF(A1566="",M1567,A1566)</f>
        <v>Guinea</v>
      </c>
      <c r="N1566" s="3" t="str">
        <f t="shared" si="49"/>
        <v>May-2020</v>
      </c>
    </row>
    <row r="1567" spans="1:14" x14ac:dyDescent="0.3">
      <c r="A1567" s="3" t="s">
        <v>138</v>
      </c>
      <c r="B1567" s="3" t="s">
        <v>139</v>
      </c>
      <c r="C1567" s="8">
        <v>2020</v>
      </c>
      <c r="D1567" s="8">
        <v>6</v>
      </c>
      <c r="E1567" s="3" t="str">
        <f t="shared" si="48"/>
        <v>June</v>
      </c>
      <c r="F1567" s="3" t="s">
        <v>8</v>
      </c>
      <c r="G1567" s="8">
        <v>8997.984117</v>
      </c>
      <c r="H1567" s="8">
        <v>9356.2569999999996</v>
      </c>
      <c r="I1567" s="8">
        <v>358.27288279999999</v>
      </c>
      <c r="J1567" s="8">
        <v>107.09127789999999</v>
      </c>
      <c r="K1567" s="8">
        <v>-5851.1944309999999</v>
      </c>
      <c r="L1567" s="8">
        <v>6415.3386870000004</v>
      </c>
      <c r="M1567" s="9" t="str">
        <f>IF(A1567="",M1568,A1567)</f>
        <v>Guinea</v>
      </c>
      <c r="N1567" s="3" t="str">
        <f t="shared" si="49"/>
        <v>Jun-2020</v>
      </c>
    </row>
    <row r="1568" spans="1:14" x14ac:dyDescent="0.3">
      <c r="A1568" s="3" t="s">
        <v>138</v>
      </c>
      <c r="B1568" s="3" t="s">
        <v>139</v>
      </c>
      <c r="C1568" s="8">
        <v>2020</v>
      </c>
      <c r="D1568" s="8">
        <v>7</v>
      </c>
      <c r="E1568" s="3" t="str">
        <f t="shared" si="48"/>
        <v>July</v>
      </c>
      <c r="F1568" s="3" t="s">
        <v>8</v>
      </c>
      <c r="G1568" s="8">
        <v>9086.3390080000008</v>
      </c>
      <c r="H1568" s="8">
        <v>9787.42</v>
      </c>
      <c r="I1568" s="8">
        <v>701.08099159999995</v>
      </c>
      <c r="J1568" s="8">
        <v>808.1722694</v>
      </c>
      <c r="K1568" s="8">
        <v>-5614.1432560000003</v>
      </c>
      <c r="L1568" s="8">
        <v>7776.3227129999996</v>
      </c>
      <c r="M1568" s="9" t="str">
        <f>IF(A1568="",M1569,A1568)</f>
        <v>Guinea</v>
      </c>
      <c r="N1568" s="3" t="str">
        <f t="shared" si="49"/>
        <v>Jul-2020</v>
      </c>
    </row>
    <row r="1569" spans="1:14" x14ac:dyDescent="0.3">
      <c r="A1569" s="3" t="s">
        <v>138</v>
      </c>
      <c r="B1569" s="3" t="s">
        <v>139</v>
      </c>
      <c r="C1569" s="8">
        <v>2020</v>
      </c>
      <c r="D1569" s="8">
        <v>8</v>
      </c>
      <c r="E1569" s="3" t="str">
        <f t="shared" si="48"/>
        <v>August</v>
      </c>
      <c r="F1569" s="3" t="s">
        <v>8</v>
      </c>
      <c r="G1569" s="8">
        <v>9102.9945979999993</v>
      </c>
      <c r="H1569" s="8">
        <v>9750.0589999999993</v>
      </c>
      <c r="I1569" s="8">
        <v>647.06440220000002</v>
      </c>
      <c r="J1569" s="8">
        <v>1455.236672</v>
      </c>
      <c r="K1569" s="8">
        <v>-5685.6881679999997</v>
      </c>
      <c r="L1569" s="8">
        <v>9196.1714950000005</v>
      </c>
      <c r="M1569" s="9" t="str">
        <f>IF(A1569="",M1570,A1569)</f>
        <v>Guinea</v>
      </c>
      <c r="N1569" s="3" t="str">
        <f t="shared" si="49"/>
        <v>Aug-2020</v>
      </c>
    </row>
    <row r="1570" spans="1:14" x14ac:dyDescent="0.3">
      <c r="A1570" s="3" t="s">
        <v>138</v>
      </c>
      <c r="B1570" s="3" t="s">
        <v>139</v>
      </c>
      <c r="C1570" s="8">
        <v>2020</v>
      </c>
      <c r="D1570" s="8">
        <v>9</v>
      </c>
      <c r="E1570" s="3" t="str">
        <f t="shared" si="48"/>
        <v>September</v>
      </c>
      <c r="F1570" s="3" t="s">
        <v>8</v>
      </c>
      <c r="G1570" s="8">
        <v>9100.8312459999997</v>
      </c>
      <c r="H1570" s="8">
        <v>9539.81</v>
      </c>
      <c r="I1570" s="8">
        <v>438.97875379999999</v>
      </c>
      <c r="J1570" s="8">
        <v>1894.215426</v>
      </c>
      <c r="K1570" s="8">
        <v>-5663.2763400000003</v>
      </c>
      <c r="L1570" s="8">
        <v>10192.638660000001</v>
      </c>
      <c r="M1570" s="9" t="str">
        <f>IF(A1570="",M1571,A1570)</f>
        <v>Guinea</v>
      </c>
      <c r="N1570" s="3" t="str">
        <f t="shared" si="49"/>
        <v>Sep-2020</v>
      </c>
    </row>
    <row r="1571" spans="1:14" x14ac:dyDescent="0.3">
      <c r="A1571" s="3" t="s">
        <v>138</v>
      </c>
      <c r="B1571" s="3" t="s">
        <v>139</v>
      </c>
      <c r="C1571" s="8">
        <v>2020</v>
      </c>
      <c r="D1571" s="8">
        <v>10</v>
      </c>
      <c r="E1571" s="3" t="str">
        <f t="shared" si="48"/>
        <v>October</v>
      </c>
      <c r="F1571" s="3" t="s">
        <v>8</v>
      </c>
      <c r="G1571" s="8">
        <v>9076.4464339999995</v>
      </c>
      <c r="H1571" s="8">
        <v>9334.4459999999999</v>
      </c>
      <c r="I1571" s="8">
        <v>257.9995662</v>
      </c>
      <c r="J1571" s="8">
        <v>2152.2149920000002</v>
      </c>
      <c r="K1571" s="8">
        <v>-5459.2523389999997</v>
      </c>
      <c r="L1571" s="8">
        <v>10556.66092</v>
      </c>
      <c r="M1571" s="9" t="str">
        <f>IF(A1571="",M1572,A1571)</f>
        <v>Guinea</v>
      </c>
      <c r="N1571" s="3" t="str">
        <f t="shared" si="49"/>
        <v>Oct-2020</v>
      </c>
    </row>
    <row r="1572" spans="1:14" x14ac:dyDescent="0.3">
      <c r="A1572" s="3" t="s">
        <v>138</v>
      </c>
      <c r="B1572" s="3" t="s">
        <v>139</v>
      </c>
      <c r="C1572" s="8">
        <v>2020</v>
      </c>
      <c r="D1572" s="8">
        <v>11</v>
      </c>
      <c r="E1572" s="3" t="str">
        <f t="shared" si="48"/>
        <v>November</v>
      </c>
      <c r="F1572" s="3" t="s">
        <v>8</v>
      </c>
      <c r="G1572" s="8">
        <v>9046.5724850000006</v>
      </c>
      <c r="H1572" s="8">
        <v>9143.4959999999992</v>
      </c>
      <c r="I1572" s="8">
        <v>96.92351506</v>
      </c>
      <c r="J1572" s="8">
        <v>2249.1385070000001</v>
      </c>
      <c r="K1572" s="8">
        <v>-5830.5626469999997</v>
      </c>
      <c r="L1572" s="8">
        <v>11256.3516</v>
      </c>
      <c r="M1572" s="9" t="str">
        <f>IF(A1572="",M1573,A1572)</f>
        <v>Guinea</v>
      </c>
      <c r="N1572" s="3" t="str">
        <f t="shared" si="49"/>
        <v>Nov-2020</v>
      </c>
    </row>
    <row r="1573" spans="1:14" x14ac:dyDescent="0.3">
      <c r="A1573" s="3" t="s">
        <v>138</v>
      </c>
      <c r="B1573" s="3" t="s">
        <v>139</v>
      </c>
      <c r="C1573" s="8">
        <v>2020</v>
      </c>
      <c r="D1573" s="8">
        <v>12</v>
      </c>
      <c r="E1573" s="3" t="str">
        <f t="shared" si="48"/>
        <v>December</v>
      </c>
      <c r="F1573" s="3" t="s">
        <v>8</v>
      </c>
      <c r="G1573" s="8">
        <v>9027.6016909999998</v>
      </c>
      <c r="H1573" s="8">
        <v>9211.509</v>
      </c>
      <c r="I1573" s="8">
        <v>183.9073089</v>
      </c>
      <c r="J1573" s="8">
        <v>2433.0458159999998</v>
      </c>
      <c r="K1573" s="8">
        <v>-5864.4764869999999</v>
      </c>
      <c r="L1573" s="8">
        <v>11551.776529999999</v>
      </c>
      <c r="M1573" s="9" t="str">
        <f>IF(A1573="",M1574,A1573)</f>
        <v>Guinea</v>
      </c>
      <c r="N1573" s="3" t="str">
        <f t="shared" si="49"/>
        <v>Dec-2020</v>
      </c>
    </row>
    <row r="1574" spans="1:14" x14ac:dyDescent="0.3">
      <c r="A1574" s="3" t="s">
        <v>138</v>
      </c>
      <c r="B1574" s="3" t="s">
        <v>139</v>
      </c>
      <c r="C1574" s="8">
        <v>2021</v>
      </c>
      <c r="D1574" s="8">
        <v>1</v>
      </c>
      <c r="E1574" s="3" t="str">
        <f t="shared" si="48"/>
        <v>January</v>
      </c>
      <c r="F1574" s="3" t="s">
        <v>8</v>
      </c>
      <c r="G1574" s="8">
        <v>9060.3521290000008</v>
      </c>
      <c r="H1574" s="8">
        <v>9311.7520000000004</v>
      </c>
      <c r="I1574" s="8">
        <v>251.39987070000001</v>
      </c>
      <c r="J1574" s="8">
        <v>2684.445686</v>
      </c>
      <c r="K1574" s="8">
        <v>-5993.2682830000003</v>
      </c>
      <c r="L1574" s="8">
        <v>12088.567580000001</v>
      </c>
      <c r="M1574" s="9" t="str">
        <f>IF(A1574="",M1575,A1574)</f>
        <v>Guinea</v>
      </c>
      <c r="N1574" s="3" t="str">
        <f t="shared" si="49"/>
        <v>Jan-2021</v>
      </c>
    </row>
    <row r="1575" spans="1:14" x14ac:dyDescent="0.3">
      <c r="A1575" s="3" t="s">
        <v>138</v>
      </c>
      <c r="B1575" s="3" t="s">
        <v>139</v>
      </c>
      <c r="C1575" s="8">
        <v>2021</v>
      </c>
      <c r="D1575" s="8">
        <v>2</v>
      </c>
      <c r="E1575" s="3" t="str">
        <f t="shared" si="48"/>
        <v>February</v>
      </c>
      <c r="F1575" s="3" t="s">
        <v>8</v>
      </c>
      <c r="G1575" s="8">
        <v>8912.4571799999994</v>
      </c>
      <c r="H1575" s="8">
        <v>9390.1560000000009</v>
      </c>
      <c r="I1575" s="8">
        <v>477.69881980000002</v>
      </c>
      <c r="J1575" s="8">
        <v>3162.1445060000001</v>
      </c>
      <c r="K1575" s="8">
        <v>-6606.6788349999997</v>
      </c>
      <c r="L1575" s="8">
        <v>13066.56633</v>
      </c>
      <c r="M1575" s="9" t="str">
        <f>IF(A1575="",M1576,A1575)</f>
        <v>Guinea</v>
      </c>
      <c r="N1575" s="3" t="str">
        <f t="shared" si="49"/>
        <v>Feb-2021</v>
      </c>
    </row>
    <row r="1576" spans="1:14" x14ac:dyDescent="0.3">
      <c r="A1576" s="3" t="s">
        <v>138</v>
      </c>
      <c r="B1576" s="3" t="s">
        <v>139</v>
      </c>
      <c r="C1576" s="8">
        <v>2021</v>
      </c>
      <c r="D1576" s="8">
        <v>3</v>
      </c>
      <c r="E1576" s="3" t="str">
        <f t="shared" si="48"/>
        <v>March</v>
      </c>
      <c r="F1576" s="3" t="s">
        <v>8</v>
      </c>
      <c r="G1576" s="8">
        <v>8842.9697950000009</v>
      </c>
      <c r="H1576" s="8">
        <v>9402.098</v>
      </c>
      <c r="I1576" s="8">
        <v>559.12820539999996</v>
      </c>
      <c r="J1576" s="8">
        <v>3721.272712</v>
      </c>
      <c r="K1576" s="8">
        <v>-6351.1841180000001</v>
      </c>
      <c r="L1576" s="8">
        <v>13816.15423</v>
      </c>
      <c r="M1576" s="9" t="str">
        <f>IF(A1576="",M1577,A1576)</f>
        <v>Guinea</v>
      </c>
      <c r="N1576" s="3" t="str">
        <f t="shared" si="49"/>
        <v>Mar-2021</v>
      </c>
    </row>
    <row r="1577" spans="1:14" x14ac:dyDescent="0.3">
      <c r="A1577" s="3" t="s">
        <v>138</v>
      </c>
      <c r="B1577" s="3" t="s">
        <v>139</v>
      </c>
      <c r="C1577" s="8">
        <v>2021</v>
      </c>
      <c r="D1577" s="8">
        <v>4</v>
      </c>
      <c r="E1577" s="3" t="str">
        <f t="shared" si="48"/>
        <v>April</v>
      </c>
      <c r="F1577" s="3" t="s">
        <v>8</v>
      </c>
      <c r="G1577" s="8">
        <v>8800.0878570000004</v>
      </c>
      <c r="H1577" s="8">
        <v>9037.2669999999998</v>
      </c>
      <c r="I1577" s="8">
        <v>237.1791431</v>
      </c>
      <c r="J1577" s="8">
        <v>3958.4518549999998</v>
      </c>
      <c r="K1577" s="8">
        <v>-5986.8987310000002</v>
      </c>
      <c r="L1577" s="8">
        <v>14055.39604</v>
      </c>
      <c r="M1577" s="9" t="str">
        <f>IF(A1577="",M1578,A1577)</f>
        <v>Guinea</v>
      </c>
      <c r="N1577" s="3" t="str">
        <f t="shared" si="49"/>
        <v>Apr-2021</v>
      </c>
    </row>
    <row r="1578" spans="1:14" x14ac:dyDescent="0.3">
      <c r="A1578" s="3" t="s">
        <v>138</v>
      </c>
      <c r="B1578" s="3" t="s">
        <v>139</v>
      </c>
      <c r="C1578" s="8">
        <v>2021</v>
      </c>
      <c r="D1578" s="8">
        <v>5</v>
      </c>
      <c r="E1578" s="3" t="str">
        <f t="shared" si="48"/>
        <v>May</v>
      </c>
      <c r="F1578" s="3" t="s">
        <v>8</v>
      </c>
      <c r="G1578" s="8">
        <v>8867.003138</v>
      </c>
      <c r="H1578" s="8">
        <v>8862.0229999999992</v>
      </c>
      <c r="I1578" s="8">
        <v>-4.9801376020000001</v>
      </c>
      <c r="J1578" s="8">
        <v>3953.4717169999999</v>
      </c>
      <c r="K1578" s="8">
        <v>-6495.4453869999998</v>
      </c>
      <c r="L1578" s="8">
        <v>14198.93413</v>
      </c>
      <c r="M1578" s="9" t="str">
        <f>IF(A1578="",M1579,A1578)</f>
        <v>Guinea</v>
      </c>
      <c r="N1578" s="3" t="str">
        <f t="shared" si="49"/>
        <v>May-2021</v>
      </c>
    </row>
    <row r="1579" spans="1:14" x14ac:dyDescent="0.3">
      <c r="A1579" s="3" t="s">
        <v>138</v>
      </c>
      <c r="B1579" s="3" t="s">
        <v>139</v>
      </c>
      <c r="C1579" s="8">
        <v>2021</v>
      </c>
      <c r="D1579" s="8">
        <v>6</v>
      </c>
      <c r="E1579" s="3" t="str">
        <f t="shared" si="48"/>
        <v>June</v>
      </c>
      <c r="F1579" s="3" t="s">
        <v>8</v>
      </c>
      <c r="G1579" s="8">
        <v>8998.9586839999993</v>
      </c>
      <c r="H1579" s="8">
        <v>9117.5789999999997</v>
      </c>
      <c r="I1579" s="8">
        <v>118.62031570000001</v>
      </c>
      <c r="J1579" s="8">
        <v>4072.0920329999999</v>
      </c>
      <c r="K1579" s="8">
        <v>-6538.3506319999997</v>
      </c>
      <c r="L1579" s="8">
        <v>14521.04924</v>
      </c>
      <c r="M1579" s="9" t="str">
        <f>IF(A1579="",M1580,A1579)</f>
        <v>Guinea</v>
      </c>
      <c r="N1579" s="3" t="str">
        <f t="shared" si="49"/>
        <v>Jun-2021</v>
      </c>
    </row>
    <row r="1580" spans="1:14" x14ac:dyDescent="0.3">
      <c r="A1580" s="3" t="s">
        <v>138</v>
      </c>
      <c r="B1580" s="3" t="s">
        <v>139</v>
      </c>
      <c r="C1580" s="8">
        <v>2021</v>
      </c>
      <c r="D1580" s="8">
        <v>7</v>
      </c>
      <c r="E1580" s="3" t="str">
        <f t="shared" si="48"/>
        <v>July</v>
      </c>
      <c r="F1580" s="3" t="s">
        <v>8</v>
      </c>
      <c r="G1580" s="8">
        <v>9073.8011009999991</v>
      </c>
      <c r="H1580" s="8">
        <v>9672.4439999999995</v>
      </c>
      <c r="I1580" s="8">
        <v>598.64289870000005</v>
      </c>
      <c r="J1580" s="8">
        <v>4670.7349320000003</v>
      </c>
      <c r="K1580" s="8">
        <v>-6149.5175680000002</v>
      </c>
      <c r="L1580" s="8">
        <v>15676.383620000001</v>
      </c>
      <c r="M1580" s="9" t="str">
        <f>IF(A1580="",M1581,A1580)</f>
        <v>Guinea</v>
      </c>
      <c r="N1580" s="3" t="str">
        <f t="shared" si="49"/>
        <v>Jul-2021</v>
      </c>
    </row>
    <row r="1581" spans="1:14" x14ac:dyDescent="0.3">
      <c r="A1581" s="3" t="s">
        <v>138</v>
      </c>
      <c r="B1581" s="3" t="s">
        <v>139</v>
      </c>
      <c r="C1581" s="8">
        <v>2021</v>
      </c>
      <c r="D1581" s="8">
        <v>8</v>
      </c>
      <c r="E1581" s="3" t="str">
        <f t="shared" si="48"/>
        <v>August</v>
      </c>
      <c r="F1581" s="3" t="s">
        <v>8</v>
      </c>
      <c r="G1581" s="8">
        <v>9096.7875440000007</v>
      </c>
      <c r="H1581" s="8">
        <v>9820.9009999999998</v>
      </c>
      <c r="I1581" s="8">
        <v>724.1134558</v>
      </c>
      <c r="J1581" s="8">
        <v>5394.8483880000003</v>
      </c>
      <c r="K1581" s="8">
        <v>-5938.0625129999999</v>
      </c>
      <c r="L1581" s="8">
        <v>16470.11404</v>
      </c>
      <c r="M1581" s="9" t="str">
        <f>IF(A1581="",M1582,A1581)</f>
        <v>Guinea</v>
      </c>
      <c r="N1581" s="3" t="str">
        <f t="shared" si="49"/>
        <v>Aug-2021</v>
      </c>
    </row>
    <row r="1582" spans="1:14" x14ac:dyDescent="0.3">
      <c r="A1582" s="3" t="s">
        <v>138</v>
      </c>
      <c r="B1582" s="3" t="s">
        <v>139</v>
      </c>
      <c r="C1582" s="8">
        <v>2021</v>
      </c>
      <c r="D1582" s="8">
        <v>9</v>
      </c>
      <c r="E1582" s="3" t="str">
        <f t="shared" si="48"/>
        <v>September</v>
      </c>
      <c r="F1582" s="3" t="s">
        <v>8</v>
      </c>
      <c r="G1582" s="8">
        <v>9081.1786159999992</v>
      </c>
      <c r="H1582" s="8">
        <v>9466.8760000000002</v>
      </c>
      <c r="I1582" s="8">
        <v>385.69738419999999</v>
      </c>
      <c r="J1582" s="8">
        <v>5780.5457720000004</v>
      </c>
      <c r="K1582" s="8">
        <v>-5615.1854510000003</v>
      </c>
      <c r="L1582" s="8">
        <v>17253.620429999999</v>
      </c>
      <c r="M1582" s="9" t="str">
        <f>IF(A1582="",M1583,A1582)</f>
        <v>Guinea</v>
      </c>
      <c r="N1582" s="3" t="str">
        <f t="shared" si="49"/>
        <v>Sep-2021</v>
      </c>
    </row>
    <row r="1583" spans="1:14" x14ac:dyDescent="0.3">
      <c r="A1583" s="3" t="s">
        <v>138</v>
      </c>
      <c r="B1583" s="3" t="s">
        <v>139</v>
      </c>
      <c r="C1583" s="8">
        <v>2021</v>
      </c>
      <c r="D1583" s="8">
        <v>10</v>
      </c>
      <c r="E1583" s="3" t="str">
        <f t="shared" si="48"/>
        <v>October</v>
      </c>
      <c r="F1583" s="3" t="s">
        <v>8</v>
      </c>
      <c r="G1583" s="8">
        <v>9064.1643039999999</v>
      </c>
      <c r="H1583" s="8">
        <v>9106.884</v>
      </c>
      <c r="I1583" s="8">
        <v>42.719696470000002</v>
      </c>
      <c r="J1583" s="8">
        <v>5823.2654679999996</v>
      </c>
      <c r="K1583" s="8">
        <v>-5345.2502809999996</v>
      </c>
      <c r="L1583" s="8">
        <v>17670.648710000001</v>
      </c>
      <c r="M1583" s="9" t="str">
        <f>IF(A1583="",M1584,A1583)</f>
        <v>Guinea</v>
      </c>
      <c r="N1583" s="3" t="str">
        <f t="shared" si="49"/>
        <v>Oct-2021</v>
      </c>
    </row>
    <row r="1584" spans="1:14" x14ac:dyDescent="0.3">
      <c r="A1584" s="3" t="s">
        <v>138</v>
      </c>
      <c r="B1584" s="3" t="s">
        <v>139</v>
      </c>
      <c r="C1584" s="8">
        <v>2021</v>
      </c>
      <c r="D1584" s="8">
        <v>11</v>
      </c>
      <c r="E1584" s="3" t="str">
        <f t="shared" si="48"/>
        <v>November</v>
      </c>
      <c r="F1584" s="3" t="s">
        <v>8</v>
      </c>
      <c r="G1584" s="8">
        <v>9039.1415990000005</v>
      </c>
      <c r="H1584" s="8">
        <v>9160.9529999999995</v>
      </c>
      <c r="I1584" s="8">
        <v>121.8114009</v>
      </c>
      <c r="J1584" s="8">
        <v>5945.0768690000004</v>
      </c>
      <c r="K1584" s="8">
        <v>-5502.047399</v>
      </c>
      <c r="L1584" s="8">
        <v>17798.934550000002</v>
      </c>
      <c r="M1584" s="9" t="str">
        <f>IF(A1584="",M1585,A1584)</f>
        <v>Guinea</v>
      </c>
      <c r="N1584" s="3" t="str">
        <f t="shared" si="49"/>
        <v>Nov-2021</v>
      </c>
    </row>
    <row r="1585" spans="1:14" x14ac:dyDescent="0.3">
      <c r="A1585" s="3" t="s">
        <v>138</v>
      </c>
      <c r="B1585" s="3" t="s">
        <v>139</v>
      </c>
      <c r="C1585" s="8">
        <v>2021</v>
      </c>
      <c r="D1585" s="8">
        <v>12</v>
      </c>
      <c r="E1585" s="3" t="str">
        <f t="shared" si="48"/>
        <v>December</v>
      </c>
      <c r="F1585" s="3" t="s">
        <v>8</v>
      </c>
      <c r="G1585" s="8">
        <v>9018.984719</v>
      </c>
      <c r="H1585" s="8">
        <v>9596.732</v>
      </c>
      <c r="I1585" s="8">
        <v>577.74728130000005</v>
      </c>
      <c r="J1585" s="8">
        <v>6522.8241500000004</v>
      </c>
      <c r="K1585" s="8">
        <v>-5786.613883</v>
      </c>
      <c r="L1585" s="8">
        <v>18741.850859999999</v>
      </c>
      <c r="M1585" s="9" t="str">
        <f>IF(A1585="",M1586,A1585)</f>
        <v>Guinea</v>
      </c>
      <c r="N1585" s="3" t="str">
        <f t="shared" si="49"/>
        <v>Dec-2021</v>
      </c>
    </row>
    <row r="1586" spans="1:14" x14ac:dyDescent="0.3">
      <c r="A1586" s="3" t="s">
        <v>140</v>
      </c>
      <c r="B1586" s="3" t="s">
        <v>141</v>
      </c>
      <c r="C1586" s="8">
        <v>2020</v>
      </c>
      <c r="D1586" s="8">
        <v>1</v>
      </c>
      <c r="E1586" s="3" t="str">
        <f t="shared" si="48"/>
        <v>January</v>
      </c>
      <c r="F1586" s="3" t="s">
        <v>8</v>
      </c>
      <c r="G1586" s="8">
        <v>1210.2057420000001</v>
      </c>
      <c r="H1586" s="8">
        <v>1245.787</v>
      </c>
      <c r="I1586" s="8">
        <v>35.581257960000002</v>
      </c>
      <c r="J1586" s="8">
        <v>35.581257960000002</v>
      </c>
      <c r="K1586" s="8">
        <v>-260.84383580000002</v>
      </c>
      <c r="L1586" s="8">
        <v>402.41728640000002</v>
      </c>
      <c r="M1586" s="9" t="str">
        <f>IF(A1586="",M1587,A1586)</f>
        <v>Gambia</v>
      </c>
      <c r="N1586" s="3" t="str">
        <f t="shared" si="49"/>
        <v>Jan-2020</v>
      </c>
    </row>
    <row r="1587" spans="1:14" x14ac:dyDescent="0.3">
      <c r="A1587" s="3" t="s">
        <v>140</v>
      </c>
      <c r="B1587" s="3" t="s">
        <v>141</v>
      </c>
      <c r="C1587" s="8">
        <v>2020</v>
      </c>
      <c r="D1587" s="8">
        <v>2</v>
      </c>
      <c r="E1587" s="3" t="str">
        <f t="shared" si="48"/>
        <v>February</v>
      </c>
      <c r="F1587" s="3" t="s">
        <v>8</v>
      </c>
      <c r="G1587" s="8">
        <v>1184.611443</v>
      </c>
      <c r="H1587" s="8">
        <v>1180.758</v>
      </c>
      <c r="I1587" s="8">
        <v>-3.8534428420000002</v>
      </c>
      <c r="J1587" s="8">
        <v>31.727815119999999</v>
      </c>
      <c r="K1587" s="8">
        <v>-389.82926989999999</v>
      </c>
      <c r="L1587" s="8">
        <v>561.71905849999996</v>
      </c>
      <c r="M1587" s="9" t="str">
        <f>IF(A1587="",M1588,A1587)</f>
        <v>Gambia</v>
      </c>
      <c r="N1587" s="3" t="str">
        <f t="shared" si="49"/>
        <v>Feb-2020</v>
      </c>
    </row>
    <row r="1588" spans="1:14" x14ac:dyDescent="0.3">
      <c r="A1588" s="3" t="s">
        <v>140</v>
      </c>
      <c r="B1588" s="3" t="s">
        <v>141</v>
      </c>
      <c r="C1588" s="8">
        <v>2020</v>
      </c>
      <c r="D1588" s="8">
        <v>3</v>
      </c>
      <c r="E1588" s="3" t="str">
        <f t="shared" si="48"/>
        <v>March</v>
      </c>
      <c r="F1588" s="3" t="s">
        <v>8</v>
      </c>
      <c r="G1588" s="8">
        <v>1181.653039</v>
      </c>
      <c r="H1588" s="8">
        <v>1183.998</v>
      </c>
      <c r="I1588" s="8">
        <v>2.3449612759999998</v>
      </c>
      <c r="J1588" s="8">
        <v>34.072776400000002</v>
      </c>
      <c r="K1588" s="8">
        <v>-505.10492399999998</v>
      </c>
      <c r="L1588" s="8">
        <v>615.36291080000001</v>
      </c>
      <c r="M1588" s="9" t="str">
        <f>IF(A1588="",M1589,A1588)</f>
        <v>Gambia</v>
      </c>
      <c r="N1588" s="3" t="str">
        <f t="shared" si="49"/>
        <v>Mar-2020</v>
      </c>
    </row>
    <row r="1589" spans="1:14" x14ac:dyDescent="0.3">
      <c r="A1589" s="3" t="s">
        <v>140</v>
      </c>
      <c r="B1589" s="3" t="s">
        <v>141</v>
      </c>
      <c r="C1589" s="8">
        <v>2020</v>
      </c>
      <c r="D1589" s="8">
        <v>4</v>
      </c>
      <c r="E1589" s="3" t="str">
        <f t="shared" si="48"/>
        <v>April</v>
      </c>
      <c r="F1589" s="3" t="s">
        <v>8</v>
      </c>
      <c r="G1589" s="8">
        <v>1171.6490719999999</v>
      </c>
      <c r="H1589" s="8">
        <v>1086.5239999999999</v>
      </c>
      <c r="I1589" s="8">
        <v>-85.125071840000004</v>
      </c>
      <c r="J1589" s="8">
        <v>-51.052295450000003</v>
      </c>
      <c r="K1589" s="8">
        <v>-650.05900980000001</v>
      </c>
      <c r="L1589" s="8">
        <v>609.81812820000005</v>
      </c>
      <c r="M1589" s="9" t="str">
        <f>IF(A1589="",M1590,A1589)</f>
        <v>Gambia</v>
      </c>
      <c r="N1589" s="3" t="str">
        <f t="shared" si="49"/>
        <v>Apr-2020</v>
      </c>
    </row>
    <row r="1590" spans="1:14" x14ac:dyDescent="0.3">
      <c r="A1590" s="3" t="s">
        <v>140</v>
      </c>
      <c r="B1590" s="3" t="s">
        <v>141</v>
      </c>
      <c r="C1590" s="8">
        <v>2020</v>
      </c>
      <c r="D1590" s="8">
        <v>5</v>
      </c>
      <c r="E1590" s="3" t="str">
        <f t="shared" si="48"/>
        <v>May</v>
      </c>
      <c r="F1590" s="3" t="s">
        <v>8</v>
      </c>
      <c r="G1590" s="8">
        <v>1173.3693049999999</v>
      </c>
      <c r="H1590" s="8">
        <v>1136.163</v>
      </c>
      <c r="I1590" s="8">
        <v>-37.206304690000003</v>
      </c>
      <c r="J1590" s="8">
        <v>-88.258600139999999</v>
      </c>
      <c r="K1590" s="8">
        <v>-755.70703300000002</v>
      </c>
      <c r="L1590" s="8">
        <v>653.58492699999999</v>
      </c>
      <c r="M1590" s="9" t="str">
        <f>IF(A1590="",M1591,A1590)</f>
        <v>Gambia</v>
      </c>
      <c r="N1590" s="3" t="str">
        <f t="shared" si="49"/>
        <v>May-2020</v>
      </c>
    </row>
    <row r="1591" spans="1:14" x14ac:dyDescent="0.3">
      <c r="A1591" s="3" t="s">
        <v>140</v>
      </c>
      <c r="B1591" s="3" t="s">
        <v>141</v>
      </c>
      <c r="C1591" s="8">
        <v>2020</v>
      </c>
      <c r="D1591" s="8">
        <v>6</v>
      </c>
      <c r="E1591" s="3" t="str">
        <f t="shared" si="48"/>
        <v>June</v>
      </c>
      <c r="F1591" s="3" t="s">
        <v>8</v>
      </c>
      <c r="G1591" s="8">
        <v>1174.9246000000001</v>
      </c>
      <c r="H1591" s="8">
        <v>1212.2329999999999</v>
      </c>
      <c r="I1591" s="8">
        <v>37.308400140000003</v>
      </c>
      <c r="J1591" s="8">
        <v>-50.950200000000002</v>
      </c>
      <c r="K1591" s="8">
        <v>-836.46244520000005</v>
      </c>
      <c r="L1591" s="8">
        <v>743.79169330000002</v>
      </c>
      <c r="M1591" s="9" t="str">
        <f>IF(A1591="",M1592,A1591)</f>
        <v>Gambia</v>
      </c>
      <c r="N1591" s="3" t="str">
        <f t="shared" si="49"/>
        <v>Jun-2020</v>
      </c>
    </row>
    <row r="1592" spans="1:14" x14ac:dyDescent="0.3">
      <c r="A1592" s="3" t="s">
        <v>140</v>
      </c>
      <c r="B1592" s="3" t="s">
        <v>141</v>
      </c>
      <c r="C1592" s="8">
        <v>2020</v>
      </c>
      <c r="D1592" s="8">
        <v>7</v>
      </c>
      <c r="E1592" s="3" t="str">
        <f t="shared" si="48"/>
        <v>July</v>
      </c>
      <c r="F1592" s="3" t="s">
        <v>8</v>
      </c>
      <c r="G1592" s="8">
        <v>1191.66365</v>
      </c>
      <c r="H1592" s="8">
        <v>1263.7380000000001</v>
      </c>
      <c r="I1592" s="8">
        <v>72.074350100000004</v>
      </c>
      <c r="J1592" s="8">
        <v>21.124150100000001</v>
      </c>
      <c r="K1592" s="8">
        <v>-841.18810120000001</v>
      </c>
      <c r="L1592" s="8">
        <v>907.40710309999997</v>
      </c>
      <c r="M1592" s="9" t="str">
        <f>IF(A1592="",M1593,A1592)</f>
        <v>Gambia</v>
      </c>
      <c r="N1592" s="3" t="str">
        <f t="shared" si="49"/>
        <v>Jul-2020</v>
      </c>
    </row>
    <row r="1593" spans="1:14" x14ac:dyDescent="0.3">
      <c r="A1593" s="3" t="s">
        <v>140</v>
      </c>
      <c r="B1593" s="3" t="s">
        <v>141</v>
      </c>
      <c r="C1593" s="8">
        <v>2020</v>
      </c>
      <c r="D1593" s="8">
        <v>8</v>
      </c>
      <c r="E1593" s="3" t="str">
        <f t="shared" si="48"/>
        <v>August</v>
      </c>
      <c r="F1593" s="3" t="s">
        <v>8</v>
      </c>
      <c r="G1593" s="8">
        <v>1194.998249</v>
      </c>
      <c r="H1593" s="8">
        <v>1261.904</v>
      </c>
      <c r="I1593" s="8">
        <v>66.905750690000005</v>
      </c>
      <c r="J1593" s="8">
        <v>88.029900780000006</v>
      </c>
      <c r="K1593" s="8">
        <v>-802.00431900000001</v>
      </c>
      <c r="L1593" s="8">
        <v>1024.6804729999999</v>
      </c>
      <c r="M1593" s="9" t="str">
        <f>IF(A1593="",M1594,A1593)</f>
        <v>Gambia</v>
      </c>
      <c r="N1593" s="3" t="str">
        <f t="shared" si="49"/>
        <v>Aug-2020</v>
      </c>
    </row>
    <row r="1594" spans="1:14" x14ac:dyDescent="0.3">
      <c r="A1594" s="3" t="s">
        <v>140</v>
      </c>
      <c r="B1594" s="3" t="s">
        <v>141</v>
      </c>
      <c r="C1594" s="8">
        <v>2020</v>
      </c>
      <c r="D1594" s="8">
        <v>9</v>
      </c>
      <c r="E1594" s="3" t="str">
        <f t="shared" si="48"/>
        <v>September</v>
      </c>
      <c r="F1594" s="3" t="s">
        <v>8</v>
      </c>
      <c r="G1594" s="8">
        <v>1197.1892660000001</v>
      </c>
      <c r="H1594" s="8">
        <v>1248</v>
      </c>
      <c r="I1594" s="8">
        <v>50.810734449999998</v>
      </c>
      <c r="J1594" s="8">
        <v>138.84063520000001</v>
      </c>
      <c r="K1594" s="8">
        <v>-785.68968050000001</v>
      </c>
      <c r="L1594" s="8">
        <v>1143.4777959999999</v>
      </c>
      <c r="M1594" s="9" t="str">
        <f>IF(A1594="",M1595,A1594)</f>
        <v>Gambia</v>
      </c>
      <c r="N1594" s="3" t="str">
        <f t="shared" si="49"/>
        <v>Sep-2020</v>
      </c>
    </row>
    <row r="1595" spans="1:14" x14ac:dyDescent="0.3">
      <c r="A1595" s="3" t="s">
        <v>140</v>
      </c>
      <c r="B1595" s="3" t="s">
        <v>141</v>
      </c>
      <c r="C1595" s="8">
        <v>2020</v>
      </c>
      <c r="D1595" s="8">
        <v>10</v>
      </c>
      <c r="E1595" s="3" t="str">
        <f t="shared" si="48"/>
        <v>October</v>
      </c>
      <c r="F1595" s="3" t="s">
        <v>8</v>
      </c>
      <c r="G1595" s="8">
        <v>1187.306503</v>
      </c>
      <c r="H1595" s="8">
        <v>1379.1210000000001</v>
      </c>
      <c r="I1595" s="8">
        <v>191.81449670000001</v>
      </c>
      <c r="J1595" s="8">
        <v>330.65513199999998</v>
      </c>
      <c r="K1595" s="8">
        <v>-691.1954988</v>
      </c>
      <c r="L1595" s="8">
        <v>1454.9896739999999</v>
      </c>
      <c r="M1595" s="9" t="str">
        <f>IF(A1595="",M1596,A1595)</f>
        <v>Gambia</v>
      </c>
      <c r="N1595" s="3" t="str">
        <f t="shared" si="49"/>
        <v>Oct-2020</v>
      </c>
    </row>
    <row r="1596" spans="1:14" x14ac:dyDescent="0.3">
      <c r="A1596" s="3" t="s">
        <v>140</v>
      </c>
      <c r="B1596" s="3" t="s">
        <v>141</v>
      </c>
      <c r="C1596" s="8">
        <v>2020</v>
      </c>
      <c r="D1596" s="8">
        <v>11</v>
      </c>
      <c r="E1596" s="3" t="str">
        <f t="shared" si="48"/>
        <v>November</v>
      </c>
      <c r="F1596" s="3" t="s">
        <v>8</v>
      </c>
      <c r="G1596" s="8">
        <v>1196.315769</v>
      </c>
      <c r="H1596" s="8">
        <v>1218.8109999999999</v>
      </c>
      <c r="I1596" s="8">
        <v>22.495230530000001</v>
      </c>
      <c r="J1596" s="8">
        <v>353.15036250000003</v>
      </c>
      <c r="K1596" s="8">
        <v>-717.46468330000005</v>
      </c>
      <c r="L1596" s="8">
        <v>1529.5673810000001</v>
      </c>
      <c r="M1596" s="9" t="str">
        <f>IF(A1596="",M1597,A1596)</f>
        <v>Gambia</v>
      </c>
      <c r="N1596" s="3" t="str">
        <f t="shared" si="49"/>
        <v>Nov-2020</v>
      </c>
    </row>
    <row r="1597" spans="1:14" x14ac:dyDescent="0.3">
      <c r="A1597" s="3" t="s">
        <v>140</v>
      </c>
      <c r="B1597" s="3" t="s">
        <v>141</v>
      </c>
      <c r="C1597" s="8">
        <v>2020</v>
      </c>
      <c r="D1597" s="8">
        <v>12</v>
      </c>
      <c r="E1597" s="3" t="str">
        <f t="shared" si="48"/>
        <v>December</v>
      </c>
      <c r="F1597" s="3" t="s">
        <v>8</v>
      </c>
      <c r="G1597" s="8">
        <v>1208.077452</v>
      </c>
      <c r="H1597" s="8">
        <v>1227.383</v>
      </c>
      <c r="I1597" s="8">
        <v>19.305547929999999</v>
      </c>
      <c r="J1597" s="8">
        <v>372.45591039999999</v>
      </c>
      <c r="K1597" s="8">
        <v>-764.87326140000005</v>
      </c>
      <c r="L1597" s="8">
        <v>1584.9690989999999</v>
      </c>
      <c r="M1597" s="9" t="str">
        <f>IF(A1597="",M1598,A1597)</f>
        <v>Gambia</v>
      </c>
      <c r="N1597" s="3" t="str">
        <f t="shared" si="49"/>
        <v>Dec-2020</v>
      </c>
    </row>
    <row r="1598" spans="1:14" x14ac:dyDescent="0.3">
      <c r="A1598" s="3" t="s">
        <v>140</v>
      </c>
      <c r="B1598" s="3" t="s">
        <v>141</v>
      </c>
      <c r="C1598" s="8">
        <v>2021</v>
      </c>
      <c r="D1598" s="8">
        <v>1</v>
      </c>
      <c r="E1598" s="3" t="str">
        <f t="shared" si="48"/>
        <v>January</v>
      </c>
      <c r="F1598" s="3" t="s">
        <v>8</v>
      </c>
      <c r="G1598" s="8">
        <v>1217.5105880000001</v>
      </c>
      <c r="H1598" s="8">
        <v>1256.386</v>
      </c>
      <c r="I1598" s="8">
        <v>38.875412429999997</v>
      </c>
      <c r="J1598" s="8">
        <v>411.33132289999998</v>
      </c>
      <c r="K1598" s="8">
        <v>-761.3742992</v>
      </c>
      <c r="L1598" s="8">
        <v>1715.8397660000001</v>
      </c>
      <c r="M1598" s="9" t="str">
        <f>IF(A1598="",M1599,A1598)</f>
        <v>Gambia</v>
      </c>
      <c r="N1598" s="3" t="str">
        <f t="shared" si="49"/>
        <v>Jan-2021</v>
      </c>
    </row>
    <row r="1599" spans="1:14" x14ac:dyDescent="0.3">
      <c r="A1599" s="3" t="s">
        <v>140</v>
      </c>
      <c r="B1599" s="3" t="s">
        <v>141</v>
      </c>
      <c r="C1599" s="8">
        <v>2021</v>
      </c>
      <c r="D1599" s="8">
        <v>2</v>
      </c>
      <c r="E1599" s="3" t="str">
        <f t="shared" si="48"/>
        <v>February</v>
      </c>
      <c r="F1599" s="3" t="s">
        <v>8</v>
      </c>
      <c r="G1599" s="8">
        <v>1191.235132</v>
      </c>
      <c r="H1599" s="8">
        <v>1313.62</v>
      </c>
      <c r="I1599" s="8">
        <v>122.3848685</v>
      </c>
      <c r="J1599" s="8">
        <v>533.71619139999996</v>
      </c>
      <c r="K1599" s="8">
        <v>-731.43390529999999</v>
      </c>
      <c r="L1599" s="8">
        <v>1869.4580060000001</v>
      </c>
      <c r="M1599" s="9" t="str">
        <f>IF(A1599="",M1600,A1599)</f>
        <v>Gambia</v>
      </c>
      <c r="N1599" s="3" t="str">
        <f t="shared" si="49"/>
        <v>Feb-2021</v>
      </c>
    </row>
    <row r="1600" spans="1:14" x14ac:dyDescent="0.3">
      <c r="A1600" s="3" t="s">
        <v>140</v>
      </c>
      <c r="B1600" s="3" t="s">
        <v>141</v>
      </c>
      <c r="C1600" s="8">
        <v>2021</v>
      </c>
      <c r="D1600" s="8">
        <v>3</v>
      </c>
      <c r="E1600" s="3" t="str">
        <f t="shared" si="48"/>
        <v>March</v>
      </c>
      <c r="F1600" s="3" t="s">
        <v>8</v>
      </c>
      <c r="G1600" s="8">
        <v>1188.4132219999999</v>
      </c>
      <c r="H1600" s="8">
        <v>1294.0119999999999</v>
      </c>
      <c r="I1600" s="8">
        <v>105.5987784</v>
      </c>
      <c r="J1600" s="8">
        <v>639.31496979999997</v>
      </c>
      <c r="K1600" s="8">
        <v>-698.8081535</v>
      </c>
      <c r="L1600" s="8">
        <v>2075.8102600000002</v>
      </c>
      <c r="M1600" s="9" t="str">
        <f>IF(A1600="",M1601,A1600)</f>
        <v>Gambia</v>
      </c>
      <c r="N1600" s="3" t="str">
        <f t="shared" si="49"/>
        <v>Mar-2021</v>
      </c>
    </row>
    <row r="1601" spans="1:14" x14ac:dyDescent="0.3">
      <c r="A1601" s="3" t="s">
        <v>140</v>
      </c>
      <c r="B1601" s="3" t="s">
        <v>141</v>
      </c>
      <c r="C1601" s="8">
        <v>2021</v>
      </c>
      <c r="D1601" s="8">
        <v>4</v>
      </c>
      <c r="E1601" s="3" t="str">
        <f t="shared" si="48"/>
        <v>April</v>
      </c>
      <c r="F1601" s="3" t="s">
        <v>8</v>
      </c>
      <c r="G1601" s="8">
        <v>1178.0690850000001</v>
      </c>
      <c r="H1601" s="8">
        <v>1268.7670000000001</v>
      </c>
      <c r="I1601" s="8">
        <v>90.697914969999999</v>
      </c>
      <c r="J1601" s="8">
        <v>730.01288480000005</v>
      </c>
      <c r="K1601" s="8">
        <v>-597.2759393</v>
      </c>
      <c r="L1601" s="8">
        <v>2126.840878</v>
      </c>
      <c r="M1601" s="9" t="str">
        <f>IF(A1601="",M1602,A1601)</f>
        <v>Gambia</v>
      </c>
      <c r="N1601" s="3" t="str">
        <f t="shared" si="49"/>
        <v>Apr-2021</v>
      </c>
    </row>
    <row r="1602" spans="1:14" x14ac:dyDescent="0.3">
      <c r="A1602" s="3" t="s">
        <v>140</v>
      </c>
      <c r="B1602" s="3" t="s">
        <v>141</v>
      </c>
      <c r="C1602" s="8">
        <v>2021</v>
      </c>
      <c r="D1602" s="8">
        <v>5</v>
      </c>
      <c r="E1602" s="3" t="str">
        <f t="shared" ref="E1602:E1665" si="50">TEXT(DATE(C1602,D1602,1),"MMMM")</f>
        <v>May</v>
      </c>
      <c r="F1602" s="3" t="s">
        <v>8</v>
      </c>
      <c r="G1602" s="8">
        <v>1180.168553</v>
      </c>
      <c r="H1602" s="8">
        <v>1218.5540000000001</v>
      </c>
      <c r="I1602" s="8">
        <v>38.385446659999999</v>
      </c>
      <c r="J1602" s="8">
        <v>768.39833139999996</v>
      </c>
      <c r="K1602" s="8">
        <v>-572.12996520000002</v>
      </c>
      <c r="L1602" s="8">
        <v>2158.649672</v>
      </c>
      <c r="M1602" s="9" t="str">
        <f>IF(A1602="",M1603,A1602)</f>
        <v>Gambia</v>
      </c>
      <c r="N1602" s="3" t="str">
        <f t="shared" ref="N1602:N1665" si="51">TEXT(DATE(C1602,D1602,1),"MMM-YYYY")</f>
        <v>May-2021</v>
      </c>
    </row>
    <row r="1603" spans="1:14" x14ac:dyDescent="0.3">
      <c r="A1603" s="3" t="s">
        <v>140</v>
      </c>
      <c r="B1603" s="3" t="s">
        <v>141</v>
      </c>
      <c r="C1603" s="8">
        <v>2021</v>
      </c>
      <c r="D1603" s="8">
        <v>6</v>
      </c>
      <c r="E1603" s="3" t="str">
        <f t="shared" si="50"/>
        <v>June</v>
      </c>
      <c r="F1603" s="3" t="s">
        <v>8</v>
      </c>
      <c r="G1603" s="8">
        <v>1181.8690879999999</v>
      </c>
      <c r="H1603" s="8">
        <v>1247.1949999999999</v>
      </c>
      <c r="I1603" s="8">
        <v>65.3259118</v>
      </c>
      <c r="J1603" s="8">
        <v>833.72424320000005</v>
      </c>
      <c r="K1603" s="8">
        <v>-498.18627830000003</v>
      </c>
      <c r="L1603" s="8">
        <v>2286.7016600000002</v>
      </c>
      <c r="M1603" s="9" t="str">
        <f>IF(A1603="",M1604,A1603)</f>
        <v>Gambia</v>
      </c>
      <c r="N1603" s="3" t="str">
        <f t="shared" si="51"/>
        <v>Jun-2021</v>
      </c>
    </row>
    <row r="1604" spans="1:14" x14ac:dyDescent="0.3">
      <c r="A1604" s="3" t="s">
        <v>140</v>
      </c>
      <c r="B1604" s="3" t="s">
        <v>141</v>
      </c>
      <c r="C1604" s="8">
        <v>2021</v>
      </c>
      <c r="D1604" s="8">
        <v>7</v>
      </c>
      <c r="E1604" s="3" t="str">
        <f t="shared" si="50"/>
        <v>July</v>
      </c>
      <c r="F1604" s="3" t="s">
        <v>8</v>
      </c>
      <c r="G1604" s="8">
        <v>1198.795357</v>
      </c>
      <c r="H1604" s="8">
        <v>1445.1780000000001</v>
      </c>
      <c r="I1604" s="8">
        <v>246.382643</v>
      </c>
      <c r="J1604" s="8">
        <v>1080.106886</v>
      </c>
      <c r="K1604" s="8">
        <v>-310.07533530000001</v>
      </c>
      <c r="L1604" s="8">
        <v>2570.8926849999998</v>
      </c>
      <c r="M1604" s="9" t="str">
        <f>IF(A1604="",M1605,A1604)</f>
        <v>Gambia</v>
      </c>
      <c r="N1604" s="3" t="str">
        <f t="shared" si="51"/>
        <v>Jul-2021</v>
      </c>
    </row>
    <row r="1605" spans="1:14" x14ac:dyDescent="0.3">
      <c r="A1605" s="3" t="s">
        <v>140</v>
      </c>
      <c r="B1605" s="3" t="s">
        <v>141</v>
      </c>
      <c r="C1605" s="8">
        <v>2021</v>
      </c>
      <c r="D1605" s="8">
        <v>8</v>
      </c>
      <c r="E1605" s="3" t="str">
        <f t="shared" si="50"/>
        <v>August</v>
      </c>
      <c r="F1605" s="3" t="s">
        <v>8</v>
      </c>
      <c r="G1605" s="8">
        <v>1201.5406720000001</v>
      </c>
      <c r="H1605" s="8">
        <v>1569.6890000000001</v>
      </c>
      <c r="I1605" s="8">
        <v>368.14832790000003</v>
      </c>
      <c r="J1605" s="8">
        <v>1448.255214</v>
      </c>
      <c r="K1605" s="8">
        <v>-29.50818628</v>
      </c>
      <c r="L1605" s="8">
        <v>3067.86805</v>
      </c>
      <c r="M1605" s="9" t="str">
        <f>IF(A1605="",M1606,A1605)</f>
        <v>Gambia</v>
      </c>
      <c r="N1605" s="3" t="str">
        <f t="shared" si="51"/>
        <v>Aug-2021</v>
      </c>
    </row>
    <row r="1606" spans="1:14" x14ac:dyDescent="0.3">
      <c r="A1606" s="3" t="s">
        <v>140</v>
      </c>
      <c r="B1606" s="3" t="s">
        <v>141</v>
      </c>
      <c r="C1606" s="8">
        <v>2021</v>
      </c>
      <c r="D1606" s="8">
        <v>9</v>
      </c>
      <c r="E1606" s="3" t="str">
        <f t="shared" si="50"/>
        <v>September</v>
      </c>
      <c r="F1606" s="3" t="s">
        <v>8</v>
      </c>
      <c r="G1606" s="8">
        <v>1204.191358</v>
      </c>
      <c r="H1606" s="8">
        <v>1291.6210000000001</v>
      </c>
      <c r="I1606" s="8">
        <v>87.429641570000001</v>
      </c>
      <c r="J1606" s="8">
        <v>1535.6848560000001</v>
      </c>
      <c r="K1606" s="8">
        <v>18.573392779999999</v>
      </c>
      <c r="L1606" s="8">
        <v>3150.0802939999999</v>
      </c>
      <c r="M1606" s="9" t="str">
        <f>IF(A1606="",M1607,A1606)</f>
        <v>Gambia</v>
      </c>
      <c r="N1606" s="3" t="str">
        <f t="shared" si="51"/>
        <v>Sep-2021</v>
      </c>
    </row>
    <row r="1607" spans="1:14" x14ac:dyDescent="0.3">
      <c r="A1607" s="3" t="s">
        <v>140</v>
      </c>
      <c r="B1607" s="3" t="s">
        <v>141</v>
      </c>
      <c r="C1607" s="8">
        <v>2021</v>
      </c>
      <c r="D1607" s="8">
        <v>10</v>
      </c>
      <c r="E1607" s="3" t="str">
        <f t="shared" si="50"/>
        <v>October</v>
      </c>
      <c r="F1607" s="3" t="s">
        <v>8</v>
      </c>
      <c r="G1607" s="8">
        <v>1194.106053</v>
      </c>
      <c r="H1607" s="8">
        <v>1198.6410000000001</v>
      </c>
      <c r="I1607" s="8">
        <v>4.5349473959999997</v>
      </c>
      <c r="J1607" s="8">
        <v>1540.219803</v>
      </c>
      <c r="K1607" s="8">
        <v>-33.429601230000003</v>
      </c>
      <c r="L1607" s="8">
        <v>3127.7704469999999</v>
      </c>
      <c r="M1607" s="9" t="str">
        <f>IF(A1607="",M1608,A1607)</f>
        <v>Gambia</v>
      </c>
      <c r="N1607" s="3" t="str">
        <f t="shared" si="51"/>
        <v>Oct-2021</v>
      </c>
    </row>
    <row r="1608" spans="1:14" x14ac:dyDescent="0.3">
      <c r="A1608" s="3" t="s">
        <v>140</v>
      </c>
      <c r="B1608" s="3" t="s">
        <v>141</v>
      </c>
      <c r="C1608" s="8">
        <v>2021</v>
      </c>
      <c r="D1608" s="8">
        <v>11</v>
      </c>
      <c r="E1608" s="3" t="str">
        <f t="shared" si="50"/>
        <v>November</v>
      </c>
      <c r="F1608" s="3" t="s">
        <v>8</v>
      </c>
      <c r="G1608" s="8">
        <v>1203.3053749999999</v>
      </c>
      <c r="H1608" s="8">
        <v>1217.856</v>
      </c>
      <c r="I1608" s="8">
        <v>14.550624989999999</v>
      </c>
      <c r="J1608" s="8">
        <v>1554.770428</v>
      </c>
      <c r="K1608" s="8">
        <v>-49.664353349999999</v>
      </c>
      <c r="L1608" s="8">
        <v>3252.0117110000001</v>
      </c>
      <c r="M1608" s="9" t="str">
        <f>IF(A1608="",M1609,A1608)</f>
        <v>Gambia</v>
      </c>
      <c r="N1608" s="3" t="str">
        <f t="shared" si="51"/>
        <v>Nov-2021</v>
      </c>
    </row>
    <row r="1609" spans="1:14" x14ac:dyDescent="0.3">
      <c r="A1609" s="3" t="s">
        <v>140</v>
      </c>
      <c r="B1609" s="3" t="s">
        <v>141</v>
      </c>
      <c r="C1609" s="8">
        <v>2021</v>
      </c>
      <c r="D1609" s="8">
        <v>12</v>
      </c>
      <c r="E1609" s="3" t="str">
        <f t="shared" si="50"/>
        <v>December</v>
      </c>
      <c r="F1609" s="3" t="s">
        <v>8</v>
      </c>
      <c r="G1609" s="8">
        <v>1215.418457</v>
      </c>
      <c r="H1609" s="8">
        <v>1238.9760000000001</v>
      </c>
      <c r="I1609" s="8">
        <v>23.557542730000002</v>
      </c>
      <c r="J1609" s="8">
        <v>1578.3279709999999</v>
      </c>
      <c r="K1609" s="8">
        <v>-111.87359050000001</v>
      </c>
      <c r="L1609" s="8">
        <v>3324.1290610000001</v>
      </c>
      <c r="M1609" s="9" t="str">
        <f>IF(A1609="",M1610,A1609)</f>
        <v>Gambia</v>
      </c>
      <c r="N1609" s="3" t="str">
        <f t="shared" si="51"/>
        <v>Dec-2021</v>
      </c>
    </row>
    <row r="1610" spans="1:14" x14ac:dyDescent="0.3">
      <c r="A1610" s="3" t="s">
        <v>142</v>
      </c>
      <c r="B1610" s="3" t="s">
        <v>143</v>
      </c>
      <c r="C1610" s="8">
        <v>2020</v>
      </c>
      <c r="D1610" s="8">
        <v>1</v>
      </c>
      <c r="E1610" s="3" t="str">
        <f t="shared" si="50"/>
        <v>January</v>
      </c>
      <c r="F1610" s="3" t="s">
        <v>8</v>
      </c>
      <c r="G1610" s="8">
        <v>1363.852167</v>
      </c>
      <c r="H1610" s="8">
        <v>1382.451</v>
      </c>
      <c r="I1610" s="8">
        <v>18.598833500000001</v>
      </c>
      <c r="J1610" s="8">
        <v>18.598833500000001</v>
      </c>
      <c r="K1610" s="8">
        <v>-298.62571819999999</v>
      </c>
      <c r="L1610" s="8">
        <v>419.91251130000001</v>
      </c>
      <c r="M1610" s="9" t="str">
        <f>IF(A1610="",M1611,A1610)</f>
        <v>Guinea-Bissau</v>
      </c>
      <c r="N1610" s="3" t="str">
        <f t="shared" si="51"/>
        <v>Jan-2020</v>
      </c>
    </row>
    <row r="1611" spans="1:14" x14ac:dyDescent="0.3">
      <c r="A1611" s="3" t="s">
        <v>142</v>
      </c>
      <c r="B1611" s="3" t="s">
        <v>143</v>
      </c>
      <c r="C1611" s="8">
        <v>2020</v>
      </c>
      <c r="D1611" s="8">
        <v>2</v>
      </c>
      <c r="E1611" s="3" t="str">
        <f t="shared" si="50"/>
        <v>February</v>
      </c>
      <c r="F1611" s="3" t="s">
        <v>8</v>
      </c>
      <c r="G1611" s="8">
        <v>1335.7788680000001</v>
      </c>
      <c r="H1611" s="8">
        <v>1344.1969999999999</v>
      </c>
      <c r="I1611" s="8">
        <v>8.4181320629999998</v>
      </c>
      <c r="J1611" s="8">
        <v>27.016965559999999</v>
      </c>
      <c r="K1611" s="8">
        <v>-446.7840132</v>
      </c>
      <c r="L1611" s="8">
        <v>579.90519740000002</v>
      </c>
      <c r="M1611" s="9" t="str">
        <f>IF(A1611="",M1612,A1611)</f>
        <v>Guinea-Bissau</v>
      </c>
      <c r="N1611" s="3" t="str">
        <f t="shared" si="51"/>
        <v>Feb-2020</v>
      </c>
    </row>
    <row r="1612" spans="1:14" x14ac:dyDescent="0.3">
      <c r="A1612" s="3" t="s">
        <v>142</v>
      </c>
      <c r="B1612" s="3" t="s">
        <v>143</v>
      </c>
      <c r="C1612" s="8">
        <v>2020</v>
      </c>
      <c r="D1612" s="8">
        <v>3</v>
      </c>
      <c r="E1612" s="3" t="str">
        <f t="shared" si="50"/>
        <v>March</v>
      </c>
      <c r="F1612" s="3" t="s">
        <v>8</v>
      </c>
      <c r="G1612" s="8">
        <v>1332.7292849999999</v>
      </c>
      <c r="H1612" s="8">
        <v>1356.5809999999999</v>
      </c>
      <c r="I1612" s="8">
        <v>23.851715299999999</v>
      </c>
      <c r="J1612" s="8">
        <v>50.868680859999998</v>
      </c>
      <c r="K1612" s="8">
        <v>-574.8811402</v>
      </c>
      <c r="L1612" s="8">
        <v>723.74597919999997</v>
      </c>
      <c r="M1612" s="9" t="str">
        <f>IF(A1612="",M1613,A1612)</f>
        <v>Guinea-Bissau</v>
      </c>
      <c r="N1612" s="3" t="str">
        <f t="shared" si="51"/>
        <v>Mar-2020</v>
      </c>
    </row>
    <row r="1613" spans="1:14" x14ac:dyDescent="0.3">
      <c r="A1613" s="3" t="s">
        <v>142</v>
      </c>
      <c r="B1613" s="3" t="s">
        <v>143</v>
      </c>
      <c r="C1613" s="8">
        <v>2020</v>
      </c>
      <c r="D1613" s="8">
        <v>4</v>
      </c>
      <c r="E1613" s="3" t="str">
        <f t="shared" si="50"/>
        <v>April</v>
      </c>
      <c r="F1613" s="3" t="s">
        <v>8</v>
      </c>
      <c r="G1613" s="8">
        <v>1321.0602409999999</v>
      </c>
      <c r="H1613" s="8">
        <v>1455.3140000000001</v>
      </c>
      <c r="I1613" s="8">
        <v>134.25375940000001</v>
      </c>
      <c r="J1613" s="8">
        <v>185.1224402</v>
      </c>
      <c r="K1613" s="8">
        <v>-598.82542820000003</v>
      </c>
      <c r="L1613" s="8">
        <v>984.85334009999997</v>
      </c>
      <c r="M1613" s="9" t="str">
        <f>IF(A1613="",M1614,A1613)</f>
        <v>Guinea-Bissau</v>
      </c>
      <c r="N1613" s="3" t="str">
        <f t="shared" si="51"/>
        <v>Apr-2020</v>
      </c>
    </row>
    <row r="1614" spans="1:14" x14ac:dyDescent="0.3">
      <c r="A1614" s="3" t="s">
        <v>142</v>
      </c>
      <c r="B1614" s="3" t="s">
        <v>143</v>
      </c>
      <c r="C1614" s="8">
        <v>2020</v>
      </c>
      <c r="D1614" s="8">
        <v>5</v>
      </c>
      <c r="E1614" s="3" t="str">
        <f t="shared" si="50"/>
        <v>May</v>
      </c>
      <c r="F1614" s="3" t="s">
        <v>8</v>
      </c>
      <c r="G1614" s="8">
        <v>1326.5022220000001</v>
      </c>
      <c r="H1614" s="8">
        <v>1542.145</v>
      </c>
      <c r="I1614" s="8">
        <v>215.6427784</v>
      </c>
      <c r="J1614" s="8">
        <v>400.76521869999999</v>
      </c>
      <c r="K1614" s="8">
        <v>-482.82553689999997</v>
      </c>
      <c r="L1614" s="8">
        <v>1308.811989</v>
      </c>
      <c r="M1614" s="9" t="str">
        <f>IF(A1614="",M1615,A1614)</f>
        <v>Guinea-Bissau</v>
      </c>
      <c r="N1614" s="3" t="str">
        <f t="shared" si="51"/>
        <v>May-2020</v>
      </c>
    </row>
    <row r="1615" spans="1:14" x14ac:dyDescent="0.3">
      <c r="A1615" s="3" t="s">
        <v>142</v>
      </c>
      <c r="B1615" s="3" t="s">
        <v>143</v>
      </c>
      <c r="C1615" s="8">
        <v>2020</v>
      </c>
      <c r="D1615" s="8">
        <v>6</v>
      </c>
      <c r="E1615" s="3" t="str">
        <f t="shared" si="50"/>
        <v>June</v>
      </c>
      <c r="F1615" s="3" t="s">
        <v>8</v>
      </c>
      <c r="G1615" s="8">
        <v>1337.2145700000001</v>
      </c>
      <c r="H1615" s="8">
        <v>1579.557</v>
      </c>
      <c r="I1615" s="8">
        <v>242.3424297</v>
      </c>
      <c r="J1615" s="8">
        <v>643.10764840000002</v>
      </c>
      <c r="K1615" s="8">
        <v>-379.56696629999999</v>
      </c>
      <c r="L1615" s="8">
        <v>1671.4836539999999</v>
      </c>
      <c r="M1615" s="9" t="str">
        <f>IF(A1615="",M1616,A1615)</f>
        <v>Guinea-Bissau</v>
      </c>
      <c r="N1615" s="3" t="str">
        <f t="shared" si="51"/>
        <v>Jun-2020</v>
      </c>
    </row>
    <row r="1616" spans="1:14" x14ac:dyDescent="0.3">
      <c r="A1616" s="3" t="s">
        <v>142</v>
      </c>
      <c r="B1616" s="3" t="s">
        <v>143</v>
      </c>
      <c r="C1616" s="8">
        <v>2020</v>
      </c>
      <c r="D1616" s="8">
        <v>7</v>
      </c>
      <c r="E1616" s="3" t="str">
        <f t="shared" si="50"/>
        <v>July</v>
      </c>
      <c r="F1616" s="3" t="s">
        <v>8</v>
      </c>
      <c r="G1616" s="8">
        <v>1355.6608349999999</v>
      </c>
      <c r="H1616" s="8">
        <v>1458.7270000000001</v>
      </c>
      <c r="I1616" s="8">
        <v>103.0661648</v>
      </c>
      <c r="J1616" s="8">
        <v>746.17381320000004</v>
      </c>
      <c r="K1616" s="8">
        <v>-353.33845450000001</v>
      </c>
      <c r="L1616" s="8">
        <v>1820.2276280000001</v>
      </c>
      <c r="M1616" s="9" t="str">
        <f>IF(A1616="",M1617,A1616)</f>
        <v>Guinea-Bissau</v>
      </c>
      <c r="N1616" s="3" t="str">
        <f t="shared" si="51"/>
        <v>Jul-2020</v>
      </c>
    </row>
    <row r="1617" spans="1:14" x14ac:dyDescent="0.3">
      <c r="A1617" s="3" t="s">
        <v>142</v>
      </c>
      <c r="B1617" s="3" t="s">
        <v>143</v>
      </c>
      <c r="C1617" s="8">
        <v>2020</v>
      </c>
      <c r="D1617" s="8">
        <v>8</v>
      </c>
      <c r="E1617" s="3" t="str">
        <f t="shared" si="50"/>
        <v>August</v>
      </c>
      <c r="F1617" s="3" t="s">
        <v>8</v>
      </c>
      <c r="G1617" s="8">
        <v>1358.9331569999999</v>
      </c>
      <c r="H1617" s="8">
        <v>1457.298</v>
      </c>
      <c r="I1617" s="8">
        <v>98.364842980000006</v>
      </c>
      <c r="J1617" s="8">
        <v>844.53865619999999</v>
      </c>
      <c r="K1617" s="8">
        <v>-240.56503269999999</v>
      </c>
      <c r="L1617" s="8">
        <v>2060.2496510000001</v>
      </c>
      <c r="M1617" s="9" t="str">
        <f>IF(A1617="",M1618,A1617)</f>
        <v>Guinea-Bissau</v>
      </c>
      <c r="N1617" s="3" t="str">
        <f t="shared" si="51"/>
        <v>Aug-2020</v>
      </c>
    </row>
    <row r="1618" spans="1:14" x14ac:dyDescent="0.3">
      <c r="A1618" s="3" t="s">
        <v>142</v>
      </c>
      <c r="B1618" s="3" t="s">
        <v>143</v>
      </c>
      <c r="C1618" s="8">
        <v>2020</v>
      </c>
      <c r="D1618" s="8">
        <v>9</v>
      </c>
      <c r="E1618" s="3" t="str">
        <f t="shared" si="50"/>
        <v>September</v>
      </c>
      <c r="F1618" s="3" t="s">
        <v>8</v>
      </c>
      <c r="G1618" s="8">
        <v>1356.684923</v>
      </c>
      <c r="H1618" s="8">
        <v>1450.4680000000001</v>
      </c>
      <c r="I1618" s="8">
        <v>93.783076719999997</v>
      </c>
      <c r="J1618" s="8">
        <v>938.32173290000003</v>
      </c>
      <c r="K1618" s="8">
        <v>-227.05586940000001</v>
      </c>
      <c r="L1618" s="8">
        <v>2322.9634900000001</v>
      </c>
      <c r="M1618" s="9" t="str">
        <f>IF(A1618="",M1619,A1618)</f>
        <v>Guinea-Bissau</v>
      </c>
      <c r="N1618" s="3" t="str">
        <f t="shared" si="51"/>
        <v>Sep-2020</v>
      </c>
    </row>
    <row r="1619" spans="1:14" x14ac:dyDescent="0.3">
      <c r="A1619" s="3" t="s">
        <v>142</v>
      </c>
      <c r="B1619" s="3" t="s">
        <v>143</v>
      </c>
      <c r="C1619" s="8">
        <v>2020</v>
      </c>
      <c r="D1619" s="8">
        <v>10</v>
      </c>
      <c r="E1619" s="3" t="str">
        <f t="shared" si="50"/>
        <v>October</v>
      </c>
      <c r="F1619" s="3" t="s">
        <v>8</v>
      </c>
      <c r="G1619" s="8">
        <v>1348.921374</v>
      </c>
      <c r="H1619" s="8">
        <v>1389.663</v>
      </c>
      <c r="I1619" s="8">
        <v>40.741625659999997</v>
      </c>
      <c r="J1619" s="8">
        <v>979.06335850000005</v>
      </c>
      <c r="K1619" s="8">
        <v>-249.3306748</v>
      </c>
      <c r="L1619" s="8">
        <v>2381.6418920000001</v>
      </c>
      <c r="M1619" s="9" t="str">
        <f>IF(A1619="",M1620,A1619)</f>
        <v>Guinea-Bissau</v>
      </c>
      <c r="N1619" s="3" t="str">
        <f t="shared" si="51"/>
        <v>Oct-2020</v>
      </c>
    </row>
    <row r="1620" spans="1:14" x14ac:dyDescent="0.3">
      <c r="A1620" s="3" t="s">
        <v>142</v>
      </c>
      <c r="B1620" s="3" t="s">
        <v>143</v>
      </c>
      <c r="C1620" s="8">
        <v>2020</v>
      </c>
      <c r="D1620" s="8">
        <v>11</v>
      </c>
      <c r="E1620" s="3" t="str">
        <f t="shared" si="50"/>
        <v>November</v>
      </c>
      <c r="F1620" s="3" t="s">
        <v>8</v>
      </c>
      <c r="G1620" s="8">
        <v>1352.6065860000001</v>
      </c>
      <c r="H1620" s="8">
        <v>1380.6859999999999</v>
      </c>
      <c r="I1620" s="8">
        <v>28.079414249999999</v>
      </c>
      <c r="J1620" s="8">
        <v>1007.142773</v>
      </c>
      <c r="K1620" s="8">
        <v>-307.08275750000001</v>
      </c>
      <c r="L1620" s="8">
        <v>2453.5204669999998</v>
      </c>
      <c r="M1620" s="9" t="str">
        <f>IF(A1620="",M1621,A1620)</f>
        <v>Guinea-Bissau</v>
      </c>
      <c r="N1620" s="3" t="str">
        <f t="shared" si="51"/>
        <v>Nov-2020</v>
      </c>
    </row>
    <row r="1621" spans="1:14" x14ac:dyDescent="0.3">
      <c r="A1621" s="3" t="s">
        <v>142</v>
      </c>
      <c r="B1621" s="3" t="s">
        <v>143</v>
      </c>
      <c r="C1621" s="8">
        <v>2020</v>
      </c>
      <c r="D1621" s="8">
        <v>12</v>
      </c>
      <c r="E1621" s="3" t="str">
        <f t="shared" si="50"/>
        <v>December</v>
      </c>
      <c r="F1621" s="3" t="s">
        <v>8</v>
      </c>
      <c r="G1621" s="8">
        <v>1360.9804939999999</v>
      </c>
      <c r="H1621" s="8">
        <v>1425.2429999999999</v>
      </c>
      <c r="I1621" s="8">
        <v>64.262506310000006</v>
      </c>
      <c r="J1621" s="8">
        <v>1071.4052790000001</v>
      </c>
      <c r="K1621" s="8">
        <v>-318.5503875</v>
      </c>
      <c r="L1621" s="8">
        <v>2592.8383520000002</v>
      </c>
      <c r="M1621" s="9" t="str">
        <f>IF(A1621="",M1622,A1621)</f>
        <v>Guinea-Bissau</v>
      </c>
      <c r="N1621" s="3" t="str">
        <f t="shared" si="51"/>
        <v>Dec-2020</v>
      </c>
    </row>
    <row r="1622" spans="1:14" x14ac:dyDescent="0.3">
      <c r="A1622" s="3" t="s">
        <v>142</v>
      </c>
      <c r="B1622" s="3" t="s">
        <v>143</v>
      </c>
      <c r="C1622" s="8">
        <v>2021</v>
      </c>
      <c r="D1622" s="8">
        <v>1</v>
      </c>
      <c r="E1622" s="3" t="str">
        <f t="shared" si="50"/>
        <v>January</v>
      </c>
      <c r="F1622" s="3" t="s">
        <v>8</v>
      </c>
      <c r="G1622" s="8">
        <v>1360.4027840000001</v>
      </c>
      <c r="H1622" s="8">
        <v>1386.1790000000001</v>
      </c>
      <c r="I1622" s="8">
        <v>25.776216229999999</v>
      </c>
      <c r="J1622" s="8">
        <v>1097.181495</v>
      </c>
      <c r="K1622" s="8">
        <v>-270.76713510000002</v>
      </c>
      <c r="L1622" s="8">
        <v>2710.8928390000001</v>
      </c>
      <c r="M1622" s="9" t="str">
        <f>IF(A1622="",M1623,A1622)</f>
        <v>Guinea-Bissau</v>
      </c>
      <c r="N1622" s="3" t="str">
        <f t="shared" si="51"/>
        <v>Jan-2021</v>
      </c>
    </row>
    <row r="1623" spans="1:14" x14ac:dyDescent="0.3">
      <c r="A1623" s="3" t="s">
        <v>142</v>
      </c>
      <c r="B1623" s="3" t="s">
        <v>143</v>
      </c>
      <c r="C1623" s="8">
        <v>2021</v>
      </c>
      <c r="D1623" s="8">
        <v>2</v>
      </c>
      <c r="E1623" s="3" t="str">
        <f t="shared" si="50"/>
        <v>February</v>
      </c>
      <c r="F1623" s="3" t="s">
        <v>8</v>
      </c>
      <c r="G1623" s="8">
        <v>1331.7623840000001</v>
      </c>
      <c r="H1623" s="8">
        <v>1430.2360000000001</v>
      </c>
      <c r="I1623" s="8">
        <v>98.473616129999996</v>
      </c>
      <c r="J1623" s="8">
        <v>1195.655111</v>
      </c>
      <c r="K1623" s="8">
        <v>-295.22278979999999</v>
      </c>
      <c r="L1623" s="8">
        <v>2896.4448109999998</v>
      </c>
      <c r="M1623" s="9" t="str">
        <f>IF(A1623="",M1624,A1623)</f>
        <v>Guinea-Bissau</v>
      </c>
      <c r="N1623" s="3" t="str">
        <f t="shared" si="51"/>
        <v>Feb-2021</v>
      </c>
    </row>
    <row r="1624" spans="1:14" x14ac:dyDescent="0.3">
      <c r="A1624" s="3" t="s">
        <v>142</v>
      </c>
      <c r="B1624" s="3" t="s">
        <v>143</v>
      </c>
      <c r="C1624" s="8">
        <v>2021</v>
      </c>
      <c r="D1624" s="8">
        <v>3</v>
      </c>
      <c r="E1624" s="3" t="str">
        <f t="shared" si="50"/>
        <v>March</v>
      </c>
      <c r="F1624" s="3" t="s">
        <v>8</v>
      </c>
      <c r="G1624" s="8">
        <v>1329.0867310000001</v>
      </c>
      <c r="H1624" s="8">
        <v>1482.624</v>
      </c>
      <c r="I1624" s="8">
        <v>153.5372687</v>
      </c>
      <c r="J1624" s="8">
        <v>1349.19238</v>
      </c>
      <c r="K1624" s="8">
        <v>-181.60246960000001</v>
      </c>
      <c r="L1624" s="8">
        <v>3139.158872</v>
      </c>
      <c r="M1624" s="9" t="str">
        <f>IF(A1624="",M1625,A1624)</f>
        <v>Guinea-Bissau</v>
      </c>
      <c r="N1624" s="3" t="str">
        <f t="shared" si="51"/>
        <v>Mar-2021</v>
      </c>
    </row>
    <row r="1625" spans="1:14" x14ac:dyDescent="0.3">
      <c r="A1625" s="3" t="s">
        <v>142</v>
      </c>
      <c r="B1625" s="3" t="s">
        <v>143</v>
      </c>
      <c r="C1625" s="8">
        <v>2021</v>
      </c>
      <c r="D1625" s="8">
        <v>4</v>
      </c>
      <c r="E1625" s="3" t="str">
        <f t="shared" si="50"/>
        <v>April</v>
      </c>
      <c r="F1625" s="3" t="s">
        <v>8</v>
      </c>
      <c r="G1625" s="8">
        <v>1317.1771960000001</v>
      </c>
      <c r="H1625" s="8">
        <v>1379.6780000000001</v>
      </c>
      <c r="I1625" s="8">
        <v>62.500803759999997</v>
      </c>
      <c r="J1625" s="8">
        <v>1411.693184</v>
      </c>
      <c r="K1625" s="8">
        <v>-163.14727479999999</v>
      </c>
      <c r="L1625" s="8">
        <v>3277.895442</v>
      </c>
      <c r="M1625" s="9" t="str">
        <f>IF(A1625="",M1626,A1625)</f>
        <v>Guinea-Bissau</v>
      </c>
      <c r="N1625" s="3" t="str">
        <f t="shared" si="51"/>
        <v>Apr-2021</v>
      </c>
    </row>
    <row r="1626" spans="1:14" x14ac:dyDescent="0.3">
      <c r="A1626" s="3" t="s">
        <v>142</v>
      </c>
      <c r="B1626" s="3" t="s">
        <v>143</v>
      </c>
      <c r="C1626" s="8">
        <v>2021</v>
      </c>
      <c r="D1626" s="8">
        <v>5</v>
      </c>
      <c r="E1626" s="3" t="str">
        <f t="shared" si="50"/>
        <v>May</v>
      </c>
      <c r="F1626" s="3" t="s">
        <v>8</v>
      </c>
      <c r="G1626" s="8">
        <v>1323.0469780000001</v>
      </c>
      <c r="H1626" s="8">
        <v>1359.1120000000001</v>
      </c>
      <c r="I1626" s="8">
        <v>36.065021659999999</v>
      </c>
      <c r="J1626" s="8">
        <v>1447.758206</v>
      </c>
      <c r="K1626" s="8">
        <v>-170.0381117</v>
      </c>
      <c r="L1626" s="8">
        <v>3347.9271450000001</v>
      </c>
      <c r="M1626" s="9" t="str">
        <f>IF(A1626="",M1627,A1626)</f>
        <v>Guinea-Bissau</v>
      </c>
      <c r="N1626" s="3" t="str">
        <f t="shared" si="51"/>
        <v>May-2021</v>
      </c>
    </row>
    <row r="1627" spans="1:14" x14ac:dyDescent="0.3">
      <c r="A1627" s="3" t="s">
        <v>142</v>
      </c>
      <c r="B1627" s="3" t="s">
        <v>143</v>
      </c>
      <c r="C1627" s="8">
        <v>2021</v>
      </c>
      <c r="D1627" s="8">
        <v>6</v>
      </c>
      <c r="E1627" s="3" t="str">
        <f t="shared" si="50"/>
        <v>June</v>
      </c>
      <c r="F1627" s="3" t="s">
        <v>8</v>
      </c>
      <c r="G1627" s="8">
        <v>1333.345366</v>
      </c>
      <c r="H1627" s="8">
        <v>1395.7729999999999</v>
      </c>
      <c r="I1627" s="8">
        <v>62.42763437</v>
      </c>
      <c r="J1627" s="8">
        <v>1510.1858400000001</v>
      </c>
      <c r="K1627" s="8">
        <v>-131.8318056</v>
      </c>
      <c r="L1627" s="8">
        <v>3462.2673810000001</v>
      </c>
      <c r="M1627" s="9" t="str">
        <f>IF(A1627="",M1628,A1627)</f>
        <v>Guinea-Bissau</v>
      </c>
      <c r="N1627" s="3" t="str">
        <f t="shared" si="51"/>
        <v>Jun-2021</v>
      </c>
    </row>
    <row r="1628" spans="1:14" x14ac:dyDescent="0.3">
      <c r="A1628" s="3" t="s">
        <v>142</v>
      </c>
      <c r="B1628" s="3" t="s">
        <v>143</v>
      </c>
      <c r="C1628" s="8">
        <v>2021</v>
      </c>
      <c r="D1628" s="8">
        <v>7</v>
      </c>
      <c r="E1628" s="3" t="str">
        <f t="shared" si="50"/>
        <v>July</v>
      </c>
      <c r="F1628" s="3" t="s">
        <v>8</v>
      </c>
      <c r="G1628" s="8">
        <v>1351.532582</v>
      </c>
      <c r="H1628" s="8">
        <v>1508.2149999999999</v>
      </c>
      <c r="I1628" s="8">
        <v>156.68241760000001</v>
      </c>
      <c r="J1628" s="8">
        <v>1666.868258</v>
      </c>
      <c r="K1628" s="8">
        <v>-9.9946574360000007</v>
      </c>
      <c r="L1628" s="8">
        <v>3724.9445759999999</v>
      </c>
      <c r="M1628" s="9" t="str">
        <f>IF(A1628="",M1629,A1628)</f>
        <v>Guinea-Bissau</v>
      </c>
      <c r="N1628" s="3" t="str">
        <f t="shared" si="51"/>
        <v>Jul-2021</v>
      </c>
    </row>
    <row r="1629" spans="1:14" x14ac:dyDescent="0.3">
      <c r="A1629" s="3" t="s">
        <v>142</v>
      </c>
      <c r="B1629" s="3" t="s">
        <v>143</v>
      </c>
      <c r="C1629" s="8">
        <v>2021</v>
      </c>
      <c r="D1629" s="8">
        <v>8</v>
      </c>
      <c r="E1629" s="3" t="str">
        <f t="shared" si="50"/>
        <v>August</v>
      </c>
      <c r="F1629" s="3" t="s">
        <v>8</v>
      </c>
      <c r="G1629" s="8">
        <v>1354.1746290000001</v>
      </c>
      <c r="H1629" s="8">
        <v>1632.18</v>
      </c>
      <c r="I1629" s="8">
        <v>278.00537109999999</v>
      </c>
      <c r="J1629" s="8">
        <v>1944.8736289999999</v>
      </c>
      <c r="K1629" s="8">
        <v>185.17013030000001</v>
      </c>
      <c r="L1629" s="8">
        <v>4075.9509739999999</v>
      </c>
      <c r="M1629" s="9" t="str">
        <f>IF(A1629="",M1630,A1629)</f>
        <v>Guinea-Bissau</v>
      </c>
      <c r="N1629" s="3" t="str">
        <f t="shared" si="51"/>
        <v>Aug-2021</v>
      </c>
    </row>
    <row r="1630" spans="1:14" x14ac:dyDescent="0.3">
      <c r="A1630" s="3" t="s">
        <v>142</v>
      </c>
      <c r="B1630" s="3" t="s">
        <v>143</v>
      </c>
      <c r="C1630" s="8">
        <v>2021</v>
      </c>
      <c r="D1630" s="8">
        <v>9</v>
      </c>
      <c r="E1630" s="3" t="str">
        <f t="shared" si="50"/>
        <v>September</v>
      </c>
      <c r="F1630" s="3" t="s">
        <v>8</v>
      </c>
      <c r="G1630" s="8">
        <v>1352.9198690000001</v>
      </c>
      <c r="H1630" s="8">
        <v>1476.499</v>
      </c>
      <c r="I1630" s="8">
        <v>123.5791308</v>
      </c>
      <c r="J1630" s="8">
        <v>2068.4527589999998</v>
      </c>
      <c r="K1630" s="8">
        <v>229.99615120000001</v>
      </c>
      <c r="L1630" s="8">
        <v>4228.0120360000001</v>
      </c>
      <c r="M1630" s="9" t="str">
        <f>IF(A1630="",M1631,A1630)</f>
        <v>Guinea-Bissau</v>
      </c>
      <c r="N1630" s="3" t="str">
        <f t="shared" si="51"/>
        <v>Sep-2021</v>
      </c>
    </row>
    <row r="1631" spans="1:14" x14ac:dyDescent="0.3">
      <c r="A1631" s="3" t="s">
        <v>142</v>
      </c>
      <c r="B1631" s="3" t="s">
        <v>143</v>
      </c>
      <c r="C1631" s="8">
        <v>2021</v>
      </c>
      <c r="D1631" s="8">
        <v>10</v>
      </c>
      <c r="E1631" s="3" t="str">
        <f t="shared" si="50"/>
        <v>October</v>
      </c>
      <c r="F1631" s="3" t="s">
        <v>8</v>
      </c>
      <c r="G1631" s="8">
        <v>1344.6482719999999</v>
      </c>
      <c r="H1631" s="8">
        <v>1399.7470000000001</v>
      </c>
      <c r="I1631" s="8">
        <v>55.098728100000002</v>
      </c>
      <c r="J1631" s="8">
        <v>2123.5514880000001</v>
      </c>
      <c r="K1631" s="8">
        <v>264.76528939999997</v>
      </c>
      <c r="L1631" s="8">
        <v>4297.749718</v>
      </c>
      <c r="M1631" s="9" t="str">
        <f>IF(A1631="",M1632,A1631)</f>
        <v>Guinea-Bissau</v>
      </c>
      <c r="N1631" s="3" t="str">
        <f t="shared" si="51"/>
        <v>Oct-2021</v>
      </c>
    </row>
    <row r="1632" spans="1:14" x14ac:dyDescent="0.3">
      <c r="A1632" s="3" t="s">
        <v>142</v>
      </c>
      <c r="B1632" s="3" t="s">
        <v>143</v>
      </c>
      <c r="C1632" s="8">
        <v>2021</v>
      </c>
      <c r="D1632" s="8">
        <v>11</v>
      </c>
      <c r="E1632" s="3" t="str">
        <f t="shared" si="50"/>
        <v>November</v>
      </c>
      <c r="F1632" s="3" t="s">
        <v>8</v>
      </c>
      <c r="G1632" s="8">
        <v>1348.9661610000001</v>
      </c>
      <c r="H1632" s="8">
        <v>1419.835</v>
      </c>
      <c r="I1632" s="8">
        <v>70.868838879999998</v>
      </c>
      <c r="J1632" s="8">
        <v>2194.4203259999999</v>
      </c>
      <c r="K1632" s="8">
        <v>249.39033219999999</v>
      </c>
      <c r="L1632" s="8">
        <v>4487.9231419999996</v>
      </c>
      <c r="M1632" s="9" t="str">
        <f>IF(A1632="",M1633,A1632)</f>
        <v>Guinea-Bissau</v>
      </c>
      <c r="N1632" s="3" t="str">
        <f t="shared" si="51"/>
        <v>Nov-2021</v>
      </c>
    </row>
    <row r="1633" spans="1:14" x14ac:dyDescent="0.3">
      <c r="A1633" s="3" t="s">
        <v>142</v>
      </c>
      <c r="B1633" s="3" t="s">
        <v>143</v>
      </c>
      <c r="C1633" s="8">
        <v>2021</v>
      </c>
      <c r="D1633" s="8">
        <v>12</v>
      </c>
      <c r="E1633" s="3" t="str">
        <f t="shared" si="50"/>
        <v>December</v>
      </c>
      <c r="F1633" s="3" t="s">
        <v>8</v>
      </c>
      <c r="G1633" s="8">
        <v>1356.977429</v>
      </c>
      <c r="H1633" s="8">
        <v>1432.29</v>
      </c>
      <c r="I1633" s="8">
        <v>75.312571449999993</v>
      </c>
      <c r="J1633" s="8">
        <v>2269.7328980000002</v>
      </c>
      <c r="K1633" s="8">
        <v>307.06415440000001</v>
      </c>
      <c r="L1633" s="8">
        <v>4533.9932310000004</v>
      </c>
      <c r="M1633" s="9" t="str">
        <f>IF(A1633="",M1634,A1633)</f>
        <v>Guinea-Bissau</v>
      </c>
      <c r="N1633" s="3" t="str">
        <f t="shared" si="51"/>
        <v>Dec-2021</v>
      </c>
    </row>
    <row r="1634" spans="1:14" x14ac:dyDescent="0.3">
      <c r="A1634" s="3" t="s">
        <v>144</v>
      </c>
      <c r="B1634" s="3" t="s">
        <v>145</v>
      </c>
      <c r="C1634" s="8">
        <v>2020</v>
      </c>
      <c r="D1634" s="8">
        <v>1</v>
      </c>
      <c r="E1634" s="3" t="str">
        <f t="shared" si="50"/>
        <v>January</v>
      </c>
      <c r="F1634" s="3" t="s">
        <v>8</v>
      </c>
      <c r="G1634" s="8">
        <v>864.54169130000002</v>
      </c>
      <c r="H1634" s="8">
        <v>899.43</v>
      </c>
      <c r="I1634" s="8">
        <v>34.888308680000002</v>
      </c>
      <c r="J1634" s="8">
        <v>34.888308680000002</v>
      </c>
      <c r="K1634" s="8">
        <v>-175.46299859999999</v>
      </c>
      <c r="L1634" s="8">
        <v>313.95627309999998</v>
      </c>
      <c r="M1634" s="9" t="str">
        <f>IF(A1634="",M1635,A1634)</f>
        <v>Equatorial Guinea</v>
      </c>
      <c r="N1634" s="3" t="str">
        <f t="shared" si="51"/>
        <v>Jan-2020</v>
      </c>
    </row>
    <row r="1635" spans="1:14" x14ac:dyDescent="0.3">
      <c r="A1635" s="3" t="s">
        <v>144</v>
      </c>
      <c r="B1635" s="3" t="s">
        <v>145</v>
      </c>
      <c r="C1635" s="8">
        <v>2020</v>
      </c>
      <c r="D1635" s="8">
        <v>2</v>
      </c>
      <c r="E1635" s="3" t="str">
        <f t="shared" si="50"/>
        <v>February</v>
      </c>
      <c r="F1635" s="3" t="s">
        <v>8</v>
      </c>
      <c r="G1635" s="8">
        <v>862.39163350000001</v>
      </c>
      <c r="H1635" s="8">
        <v>868.62800000000004</v>
      </c>
      <c r="I1635" s="8">
        <v>6.2363665179999996</v>
      </c>
      <c r="J1635" s="8">
        <v>41.124675199999999</v>
      </c>
      <c r="K1635" s="8">
        <v>-275.71836489999998</v>
      </c>
      <c r="L1635" s="8">
        <v>400.81082629999997</v>
      </c>
      <c r="M1635" s="9" t="str">
        <f>IF(A1635="",M1636,A1635)</f>
        <v>Equatorial Guinea</v>
      </c>
      <c r="N1635" s="3" t="str">
        <f t="shared" si="51"/>
        <v>Feb-2020</v>
      </c>
    </row>
    <row r="1636" spans="1:14" x14ac:dyDescent="0.3">
      <c r="A1636" s="3" t="s">
        <v>144</v>
      </c>
      <c r="B1636" s="3" t="s">
        <v>145</v>
      </c>
      <c r="C1636" s="8">
        <v>2020</v>
      </c>
      <c r="D1636" s="8">
        <v>3</v>
      </c>
      <c r="E1636" s="3" t="str">
        <f t="shared" si="50"/>
        <v>March</v>
      </c>
      <c r="F1636" s="3" t="s">
        <v>8</v>
      </c>
      <c r="G1636" s="8">
        <v>865.11765409999998</v>
      </c>
      <c r="H1636" s="8">
        <v>879.79600000000005</v>
      </c>
      <c r="I1636" s="8">
        <v>14.678345930000001</v>
      </c>
      <c r="J1636" s="8">
        <v>55.803021129999998</v>
      </c>
      <c r="K1636" s="8">
        <v>-346.90272659999999</v>
      </c>
      <c r="L1636" s="8">
        <v>487.98068690000002</v>
      </c>
      <c r="M1636" s="9" t="str">
        <f>IF(A1636="",M1637,A1636)</f>
        <v>Equatorial Guinea</v>
      </c>
      <c r="N1636" s="3" t="str">
        <f t="shared" si="51"/>
        <v>Mar-2020</v>
      </c>
    </row>
    <row r="1637" spans="1:14" x14ac:dyDescent="0.3">
      <c r="A1637" s="3" t="s">
        <v>144</v>
      </c>
      <c r="B1637" s="3" t="s">
        <v>145</v>
      </c>
      <c r="C1637" s="8">
        <v>2020</v>
      </c>
      <c r="D1637" s="8">
        <v>4</v>
      </c>
      <c r="E1637" s="3" t="str">
        <f t="shared" si="50"/>
        <v>April</v>
      </c>
      <c r="F1637" s="3" t="s">
        <v>8</v>
      </c>
      <c r="G1637" s="8">
        <v>864.75990720000004</v>
      </c>
      <c r="H1637" s="8">
        <v>916.20600000000002</v>
      </c>
      <c r="I1637" s="8">
        <v>51.446092800000002</v>
      </c>
      <c r="J1637" s="8">
        <v>107.2491139</v>
      </c>
      <c r="K1637" s="8">
        <v>-350.32251430000002</v>
      </c>
      <c r="L1637" s="8">
        <v>610.28456859999994</v>
      </c>
      <c r="M1637" s="9" t="str">
        <f>IF(A1637="",M1638,A1637)</f>
        <v>Equatorial Guinea</v>
      </c>
      <c r="N1637" s="3" t="str">
        <f t="shared" si="51"/>
        <v>Apr-2020</v>
      </c>
    </row>
    <row r="1638" spans="1:14" x14ac:dyDescent="0.3">
      <c r="A1638" s="3" t="s">
        <v>144</v>
      </c>
      <c r="B1638" s="3" t="s">
        <v>145</v>
      </c>
      <c r="C1638" s="8">
        <v>2020</v>
      </c>
      <c r="D1638" s="8">
        <v>5</v>
      </c>
      <c r="E1638" s="3" t="str">
        <f t="shared" si="50"/>
        <v>May</v>
      </c>
      <c r="F1638" s="3" t="s">
        <v>8</v>
      </c>
      <c r="G1638" s="8">
        <v>865.31831069999998</v>
      </c>
      <c r="H1638" s="8">
        <v>979.351</v>
      </c>
      <c r="I1638" s="8">
        <v>114.0326893</v>
      </c>
      <c r="J1638" s="8">
        <v>221.28180320000001</v>
      </c>
      <c r="K1638" s="8">
        <v>-313.95944420000001</v>
      </c>
      <c r="L1638" s="8">
        <v>801.34837570000002</v>
      </c>
      <c r="M1638" s="9" t="str">
        <f>IF(A1638="",M1639,A1638)</f>
        <v>Equatorial Guinea</v>
      </c>
      <c r="N1638" s="3" t="str">
        <f t="shared" si="51"/>
        <v>May-2020</v>
      </c>
    </row>
    <row r="1639" spans="1:14" x14ac:dyDescent="0.3">
      <c r="A1639" s="3" t="s">
        <v>144</v>
      </c>
      <c r="B1639" s="3" t="s">
        <v>145</v>
      </c>
      <c r="C1639" s="8">
        <v>2020</v>
      </c>
      <c r="D1639" s="8">
        <v>6</v>
      </c>
      <c r="E1639" s="3" t="str">
        <f t="shared" si="50"/>
        <v>June</v>
      </c>
      <c r="F1639" s="3" t="s">
        <v>8</v>
      </c>
      <c r="G1639" s="8">
        <v>870.79763460000004</v>
      </c>
      <c r="H1639" s="8">
        <v>1013.675</v>
      </c>
      <c r="I1639" s="8">
        <v>142.8773654</v>
      </c>
      <c r="J1639" s="8">
        <v>364.15916859999999</v>
      </c>
      <c r="K1639" s="8">
        <v>-265.33957859999998</v>
      </c>
      <c r="L1639" s="8">
        <v>1009.748212</v>
      </c>
      <c r="M1639" s="9" t="str">
        <f>IF(A1639="",M1640,A1639)</f>
        <v>Equatorial Guinea</v>
      </c>
      <c r="N1639" s="3" t="str">
        <f t="shared" si="51"/>
        <v>Jun-2020</v>
      </c>
    </row>
    <row r="1640" spans="1:14" x14ac:dyDescent="0.3">
      <c r="A1640" s="3" t="s">
        <v>144</v>
      </c>
      <c r="B1640" s="3" t="s">
        <v>145</v>
      </c>
      <c r="C1640" s="8">
        <v>2020</v>
      </c>
      <c r="D1640" s="8">
        <v>7</v>
      </c>
      <c r="E1640" s="3" t="str">
        <f t="shared" si="50"/>
        <v>July</v>
      </c>
      <c r="F1640" s="3" t="s">
        <v>8</v>
      </c>
      <c r="G1640" s="8">
        <v>875.12704799999995</v>
      </c>
      <c r="H1640" s="8">
        <v>994.79899999999998</v>
      </c>
      <c r="I1640" s="8">
        <v>119.671952</v>
      </c>
      <c r="J1640" s="8">
        <v>483.83112060000002</v>
      </c>
      <c r="K1640" s="8">
        <v>-196.49576730000001</v>
      </c>
      <c r="L1640" s="8">
        <v>1181.8047079999999</v>
      </c>
      <c r="M1640" s="9" t="str">
        <f>IF(A1640="",M1641,A1640)</f>
        <v>Equatorial Guinea</v>
      </c>
      <c r="N1640" s="3" t="str">
        <f t="shared" si="51"/>
        <v>Jul-2020</v>
      </c>
    </row>
    <row r="1641" spans="1:14" x14ac:dyDescent="0.3">
      <c r="A1641" s="3" t="s">
        <v>144</v>
      </c>
      <c r="B1641" s="3" t="s">
        <v>145</v>
      </c>
      <c r="C1641" s="8">
        <v>2020</v>
      </c>
      <c r="D1641" s="8">
        <v>8</v>
      </c>
      <c r="E1641" s="3" t="str">
        <f t="shared" si="50"/>
        <v>August</v>
      </c>
      <c r="F1641" s="3" t="s">
        <v>8</v>
      </c>
      <c r="G1641" s="8">
        <v>874.14913769999998</v>
      </c>
      <c r="H1641" s="8">
        <v>844.22900000000004</v>
      </c>
      <c r="I1641" s="8">
        <v>-29.920137669999999</v>
      </c>
      <c r="J1641" s="8">
        <v>453.91098290000002</v>
      </c>
      <c r="K1641" s="8">
        <v>-292.30881269999998</v>
      </c>
      <c r="L1641" s="8">
        <v>1195.060929</v>
      </c>
      <c r="M1641" s="9" t="str">
        <f>IF(A1641="",M1642,A1641)</f>
        <v>Equatorial Guinea</v>
      </c>
      <c r="N1641" s="3" t="str">
        <f t="shared" si="51"/>
        <v>Aug-2020</v>
      </c>
    </row>
    <row r="1642" spans="1:14" x14ac:dyDescent="0.3">
      <c r="A1642" s="3" t="s">
        <v>144</v>
      </c>
      <c r="B1642" s="3" t="s">
        <v>145</v>
      </c>
      <c r="C1642" s="8">
        <v>2020</v>
      </c>
      <c r="D1642" s="8">
        <v>9</v>
      </c>
      <c r="E1642" s="3" t="str">
        <f t="shared" si="50"/>
        <v>September</v>
      </c>
      <c r="F1642" s="3" t="s">
        <v>8</v>
      </c>
      <c r="G1642" s="8">
        <v>872.24989070000004</v>
      </c>
      <c r="H1642" s="8">
        <v>858.26599999999996</v>
      </c>
      <c r="I1642" s="8">
        <v>-13.98389074</v>
      </c>
      <c r="J1642" s="8">
        <v>439.9270922</v>
      </c>
      <c r="K1642" s="8">
        <v>-343.1861384</v>
      </c>
      <c r="L1642" s="8">
        <v>1240.207995</v>
      </c>
      <c r="M1642" s="9" t="str">
        <f>IF(A1642="",M1643,A1642)</f>
        <v>Equatorial Guinea</v>
      </c>
      <c r="N1642" s="3" t="str">
        <f t="shared" si="51"/>
        <v>Sep-2020</v>
      </c>
    </row>
    <row r="1643" spans="1:14" x14ac:dyDescent="0.3">
      <c r="A1643" s="3" t="s">
        <v>144</v>
      </c>
      <c r="B1643" s="3" t="s">
        <v>145</v>
      </c>
      <c r="C1643" s="8">
        <v>2020</v>
      </c>
      <c r="D1643" s="8">
        <v>10</v>
      </c>
      <c r="E1643" s="3" t="str">
        <f t="shared" si="50"/>
        <v>October</v>
      </c>
      <c r="F1643" s="3" t="s">
        <v>8</v>
      </c>
      <c r="G1643" s="8">
        <v>870.93421430000001</v>
      </c>
      <c r="H1643" s="8">
        <v>841.82600000000002</v>
      </c>
      <c r="I1643" s="8">
        <v>-29.10821426</v>
      </c>
      <c r="J1643" s="8">
        <v>410.81887790000002</v>
      </c>
      <c r="K1643" s="8">
        <v>-441.86331239999998</v>
      </c>
      <c r="L1643" s="8">
        <v>1216.1520129999999</v>
      </c>
      <c r="M1643" s="9" t="str">
        <f>IF(A1643="",M1644,A1643)</f>
        <v>Equatorial Guinea</v>
      </c>
      <c r="N1643" s="3" t="str">
        <f t="shared" si="51"/>
        <v>Oct-2020</v>
      </c>
    </row>
    <row r="1644" spans="1:14" x14ac:dyDescent="0.3">
      <c r="A1644" s="3" t="s">
        <v>144</v>
      </c>
      <c r="B1644" s="3" t="s">
        <v>145</v>
      </c>
      <c r="C1644" s="8">
        <v>2020</v>
      </c>
      <c r="D1644" s="8">
        <v>11</v>
      </c>
      <c r="E1644" s="3" t="str">
        <f t="shared" si="50"/>
        <v>November</v>
      </c>
      <c r="F1644" s="3" t="s">
        <v>8</v>
      </c>
      <c r="G1644" s="8">
        <v>869.78410740000004</v>
      </c>
      <c r="H1644" s="8">
        <v>876.03300000000002</v>
      </c>
      <c r="I1644" s="8">
        <v>6.2488926229999997</v>
      </c>
      <c r="J1644" s="8">
        <v>417.06777060000002</v>
      </c>
      <c r="K1644" s="8">
        <v>-454.05576619999999</v>
      </c>
      <c r="L1644" s="8">
        <v>1260.3525950000001</v>
      </c>
      <c r="M1644" s="9" t="str">
        <f>IF(A1644="",M1645,A1644)</f>
        <v>Equatorial Guinea</v>
      </c>
      <c r="N1644" s="3" t="str">
        <f t="shared" si="51"/>
        <v>Nov-2020</v>
      </c>
    </row>
    <row r="1645" spans="1:14" x14ac:dyDescent="0.3">
      <c r="A1645" s="3" t="s">
        <v>144</v>
      </c>
      <c r="B1645" s="3" t="s">
        <v>145</v>
      </c>
      <c r="C1645" s="8">
        <v>2020</v>
      </c>
      <c r="D1645" s="8">
        <v>12</v>
      </c>
      <c r="E1645" s="3" t="str">
        <f t="shared" si="50"/>
        <v>December</v>
      </c>
      <c r="F1645" s="3" t="s">
        <v>8</v>
      </c>
      <c r="G1645" s="8">
        <v>868.65744329999995</v>
      </c>
      <c r="H1645" s="8">
        <v>889.4</v>
      </c>
      <c r="I1645" s="8">
        <v>20.74255668</v>
      </c>
      <c r="J1645" s="8">
        <v>437.81032720000002</v>
      </c>
      <c r="K1645" s="8">
        <v>-439.61579899999998</v>
      </c>
      <c r="L1645" s="8">
        <v>1324.6939749999999</v>
      </c>
      <c r="M1645" s="9" t="str">
        <f>IF(A1645="",M1646,A1645)</f>
        <v>Equatorial Guinea</v>
      </c>
      <c r="N1645" s="3" t="str">
        <f t="shared" si="51"/>
        <v>Dec-2020</v>
      </c>
    </row>
    <row r="1646" spans="1:14" x14ac:dyDescent="0.3">
      <c r="A1646" s="3" t="s">
        <v>144</v>
      </c>
      <c r="B1646" s="3" t="s">
        <v>145</v>
      </c>
      <c r="C1646" s="8">
        <v>2021</v>
      </c>
      <c r="D1646" s="8">
        <v>1</v>
      </c>
      <c r="E1646" s="3" t="str">
        <f t="shared" si="50"/>
        <v>January</v>
      </c>
      <c r="F1646" s="3" t="s">
        <v>8</v>
      </c>
      <c r="G1646" s="8">
        <v>877.22202389999995</v>
      </c>
      <c r="H1646" s="8">
        <v>870.101</v>
      </c>
      <c r="I1646" s="8">
        <v>-7.121023943</v>
      </c>
      <c r="J1646" s="8">
        <v>430.68930330000001</v>
      </c>
      <c r="K1646" s="8">
        <v>-482.58063800000002</v>
      </c>
      <c r="L1646" s="8">
        <v>1300.0649069999999</v>
      </c>
      <c r="M1646" s="9" t="str">
        <f>IF(A1646="",M1647,A1646)</f>
        <v>Equatorial Guinea</v>
      </c>
      <c r="N1646" s="3" t="str">
        <f t="shared" si="51"/>
        <v>Jan-2021</v>
      </c>
    </row>
    <row r="1647" spans="1:14" x14ac:dyDescent="0.3">
      <c r="A1647" s="3" t="s">
        <v>144</v>
      </c>
      <c r="B1647" s="3" t="s">
        <v>145</v>
      </c>
      <c r="C1647" s="8">
        <v>2021</v>
      </c>
      <c r="D1647" s="8">
        <v>2</v>
      </c>
      <c r="E1647" s="3" t="str">
        <f t="shared" si="50"/>
        <v>February</v>
      </c>
      <c r="F1647" s="3" t="s">
        <v>8</v>
      </c>
      <c r="G1647" s="8">
        <v>874.61072609999997</v>
      </c>
      <c r="H1647" s="8">
        <v>926.60900000000004</v>
      </c>
      <c r="I1647" s="8">
        <v>51.998273949999998</v>
      </c>
      <c r="J1647" s="8">
        <v>482.68757729999999</v>
      </c>
      <c r="K1647" s="8">
        <v>-469.39435839999999</v>
      </c>
      <c r="L1647" s="8">
        <v>1355.8063709999999</v>
      </c>
      <c r="M1647" s="9" t="str">
        <f>IF(A1647="",M1648,A1647)</f>
        <v>Equatorial Guinea</v>
      </c>
      <c r="N1647" s="3" t="str">
        <f t="shared" si="51"/>
        <v>Feb-2021</v>
      </c>
    </row>
    <row r="1648" spans="1:14" x14ac:dyDescent="0.3">
      <c r="A1648" s="3" t="s">
        <v>144</v>
      </c>
      <c r="B1648" s="3" t="s">
        <v>145</v>
      </c>
      <c r="C1648" s="8">
        <v>2021</v>
      </c>
      <c r="D1648" s="8">
        <v>3</v>
      </c>
      <c r="E1648" s="3" t="str">
        <f t="shared" si="50"/>
        <v>March</v>
      </c>
      <c r="F1648" s="3" t="s">
        <v>8</v>
      </c>
      <c r="G1648" s="8">
        <v>876.78252869999994</v>
      </c>
      <c r="H1648" s="8">
        <v>937.82299999999998</v>
      </c>
      <c r="I1648" s="8">
        <v>61.040471349999997</v>
      </c>
      <c r="J1648" s="8">
        <v>543.72804859999997</v>
      </c>
      <c r="K1648" s="8">
        <v>-452.41686479999998</v>
      </c>
      <c r="L1648" s="8">
        <v>1485.9000960000001</v>
      </c>
      <c r="M1648" s="9" t="str">
        <f>IF(A1648="",M1649,A1648)</f>
        <v>Equatorial Guinea</v>
      </c>
      <c r="N1648" s="3" t="str">
        <f t="shared" si="51"/>
        <v>Mar-2021</v>
      </c>
    </row>
    <row r="1649" spans="1:14" x14ac:dyDescent="0.3">
      <c r="A1649" s="3" t="s">
        <v>144</v>
      </c>
      <c r="B1649" s="3" t="s">
        <v>145</v>
      </c>
      <c r="C1649" s="8">
        <v>2021</v>
      </c>
      <c r="D1649" s="8">
        <v>4</v>
      </c>
      <c r="E1649" s="3" t="str">
        <f t="shared" si="50"/>
        <v>April</v>
      </c>
      <c r="F1649" s="3" t="s">
        <v>8</v>
      </c>
      <c r="G1649" s="8">
        <v>877.12317440000004</v>
      </c>
      <c r="H1649" s="8">
        <v>927.625</v>
      </c>
      <c r="I1649" s="8">
        <v>50.501825599999997</v>
      </c>
      <c r="J1649" s="8">
        <v>594.22987420000004</v>
      </c>
      <c r="K1649" s="8">
        <v>-461.82359179999997</v>
      </c>
      <c r="L1649" s="8">
        <v>1551.7693059999999</v>
      </c>
      <c r="M1649" s="9" t="str">
        <f>IF(A1649="",M1650,A1649)</f>
        <v>Equatorial Guinea</v>
      </c>
      <c r="N1649" s="3" t="str">
        <f t="shared" si="51"/>
        <v>Apr-2021</v>
      </c>
    </row>
    <row r="1650" spans="1:14" x14ac:dyDescent="0.3">
      <c r="A1650" s="3" t="s">
        <v>144</v>
      </c>
      <c r="B1650" s="3" t="s">
        <v>145</v>
      </c>
      <c r="C1650" s="8">
        <v>2021</v>
      </c>
      <c r="D1650" s="8">
        <v>5</v>
      </c>
      <c r="E1650" s="3" t="str">
        <f t="shared" si="50"/>
        <v>May</v>
      </c>
      <c r="F1650" s="3" t="s">
        <v>8</v>
      </c>
      <c r="G1650" s="8">
        <v>877.98258650000002</v>
      </c>
      <c r="H1650" s="8">
        <v>914.97500000000002</v>
      </c>
      <c r="I1650" s="8">
        <v>36.992413450000001</v>
      </c>
      <c r="J1650" s="8">
        <v>631.22228770000004</v>
      </c>
      <c r="K1650" s="8">
        <v>-410.48846579999997</v>
      </c>
      <c r="L1650" s="8">
        <v>1638.438852</v>
      </c>
      <c r="M1650" s="9" t="str">
        <f>IF(A1650="",M1651,A1650)</f>
        <v>Equatorial Guinea</v>
      </c>
      <c r="N1650" s="3" t="str">
        <f t="shared" si="51"/>
        <v>May-2021</v>
      </c>
    </row>
    <row r="1651" spans="1:14" x14ac:dyDescent="0.3">
      <c r="A1651" s="3" t="s">
        <v>144</v>
      </c>
      <c r="B1651" s="3" t="s">
        <v>145</v>
      </c>
      <c r="C1651" s="8">
        <v>2021</v>
      </c>
      <c r="D1651" s="8">
        <v>6</v>
      </c>
      <c r="E1651" s="3" t="str">
        <f t="shared" si="50"/>
        <v>June</v>
      </c>
      <c r="F1651" s="3" t="s">
        <v>8</v>
      </c>
      <c r="G1651" s="8">
        <v>883.4189738</v>
      </c>
      <c r="H1651" s="8">
        <v>897.09400000000005</v>
      </c>
      <c r="I1651" s="8">
        <v>13.675026190000001</v>
      </c>
      <c r="J1651" s="8">
        <v>644.89731380000001</v>
      </c>
      <c r="K1651" s="8">
        <v>-408.40707270000001</v>
      </c>
      <c r="L1651" s="8">
        <v>1667.9660200000001</v>
      </c>
      <c r="M1651" s="9" t="str">
        <f>IF(A1651="",M1652,A1651)</f>
        <v>Equatorial Guinea</v>
      </c>
      <c r="N1651" s="3" t="str">
        <f t="shared" si="51"/>
        <v>Jun-2021</v>
      </c>
    </row>
    <row r="1652" spans="1:14" x14ac:dyDescent="0.3">
      <c r="A1652" s="3" t="s">
        <v>144</v>
      </c>
      <c r="B1652" s="3" t="s">
        <v>145</v>
      </c>
      <c r="C1652" s="8">
        <v>2021</v>
      </c>
      <c r="D1652" s="8">
        <v>7</v>
      </c>
      <c r="E1652" s="3" t="str">
        <f t="shared" si="50"/>
        <v>July</v>
      </c>
      <c r="F1652" s="3" t="s">
        <v>8</v>
      </c>
      <c r="G1652" s="8">
        <v>887.50031009999998</v>
      </c>
      <c r="H1652" s="8">
        <v>888.74</v>
      </c>
      <c r="I1652" s="8">
        <v>1.2396899370000001</v>
      </c>
      <c r="J1652" s="8">
        <v>646.1370038</v>
      </c>
      <c r="K1652" s="8">
        <v>-418.55907000000002</v>
      </c>
      <c r="L1652" s="8">
        <v>1737.9702070000001</v>
      </c>
      <c r="M1652" s="9" t="str">
        <f>IF(A1652="",M1653,A1652)</f>
        <v>Equatorial Guinea</v>
      </c>
      <c r="N1652" s="3" t="str">
        <f t="shared" si="51"/>
        <v>Jul-2021</v>
      </c>
    </row>
    <row r="1653" spans="1:14" x14ac:dyDescent="0.3">
      <c r="A1653" s="3" t="s">
        <v>144</v>
      </c>
      <c r="B1653" s="3" t="s">
        <v>145</v>
      </c>
      <c r="C1653" s="8">
        <v>2021</v>
      </c>
      <c r="D1653" s="8">
        <v>8</v>
      </c>
      <c r="E1653" s="3" t="str">
        <f t="shared" si="50"/>
        <v>August</v>
      </c>
      <c r="F1653" s="3" t="s">
        <v>8</v>
      </c>
      <c r="G1653" s="8">
        <v>885.94544789999998</v>
      </c>
      <c r="H1653" s="8">
        <v>883.28899999999999</v>
      </c>
      <c r="I1653" s="8">
        <v>-2.6564479259999998</v>
      </c>
      <c r="J1653" s="8">
        <v>643.48055590000001</v>
      </c>
      <c r="K1653" s="8">
        <v>-506.45841159999998</v>
      </c>
      <c r="L1653" s="8">
        <v>1786.9625840000001</v>
      </c>
      <c r="M1653" s="9" t="str">
        <f>IF(A1653="",M1654,A1653)</f>
        <v>Equatorial Guinea</v>
      </c>
      <c r="N1653" s="3" t="str">
        <f t="shared" si="51"/>
        <v>Aug-2021</v>
      </c>
    </row>
    <row r="1654" spans="1:14" x14ac:dyDescent="0.3">
      <c r="A1654" s="3" t="s">
        <v>144</v>
      </c>
      <c r="B1654" s="3" t="s">
        <v>145</v>
      </c>
      <c r="C1654" s="8">
        <v>2021</v>
      </c>
      <c r="D1654" s="8">
        <v>9</v>
      </c>
      <c r="E1654" s="3" t="str">
        <f t="shared" si="50"/>
        <v>September</v>
      </c>
      <c r="F1654" s="3" t="s">
        <v>8</v>
      </c>
      <c r="G1654" s="8">
        <v>884.11311639999997</v>
      </c>
      <c r="H1654" s="8">
        <v>992.40099999999995</v>
      </c>
      <c r="I1654" s="8">
        <v>108.2878836</v>
      </c>
      <c r="J1654" s="8">
        <v>751.76843940000003</v>
      </c>
      <c r="K1654" s="8">
        <v>-373.95385859999999</v>
      </c>
      <c r="L1654" s="8">
        <v>1918.3290019999999</v>
      </c>
      <c r="M1654" s="9" t="str">
        <f>IF(A1654="",M1655,A1654)</f>
        <v>Equatorial Guinea</v>
      </c>
      <c r="N1654" s="3" t="str">
        <f t="shared" si="51"/>
        <v>Sep-2021</v>
      </c>
    </row>
    <row r="1655" spans="1:14" x14ac:dyDescent="0.3">
      <c r="A1655" s="3" t="s">
        <v>144</v>
      </c>
      <c r="B1655" s="3" t="s">
        <v>145</v>
      </c>
      <c r="C1655" s="8">
        <v>2021</v>
      </c>
      <c r="D1655" s="8">
        <v>10</v>
      </c>
      <c r="E1655" s="3" t="str">
        <f t="shared" si="50"/>
        <v>October</v>
      </c>
      <c r="F1655" s="3" t="s">
        <v>8</v>
      </c>
      <c r="G1655" s="8">
        <v>883.37893299999996</v>
      </c>
      <c r="H1655" s="8">
        <v>959.15700000000004</v>
      </c>
      <c r="I1655" s="8">
        <v>75.778066949999996</v>
      </c>
      <c r="J1655" s="8">
        <v>827.5465064</v>
      </c>
      <c r="K1655" s="8">
        <v>-293.88340290000002</v>
      </c>
      <c r="L1655" s="8">
        <v>2035.609316</v>
      </c>
      <c r="M1655" s="9" t="str">
        <f>IF(A1655="",M1656,A1655)</f>
        <v>Equatorial Guinea</v>
      </c>
      <c r="N1655" s="3" t="str">
        <f t="shared" si="51"/>
        <v>Oct-2021</v>
      </c>
    </row>
    <row r="1656" spans="1:14" x14ac:dyDescent="0.3">
      <c r="A1656" s="3" t="s">
        <v>144</v>
      </c>
      <c r="B1656" s="3" t="s">
        <v>145</v>
      </c>
      <c r="C1656" s="8">
        <v>2021</v>
      </c>
      <c r="D1656" s="8">
        <v>11</v>
      </c>
      <c r="E1656" s="3" t="str">
        <f t="shared" si="50"/>
        <v>November</v>
      </c>
      <c r="F1656" s="3" t="s">
        <v>8</v>
      </c>
      <c r="G1656" s="8">
        <v>881.84223159999999</v>
      </c>
      <c r="H1656" s="8">
        <v>928.10900000000004</v>
      </c>
      <c r="I1656" s="8">
        <v>46.266768390000003</v>
      </c>
      <c r="J1656" s="8">
        <v>873.81327480000004</v>
      </c>
      <c r="K1656" s="8">
        <v>-247.9780461</v>
      </c>
      <c r="L1656" s="8">
        <v>2133.18541</v>
      </c>
      <c r="M1656" s="9" t="str">
        <f>IF(A1656="",M1657,A1656)</f>
        <v>Equatorial Guinea</v>
      </c>
      <c r="N1656" s="3" t="str">
        <f t="shared" si="51"/>
        <v>Nov-2021</v>
      </c>
    </row>
    <row r="1657" spans="1:14" x14ac:dyDescent="0.3">
      <c r="A1657" s="3" t="s">
        <v>144</v>
      </c>
      <c r="B1657" s="3" t="s">
        <v>145</v>
      </c>
      <c r="C1657" s="8">
        <v>2021</v>
      </c>
      <c r="D1657" s="8">
        <v>12</v>
      </c>
      <c r="E1657" s="3" t="str">
        <f t="shared" si="50"/>
        <v>December</v>
      </c>
      <c r="F1657" s="3" t="s">
        <v>8</v>
      </c>
      <c r="G1657" s="8">
        <v>881.63535130000002</v>
      </c>
      <c r="H1657" s="8">
        <v>906.86900000000003</v>
      </c>
      <c r="I1657" s="8">
        <v>25.233648729999999</v>
      </c>
      <c r="J1657" s="8">
        <v>899.04692350000005</v>
      </c>
      <c r="K1657" s="8">
        <v>-246.38631939999999</v>
      </c>
      <c r="L1657" s="8">
        <v>2147.7219289999998</v>
      </c>
      <c r="M1657" s="9" t="str">
        <f>IF(A1657="",M1658,A1657)</f>
        <v>Equatorial Guinea</v>
      </c>
      <c r="N1657" s="3" t="str">
        <f t="shared" si="51"/>
        <v>Dec-2021</v>
      </c>
    </row>
    <row r="1658" spans="1:14" x14ac:dyDescent="0.3">
      <c r="A1658" s="3" t="s">
        <v>146</v>
      </c>
      <c r="B1658" s="3" t="s">
        <v>147</v>
      </c>
      <c r="C1658" s="8">
        <v>2020</v>
      </c>
      <c r="D1658" s="8">
        <v>1</v>
      </c>
      <c r="E1658" s="3" t="str">
        <f t="shared" si="50"/>
        <v>January</v>
      </c>
      <c r="F1658" s="3" t="s">
        <v>13</v>
      </c>
      <c r="G1658" s="8">
        <v>11724.2721</v>
      </c>
      <c r="H1658" s="8">
        <v>12661</v>
      </c>
      <c r="I1658" s="8">
        <v>931.72790280000004</v>
      </c>
      <c r="J1658" s="8">
        <v>931.72790280000004</v>
      </c>
      <c r="K1658" s="8">
        <v>456.6243235</v>
      </c>
      <c r="L1658" s="8">
        <v>1433.450261</v>
      </c>
      <c r="M1658" s="9" t="str">
        <f>IF(A1658="",M1659,A1658)</f>
        <v>Greece</v>
      </c>
      <c r="N1658" s="3" t="str">
        <f t="shared" si="51"/>
        <v>Jan-2020</v>
      </c>
    </row>
    <row r="1659" spans="1:14" x14ac:dyDescent="0.3">
      <c r="A1659" s="3" t="s">
        <v>146</v>
      </c>
      <c r="B1659" s="3" t="s">
        <v>147</v>
      </c>
      <c r="C1659" s="8">
        <v>2020</v>
      </c>
      <c r="D1659" s="8">
        <v>2</v>
      </c>
      <c r="E1659" s="3" t="str">
        <f t="shared" si="50"/>
        <v>February</v>
      </c>
      <c r="F1659" s="3" t="s">
        <v>13</v>
      </c>
      <c r="G1659" s="8">
        <v>11017.39205</v>
      </c>
      <c r="H1659" s="8">
        <v>11137</v>
      </c>
      <c r="I1659" s="8">
        <v>114.607945</v>
      </c>
      <c r="J1659" s="8">
        <v>1046.3358479999999</v>
      </c>
      <c r="K1659" s="8">
        <v>280.17849319999999</v>
      </c>
      <c r="L1659" s="8">
        <v>1805.85229</v>
      </c>
      <c r="M1659" s="9" t="str">
        <f>IF(A1659="",M1660,A1659)</f>
        <v>Greece</v>
      </c>
      <c r="N1659" s="3" t="str">
        <f t="shared" si="51"/>
        <v>Feb-2020</v>
      </c>
    </row>
    <row r="1660" spans="1:14" x14ac:dyDescent="0.3">
      <c r="A1660" s="3" t="s">
        <v>146</v>
      </c>
      <c r="B1660" s="3" t="s">
        <v>147</v>
      </c>
      <c r="C1660" s="8">
        <v>2020</v>
      </c>
      <c r="D1660" s="8">
        <v>3</v>
      </c>
      <c r="E1660" s="3" t="str">
        <f t="shared" si="50"/>
        <v>March</v>
      </c>
      <c r="F1660" s="3" t="s">
        <v>13</v>
      </c>
      <c r="G1660" s="8">
        <v>10672.88769</v>
      </c>
      <c r="H1660" s="8">
        <v>11291</v>
      </c>
      <c r="I1660" s="8">
        <v>613.11230690000002</v>
      </c>
      <c r="J1660" s="8">
        <v>1659.448155</v>
      </c>
      <c r="K1660" s="8">
        <v>675.97987260000002</v>
      </c>
      <c r="L1660" s="8">
        <v>2575.261086</v>
      </c>
      <c r="M1660" s="9" t="str">
        <f>IF(A1660="",M1661,A1660)</f>
        <v>Greece</v>
      </c>
      <c r="N1660" s="3" t="str">
        <f t="shared" si="51"/>
        <v>Mar-2020</v>
      </c>
    </row>
    <row r="1661" spans="1:14" x14ac:dyDescent="0.3">
      <c r="A1661" s="3" t="s">
        <v>146</v>
      </c>
      <c r="B1661" s="3" t="s">
        <v>147</v>
      </c>
      <c r="C1661" s="8">
        <v>2020</v>
      </c>
      <c r="D1661" s="8">
        <v>4</v>
      </c>
      <c r="E1661" s="3" t="str">
        <f t="shared" si="50"/>
        <v>April</v>
      </c>
      <c r="F1661" s="3" t="s">
        <v>13</v>
      </c>
      <c r="G1661" s="8">
        <v>10061.044620000001</v>
      </c>
      <c r="H1661" s="8">
        <v>9904</v>
      </c>
      <c r="I1661" s="8">
        <v>-162.0446154</v>
      </c>
      <c r="J1661" s="8">
        <v>1497.4035389999999</v>
      </c>
      <c r="K1661" s="8">
        <v>300.15108429999998</v>
      </c>
      <c r="L1661" s="8">
        <v>2608.9118979999998</v>
      </c>
      <c r="M1661" s="9" t="str">
        <f>IF(A1661="",M1662,A1661)</f>
        <v>Greece</v>
      </c>
      <c r="N1661" s="3" t="str">
        <f t="shared" si="51"/>
        <v>Apr-2020</v>
      </c>
    </row>
    <row r="1662" spans="1:14" x14ac:dyDescent="0.3">
      <c r="A1662" s="3" t="s">
        <v>146</v>
      </c>
      <c r="B1662" s="3" t="s">
        <v>147</v>
      </c>
      <c r="C1662" s="8">
        <v>2020</v>
      </c>
      <c r="D1662" s="8">
        <v>5</v>
      </c>
      <c r="E1662" s="3" t="str">
        <f t="shared" si="50"/>
        <v>May</v>
      </c>
      <c r="F1662" s="3" t="s">
        <v>13</v>
      </c>
      <c r="G1662" s="8">
        <v>9689.3812089999992</v>
      </c>
      <c r="H1662" s="8">
        <v>9881</v>
      </c>
      <c r="I1662" s="8">
        <v>186.6187908</v>
      </c>
      <c r="J1662" s="8">
        <v>1684.02233</v>
      </c>
      <c r="K1662" s="8">
        <v>381.69281719999998</v>
      </c>
      <c r="L1662" s="8">
        <v>2876.101377</v>
      </c>
      <c r="M1662" s="9" t="str">
        <f>IF(A1662="",M1663,A1662)</f>
        <v>Greece</v>
      </c>
      <c r="N1662" s="3" t="str">
        <f t="shared" si="51"/>
        <v>May-2020</v>
      </c>
    </row>
    <row r="1663" spans="1:14" x14ac:dyDescent="0.3">
      <c r="A1663" s="3" t="s">
        <v>146</v>
      </c>
      <c r="B1663" s="3" t="s">
        <v>147</v>
      </c>
      <c r="C1663" s="8">
        <v>2020</v>
      </c>
      <c r="D1663" s="8">
        <v>6</v>
      </c>
      <c r="E1663" s="3" t="str">
        <f t="shared" si="50"/>
        <v>June</v>
      </c>
      <c r="F1663" s="3" t="s">
        <v>13</v>
      </c>
      <c r="G1663" s="8">
        <v>9785.3511479999997</v>
      </c>
      <c r="H1663" s="8">
        <v>9610</v>
      </c>
      <c r="I1663" s="8">
        <v>-180.3511479</v>
      </c>
      <c r="J1663" s="8">
        <v>1503.671182</v>
      </c>
      <c r="K1663" s="8">
        <v>155.87346640000001</v>
      </c>
      <c r="L1663" s="8">
        <v>2848.244377</v>
      </c>
      <c r="M1663" s="9" t="str">
        <f>IF(A1663="",M1664,A1663)</f>
        <v>Greece</v>
      </c>
      <c r="N1663" s="3" t="str">
        <f t="shared" si="51"/>
        <v>Jun-2020</v>
      </c>
    </row>
    <row r="1664" spans="1:14" x14ac:dyDescent="0.3">
      <c r="A1664" s="3" t="s">
        <v>146</v>
      </c>
      <c r="B1664" s="3" t="s">
        <v>147</v>
      </c>
      <c r="C1664" s="8">
        <v>2020</v>
      </c>
      <c r="D1664" s="8">
        <v>7</v>
      </c>
      <c r="E1664" s="3" t="str">
        <f t="shared" si="50"/>
        <v>July</v>
      </c>
      <c r="F1664" s="3" t="s">
        <v>13</v>
      </c>
      <c r="G1664" s="8">
        <v>10152.47127</v>
      </c>
      <c r="H1664" s="8">
        <v>10522</v>
      </c>
      <c r="I1664" s="8">
        <v>364.52872869999999</v>
      </c>
      <c r="J1664" s="8">
        <v>1868.1999109999999</v>
      </c>
      <c r="K1664" s="8">
        <v>517.75996150000003</v>
      </c>
      <c r="L1664" s="8">
        <v>3239.5200089999998</v>
      </c>
      <c r="M1664" s="9" t="str">
        <f>IF(A1664="",M1665,A1664)</f>
        <v>Greece</v>
      </c>
      <c r="N1664" s="3" t="str">
        <f t="shared" si="51"/>
        <v>Jul-2020</v>
      </c>
    </row>
    <row r="1665" spans="1:14" x14ac:dyDescent="0.3">
      <c r="A1665" s="3" t="s">
        <v>146</v>
      </c>
      <c r="B1665" s="3" t="s">
        <v>147</v>
      </c>
      <c r="C1665" s="8">
        <v>2020</v>
      </c>
      <c r="D1665" s="8">
        <v>8</v>
      </c>
      <c r="E1665" s="3" t="str">
        <f t="shared" si="50"/>
        <v>August</v>
      </c>
      <c r="F1665" s="3" t="s">
        <v>13</v>
      </c>
      <c r="G1665" s="8">
        <v>9958.6845489999996</v>
      </c>
      <c r="H1665" s="8">
        <v>10660</v>
      </c>
      <c r="I1665" s="8">
        <v>696.31545149999999</v>
      </c>
      <c r="J1665" s="8">
        <v>2564.5153620000001</v>
      </c>
      <c r="K1665" s="8">
        <v>994.80042539999999</v>
      </c>
      <c r="L1665" s="8">
        <v>4059.9789719999999</v>
      </c>
      <c r="M1665" s="9" t="str">
        <f>IF(A1665="",M1666,A1665)</f>
        <v>Greece</v>
      </c>
      <c r="N1665" s="3" t="str">
        <f t="shared" si="51"/>
        <v>Aug-2020</v>
      </c>
    </row>
    <row r="1666" spans="1:14" x14ac:dyDescent="0.3">
      <c r="A1666" s="3" t="s">
        <v>146</v>
      </c>
      <c r="B1666" s="3" t="s">
        <v>147</v>
      </c>
      <c r="C1666" s="8">
        <v>2020</v>
      </c>
      <c r="D1666" s="8">
        <v>9</v>
      </c>
      <c r="E1666" s="3" t="str">
        <f t="shared" ref="E1666:E1729" si="52">TEXT(DATE(C1666,D1666,1),"MMMM")</f>
        <v>September</v>
      </c>
      <c r="F1666" s="3" t="s">
        <v>13</v>
      </c>
      <c r="G1666" s="8">
        <v>9124.7857449999992</v>
      </c>
      <c r="H1666" s="8">
        <v>9643</v>
      </c>
      <c r="I1666" s="8">
        <v>513.21425450000004</v>
      </c>
      <c r="J1666" s="8">
        <v>3077.729617</v>
      </c>
      <c r="K1666" s="8">
        <v>1431.946725</v>
      </c>
      <c r="L1666" s="8">
        <v>4596.6816930000005</v>
      </c>
      <c r="M1666" s="9" t="str">
        <f>IF(A1666="",M1667,A1666)</f>
        <v>Greece</v>
      </c>
      <c r="N1666" s="3" t="str">
        <f t="shared" ref="N1666:N1729" si="53">TEXT(DATE(C1666,D1666,1),"MMM-YYYY")</f>
        <v>Sep-2020</v>
      </c>
    </row>
    <row r="1667" spans="1:14" x14ac:dyDescent="0.3">
      <c r="A1667" s="3" t="s">
        <v>146</v>
      </c>
      <c r="B1667" s="3" t="s">
        <v>147</v>
      </c>
      <c r="C1667" s="8">
        <v>2020</v>
      </c>
      <c r="D1667" s="8">
        <v>10</v>
      </c>
      <c r="E1667" s="3" t="str">
        <f t="shared" si="52"/>
        <v>October</v>
      </c>
      <c r="F1667" s="3" t="s">
        <v>13</v>
      </c>
      <c r="G1667" s="8">
        <v>9437.9852510000001</v>
      </c>
      <c r="H1667" s="8">
        <v>9920</v>
      </c>
      <c r="I1667" s="8">
        <v>477.01474919999998</v>
      </c>
      <c r="J1667" s="8">
        <v>3554.7443659999999</v>
      </c>
      <c r="K1667" s="8">
        <v>1766.7494670000001</v>
      </c>
      <c r="L1667" s="8">
        <v>5112.1278920000004</v>
      </c>
      <c r="M1667" s="9" t="str">
        <f>IF(A1667="",M1668,A1667)</f>
        <v>Greece</v>
      </c>
      <c r="N1667" s="3" t="str">
        <f t="shared" si="53"/>
        <v>Oct-2020</v>
      </c>
    </row>
    <row r="1668" spans="1:14" x14ac:dyDescent="0.3">
      <c r="A1668" s="3" t="s">
        <v>146</v>
      </c>
      <c r="B1668" s="3" t="s">
        <v>147</v>
      </c>
      <c r="C1668" s="8">
        <v>2020</v>
      </c>
      <c r="D1668" s="8">
        <v>11</v>
      </c>
      <c r="E1668" s="3" t="str">
        <f t="shared" si="52"/>
        <v>November</v>
      </c>
      <c r="F1668" s="3" t="s">
        <v>13</v>
      </c>
      <c r="G1668" s="8">
        <v>10305.92337</v>
      </c>
      <c r="H1668" s="8">
        <v>12598</v>
      </c>
      <c r="I1668" s="8">
        <v>2287.076626</v>
      </c>
      <c r="J1668" s="8">
        <v>5841.8209919999999</v>
      </c>
      <c r="K1668" s="8">
        <v>4032.9791970000001</v>
      </c>
      <c r="L1668" s="8">
        <v>7526.0185760000004</v>
      </c>
      <c r="M1668" s="9" t="str">
        <f>IF(A1668="",M1669,A1668)</f>
        <v>Greece</v>
      </c>
      <c r="N1668" s="3" t="str">
        <f t="shared" si="53"/>
        <v>Nov-2020</v>
      </c>
    </row>
    <row r="1669" spans="1:14" x14ac:dyDescent="0.3">
      <c r="A1669" s="3" t="s">
        <v>146</v>
      </c>
      <c r="B1669" s="3" t="s">
        <v>147</v>
      </c>
      <c r="C1669" s="8">
        <v>2020</v>
      </c>
      <c r="D1669" s="8">
        <v>12</v>
      </c>
      <c r="E1669" s="3" t="str">
        <f t="shared" si="52"/>
        <v>December</v>
      </c>
      <c r="F1669" s="3" t="s">
        <v>13</v>
      </c>
      <c r="G1669" s="8">
        <v>11764.868979999999</v>
      </c>
      <c r="H1669" s="8">
        <v>13206</v>
      </c>
      <c r="I1669" s="8">
        <v>1436.1310189999999</v>
      </c>
      <c r="J1669" s="8">
        <v>7277.9520119999997</v>
      </c>
      <c r="K1669" s="8">
        <v>5263.2490090000001</v>
      </c>
      <c r="L1669" s="8">
        <v>9041.9987899999996</v>
      </c>
      <c r="M1669" s="9" t="str">
        <f>IF(A1669="",M1670,A1669)</f>
        <v>Greece</v>
      </c>
      <c r="N1669" s="3" t="str">
        <f t="shared" si="53"/>
        <v>Dec-2020</v>
      </c>
    </row>
    <row r="1670" spans="1:14" x14ac:dyDescent="0.3">
      <c r="A1670" s="3" t="s">
        <v>146</v>
      </c>
      <c r="B1670" s="3" t="s">
        <v>147</v>
      </c>
      <c r="C1670" s="8">
        <v>2021</v>
      </c>
      <c r="D1670" s="8">
        <v>1</v>
      </c>
      <c r="E1670" s="3" t="str">
        <f t="shared" si="52"/>
        <v>January</v>
      </c>
      <c r="F1670" s="3" t="s">
        <v>13</v>
      </c>
      <c r="G1670" s="8">
        <v>11774.88207</v>
      </c>
      <c r="H1670" s="8">
        <v>11571</v>
      </c>
      <c r="I1670" s="8">
        <v>-205.13206629999999</v>
      </c>
      <c r="J1670" s="8">
        <v>7072.8199450000002</v>
      </c>
      <c r="K1670" s="8">
        <v>5050.5404870000002</v>
      </c>
      <c r="L1670" s="8">
        <v>9030.7136559999999</v>
      </c>
      <c r="M1670" s="9" t="str">
        <f>IF(A1670="",M1671,A1670)</f>
        <v>Greece</v>
      </c>
      <c r="N1670" s="3" t="str">
        <f t="shared" si="53"/>
        <v>Jan-2021</v>
      </c>
    </row>
    <row r="1671" spans="1:14" x14ac:dyDescent="0.3">
      <c r="A1671" s="3" t="s">
        <v>146</v>
      </c>
      <c r="B1671" s="3" t="s">
        <v>147</v>
      </c>
      <c r="C1671" s="8">
        <v>2021</v>
      </c>
      <c r="D1671" s="8">
        <v>2</v>
      </c>
      <c r="E1671" s="3" t="str">
        <f t="shared" si="52"/>
        <v>February</v>
      </c>
      <c r="F1671" s="3" t="s">
        <v>13</v>
      </c>
      <c r="G1671" s="8">
        <v>11073.43154</v>
      </c>
      <c r="H1671" s="8">
        <v>10152</v>
      </c>
      <c r="I1671" s="8">
        <v>-922.68154010000001</v>
      </c>
      <c r="J1671" s="8">
        <v>6150.1384049999997</v>
      </c>
      <c r="K1671" s="8">
        <v>3963.024062</v>
      </c>
      <c r="L1671" s="8">
        <v>8218.3933099999995</v>
      </c>
      <c r="M1671" s="9" t="str">
        <f>IF(A1671="",M1672,A1671)</f>
        <v>Greece</v>
      </c>
      <c r="N1671" s="3" t="str">
        <f t="shared" si="53"/>
        <v>Feb-2021</v>
      </c>
    </row>
    <row r="1672" spans="1:14" x14ac:dyDescent="0.3">
      <c r="A1672" s="3" t="s">
        <v>146</v>
      </c>
      <c r="B1672" s="3" t="s">
        <v>147</v>
      </c>
      <c r="C1672" s="8">
        <v>2021</v>
      </c>
      <c r="D1672" s="8">
        <v>3</v>
      </c>
      <c r="E1672" s="3" t="str">
        <f t="shared" si="52"/>
        <v>March</v>
      </c>
      <c r="F1672" s="3" t="s">
        <v>13</v>
      </c>
      <c r="G1672" s="8">
        <v>10690.3771</v>
      </c>
      <c r="H1672" s="8">
        <v>12176</v>
      </c>
      <c r="I1672" s="8">
        <v>1484.3729020000001</v>
      </c>
      <c r="J1672" s="8">
        <v>7634.5113069999998</v>
      </c>
      <c r="K1672" s="8">
        <v>5479.077558</v>
      </c>
      <c r="L1672" s="8">
        <v>9771.9451669999999</v>
      </c>
      <c r="M1672" s="9" t="str">
        <f>IF(A1672="",M1673,A1672)</f>
        <v>Greece</v>
      </c>
      <c r="N1672" s="3" t="str">
        <f t="shared" si="53"/>
        <v>Mar-2021</v>
      </c>
    </row>
    <row r="1673" spans="1:14" x14ac:dyDescent="0.3">
      <c r="A1673" s="3" t="s">
        <v>146</v>
      </c>
      <c r="B1673" s="3" t="s">
        <v>147</v>
      </c>
      <c r="C1673" s="8">
        <v>2021</v>
      </c>
      <c r="D1673" s="8">
        <v>4</v>
      </c>
      <c r="E1673" s="3" t="str">
        <f t="shared" si="52"/>
        <v>April</v>
      </c>
      <c r="F1673" s="3" t="s">
        <v>13</v>
      </c>
      <c r="G1673" s="8">
        <v>10127.62355</v>
      </c>
      <c r="H1673" s="8">
        <v>12209</v>
      </c>
      <c r="I1673" s="8">
        <v>2080.126448</v>
      </c>
      <c r="J1673" s="8">
        <v>9714.6377549999997</v>
      </c>
      <c r="K1673" s="8">
        <v>7602.6123379999999</v>
      </c>
      <c r="L1673" s="8">
        <v>11885.851489999999</v>
      </c>
      <c r="M1673" s="9" t="str">
        <f>IF(A1673="",M1674,A1673)</f>
        <v>Greece</v>
      </c>
      <c r="N1673" s="3" t="str">
        <f t="shared" si="53"/>
        <v>Apr-2021</v>
      </c>
    </row>
    <row r="1674" spans="1:14" x14ac:dyDescent="0.3">
      <c r="A1674" s="3" t="s">
        <v>146</v>
      </c>
      <c r="B1674" s="3" t="s">
        <v>147</v>
      </c>
      <c r="C1674" s="8">
        <v>2021</v>
      </c>
      <c r="D1674" s="8">
        <v>5</v>
      </c>
      <c r="E1674" s="3" t="str">
        <f t="shared" si="52"/>
        <v>May</v>
      </c>
      <c r="F1674" s="3" t="s">
        <v>13</v>
      </c>
      <c r="G1674" s="8">
        <v>9731.5461940000005</v>
      </c>
      <c r="H1674" s="8">
        <v>11590</v>
      </c>
      <c r="I1674" s="8">
        <v>1857.203806</v>
      </c>
      <c r="J1674" s="8">
        <v>11571.841560000001</v>
      </c>
      <c r="K1674" s="8">
        <v>9318.9539029999996</v>
      </c>
      <c r="L1674" s="8">
        <v>13844.342720000001</v>
      </c>
      <c r="M1674" s="9" t="str">
        <f>IF(A1674="",M1675,A1674)</f>
        <v>Greece</v>
      </c>
      <c r="N1674" s="3" t="str">
        <f t="shared" si="53"/>
        <v>May-2021</v>
      </c>
    </row>
    <row r="1675" spans="1:14" x14ac:dyDescent="0.3">
      <c r="A1675" s="3" t="s">
        <v>146</v>
      </c>
      <c r="B1675" s="3" t="s">
        <v>147</v>
      </c>
      <c r="C1675" s="8">
        <v>2021</v>
      </c>
      <c r="D1675" s="8">
        <v>6</v>
      </c>
      <c r="E1675" s="3" t="str">
        <f t="shared" si="52"/>
        <v>June</v>
      </c>
      <c r="F1675" s="3" t="s">
        <v>13</v>
      </c>
      <c r="G1675" s="8">
        <v>9831.8535580000007</v>
      </c>
      <c r="H1675" s="8">
        <v>11005</v>
      </c>
      <c r="I1675" s="8">
        <v>1171.896442</v>
      </c>
      <c r="J1675" s="8">
        <v>12743.737999999999</v>
      </c>
      <c r="K1675" s="8">
        <v>10352.60799</v>
      </c>
      <c r="L1675" s="8">
        <v>15048.678449999999</v>
      </c>
      <c r="M1675" s="9" t="str">
        <f>IF(A1675="",M1676,A1675)</f>
        <v>Greece</v>
      </c>
      <c r="N1675" s="3" t="str">
        <f t="shared" si="53"/>
        <v>Jun-2021</v>
      </c>
    </row>
    <row r="1676" spans="1:14" x14ac:dyDescent="0.3">
      <c r="A1676" s="3" t="s">
        <v>146</v>
      </c>
      <c r="B1676" s="3" t="s">
        <v>147</v>
      </c>
      <c r="C1676" s="8">
        <v>2021</v>
      </c>
      <c r="D1676" s="8">
        <v>7</v>
      </c>
      <c r="E1676" s="3" t="str">
        <f t="shared" si="52"/>
        <v>July</v>
      </c>
      <c r="F1676" s="3" t="s">
        <v>13</v>
      </c>
      <c r="G1676" s="8">
        <v>10212.64855</v>
      </c>
      <c r="H1676" s="8">
        <v>12074</v>
      </c>
      <c r="I1676" s="8">
        <v>1860.1014540000001</v>
      </c>
      <c r="J1676" s="8">
        <v>14603.839459999999</v>
      </c>
      <c r="K1676" s="8">
        <v>12187.558080000001</v>
      </c>
      <c r="L1676" s="8">
        <v>16911.47941</v>
      </c>
      <c r="M1676" s="9" t="str">
        <f>IF(A1676="",M1677,A1676)</f>
        <v>Greece</v>
      </c>
      <c r="N1676" s="3" t="str">
        <f t="shared" si="53"/>
        <v>Jul-2021</v>
      </c>
    </row>
    <row r="1677" spans="1:14" x14ac:dyDescent="0.3">
      <c r="A1677" s="3" t="s">
        <v>146</v>
      </c>
      <c r="B1677" s="3" t="s">
        <v>147</v>
      </c>
      <c r="C1677" s="8">
        <v>2021</v>
      </c>
      <c r="D1677" s="8">
        <v>8</v>
      </c>
      <c r="E1677" s="3" t="str">
        <f t="shared" si="52"/>
        <v>August</v>
      </c>
      <c r="F1677" s="3" t="s">
        <v>13</v>
      </c>
      <c r="G1677" s="8">
        <v>10015.6756</v>
      </c>
      <c r="H1677" s="8">
        <v>13421</v>
      </c>
      <c r="I1677" s="8">
        <v>3404.0744049999998</v>
      </c>
      <c r="J1677" s="8">
        <v>18007.913860000001</v>
      </c>
      <c r="K1677" s="8">
        <v>15488.024659999999</v>
      </c>
      <c r="L1677" s="8">
        <v>20508.899219999999</v>
      </c>
      <c r="M1677" s="9" t="str">
        <f>IF(A1677="",M1678,A1677)</f>
        <v>Greece</v>
      </c>
      <c r="N1677" s="3" t="str">
        <f t="shared" si="53"/>
        <v>Aug-2021</v>
      </c>
    </row>
    <row r="1678" spans="1:14" x14ac:dyDescent="0.3">
      <c r="A1678" s="3" t="s">
        <v>146</v>
      </c>
      <c r="B1678" s="3" t="s">
        <v>147</v>
      </c>
      <c r="C1678" s="8">
        <v>2021</v>
      </c>
      <c r="D1678" s="8">
        <v>9</v>
      </c>
      <c r="E1678" s="3" t="str">
        <f t="shared" si="52"/>
        <v>September</v>
      </c>
      <c r="F1678" s="3" t="s">
        <v>13</v>
      </c>
      <c r="G1678" s="8">
        <v>9140.5535839999993</v>
      </c>
      <c r="H1678" s="8">
        <v>10904</v>
      </c>
      <c r="I1678" s="8">
        <v>1762.196416</v>
      </c>
      <c r="J1678" s="8">
        <v>19770.110280000001</v>
      </c>
      <c r="K1678" s="8">
        <v>17169.966339999999</v>
      </c>
      <c r="L1678" s="8">
        <v>22313.640660000001</v>
      </c>
      <c r="M1678" s="9" t="str">
        <f>IF(A1678="",M1679,A1678)</f>
        <v>Greece</v>
      </c>
      <c r="N1678" s="3" t="str">
        <f t="shared" si="53"/>
        <v>Sep-2021</v>
      </c>
    </row>
    <row r="1679" spans="1:14" x14ac:dyDescent="0.3">
      <c r="A1679" s="3" t="s">
        <v>146</v>
      </c>
      <c r="B1679" s="3" t="s">
        <v>147</v>
      </c>
      <c r="C1679" s="8">
        <v>2021</v>
      </c>
      <c r="D1679" s="8">
        <v>10</v>
      </c>
      <c r="E1679" s="3" t="str">
        <f t="shared" si="52"/>
        <v>October</v>
      </c>
      <c r="F1679" s="3" t="s">
        <v>13</v>
      </c>
      <c r="G1679" s="8">
        <v>9509.55321</v>
      </c>
      <c r="H1679" s="8">
        <v>11229</v>
      </c>
      <c r="I1679" s="8">
        <v>1718.19679</v>
      </c>
      <c r="J1679" s="8">
        <v>21488.307069999999</v>
      </c>
      <c r="K1679" s="8">
        <v>18758.312539999999</v>
      </c>
      <c r="L1679" s="8">
        <v>24082.355159999999</v>
      </c>
      <c r="M1679" s="9" t="str">
        <f>IF(A1679="",M1680,A1679)</f>
        <v>Greece</v>
      </c>
      <c r="N1679" s="3" t="str">
        <f t="shared" si="53"/>
        <v>Oct-2021</v>
      </c>
    </row>
    <row r="1680" spans="1:14" x14ac:dyDescent="0.3">
      <c r="A1680" s="3" t="s">
        <v>146</v>
      </c>
      <c r="B1680" s="3" t="s">
        <v>147</v>
      </c>
      <c r="C1680" s="8">
        <v>2021</v>
      </c>
      <c r="D1680" s="8">
        <v>11</v>
      </c>
      <c r="E1680" s="3" t="str">
        <f t="shared" si="52"/>
        <v>November</v>
      </c>
      <c r="F1680" s="3" t="s">
        <v>13</v>
      </c>
      <c r="G1680" s="8">
        <v>10375.393260000001</v>
      </c>
      <c r="H1680" s="8">
        <v>12913</v>
      </c>
      <c r="I1680" s="8">
        <v>2536.3567389999998</v>
      </c>
      <c r="J1680" s="8">
        <v>24024.663809999998</v>
      </c>
      <c r="K1680" s="8">
        <v>21239.851009999998</v>
      </c>
      <c r="L1680" s="8">
        <v>26672.89558</v>
      </c>
      <c r="M1680" s="9" t="str">
        <f>IF(A1680="",M1681,A1680)</f>
        <v>Greece</v>
      </c>
      <c r="N1680" s="3" t="str">
        <f t="shared" si="53"/>
        <v>Nov-2021</v>
      </c>
    </row>
    <row r="1681" spans="1:14" x14ac:dyDescent="0.3">
      <c r="A1681" s="3" t="s">
        <v>146</v>
      </c>
      <c r="B1681" s="3" t="s">
        <v>147</v>
      </c>
      <c r="C1681" s="8">
        <v>2021</v>
      </c>
      <c r="D1681" s="8">
        <v>12</v>
      </c>
      <c r="E1681" s="3" t="str">
        <f t="shared" si="52"/>
        <v>December</v>
      </c>
      <c r="F1681" s="3" t="s">
        <v>13</v>
      </c>
      <c r="G1681" s="8">
        <v>11807.709580000001</v>
      </c>
      <c r="H1681" s="8">
        <v>14548</v>
      </c>
      <c r="I1681" s="8">
        <v>2739.0404210000002</v>
      </c>
      <c r="J1681" s="8">
        <v>26763.704229999999</v>
      </c>
      <c r="K1681" s="8">
        <v>23867.030760000001</v>
      </c>
      <c r="L1681" s="8">
        <v>29541.009539999999</v>
      </c>
      <c r="M1681" s="9" t="str">
        <f>IF(A1681="",M1682,A1681)</f>
        <v>Greece</v>
      </c>
      <c r="N1681" s="3" t="str">
        <f t="shared" si="53"/>
        <v>Dec-2021</v>
      </c>
    </row>
    <row r="1682" spans="1:14" x14ac:dyDescent="0.3">
      <c r="A1682" s="3" t="s">
        <v>148</v>
      </c>
      <c r="B1682" s="3" t="s">
        <v>149</v>
      </c>
      <c r="C1682" s="8">
        <v>2020</v>
      </c>
      <c r="D1682" s="8">
        <v>1</v>
      </c>
      <c r="E1682" s="3" t="str">
        <f t="shared" si="52"/>
        <v>January</v>
      </c>
      <c r="F1682" s="3" t="s">
        <v>8</v>
      </c>
      <c r="G1682" s="8">
        <v>86.582166380000004</v>
      </c>
      <c r="H1682" s="8">
        <v>67.069999999999993</v>
      </c>
      <c r="I1682" s="8">
        <v>-19.560155630000001</v>
      </c>
      <c r="J1682" s="8">
        <v>-19.560155630000001</v>
      </c>
      <c r="K1682" s="8">
        <v>-35.120183400000002</v>
      </c>
      <c r="L1682" s="8">
        <v>-2.186994662</v>
      </c>
      <c r="M1682" s="9" t="str">
        <f>IF(A1682="",M1683,A1682)</f>
        <v>Grenada</v>
      </c>
      <c r="N1682" s="3" t="str">
        <f t="shared" si="53"/>
        <v>Jan-2020</v>
      </c>
    </row>
    <row r="1683" spans="1:14" x14ac:dyDescent="0.3">
      <c r="A1683" s="3" t="s">
        <v>148</v>
      </c>
      <c r="B1683" s="3" t="s">
        <v>149</v>
      </c>
      <c r="C1683" s="8">
        <v>2020</v>
      </c>
      <c r="D1683" s="8">
        <v>2</v>
      </c>
      <c r="E1683" s="3" t="str">
        <f t="shared" si="52"/>
        <v>February</v>
      </c>
      <c r="F1683" s="3" t="s">
        <v>8</v>
      </c>
      <c r="G1683" s="8">
        <v>86.318594340000004</v>
      </c>
      <c r="H1683" s="8">
        <v>64.771000000000001</v>
      </c>
      <c r="I1683" s="8">
        <v>-21.505870219999998</v>
      </c>
      <c r="J1683" s="8">
        <v>-41.066025850000003</v>
      </c>
      <c r="K1683" s="8">
        <v>-62.421510099999999</v>
      </c>
      <c r="L1683" s="8">
        <v>-17.548231260000001</v>
      </c>
      <c r="M1683" s="9" t="str">
        <f>IF(A1683="",M1684,A1683)</f>
        <v>Grenada</v>
      </c>
      <c r="N1683" s="3" t="str">
        <f t="shared" si="53"/>
        <v>Feb-2020</v>
      </c>
    </row>
    <row r="1684" spans="1:14" x14ac:dyDescent="0.3">
      <c r="A1684" s="3" t="s">
        <v>148</v>
      </c>
      <c r="B1684" s="3" t="s">
        <v>149</v>
      </c>
      <c r="C1684" s="8">
        <v>2020</v>
      </c>
      <c r="D1684" s="8">
        <v>3</v>
      </c>
      <c r="E1684" s="3" t="str">
        <f t="shared" si="52"/>
        <v>March</v>
      </c>
      <c r="F1684" s="3" t="s">
        <v>8</v>
      </c>
      <c r="G1684" s="8">
        <v>86.385476240000003</v>
      </c>
      <c r="H1684" s="8">
        <v>67.373999999999995</v>
      </c>
      <c r="I1684" s="8">
        <v>-18.801581079999998</v>
      </c>
      <c r="J1684" s="8">
        <v>-59.867606930000001</v>
      </c>
      <c r="K1684" s="8">
        <v>-85.204744070000004</v>
      </c>
      <c r="L1684" s="8">
        <v>-32.986425590000003</v>
      </c>
      <c r="M1684" s="9" t="str">
        <f>IF(A1684="",M1685,A1684)</f>
        <v>Grenada</v>
      </c>
      <c r="N1684" s="3" t="str">
        <f t="shared" si="53"/>
        <v>Mar-2020</v>
      </c>
    </row>
    <row r="1685" spans="1:14" x14ac:dyDescent="0.3">
      <c r="A1685" s="3" t="s">
        <v>148</v>
      </c>
      <c r="B1685" s="3" t="s">
        <v>149</v>
      </c>
      <c r="C1685" s="8">
        <v>2020</v>
      </c>
      <c r="D1685" s="8">
        <v>4</v>
      </c>
      <c r="E1685" s="3" t="str">
        <f t="shared" si="52"/>
        <v>April</v>
      </c>
      <c r="F1685" s="3" t="s">
        <v>8</v>
      </c>
      <c r="G1685" s="8">
        <v>85.751657879999996</v>
      </c>
      <c r="H1685" s="8">
        <v>55.369</v>
      </c>
      <c r="I1685" s="8">
        <v>-30.296671830000001</v>
      </c>
      <c r="J1685" s="8">
        <v>-90.164278749999994</v>
      </c>
      <c r="K1685" s="8">
        <v>-116.7830081</v>
      </c>
      <c r="L1685" s="8">
        <v>-60.753835449999997</v>
      </c>
      <c r="M1685" s="9" t="str">
        <f>IF(A1685="",M1686,A1685)</f>
        <v>Grenada</v>
      </c>
      <c r="N1685" s="3" t="str">
        <f t="shared" si="53"/>
        <v>Apr-2020</v>
      </c>
    </row>
    <row r="1686" spans="1:14" x14ac:dyDescent="0.3">
      <c r="A1686" s="3" t="s">
        <v>148</v>
      </c>
      <c r="B1686" s="3" t="s">
        <v>149</v>
      </c>
      <c r="C1686" s="8">
        <v>2020</v>
      </c>
      <c r="D1686" s="8">
        <v>5</v>
      </c>
      <c r="E1686" s="3" t="str">
        <f t="shared" si="52"/>
        <v>May</v>
      </c>
      <c r="F1686" s="3" t="s">
        <v>8</v>
      </c>
      <c r="G1686" s="8">
        <v>85.161572090000007</v>
      </c>
      <c r="H1686" s="8">
        <v>57.734000000000002</v>
      </c>
      <c r="I1686" s="8">
        <v>-27.534653349999999</v>
      </c>
      <c r="J1686" s="8">
        <v>-117.69893209999999</v>
      </c>
      <c r="K1686" s="8">
        <v>-147.94849540000001</v>
      </c>
      <c r="L1686" s="8">
        <v>-86.913706079999997</v>
      </c>
      <c r="M1686" s="9" t="str">
        <f>IF(A1686="",M1687,A1686)</f>
        <v>Grenada</v>
      </c>
      <c r="N1686" s="3" t="str">
        <f t="shared" si="53"/>
        <v>May-2020</v>
      </c>
    </row>
    <row r="1687" spans="1:14" x14ac:dyDescent="0.3">
      <c r="A1687" s="3" t="s">
        <v>148</v>
      </c>
      <c r="B1687" s="3" t="s">
        <v>149</v>
      </c>
      <c r="C1687" s="8">
        <v>2020</v>
      </c>
      <c r="D1687" s="8">
        <v>6</v>
      </c>
      <c r="E1687" s="3" t="str">
        <f t="shared" si="52"/>
        <v>June</v>
      </c>
      <c r="F1687" s="3" t="s">
        <v>8</v>
      </c>
      <c r="G1687" s="8">
        <v>85.2135684</v>
      </c>
      <c r="H1687" s="8">
        <v>63.65</v>
      </c>
      <c r="I1687" s="8">
        <v>-21.765997250000002</v>
      </c>
      <c r="J1687" s="8">
        <v>-139.46492939999999</v>
      </c>
      <c r="K1687" s="8">
        <v>-170.0900044</v>
      </c>
      <c r="L1687" s="8">
        <v>-108.2913606</v>
      </c>
      <c r="M1687" s="9" t="str">
        <f>IF(A1687="",M1688,A1687)</f>
        <v>Grenada</v>
      </c>
      <c r="N1687" s="3" t="str">
        <f t="shared" si="53"/>
        <v>Jun-2020</v>
      </c>
    </row>
    <row r="1688" spans="1:14" x14ac:dyDescent="0.3">
      <c r="A1688" s="3" t="s">
        <v>148</v>
      </c>
      <c r="B1688" s="3" t="s">
        <v>149</v>
      </c>
      <c r="C1688" s="8">
        <v>2020</v>
      </c>
      <c r="D1688" s="8">
        <v>7</v>
      </c>
      <c r="E1688" s="3" t="str">
        <f t="shared" si="52"/>
        <v>July</v>
      </c>
      <c r="F1688" s="3" t="s">
        <v>8</v>
      </c>
      <c r="G1688" s="8">
        <v>85.493440680000006</v>
      </c>
      <c r="H1688" s="8">
        <v>67.787999999999997</v>
      </c>
      <c r="I1688" s="8">
        <v>-17.510030230000002</v>
      </c>
      <c r="J1688" s="8">
        <v>-156.97495960000001</v>
      </c>
      <c r="K1688" s="8">
        <v>-189.21403369999999</v>
      </c>
      <c r="L1688" s="8">
        <v>-124.9047341</v>
      </c>
      <c r="M1688" s="9" t="str">
        <f>IF(A1688="",M1689,A1688)</f>
        <v>Grenada</v>
      </c>
      <c r="N1688" s="3" t="str">
        <f t="shared" si="53"/>
        <v>Jul-2020</v>
      </c>
    </row>
    <row r="1689" spans="1:14" x14ac:dyDescent="0.3">
      <c r="A1689" s="3" t="s">
        <v>148</v>
      </c>
      <c r="B1689" s="3" t="s">
        <v>149</v>
      </c>
      <c r="C1689" s="8">
        <v>2020</v>
      </c>
      <c r="D1689" s="8">
        <v>8</v>
      </c>
      <c r="E1689" s="3" t="str">
        <f t="shared" si="52"/>
        <v>August</v>
      </c>
      <c r="F1689" s="3" t="s">
        <v>8</v>
      </c>
      <c r="G1689" s="8">
        <v>85.420616949999996</v>
      </c>
      <c r="H1689" s="8">
        <v>67.837999999999994</v>
      </c>
      <c r="I1689" s="8">
        <v>-17.534833880000001</v>
      </c>
      <c r="J1689" s="8">
        <v>-174.5097935</v>
      </c>
      <c r="K1689" s="8">
        <v>-205.46263759999999</v>
      </c>
      <c r="L1689" s="8">
        <v>-143.3520747</v>
      </c>
      <c r="M1689" s="9" t="str">
        <f>IF(A1689="",M1690,A1689)</f>
        <v>Grenada</v>
      </c>
      <c r="N1689" s="3" t="str">
        <f t="shared" si="53"/>
        <v>Aug-2020</v>
      </c>
    </row>
    <row r="1690" spans="1:14" x14ac:dyDescent="0.3">
      <c r="A1690" s="3" t="s">
        <v>148</v>
      </c>
      <c r="B1690" s="3" t="s">
        <v>149</v>
      </c>
      <c r="C1690" s="8">
        <v>2020</v>
      </c>
      <c r="D1690" s="8">
        <v>9</v>
      </c>
      <c r="E1690" s="3" t="str">
        <f t="shared" si="52"/>
        <v>September</v>
      </c>
      <c r="F1690" s="3" t="s">
        <v>8</v>
      </c>
      <c r="G1690" s="8">
        <v>85.240273540000004</v>
      </c>
      <c r="H1690" s="8">
        <v>64.900999999999996</v>
      </c>
      <c r="I1690" s="8">
        <v>-20.244211140000001</v>
      </c>
      <c r="J1690" s="8">
        <v>-194.7540046</v>
      </c>
      <c r="K1690" s="8">
        <v>-223.7099106</v>
      </c>
      <c r="L1690" s="8">
        <v>-165.46858900000001</v>
      </c>
      <c r="M1690" s="9" t="str">
        <f>IF(A1690="",M1691,A1690)</f>
        <v>Grenada</v>
      </c>
      <c r="N1690" s="3" t="str">
        <f t="shared" si="53"/>
        <v>Sep-2020</v>
      </c>
    </row>
    <row r="1691" spans="1:14" x14ac:dyDescent="0.3">
      <c r="A1691" s="3" t="s">
        <v>148</v>
      </c>
      <c r="B1691" s="3" t="s">
        <v>149</v>
      </c>
      <c r="C1691" s="8">
        <v>2020</v>
      </c>
      <c r="D1691" s="8">
        <v>10</v>
      </c>
      <c r="E1691" s="3" t="str">
        <f t="shared" si="52"/>
        <v>October</v>
      </c>
      <c r="F1691" s="3" t="s">
        <v>8</v>
      </c>
      <c r="G1691" s="8">
        <v>85.79766884</v>
      </c>
      <c r="H1691" s="8">
        <v>64.111999999999995</v>
      </c>
      <c r="I1691" s="8">
        <v>-21.540891040000002</v>
      </c>
      <c r="J1691" s="8">
        <v>-216.29489559999999</v>
      </c>
      <c r="K1691" s="8">
        <v>-243.445953</v>
      </c>
      <c r="L1691" s="8">
        <v>-189.6067371</v>
      </c>
      <c r="M1691" s="9" t="str">
        <f>IF(A1691="",M1692,A1691)</f>
        <v>Grenada</v>
      </c>
      <c r="N1691" s="3" t="str">
        <f t="shared" si="53"/>
        <v>Oct-2020</v>
      </c>
    </row>
    <row r="1692" spans="1:14" x14ac:dyDescent="0.3">
      <c r="A1692" s="3" t="s">
        <v>148</v>
      </c>
      <c r="B1692" s="3" t="s">
        <v>149</v>
      </c>
      <c r="C1692" s="8">
        <v>2020</v>
      </c>
      <c r="D1692" s="8">
        <v>11</v>
      </c>
      <c r="E1692" s="3" t="str">
        <f t="shared" si="52"/>
        <v>November</v>
      </c>
      <c r="F1692" s="3" t="s">
        <v>8</v>
      </c>
      <c r="G1692" s="8">
        <v>86.116939560000006</v>
      </c>
      <c r="H1692" s="8">
        <v>64.522000000000006</v>
      </c>
      <c r="I1692" s="8">
        <v>-21.44808596</v>
      </c>
      <c r="J1692" s="8">
        <v>-237.74298160000001</v>
      </c>
      <c r="K1692" s="8">
        <v>-264.4534951</v>
      </c>
      <c r="L1692" s="8">
        <v>-212.78967919999999</v>
      </c>
      <c r="M1692" s="9" t="str">
        <f>IF(A1692="",M1693,A1692)</f>
        <v>Grenada</v>
      </c>
      <c r="N1692" s="3" t="str">
        <f t="shared" si="53"/>
        <v>Nov-2020</v>
      </c>
    </row>
    <row r="1693" spans="1:14" x14ac:dyDescent="0.3">
      <c r="A1693" s="3" t="s">
        <v>148</v>
      </c>
      <c r="B1693" s="3" t="s">
        <v>149</v>
      </c>
      <c r="C1693" s="8">
        <v>2020</v>
      </c>
      <c r="D1693" s="8">
        <v>12</v>
      </c>
      <c r="E1693" s="3" t="str">
        <f t="shared" si="52"/>
        <v>December</v>
      </c>
      <c r="F1693" s="3" t="s">
        <v>8</v>
      </c>
      <c r="G1693" s="8">
        <v>86.378078369999997</v>
      </c>
      <c r="H1693" s="8">
        <v>70.870999999999995</v>
      </c>
      <c r="I1693" s="8">
        <v>-15.53529825</v>
      </c>
      <c r="J1693" s="8">
        <v>-253.2782799</v>
      </c>
      <c r="K1693" s="8">
        <v>-273.74872329999999</v>
      </c>
      <c r="L1693" s="8">
        <v>-232.7137123</v>
      </c>
      <c r="M1693" s="9" t="str">
        <f>IF(A1693="",M1694,A1693)</f>
        <v>Grenada</v>
      </c>
      <c r="N1693" s="3" t="str">
        <f t="shared" si="53"/>
        <v>Dec-2020</v>
      </c>
    </row>
    <row r="1694" spans="1:14" x14ac:dyDescent="0.3">
      <c r="A1694" s="3" t="s">
        <v>148</v>
      </c>
      <c r="B1694" s="3" t="s">
        <v>149</v>
      </c>
      <c r="C1694" s="8">
        <v>2021</v>
      </c>
      <c r="D1694" s="8">
        <v>1</v>
      </c>
      <c r="E1694" s="3" t="str">
        <f t="shared" si="52"/>
        <v>January</v>
      </c>
      <c r="F1694" s="3" t="s">
        <v>8</v>
      </c>
      <c r="G1694" s="8">
        <v>86.704831690000006</v>
      </c>
      <c r="H1694" s="8">
        <v>79.962999999999994</v>
      </c>
      <c r="I1694" s="8">
        <v>-6.7418316899999997</v>
      </c>
      <c r="J1694" s="8">
        <v>-260.02011160000001</v>
      </c>
      <c r="K1694" s="8">
        <v>-300.02861680000001</v>
      </c>
      <c r="L1694" s="8">
        <v>-213.51196469999999</v>
      </c>
      <c r="M1694" s="9" t="str">
        <f>IF(A1694="",M1695,A1694)</f>
        <v>Grenada</v>
      </c>
      <c r="N1694" s="3" t="str">
        <f t="shared" si="53"/>
        <v>Jan-2021</v>
      </c>
    </row>
    <row r="1695" spans="1:14" x14ac:dyDescent="0.3">
      <c r="A1695" s="3" t="s">
        <v>148</v>
      </c>
      <c r="B1695" s="3" t="s">
        <v>149</v>
      </c>
      <c r="C1695" s="8">
        <v>2021</v>
      </c>
      <c r="D1695" s="8">
        <v>2</v>
      </c>
      <c r="E1695" s="3" t="str">
        <f t="shared" si="52"/>
        <v>February</v>
      </c>
      <c r="F1695" s="3" t="s">
        <v>8</v>
      </c>
      <c r="G1695" s="8">
        <v>86.677692480000005</v>
      </c>
      <c r="H1695" s="8">
        <v>73.727999999999994</v>
      </c>
      <c r="I1695" s="8">
        <v>-12.94969248</v>
      </c>
      <c r="J1695" s="8">
        <v>-272.96980400000001</v>
      </c>
      <c r="K1695" s="8">
        <v>-329.10578720000001</v>
      </c>
      <c r="L1695" s="8">
        <v>-205.81602839999999</v>
      </c>
      <c r="M1695" s="9" t="str">
        <f>IF(A1695="",M1696,A1695)</f>
        <v>Grenada</v>
      </c>
      <c r="N1695" s="3" t="str">
        <f t="shared" si="53"/>
        <v>Feb-2021</v>
      </c>
    </row>
    <row r="1696" spans="1:14" x14ac:dyDescent="0.3">
      <c r="A1696" s="3" t="s">
        <v>148</v>
      </c>
      <c r="B1696" s="3" t="s">
        <v>149</v>
      </c>
      <c r="C1696" s="8">
        <v>2021</v>
      </c>
      <c r="D1696" s="8">
        <v>3</v>
      </c>
      <c r="E1696" s="3" t="str">
        <f t="shared" si="52"/>
        <v>March</v>
      </c>
      <c r="F1696" s="3" t="s">
        <v>8</v>
      </c>
      <c r="G1696" s="8">
        <v>87.152694499999996</v>
      </c>
      <c r="H1696" s="8">
        <v>74.061999999999998</v>
      </c>
      <c r="I1696" s="8">
        <v>-13.0906945</v>
      </c>
      <c r="J1696" s="8">
        <v>-286.06049849999999</v>
      </c>
      <c r="K1696" s="8">
        <v>-358.76296869999999</v>
      </c>
      <c r="L1696" s="8">
        <v>-191.7093241</v>
      </c>
      <c r="M1696" s="9" t="str">
        <f>IF(A1696="",M1697,A1696)</f>
        <v>Grenada</v>
      </c>
      <c r="N1696" s="3" t="str">
        <f t="shared" si="53"/>
        <v>Mar-2021</v>
      </c>
    </row>
    <row r="1697" spans="1:14" x14ac:dyDescent="0.3">
      <c r="A1697" s="3" t="s">
        <v>148</v>
      </c>
      <c r="B1697" s="3" t="s">
        <v>149</v>
      </c>
      <c r="C1697" s="8">
        <v>2021</v>
      </c>
      <c r="D1697" s="8">
        <v>4</v>
      </c>
      <c r="E1697" s="3" t="str">
        <f t="shared" si="52"/>
        <v>April</v>
      </c>
      <c r="F1697" s="3" t="s">
        <v>8</v>
      </c>
      <c r="G1697" s="8">
        <v>86.22036267</v>
      </c>
      <c r="H1697" s="8">
        <v>73.234999999999999</v>
      </c>
      <c r="I1697" s="8">
        <v>-12.985362670000001</v>
      </c>
      <c r="J1697" s="8">
        <v>-299.04586119999999</v>
      </c>
      <c r="K1697" s="8">
        <v>-387.64041179999998</v>
      </c>
      <c r="L1697" s="8">
        <v>-179.8616227</v>
      </c>
      <c r="M1697" s="9" t="str">
        <f>IF(A1697="",M1698,A1697)</f>
        <v>Grenada</v>
      </c>
      <c r="N1697" s="3" t="str">
        <f t="shared" si="53"/>
        <v>Apr-2021</v>
      </c>
    </row>
    <row r="1698" spans="1:14" x14ac:dyDescent="0.3">
      <c r="A1698" s="3" t="s">
        <v>148</v>
      </c>
      <c r="B1698" s="3" t="s">
        <v>149</v>
      </c>
      <c r="C1698" s="8">
        <v>2021</v>
      </c>
      <c r="D1698" s="8">
        <v>5</v>
      </c>
      <c r="E1698" s="3" t="str">
        <f t="shared" si="52"/>
        <v>May</v>
      </c>
      <c r="F1698" s="3" t="s">
        <v>8</v>
      </c>
      <c r="G1698" s="8">
        <v>85.781843679999994</v>
      </c>
      <c r="H1698" s="8">
        <v>73.984999999999999</v>
      </c>
      <c r="I1698" s="8">
        <v>-11.79684368</v>
      </c>
      <c r="J1698" s="8">
        <v>-310.8427049</v>
      </c>
      <c r="K1698" s="8">
        <v>-414.33985330000002</v>
      </c>
      <c r="L1698" s="8">
        <v>-175.60991540000001</v>
      </c>
      <c r="M1698" s="9" t="str">
        <f>IF(A1698="",M1699,A1698)</f>
        <v>Grenada</v>
      </c>
      <c r="N1698" s="3" t="str">
        <f t="shared" si="53"/>
        <v>May-2021</v>
      </c>
    </row>
    <row r="1699" spans="1:14" x14ac:dyDescent="0.3">
      <c r="A1699" s="3" t="s">
        <v>148</v>
      </c>
      <c r="B1699" s="3" t="s">
        <v>149</v>
      </c>
      <c r="C1699" s="8">
        <v>2021</v>
      </c>
      <c r="D1699" s="8">
        <v>6</v>
      </c>
      <c r="E1699" s="3" t="str">
        <f t="shared" si="52"/>
        <v>June</v>
      </c>
      <c r="F1699" s="3" t="s">
        <v>8</v>
      </c>
      <c r="G1699" s="8">
        <v>85.649512540000003</v>
      </c>
      <c r="H1699" s="8">
        <v>74.241</v>
      </c>
      <c r="I1699" s="8">
        <v>-11.40851254</v>
      </c>
      <c r="J1699" s="8">
        <v>-322.25121739999997</v>
      </c>
      <c r="K1699" s="8">
        <v>-445.3822576</v>
      </c>
      <c r="L1699" s="8">
        <v>-165.16067760000001</v>
      </c>
      <c r="M1699" s="9" t="str">
        <f>IF(A1699="",M1700,A1699)</f>
        <v>Grenada</v>
      </c>
      <c r="N1699" s="3" t="str">
        <f t="shared" si="53"/>
        <v>Jun-2021</v>
      </c>
    </row>
    <row r="1700" spans="1:14" x14ac:dyDescent="0.3">
      <c r="A1700" s="3" t="s">
        <v>148</v>
      </c>
      <c r="B1700" s="3" t="s">
        <v>149</v>
      </c>
      <c r="C1700" s="8">
        <v>2021</v>
      </c>
      <c r="D1700" s="8">
        <v>7</v>
      </c>
      <c r="E1700" s="3" t="str">
        <f t="shared" si="52"/>
        <v>July</v>
      </c>
      <c r="F1700" s="3" t="s">
        <v>8</v>
      </c>
      <c r="G1700" s="8">
        <v>86.070755320000004</v>
      </c>
      <c r="H1700" s="8">
        <v>74.435000000000002</v>
      </c>
      <c r="I1700" s="8">
        <v>-11.635755319999999</v>
      </c>
      <c r="J1700" s="8">
        <v>-333.8869727</v>
      </c>
      <c r="K1700" s="8">
        <v>-476.99723039999998</v>
      </c>
      <c r="L1700" s="8">
        <v>-153.32625110000001</v>
      </c>
      <c r="M1700" s="9" t="str">
        <f>IF(A1700="",M1701,A1700)</f>
        <v>Grenada</v>
      </c>
      <c r="N1700" s="3" t="str">
        <f t="shared" si="53"/>
        <v>Jul-2021</v>
      </c>
    </row>
    <row r="1701" spans="1:14" x14ac:dyDescent="0.3">
      <c r="A1701" s="3" t="s">
        <v>148</v>
      </c>
      <c r="B1701" s="3" t="s">
        <v>149</v>
      </c>
      <c r="C1701" s="8">
        <v>2021</v>
      </c>
      <c r="D1701" s="8">
        <v>8</v>
      </c>
      <c r="E1701" s="3" t="str">
        <f t="shared" si="52"/>
        <v>August</v>
      </c>
      <c r="F1701" s="3" t="s">
        <v>8</v>
      </c>
      <c r="G1701" s="8">
        <v>86.082573760000002</v>
      </c>
      <c r="H1701" s="8">
        <v>72.88</v>
      </c>
      <c r="I1701" s="8">
        <v>-13.20257376</v>
      </c>
      <c r="J1701" s="8">
        <v>-347.08954649999998</v>
      </c>
      <c r="K1701" s="8">
        <v>-510.09416900000002</v>
      </c>
      <c r="L1701" s="8">
        <v>-146.4040171</v>
      </c>
      <c r="M1701" s="9" t="str">
        <f>IF(A1701="",M1702,A1701)</f>
        <v>Grenada</v>
      </c>
      <c r="N1701" s="3" t="str">
        <f t="shared" si="53"/>
        <v>Aug-2021</v>
      </c>
    </row>
    <row r="1702" spans="1:14" x14ac:dyDescent="0.3">
      <c r="A1702" s="3" t="s">
        <v>148</v>
      </c>
      <c r="B1702" s="3" t="s">
        <v>149</v>
      </c>
      <c r="C1702" s="8">
        <v>2021</v>
      </c>
      <c r="D1702" s="8">
        <v>9</v>
      </c>
      <c r="E1702" s="3" t="str">
        <f t="shared" si="52"/>
        <v>September</v>
      </c>
      <c r="F1702" s="3" t="s">
        <v>8</v>
      </c>
      <c r="G1702" s="8">
        <v>85.858160209999994</v>
      </c>
      <c r="H1702" s="8">
        <v>195.07900000000001</v>
      </c>
      <c r="I1702" s="8">
        <v>109.22083979999999</v>
      </c>
      <c r="J1702" s="8">
        <v>-237.86870669999999</v>
      </c>
      <c r="K1702" s="8">
        <v>-449.98441209999999</v>
      </c>
      <c r="L1702" s="8">
        <v>17.35138126</v>
      </c>
      <c r="M1702" s="9" t="str">
        <f>IF(A1702="",M1703,A1702)</f>
        <v>Grenada</v>
      </c>
      <c r="N1702" s="3" t="str">
        <f t="shared" si="53"/>
        <v>Sep-2021</v>
      </c>
    </row>
    <row r="1703" spans="1:14" x14ac:dyDescent="0.3">
      <c r="A1703" s="3" t="s">
        <v>148</v>
      </c>
      <c r="B1703" s="3" t="s">
        <v>149</v>
      </c>
      <c r="C1703" s="8">
        <v>2021</v>
      </c>
      <c r="D1703" s="8">
        <v>10</v>
      </c>
      <c r="E1703" s="3" t="str">
        <f t="shared" si="52"/>
        <v>October</v>
      </c>
      <c r="F1703" s="3" t="s">
        <v>8</v>
      </c>
      <c r="G1703" s="8">
        <v>86.195897650000006</v>
      </c>
      <c r="H1703" s="8">
        <v>130.60599999999999</v>
      </c>
      <c r="I1703" s="8">
        <v>44.410102350000003</v>
      </c>
      <c r="J1703" s="8">
        <v>-193.45860440000001</v>
      </c>
      <c r="K1703" s="8">
        <v>-437.3523758</v>
      </c>
      <c r="L1703" s="8">
        <v>111.4856103</v>
      </c>
      <c r="M1703" s="9" t="str">
        <f>IF(A1703="",M1704,A1703)</f>
        <v>Grenada</v>
      </c>
      <c r="N1703" s="3" t="str">
        <f t="shared" si="53"/>
        <v>Oct-2021</v>
      </c>
    </row>
    <row r="1704" spans="1:14" x14ac:dyDescent="0.3">
      <c r="A1704" s="3" t="s">
        <v>148</v>
      </c>
      <c r="B1704" s="3" t="s">
        <v>149</v>
      </c>
      <c r="C1704" s="8">
        <v>2021</v>
      </c>
      <c r="D1704" s="8">
        <v>11</v>
      </c>
      <c r="E1704" s="3" t="str">
        <f t="shared" si="52"/>
        <v>November</v>
      </c>
      <c r="F1704" s="3" t="s">
        <v>8</v>
      </c>
      <c r="G1704" s="8">
        <v>86.671149299999996</v>
      </c>
      <c r="H1704" s="8">
        <v>80.879000000000005</v>
      </c>
      <c r="I1704" s="8">
        <v>-5.7921492990000001</v>
      </c>
      <c r="J1704" s="8">
        <v>-199.25075369999999</v>
      </c>
      <c r="K1704" s="8">
        <v>-457.70355119999999</v>
      </c>
      <c r="L1704" s="8">
        <v>116.331261</v>
      </c>
      <c r="M1704" s="9" t="str">
        <f>IF(A1704="",M1705,A1704)</f>
        <v>Grenada</v>
      </c>
      <c r="N1704" s="3" t="str">
        <f t="shared" si="53"/>
        <v>Nov-2021</v>
      </c>
    </row>
    <row r="1705" spans="1:14" x14ac:dyDescent="0.3">
      <c r="A1705" s="3" t="s">
        <v>148</v>
      </c>
      <c r="B1705" s="3" t="s">
        <v>149</v>
      </c>
      <c r="C1705" s="8">
        <v>2021</v>
      </c>
      <c r="D1705" s="8">
        <v>12</v>
      </c>
      <c r="E1705" s="3" t="str">
        <f t="shared" si="52"/>
        <v>December</v>
      </c>
      <c r="F1705" s="3" t="s">
        <v>8</v>
      </c>
      <c r="G1705" s="8">
        <v>86.945595220000001</v>
      </c>
      <c r="H1705" s="8">
        <v>77.852000000000004</v>
      </c>
      <c r="I1705" s="8">
        <v>-9.0935952199999992</v>
      </c>
      <c r="J1705" s="8">
        <v>-208.3443489</v>
      </c>
      <c r="K1705" s="8">
        <v>-485.4634337</v>
      </c>
      <c r="L1705" s="8">
        <v>137.74485859999999</v>
      </c>
      <c r="M1705" s="9" t="str">
        <f>IF(A1705="",M1706,A1705)</f>
        <v>Grenada</v>
      </c>
      <c r="N1705" s="3" t="str">
        <f t="shared" si="53"/>
        <v>Dec-2021</v>
      </c>
    </row>
    <row r="1706" spans="1:14" x14ac:dyDescent="0.3">
      <c r="A1706" s="3" t="s">
        <v>150</v>
      </c>
      <c r="B1706" s="3" t="s">
        <v>151</v>
      </c>
      <c r="C1706" s="8">
        <v>2020</v>
      </c>
      <c r="D1706" s="8">
        <v>1</v>
      </c>
      <c r="E1706" s="3" t="str">
        <f t="shared" si="52"/>
        <v>January</v>
      </c>
      <c r="F1706" s="3" t="s">
        <v>13</v>
      </c>
      <c r="G1706" s="8">
        <v>8037.112357</v>
      </c>
      <c r="H1706" s="8">
        <v>8440</v>
      </c>
      <c r="I1706" s="8">
        <v>386.87848980000001</v>
      </c>
      <c r="J1706" s="8">
        <v>386.87848980000001</v>
      </c>
      <c r="K1706" s="8">
        <v>197.1536758</v>
      </c>
      <c r="L1706" s="8">
        <v>588.0191208</v>
      </c>
      <c r="M1706" s="9" t="str">
        <f>IF(A1706="",M1707,A1706)</f>
        <v>Guatemala</v>
      </c>
      <c r="N1706" s="3" t="str">
        <f t="shared" si="53"/>
        <v>Jan-2020</v>
      </c>
    </row>
    <row r="1707" spans="1:14" x14ac:dyDescent="0.3">
      <c r="A1707" s="3" t="s">
        <v>150</v>
      </c>
      <c r="B1707" s="3" t="s">
        <v>151</v>
      </c>
      <c r="C1707" s="8">
        <v>2020</v>
      </c>
      <c r="D1707" s="8">
        <v>2</v>
      </c>
      <c r="E1707" s="3" t="str">
        <f t="shared" si="52"/>
        <v>February</v>
      </c>
      <c r="F1707" s="3" t="s">
        <v>13</v>
      </c>
      <c r="G1707" s="8">
        <v>8051.6515650000001</v>
      </c>
      <c r="H1707" s="8">
        <v>7489</v>
      </c>
      <c r="I1707" s="8">
        <v>-578.66071799999997</v>
      </c>
      <c r="J1707" s="8">
        <v>-191.78222819999999</v>
      </c>
      <c r="K1707" s="8">
        <v>-467.4647238</v>
      </c>
      <c r="L1707" s="8">
        <v>97.691440569999997</v>
      </c>
      <c r="M1707" s="9" t="str">
        <f>IF(A1707="",M1708,A1707)</f>
        <v>Guatemala</v>
      </c>
      <c r="N1707" s="3" t="str">
        <f t="shared" si="53"/>
        <v>Feb-2020</v>
      </c>
    </row>
    <row r="1708" spans="1:14" x14ac:dyDescent="0.3">
      <c r="A1708" s="3" t="s">
        <v>150</v>
      </c>
      <c r="B1708" s="3" t="s">
        <v>151</v>
      </c>
      <c r="C1708" s="8">
        <v>2020</v>
      </c>
      <c r="D1708" s="8">
        <v>3</v>
      </c>
      <c r="E1708" s="3" t="str">
        <f t="shared" si="52"/>
        <v>March</v>
      </c>
      <c r="F1708" s="3" t="s">
        <v>13</v>
      </c>
      <c r="G1708" s="8">
        <v>8109.1341300000004</v>
      </c>
      <c r="H1708" s="8">
        <v>7336</v>
      </c>
      <c r="I1708" s="8">
        <v>-789.14328330000001</v>
      </c>
      <c r="J1708" s="8">
        <v>-980.92551149999997</v>
      </c>
      <c r="K1708" s="8">
        <v>-1345.9619230000001</v>
      </c>
      <c r="L1708" s="8">
        <v>-616.76237309999999</v>
      </c>
      <c r="M1708" s="9" t="str">
        <f>IF(A1708="",M1709,A1708)</f>
        <v>Guatemala</v>
      </c>
      <c r="N1708" s="3" t="str">
        <f t="shared" si="53"/>
        <v>Mar-2020</v>
      </c>
    </row>
    <row r="1709" spans="1:14" x14ac:dyDescent="0.3">
      <c r="A1709" s="3" t="s">
        <v>150</v>
      </c>
      <c r="B1709" s="3" t="s">
        <v>151</v>
      </c>
      <c r="C1709" s="8">
        <v>2020</v>
      </c>
      <c r="D1709" s="8">
        <v>4</v>
      </c>
      <c r="E1709" s="3" t="str">
        <f t="shared" si="52"/>
        <v>April</v>
      </c>
      <c r="F1709" s="3" t="s">
        <v>13</v>
      </c>
      <c r="G1709" s="8">
        <v>8165.8809099999999</v>
      </c>
      <c r="H1709" s="8">
        <v>6536</v>
      </c>
      <c r="I1709" s="8">
        <v>-1645.8900630000001</v>
      </c>
      <c r="J1709" s="8">
        <v>-2626.8155750000001</v>
      </c>
      <c r="K1709" s="8">
        <v>-3068.1490279999998</v>
      </c>
      <c r="L1709" s="8">
        <v>-2193.0450599999999</v>
      </c>
      <c r="M1709" s="9" t="str">
        <f>IF(A1709="",M1710,A1709)</f>
        <v>Guatemala</v>
      </c>
      <c r="N1709" s="3" t="str">
        <f t="shared" si="53"/>
        <v>Apr-2020</v>
      </c>
    </row>
    <row r="1710" spans="1:14" x14ac:dyDescent="0.3">
      <c r="A1710" s="3" t="s">
        <v>150</v>
      </c>
      <c r="B1710" s="3" t="s">
        <v>151</v>
      </c>
      <c r="C1710" s="8">
        <v>2020</v>
      </c>
      <c r="D1710" s="8">
        <v>5</v>
      </c>
      <c r="E1710" s="3" t="str">
        <f t="shared" si="52"/>
        <v>May</v>
      </c>
      <c r="F1710" s="3" t="s">
        <v>13</v>
      </c>
      <c r="G1710" s="8">
        <v>8215.7239009999994</v>
      </c>
      <c r="H1710" s="8">
        <v>7325</v>
      </c>
      <c r="I1710" s="8">
        <v>-906.73305470000003</v>
      </c>
      <c r="J1710" s="8">
        <v>-3533.5486289999999</v>
      </c>
      <c r="K1710" s="8">
        <v>-4028.505263</v>
      </c>
      <c r="L1710" s="8">
        <v>-3027.51539</v>
      </c>
      <c r="M1710" s="9" t="str">
        <f>IF(A1710="",M1711,A1710)</f>
        <v>Guatemala</v>
      </c>
      <c r="N1710" s="3" t="str">
        <f t="shared" si="53"/>
        <v>May-2020</v>
      </c>
    </row>
    <row r="1711" spans="1:14" x14ac:dyDescent="0.3">
      <c r="A1711" s="3" t="s">
        <v>150</v>
      </c>
      <c r="B1711" s="3" t="s">
        <v>151</v>
      </c>
      <c r="C1711" s="8">
        <v>2020</v>
      </c>
      <c r="D1711" s="8">
        <v>6</v>
      </c>
      <c r="E1711" s="3" t="str">
        <f t="shared" si="52"/>
        <v>June</v>
      </c>
      <c r="F1711" s="3" t="s">
        <v>13</v>
      </c>
      <c r="G1711" s="8">
        <v>8233.6518550000001</v>
      </c>
      <c r="H1711" s="8">
        <v>10411</v>
      </c>
      <c r="I1711" s="8">
        <v>2161.338992</v>
      </c>
      <c r="J1711" s="8">
        <v>-1372.2096369999999</v>
      </c>
      <c r="K1711" s="8">
        <v>-1895.5214490000001</v>
      </c>
      <c r="L1711" s="8">
        <v>-812.83185140000001</v>
      </c>
      <c r="M1711" s="9" t="str">
        <f>IF(A1711="",M1712,A1711)</f>
        <v>Guatemala</v>
      </c>
      <c r="N1711" s="3" t="str">
        <f t="shared" si="53"/>
        <v>Jun-2020</v>
      </c>
    </row>
    <row r="1712" spans="1:14" x14ac:dyDescent="0.3">
      <c r="A1712" s="3" t="s">
        <v>150</v>
      </c>
      <c r="B1712" s="3" t="s">
        <v>151</v>
      </c>
      <c r="C1712" s="8">
        <v>2020</v>
      </c>
      <c r="D1712" s="8">
        <v>7</v>
      </c>
      <c r="E1712" s="3" t="str">
        <f t="shared" si="52"/>
        <v>July</v>
      </c>
      <c r="F1712" s="3" t="s">
        <v>13</v>
      </c>
      <c r="G1712" s="8">
        <v>8225.8686450000005</v>
      </c>
      <c r="H1712" s="8">
        <v>14002</v>
      </c>
      <c r="I1712" s="8">
        <v>5760.1222019999996</v>
      </c>
      <c r="J1712" s="8">
        <v>4387.9125649999996</v>
      </c>
      <c r="K1712" s="8">
        <v>3825.2876489999999</v>
      </c>
      <c r="L1712" s="8">
        <v>4988.2693069999996</v>
      </c>
      <c r="M1712" s="9" t="str">
        <f>IF(A1712="",M1713,A1712)</f>
        <v>Guatemala</v>
      </c>
      <c r="N1712" s="3" t="str">
        <f t="shared" si="53"/>
        <v>Jul-2020</v>
      </c>
    </row>
    <row r="1713" spans="1:14" x14ac:dyDescent="0.3">
      <c r="A1713" s="3" t="s">
        <v>150</v>
      </c>
      <c r="B1713" s="3" t="s">
        <v>151</v>
      </c>
      <c r="C1713" s="8">
        <v>2020</v>
      </c>
      <c r="D1713" s="8">
        <v>8</v>
      </c>
      <c r="E1713" s="3" t="str">
        <f t="shared" si="52"/>
        <v>August</v>
      </c>
      <c r="F1713" s="3" t="s">
        <v>13</v>
      </c>
      <c r="G1713" s="8">
        <v>8203.5038700000005</v>
      </c>
      <c r="H1713" s="8">
        <v>11379</v>
      </c>
      <c r="I1713" s="8">
        <v>3159.486977</v>
      </c>
      <c r="J1713" s="8">
        <v>7547.3995409999998</v>
      </c>
      <c r="K1713" s="8">
        <v>6912.2431989999995</v>
      </c>
      <c r="L1713" s="8">
        <v>8191.4185580000003</v>
      </c>
      <c r="M1713" s="9" t="str">
        <f>IF(A1713="",M1714,A1713)</f>
        <v>Guatemala</v>
      </c>
      <c r="N1713" s="3" t="str">
        <f t="shared" si="53"/>
        <v>Aug-2020</v>
      </c>
    </row>
    <row r="1714" spans="1:14" x14ac:dyDescent="0.3">
      <c r="A1714" s="3" t="s">
        <v>150</v>
      </c>
      <c r="B1714" s="3" t="s">
        <v>151</v>
      </c>
      <c r="C1714" s="8">
        <v>2020</v>
      </c>
      <c r="D1714" s="8">
        <v>9</v>
      </c>
      <c r="E1714" s="3" t="str">
        <f t="shared" si="52"/>
        <v>September</v>
      </c>
      <c r="F1714" s="3" t="s">
        <v>13</v>
      </c>
      <c r="G1714" s="8">
        <v>8154.3828569999996</v>
      </c>
      <c r="H1714" s="8">
        <v>9561</v>
      </c>
      <c r="I1714" s="8">
        <v>1390.60799</v>
      </c>
      <c r="J1714" s="8">
        <v>8938.0075319999996</v>
      </c>
      <c r="K1714" s="8">
        <v>8300.4621069999994</v>
      </c>
      <c r="L1714" s="8">
        <v>9621.4793030000001</v>
      </c>
      <c r="M1714" s="9" t="str">
        <f>IF(A1714="",M1715,A1714)</f>
        <v>Guatemala</v>
      </c>
      <c r="N1714" s="3" t="str">
        <f t="shared" si="53"/>
        <v>Sep-2020</v>
      </c>
    </row>
    <row r="1715" spans="1:14" x14ac:dyDescent="0.3">
      <c r="A1715" s="3" t="s">
        <v>150</v>
      </c>
      <c r="B1715" s="3" t="s">
        <v>151</v>
      </c>
      <c r="C1715" s="8">
        <v>2020</v>
      </c>
      <c r="D1715" s="8">
        <v>10</v>
      </c>
      <c r="E1715" s="3" t="str">
        <f t="shared" si="52"/>
        <v>October</v>
      </c>
      <c r="F1715" s="3" t="s">
        <v>13</v>
      </c>
      <c r="G1715" s="8">
        <v>8122.7778369999996</v>
      </c>
      <c r="H1715" s="8">
        <v>9350</v>
      </c>
      <c r="I1715" s="8">
        <v>1211.2130099999999</v>
      </c>
      <c r="J1715" s="8">
        <v>10149.22054</v>
      </c>
      <c r="K1715" s="8">
        <v>9470.3501269999997</v>
      </c>
      <c r="L1715" s="8">
        <v>10890.60498</v>
      </c>
      <c r="M1715" s="9" t="str">
        <f>IF(A1715="",M1716,A1715)</f>
        <v>Guatemala</v>
      </c>
      <c r="N1715" s="3" t="str">
        <f t="shared" si="53"/>
        <v>Oct-2020</v>
      </c>
    </row>
    <row r="1716" spans="1:14" x14ac:dyDescent="0.3">
      <c r="A1716" s="3" t="s">
        <v>150</v>
      </c>
      <c r="B1716" s="3" t="s">
        <v>151</v>
      </c>
      <c r="C1716" s="8">
        <v>2020</v>
      </c>
      <c r="D1716" s="8">
        <v>11</v>
      </c>
      <c r="E1716" s="3" t="str">
        <f t="shared" si="52"/>
        <v>November</v>
      </c>
      <c r="F1716" s="3" t="s">
        <v>13</v>
      </c>
      <c r="G1716" s="8">
        <v>8106.1668179999997</v>
      </c>
      <c r="H1716" s="8">
        <v>9129</v>
      </c>
      <c r="I1716" s="8">
        <v>1006.824029</v>
      </c>
      <c r="J1716" s="8">
        <v>11156.04457</v>
      </c>
      <c r="K1716" s="8">
        <v>10423.97271</v>
      </c>
      <c r="L1716" s="8">
        <v>11889.85518</v>
      </c>
      <c r="M1716" s="9" t="str">
        <f>IF(A1716="",M1717,A1716)</f>
        <v>Guatemala</v>
      </c>
      <c r="N1716" s="3" t="str">
        <f t="shared" si="53"/>
        <v>Nov-2020</v>
      </c>
    </row>
    <row r="1717" spans="1:14" x14ac:dyDescent="0.3">
      <c r="A1717" s="3" t="s">
        <v>150</v>
      </c>
      <c r="B1717" s="3" t="s">
        <v>151</v>
      </c>
      <c r="C1717" s="8">
        <v>2020</v>
      </c>
      <c r="D1717" s="8">
        <v>12</v>
      </c>
      <c r="E1717" s="3" t="str">
        <f t="shared" si="52"/>
        <v>December</v>
      </c>
      <c r="F1717" s="3" t="s">
        <v>13</v>
      </c>
      <c r="G1717" s="8">
        <v>8105.906328</v>
      </c>
      <c r="H1717" s="8">
        <v>9546</v>
      </c>
      <c r="I1717" s="8">
        <v>1424.084519</v>
      </c>
      <c r="J1717" s="8">
        <v>12580.12909</v>
      </c>
      <c r="K1717" s="8">
        <v>11814.622960000001</v>
      </c>
      <c r="L1717" s="8">
        <v>13333.6885</v>
      </c>
      <c r="M1717" s="9" t="str">
        <f>IF(A1717="",M1718,A1717)</f>
        <v>Guatemala</v>
      </c>
      <c r="N1717" s="3" t="str">
        <f t="shared" si="53"/>
        <v>Dec-2020</v>
      </c>
    </row>
    <row r="1718" spans="1:14" x14ac:dyDescent="0.3">
      <c r="A1718" s="3" t="s">
        <v>150</v>
      </c>
      <c r="B1718" s="3" t="s">
        <v>151</v>
      </c>
      <c r="C1718" s="8">
        <v>2021</v>
      </c>
      <c r="D1718" s="8">
        <v>1</v>
      </c>
      <c r="E1718" s="3" t="str">
        <f t="shared" si="52"/>
        <v>January</v>
      </c>
      <c r="F1718" s="3" t="s">
        <v>13</v>
      </c>
      <c r="G1718" s="8">
        <v>8115.3687819999996</v>
      </c>
      <c r="H1718" s="8">
        <v>9717</v>
      </c>
      <c r="I1718" s="8">
        <v>1548.139557</v>
      </c>
      <c r="J1718" s="8">
        <v>14128.26865</v>
      </c>
      <c r="K1718" s="8">
        <v>13330.5576</v>
      </c>
      <c r="L1718" s="8">
        <v>14971.219279999999</v>
      </c>
      <c r="M1718" s="9" t="str">
        <f>IF(A1718="",M1719,A1718)</f>
        <v>Guatemala</v>
      </c>
      <c r="N1718" s="3" t="str">
        <f t="shared" si="53"/>
        <v>Jan-2021</v>
      </c>
    </row>
    <row r="1719" spans="1:14" x14ac:dyDescent="0.3">
      <c r="A1719" s="3" t="s">
        <v>150</v>
      </c>
      <c r="B1719" s="3" t="s">
        <v>151</v>
      </c>
      <c r="C1719" s="8">
        <v>2021</v>
      </c>
      <c r="D1719" s="8">
        <v>2</v>
      </c>
      <c r="E1719" s="3" t="str">
        <f t="shared" si="52"/>
        <v>February</v>
      </c>
      <c r="F1719" s="3" t="s">
        <v>13</v>
      </c>
      <c r="G1719" s="8">
        <v>8142.3101500000002</v>
      </c>
      <c r="H1719" s="8">
        <v>8069</v>
      </c>
      <c r="I1719" s="8">
        <v>-126.8018119</v>
      </c>
      <c r="J1719" s="8">
        <v>14001.466829999999</v>
      </c>
      <c r="K1719" s="8">
        <v>13149.577579999999</v>
      </c>
      <c r="L1719" s="8">
        <v>14829.723110000001</v>
      </c>
      <c r="M1719" s="9" t="str">
        <f>IF(A1719="",M1720,A1719)</f>
        <v>Guatemala</v>
      </c>
      <c r="N1719" s="3" t="str">
        <f t="shared" si="53"/>
        <v>Feb-2021</v>
      </c>
    </row>
    <row r="1720" spans="1:14" x14ac:dyDescent="0.3">
      <c r="A1720" s="3" t="s">
        <v>150</v>
      </c>
      <c r="B1720" s="3" t="s">
        <v>151</v>
      </c>
      <c r="C1720" s="8">
        <v>2021</v>
      </c>
      <c r="D1720" s="8">
        <v>3</v>
      </c>
      <c r="E1720" s="3" t="str">
        <f t="shared" si="52"/>
        <v>March</v>
      </c>
      <c r="F1720" s="3" t="s">
        <v>13</v>
      </c>
      <c r="G1720" s="8">
        <v>8183.4131829999997</v>
      </c>
      <c r="H1720" s="8">
        <v>9421</v>
      </c>
      <c r="I1720" s="8">
        <v>1184.095155</v>
      </c>
      <c r="J1720" s="8">
        <v>15185.56199</v>
      </c>
      <c r="K1720" s="8">
        <v>14325.62362</v>
      </c>
      <c r="L1720" s="8">
        <v>16021.267159999999</v>
      </c>
      <c r="M1720" s="9" t="str">
        <f>IF(A1720="",M1721,A1720)</f>
        <v>Guatemala</v>
      </c>
      <c r="N1720" s="3" t="str">
        <f t="shared" si="53"/>
        <v>Mar-2021</v>
      </c>
    </row>
    <row r="1721" spans="1:14" x14ac:dyDescent="0.3">
      <c r="A1721" s="3" t="s">
        <v>150</v>
      </c>
      <c r="B1721" s="3" t="s">
        <v>151</v>
      </c>
      <c r="C1721" s="8">
        <v>2021</v>
      </c>
      <c r="D1721" s="8">
        <v>4</v>
      </c>
      <c r="E1721" s="3" t="str">
        <f t="shared" si="52"/>
        <v>April</v>
      </c>
      <c r="F1721" s="3" t="s">
        <v>13</v>
      </c>
      <c r="G1721" s="8">
        <v>8244.6642580000007</v>
      </c>
      <c r="H1721" s="8">
        <v>10536</v>
      </c>
      <c r="I1721" s="8">
        <v>2237.8440810000002</v>
      </c>
      <c r="J1721" s="8">
        <v>17423.406070000001</v>
      </c>
      <c r="K1721" s="8">
        <v>16520.97624</v>
      </c>
      <c r="L1721" s="8">
        <v>18317.085790000001</v>
      </c>
      <c r="M1721" s="9" t="str">
        <f>IF(A1721="",M1722,A1721)</f>
        <v>Guatemala</v>
      </c>
      <c r="N1721" s="3" t="str">
        <f t="shared" si="53"/>
        <v>Apr-2021</v>
      </c>
    </row>
    <row r="1722" spans="1:14" x14ac:dyDescent="0.3">
      <c r="A1722" s="3" t="s">
        <v>150</v>
      </c>
      <c r="B1722" s="3" t="s">
        <v>151</v>
      </c>
      <c r="C1722" s="8">
        <v>2021</v>
      </c>
      <c r="D1722" s="8">
        <v>5</v>
      </c>
      <c r="E1722" s="3" t="str">
        <f t="shared" si="52"/>
        <v>May</v>
      </c>
      <c r="F1722" s="3" t="s">
        <v>13</v>
      </c>
      <c r="G1722" s="8">
        <v>8304.5766949999997</v>
      </c>
      <c r="H1722" s="8">
        <v>10780</v>
      </c>
      <c r="I1722" s="8">
        <v>2421.9316439999998</v>
      </c>
      <c r="J1722" s="8">
        <v>19845.33771</v>
      </c>
      <c r="K1722" s="8">
        <v>18906.098709999998</v>
      </c>
      <c r="L1722" s="8">
        <v>20862.343069999999</v>
      </c>
      <c r="M1722" s="9" t="str">
        <f>IF(A1722="",M1723,A1722)</f>
        <v>Guatemala</v>
      </c>
      <c r="N1722" s="3" t="str">
        <f t="shared" si="53"/>
        <v>May-2021</v>
      </c>
    </row>
    <row r="1723" spans="1:14" x14ac:dyDescent="0.3">
      <c r="A1723" s="3" t="s">
        <v>150</v>
      </c>
      <c r="B1723" s="3" t="s">
        <v>151</v>
      </c>
      <c r="C1723" s="8">
        <v>2021</v>
      </c>
      <c r="D1723" s="8">
        <v>6</v>
      </c>
      <c r="E1723" s="3" t="str">
        <f t="shared" si="52"/>
        <v>June</v>
      </c>
      <c r="F1723" s="3" t="s">
        <v>13</v>
      </c>
      <c r="G1723" s="8">
        <v>8307.4989089999999</v>
      </c>
      <c r="H1723" s="8">
        <v>10828</v>
      </c>
      <c r="I1723" s="8">
        <v>2467.0094300000001</v>
      </c>
      <c r="J1723" s="8">
        <v>22312.347140000002</v>
      </c>
      <c r="K1723" s="8">
        <v>21336.14991</v>
      </c>
      <c r="L1723" s="8">
        <v>23345.310890000001</v>
      </c>
      <c r="M1723" s="9" t="str">
        <f>IF(A1723="",M1724,A1723)</f>
        <v>Guatemala</v>
      </c>
      <c r="N1723" s="3" t="str">
        <f t="shared" si="53"/>
        <v>Jun-2021</v>
      </c>
    </row>
    <row r="1724" spans="1:14" x14ac:dyDescent="0.3">
      <c r="A1724" s="3" t="s">
        <v>150</v>
      </c>
      <c r="B1724" s="3" t="s">
        <v>151</v>
      </c>
      <c r="C1724" s="8">
        <v>2021</v>
      </c>
      <c r="D1724" s="8">
        <v>7</v>
      </c>
      <c r="E1724" s="3" t="str">
        <f t="shared" si="52"/>
        <v>July</v>
      </c>
      <c r="F1724" s="3" t="s">
        <v>13</v>
      </c>
      <c r="G1724" s="8">
        <v>8319.9670910000004</v>
      </c>
      <c r="H1724" s="8">
        <v>13078</v>
      </c>
      <c r="I1724" s="8">
        <v>4704.5412470000001</v>
      </c>
      <c r="J1724" s="8">
        <v>27016.88839</v>
      </c>
      <c r="K1724" s="8">
        <v>25959.619589999998</v>
      </c>
      <c r="L1724" s="8">
        <v>28143.165830000002</v>
      </c>
      <c r="M1724" s="9" t="str">
        <f>IF(A1724="",M1725,A1724)</f>
        <v>Guatemala</v>
      </c>
      <c r="N1724" s="3" t="str">
        <f t="shared" si="53"/>
        <v>Jul-2021</v>
      </c>
    </row>
    <row r="1725" spans="1:14" x14ac:dyDescent="0.3">
      <c r="A1725" s="3" t="s">
        <v>150</v>
      </c>
      <c r="B1725" s="3" t="s">
        <v>151</v>
      </c>
      <c r="C1725" s="8">
        <v>2021</v>
      </c>
      <c r="D1725" s="8">
        <v>8</v>
      </c>
      <c r="E1725" s="3" t="str">
        <f t="shared" si="52"/>
        <v>August</v>
      </c>
      <c r="F1725" s="3" t="s">
        <v>13</v>
      </c>
      <c r="G1725" s="8">
        <v>8280.835556</v>
      </c>
      <c r="H1725" s="8">
        <v>16256</v>
      </c>
      <c r="I1725" s="8">
        <v>7921.672783</v>
      </c>
      <c r="J1725" s="8">
        <v>34938.561170000001</v>
      </c>
      <c r="K1725" s="8">
        <v>33855.908329999998</v>
      </c>
      <c r="L1725" s="8">
        <v>36082.49411</v>
      </c>
      <c r="M1725" s="9" t="str">
        <f>IF(A1725="",M1726,A1725)</f>
        <v>Guatemala</v>
      </c>
      <c r="N1725" s="3" t="str">
        <f t="shared" si="53"/>
        <v>Aug-2021</v>
      </c>
    </row>
    <row r="1726" spans="1:14" x14ac:dyDescent="0.3">
      <c r="A1726" s="3" t="s">
        <v>150</v>
      </c>
      <c r="B1726" s="3" t="s">
        <v>151</v>
      </c>
      <c r="C1726" s="8">
        <v>2021</v>
      </c>
      <c r="D1726" s="8">
        <v>9</v>
      </c>
      <c r="E1726" s="3" t="str">
        <f t="shared" si="52"/>
        <v>September</v>
      </c>
      <c r="F1726" s="3" t="s">
        <v>13</v>
      </c>
      <c r="G1726" s="8">
        <v>8241.4082729999991</v>
      </c>
      <c r="H1726" s="8">
        <v>17347</v>
      </c>
      <c r="I1726" s="8">
        <v>9052.1000650000005</v>
      </c>
      <c r="J1726" s="8">
        <v>43990.661240000001</v>
      </c>
      <c r="K1726" s="8">
        <v>42898.273739999997</v>
      </c>
      <c r="L1726" s="8">
        <v>45207.121209999998</v>
      </c>
      <c r="M1726" s="9" t="str">
        <f>IF(A1726="",M1727,A1726)</f>
        <v>Guatemala</v>
      </c>
      <c r="N1726" s="3" t="str">
        <f t="shared" si="53"/>
        <v>Sep-2021</v>
      </c>
    </row>
    <row r="1727" spans="1:14" x14ac:dyDescent="0.3">
      <c r="A1727" s="3" t="s">
        <v>150</v>
      </c>
      <c r="B1727" s="3" t="s">
        <v>151</v>
      </c>
      <c r="C1727" s="8">
        <v>2021</v>
      </c>
      <c r="D1727" s="8">
        <v>10</v>
      </c>
      <c r="E1727" s="3" t="str">
        <f t="shared" si="52"/>
        <v>October</v>
      </c>
      <c r="F1727" s="3" t="s">
        <v>13</v>
      </c>
      <c r="G1727" s="8">
        <v>8206.4138980000007</v>
      </c>
      <c r="H1727" s="8">
        <v>11986</v>
      </c>
      <c r="I1727" s="8">
        <v>3726.0944410000002</v>
      </c>
      <c r="J1727" s="8">
        <v>47716.755680000002</v>
      </c>
      <c r="K1727" s="8">
        <v>46570.480920000002</v>
      </c>
      <c r="L1727" s="8">
        <v>48948.596270000002</v>
      </c>
      <c r="M1727" s="9" t="str">
        <f>IF(A1727="",M1728,A1727)</f>
        <v>Guatemala</v>
      </c>
      <c r="N1727" s="3" t="str">
        <f t="shared" si="53"/>
        <v>Oct-2021</v>
      </c>
    </row>
    <row r="1728" spans="1:14" x14ac:dyDescent="0.3">
      <c r="A1728" s="3" t="s">
        <v>150</v>
      </c>
      <c r="B1728" s="3" t="s">
        <v>151</v>
      </c>
      <c r="C1728" s="8">
        <v>2021</v>
      </c>
      <c r="D1728" s="8">
        <v>11</v>
      </c>
      <c r="E1728" s="3" t="str">
        <f t="shared" si="52"/>
        <v>November</v>
      </c>
      <c r="F1728" s="3" t="s">
        <v>13</v>
      </c>
      <c r="G1728" s="8">
        <v>8189.3839760000001</v>
      </c>
      <c r="H1728" s="8">
        <v>8917</v>
      </c>
      <c r="I1728" s="8">
        <v>674.12436300000002</v>
      </c>
      <c r="J1728" s="8">
        <v>48390.880039999996</v>
      </c>
      <c r="K1728" s="8">
        <v>47156.373489999998</v>
      </c>
      <c r="L1728" s="8">
        <v>49652.19094</v>
      </c>
      <c r="M1728" s="9" t="str">
        <f>IF(A1728="",M1729,A1728)</f>
        <v>Guatemala</v>
      </c>
      <c r="N1728" s="3" t="str">
        <f t="shared" si="53"/>
        <v>Nov-2021</v>
      </c>
    </row>
    <row r="1729" spans="1:14" x14ac:dyDescent="0.3">
      <c r="A1729" s="3" t="s">
        <v>150</v>
      </c>
      <c r="B1729" s="3" t="s">
        <v>151</v>
      </c>
      <c r="C1729" s="8">
        <v>2021</v>
      </c>
      <c r="D1729" s="8">
        <v>12</v>
      </c>
      <c r="E1729" s="3" t="str">
        <f t="shared" si="52"/>
        <v>December</v>
      </c>
      <c r="F1729" s="3" t="s">
        <v>13</v>
      </c>
      <c r="G1729" s="8">
        <v>8189.6872469999998</v>
      </c>
      <c r="H1729" s="8">
        <v>8909</v>
      </c>
      <c r="I1729" s="8">
        <v>665.8210914</v>
      </c>
      <c r="J1729" s="8">
        <v>49056.701130000001</v>
      </c>
      <c r="K1729" s="8">
        <v>47796.808649999999</v>
      </c>
      <c r="L1729" s="8">
        <v>50384.057990000001</v>
      </c>
      <c r="M1729" s="9" t="str">
        <f>IF(A1729="",M1730,A1729)</f>
        <v>Guatemala</v>
      </c>
      <c r="N1729" s="3" t="str">
        <f t="shared" si="53"/>
        <v>Dec-2021</v>
      </c>
    </row>
    <row r="1730" spans="1:14" x14ac:dyDescent="0.3">
      <c r="A1730" s="3" t="s">
        <v>152</v>
      </c>
      <c r="B1730" s="3" t="s">
        <v>153</v>
      </c>
      <c r="C1730" s="8">
        <v>2020</v>
      </c>
      <c r="D1730" s="8">
        <v>1</v>
      </c>
      <c r="E1730" s="3" t="str">
        <f t="shared" ref="E1730:E1793" si="54">TEXT(DATE(C1730,D1730,1),"MMMM")</f>
        <v>January</v>
      </c>
      <c r="F1730" s="3" t="s">
        <v>8</v>
      </c>
      <c r="G1730" s="8">
        <v>696.78573830000005</v>
      </c>
      <c r="H1730" s="8">
        <v>703.173</v>
      </c>
      <c r="I1730" s="8">
        <v>6.3872616759999996</v>
      </c>
      <c r="J1730" s="8">
        <v>6.3872616759999996</v>
      </c>
      <c r="K1730" s="8">
        <v>-168.79945069999999</v>
      </c>
      <c r="L1730" s="8">
        <v>224.78288330000001</v>
      </c>
      <c r="M1730" s="9" t="str">
        <f>IF(A1730="",M1731,A1730)</f>
        <v>Guyana</v>
      </c>
      <c r="N1730" s="3" t="str">
        <f t="shared" ref="N1730:N1793" si="55">TEXT(DATE(C1730,D1730,1),"MMM-YYYY")</f>
        <v>Jan-2020</v>
      </c>
    </row>
    <row r="1731" spans="1:14" x14ac:dyDescent="0.3">
      <c r="A1731" s="3" t="s">
        <v>152</v>
      </c>
      <c r="B1731" s="3" t="s">
        <v>153</v>
      </c>
      <c r="C1731" s="8">
        <v>2020</v>
      </c>
      <c r="D1731" s="8">
        <v>2</v>
      </c>
      <c r="E1731" s="3" t="str">
        <f t="shared" si="54"/>
        <v>February</v>
      </c>
      <c r="F1731" s="3" t="s">
        <v>8</v>
      </c>
      <c r="G1731" s="8">
        <v>697.34085849999997</v>
      </c>
      <c r="H1731" s="8">
        <v>682.52499999999998</v>
      </c>
      <c r="I1731" s="8">
        <v>-14.81585847</v>
      </c>
      <c r="J1731" s="8">
        <v>-8.4285967920000004</v>
      </c>
      <c r="K1731" s="8">
        <v>-269.0383483</v>
      </c>
      <c r="L1731" s="8">
        <v>287.54930730000001</v>
      </c>
      <c r="M1731" s="9" t="str">
        <f>IF(A1731="",M1732,A1731)</f>
        <v>Guyana</v>
      </c>
      <c r="N1731" s="3" t="str">
        <f t="shared" si="55"/>
        <v>Feb-2020</v>
      </c>
    </row>
    <row r="1732" spans="1:14" x14ac:dyDescent="0.3">
      <c r="A1732" s="3" t="s">
        <v>152</v>
      </c>
      <c r="B1732" s="3" t="s">
        <v>153</v>
      </c>
      <c r="C1732" s="8">
        <v>2020</v>
      </c>
      <c r="D1732" s="8">
        <v>3</v>
      </c>
      <c r="E1732" s="3" t="str">
        <f t="shared" si="54"/>
        <v>March</v>
      </c>
      <c r="F1732" s="3" t="s">
        <v>8</v>
      </c>
      <c r="G1732" s="8">
        <v>695.38289780000002</v>
      </c>
      <c r="H1732" s="8">
        <v>693.91099999999994</v>
      </c>
      <c r="I1732" s="8">
        <v>-1.4718978199999999</v>
      </c>
      <c r="J1732" s="8">
        <v>-9.9004946119999993</v>
      </c>
      <c r="K1732" s="8">
        <v>-348.63861320000001</v>
      </c>
      <c r="L1732" s="8">
        <v>372.4861386</v>
      </c>
      <c r="M1732" s="9" t="str">
        <f>IF(A1732="",M1733,A1732)</f>
        <v>Guyana</v>
      </c>
      <c r="N1732" s="3" t="str">
        <f t="shared" si="55"/>
        <v>Mar-2020</v>
      </c>
    </row>
    <row r="1733" spans="1:14" x14ac:dyDescent="0.3">
      <c r="A1733" s="3" t="s">
        <v>152</v>
      </c>
      <c r="B1733" s="3" t="s">
        <v>153</v>
      </c>
      <c r="C1733" s="8">
        <v>2020</v>
      </c>
      <c r="D1733" s="8">
        <v>4</v>
      </c>
      <c r="E1733" s="3" t="str">
        <f t="shared" si="54"/>
        <v>April</v>
      </c>
      <c r="F1733" s="3" t="s">
        <v>8</v>
      </c>
      <c r="G1733" s="8">
        <v>695.07812690000003</v>
      </c>
      <c r="H1733" s="8">
        <v>715.59799999999996</v>
      </c>
      <c r="I1733" s="8">
        <v>20.519873130000001</v>
      </c>
      <c r="J1733" s="8">
        <v>10.61937852</v>
      </c>
      <c r="K1733" s="8">
        <v>-356.87275260000001</v>
      </c>
      <c r="L1733" s="8">
        <v>419.08868860000001</v>
      </c>
      <c r="M1733" s="9" t="str">
        <f>IF(A1733="",M1734,A1733)</f>
        <v>Guyana</v>
      </c>
      <c r="N1733" s="3" t="str">
        <f t="shared" si="55"/>
        <v>Apr-2020</v>
      </c>
    </row>
    <row r="1734" spans="1:14" x14ac:dyDescent="0.3">
      <c r="A1734" s="3" t="s">
        <v>152</v>
      </c>
      <c r="B1734" s="3" t="s">
        <v>153</v>
      </c>
      <c r="C1734" s="8">
        <v>2020</v>
      </c>
      <c r="D1734" s="8">
        <v>5</v>
      </c>
      <c r="E1734" s="3" t="str">
        <f t="shared" si="54"/>
        <v>May</v>
      </c>
      <c r="F1734" s="3" t="s">
        <v>8</v>
      </c>
      <c r="G1734" s="8">
        <v>695.94602329999998</v>
      </c>
      <c r="H1734" s="8">
        <v>710.98699999999997</v>
      </c>
      <c r="I1734" s="8">
        <v>15.04097668</v>
      </c>
      <c r="J1734" s="8">
        <v>25.660355190000001</v>
      </c>
      <c r="K1734" s="8">
        <v>-373.50034599999998</v>
      </c>
      <c r="L1734" s="8">
        <v>504.9746682</v>
      </c>
      <c r="M1734" s="9" t="str">
        <f>IF(A1734="",M1735,A1734)</f>
        <v>Guyana</v>
      </c>
      <c r="N1734" s="3" t="str">
        <f t="shared" si="55"/>
        <v>May-2020</v>
      </c>
    </row>
    <row r="1735" spans="1:14" x14ac:dyDescent="0.3">
      <c r="A1735" s="3" t="s">
        <v>152</v>
      </c>
      <c r="B1735" s="3" t="s">
        <v>153</v>
      </c>
      <c r="C1735" s="8">
        <v>2020</v>
      </c>
      <c r="D1735" s="8">
        <v>6</v>
      </c>
      <c r="E1735" s="3" t="str">
        <f t="shared" si="54"/>
        <v>June</v>
      </c>
      <c r="F1735" s="3" t="s">
        <v>8</v>
      </c>
      <c r="G1735" s="8">
        <v>697.64183030000004</v>
      </c>
      <c r="H1735" s="8">
        <v>732.76800000000003</v>
      </c>
      <c r="I1735" s="8">
        <v>35.126169730000001</v>
      </c>
      <c r="J1735" s="8">
        <v>60.786524919999998</v>
      </c>
      <c r="K1735" s="8">
        <v>-406.78044490000002</v>
      </c>
      <c r="L1735" s="8">
        <v>571.8834842</v>
      </c>
      <c r="M1735" s="9" t="str">
        <f>IF(A1735="",M1736,A1735)</f>
        <v>Guyana</v>
      </c>
      <c r="N1735" s="3" t="str">
        <f t="shared" si="55"/>
        <v>Jun-2020</v>
      </c>
    </row>
    <row r="1736" spans="1:14" x14ac:dyDescent="0.3">
      <c r="A1736" s="3" t="s">
        <v>152</v>
      </c>
      <c r="B1736" s="3" t="s">
        <v>153</v>
      </c>
      <c r="C1736" s="8">
        <v>2020</v>
      </c>
      <c r="D1736" s="8">
        <v>7</v>
      </c>
      <c r="E1736" s="3" t="str">
        <f t="shared" si="54"/>
        <v>July</v>
      </c>
      <c r="F1736" s="3" t="s">
        <v>8</v>
      </c>
      <c r="G1736" s="8">
        <v>697.06260989999998</v>
      </c>
      <c r="H1736" s="8">
        <v>809.404</v>
      </c>
      <c r="I1736" s="8">
        <v>112.3413901</v>
      </c>
      <c r="J1736" s="8">
        <v>173.127915</v>
      </c>
      <c r="K1736" s="8">
        <v>-318.12409059999999</v>
      </c>
      <c r="L1736" s="8">
        <v>736.14814520000004</v>
      </c>
      <c r="M1736" s="9" t="str">
        <f>IF(A1736="",M1737,A1736)</f>
        <v>Guyana</v>
      </c>
      <c r="N1736" s="3" t="str">
        <f t="shared" si="55"/>
        <v>Jul-2020</v>
      </c>
    </row>
    <row r="1737" spans="1:14" x14ac:dyDescent="0.3">
      <c r="A1737" s="3" t="s">
        <v>152</v>
      </c>
      <c r="B1737" s="3" t="s">
        <v>153</v>
      </c>
      <c r="C1737" s="8">
        <v>2020</v>
      </c>
      <c r="D1737" s="8">
        <v>8</v>
      </c>
      <c r="E1737" s="3" t="str">
        <f t="shared" si="54"/>
        <v>August</v>
      </c>
      <c r="F1737" s="3" t="s">
        <v>8</v>
      </c>
      <c r="G1737" s="8">
        <v>694.38443099999995</v>
      </c>
      <c r="H1737" s="8">
        <v>831.19600000000003</v>
      </c>
      <c r="I1737" s="8">
        <v>136.81156899999999</v>
      </c>
      <c r="J1737" s="8">
        <v>309.93948399999999</v>
      </c>
      <c r="K1737" s="8">
        <v>-249.56038079999999</v>
      </c>
      <c r="L1737" s="8">
        <v>935.53850390000002</v>
      </c>
      <c r="M1737" s="9" t="str">
        <f>IF(A1737="",M1738,A1737)</f>
        <v>Guyana</v>
      </c>
      <c r="N1737" s="3" t="str">
        <f t="shared" si="55"/>
        <v>Aug-2020</v>
      </c>
    </row>
    <row r="1738" spans="1:14" x14ac:dyDescent="0.3">
      <c r="A1738" s="3" t="s">
        <v>152</v>
      </c>
      <c r="B1738" s="3" t="s">
        <v>153</v>
      </c>
      <c r="C1738" s="8">
        <v>2020</v>
      </c>
      <c r="D1738" s="8">
        <v>9</v>
      </c>
      <c r="E1738" s="3" t="str">
        <f t="shared" si="54"/>
        <v>September</v>
      </c>
      <c r="F1738" s="3" t="s">
        <v>8</v>
      </c>
      <c r="G1738" s="8">
        <v>691.25074529999995</v>
      </c>
      <c r="H1738" s="8">
        <v>851.93799999999999</v>
      </c>
      <c r="I1738" s="8">
        <v>160.68725470000001</v>
      </c>
      <c r="J1738" s="8">
        <v>470.62673869999998</v>
      </c>
      <c r="K1738" s="8">
        <v>-150.419251</v>
      </c>
      <c r="L1738" s="8">
        <v>1128.394092</v>
      </c>
      <c r="M1738" s="9" t="str">
        <f>IF(A1738="",M1739,A1738)</f>
        <v>Guyana</v>
      </c>
      <c r="N1738" s="3" t="str">
        <f t="shared" si="55"/>
        <v>Sep-2020</v>
      </c>
    </row>
    <row r="1739" spans="1:14" x14ac:dyDescent="0.3">
      <c r="A1739" s="3" t="s">
        <v>152</v>
      </c>
      <c r="B1739" s="3" t="s">
        <v>153</v>
      </c>
      <c r="C1739" s="8">
        <v>2020</v>
      </c>
      <c r="D1739" s="8">
        <v>10</v>
      </c>
      <c r="E1739" s="3" t="str">
        <f t="shared" si="54"/>
        <v>October</v>
      </c>
      <c r="F1739" s="3" t="s">
        <v>8</v>
      </c>
      <c r="G1739" s="8">
        <v>692.69864380000001</v>
      </c>
      <c r="H1739" s="8">
        <v>843.68799999999999</v>
      </c>
      <c r="I1739" s="8">
        <v>150.9893562</v>
      </c>
      <c r="J1739" s="8">
        <v>621.61609490000001</v>
      </c>
      <c r="K1739" s="8">
        <v>6.0418754129999996</v>
      </c>
      <c r="L1739" s="8">
        <v>1341.805977</v>
      </c>
      <c r="M1739" s="9" t="str">
        <f>IF(A1739="",M1740,A1739)</f>
        <v>Guyana</v>
      </c>
      <c r="N1739" s="3" t="str">
        <f t="shared" si="55"/>
        <v>Oct-2020</v>
      </c>
    </row>
    <row r="1740" spans="1:14" x14ac:dyDescent="0.3">
      <c r="A1740" s="3" t="s">
        <v>152</v>
      </c>
      <c r="B1740" s="3" t="s">
        <v>153</v>
      </c>
      <c r="C1740" s="8">
        <v>2020</v>
      </c>
      <c r="D1740" s="8">
        <v>11</v>
      </c>
      <c r="E1740" s="3" t="str">
        <f t="shared" si="54"/>
        <v>November</v>
      </c>
      <c r="F1740" s="3" t="s">
        <v>8</v>
      </c>
      <c r="G1740" s="8">
        <v>694.28127340000003</v>
      </c>
      <c r="H1740" s="8">
        <v>799.51800000000003</v>
      </c>
      <c r="I1740" s="8">
        <v>105.2367266</v>
      </c>
      <c r="J1740" s="8">
        <v>726.85282140000004</v>
      </c>
      <c r="K1740" s="8">
        <v>58.854000290000002</v>
      </c>
      <c r="L1740" s="8">
        <v>1504.6268339999999</v>
      </c>
      <c r="M1740" s="9" t="str">
        <f>IF(A1740="",M1741,A1740)</f>
        <v>Guyana</v>
      </c>
      <c r="N1740" s="3" t="str">
        <f t="shared" si="55"/>
        <v>Nov-2020</v>
      </c>
    </row>
    <row r="1741" spans="1:14" x14ac:dyDescent="0.3">
      <c r="A1741" s="3" t="s">
        <v>152</v>
      </c>
      <c r="B1741" s="3" t="s">
        <v>153</v>
      </c>
      <c r="C1741" s="8">
        <v>2020</v>
      </c>
      <c r="D1741" s="8">
        <v>12</v>
      </c>
      <c r="E1741" s="3" t="str">
        <f t="shared" si="54"/>
        <v>December</v>
      </c>
      <c r="F1741" s="3" t="s">
        <v>8</v>
      </c>
      <c r="G1741" s="8">
        <v>697.43419189999997</v>
      </c>
      <c r="H1741" s="8">
        <v>779.95500000000004</v>
      </c>
      <c r="I1741" s="8">
        <v>82.520808119999998</v>
      </c>
      <c r="J1741" s="8">
        <v>809.37362959999996</v>
      </c>
      <c r="K1741" s="8">
        <v>87.490118670000001</v>
      </c>
      <c r="L1741" s="8">
        <v>1630.4747500000001</v>
      </c>
      <c r="M1741" s="9" t="str">
        <f>IF(A1741="",M1742,A1741)</f>
        <v>Guyana</v>
      </c>
      <c r="N1741" s="3" t="str">
        <f t="shared" si="55"/>
        <v>Dec-2020</v>
      </c>
    </row>
    <row r="1742" spans="1:14" x14ac:dyDescent="0.3">
      <c r="A1742" s="3" t="s">
        <v>152</v>
      </c>
      <c r="B1742" s="3" t="s">
        <v>153</v>
      </c>
      <c r="C1742" s="8">
        <v>2021</v>
      </c>
      <c r="D1742" s="8">
        <v>1</v>
      </c>
      <c r="E1742" s="3" t="str">
        <f t="shared" si="54"/>
        <v>January</v>
      </c>
      <c r="F1742" s="3" t="s">
        <v>8</v>
      </c>
      <c r="G1742" s="8">
        <v>723.86108739999997</v>
      </c>
      <c r="H1742" s="8">
        <v>808.75300000000004</v>
      </c>
      <c r="I1742" s="8">
        <v>84.891912610000006</v>
      </c>
      <c r="J1742" s="8">
        <v>894.26554220000003</v>
      </c>
      <c r="K1742" s="8">
        <v>151.9746145</v>
      </c>
      <c r="L1742" s="8">
        <v>1720.5290299999999</v>
      </c>
      <c r="M1742" s="9" t="str">
        <f>IF(A1742="",M1743,A1742)</f>
        <v>Guyana</v>
      </c>
      <c r="N1742" s="3" t="str">
        <f t="shared" si="55"/>
        <v>Jan-2021</v>
      </c>
    </row>
    <row r="1743" spans="1:14" x14ac:dyDescent="0.3">
      <c r="A1743" s="3" t="s">
        <v>152</v>
      </c>
      <c r="B1743" s="3" t="s">
        <v>153</v>
      </c>
      <c r="C1743" s="8">
        <v>2021</v>
      </c>
      <c r="D1743" s="8">
        <v>2</v>
      </c>
      <c r="E1743" s="3" t="str">
        <f t="shared" si="54"/>
        <v>February</v>
      </c>
      <c r="F1743" s="3" t="s">
        <v>8</v>
      </c>
      <c r="G1743" s="8">
        <v>722.76256839999996</v>
      </c>
      <c r="H1743" s="8">
        <v>837.678</v>
      </c>
      <c r="I1743" s="8">
        <v>114.91543160000001</v>
      </c>
      <c r="J1743" s="8">
        <v>1009.180974</v>
      </c>
      <c r="K1743" s="8">
        <v>227.93116330000001</v>
      </c>
      <c r="L1743" s="8">
        <v>1891.3084369999999</v>
      </c>
      <c r="M1743" s="9" t="str">
        <f>IF(A1743="",M1744,A1743)</f>
        <v>Guyana</v>
      </c>
      <c r="N1743" s="3" t="str">
        <f t="shared" si="55"/>
        <v>Feb-2021</v>
      </c>
    </row>
    <row r="1744" spans="1:14" x14ac:dyDescent="0.3">
      <c r="A1744" s="3" t="s">
        <v>152</v>
      </c>
      <c r="B1744" s="3" t="s">
        <v>153</v>
      </c>
      <c r="C1744" s="8">
        <v>2021</v>
      </c>
      <c r="D1744" s="8">
        <v>3</v>
      </c>
      <c r="E1744" s="3" t="str">
        <f t="shared" si="54"/>
        <v>March</v>
      </c>
      <c r="F1744" s="3" t="s">
        <v>8</v>
      </c>
      <c r="G1744" s="8">
        <v>721.71066670000005</v>
      </c>
      <c r="H1744" s="8">
        <v>876.68100000000004</v>
      </c>
      <c r="I1744" s="8">
        <v>154.97033329999999</v>
      </c>
      <c r="J1744" s="8">
        <v>1164.1513070000001</v>
      </c>
      <c r="K1744" s="8">
        <v>327.3455601</v>
      </c>
      <c r="L1744" s="8">
        <v>2045.0462749999999</v>
      </c>
      <c r="M1744" s="9" t="str">
        <f>IF(A1744="",M1745,A1744)</f>
        <v>Guyana</v>
      </c>
      <c r="N1744" s="3" t="str">
        <f t="shared" si="55"/>
        <v>Mar-2021</v>
      </c>
    </row>
    <row r="1745" spans="1:14" x14ac:dyDescent="0.3">
      <c r="A1745" s="3" t="s">
        <v>152</v>
      </c>
      <c r="B1745" s="3" t="s">
        <v>153</v>
      </c>
      <c r="C1745" s="8">
        <v>2021</v>
      </c>
      <c r="D1745" s="8">
        <v>4</v>
      </c>
      <c r="E1745" s="3" t="str">
        <f t="shared" si="54"/>
        <v>April</v>
      </c>
      <c r="F1745" s="3" t="s">
        <v>8</v>
      </c>
      <c r="G1745" s="8">
        <v>721.40168949999997</v>
      </c>
      <c r="H1745" s="8">
        <v>938.68299999999999</v>
      </c>
      <c r="I1745" s="8">
        <v>217.28131049999999</v>
      </c>
      <c r="J1745" s="8">
        <v>1381.432618</v>
      </c>
      <c r="K1745" s="8">
        <v>503.24506309999998</v>
      </c>
      <c r="L1745" s="8">
        <v>2267.9397779999999</v>
      </c>
      <c r="M1745" s="9" t="str">
        <f>IF(A1745="",M1746,A1745)</f>
        <v>Guyana</v>
      </c>
      <c r="N1745" s="3" t="str">
        <f t="shared" si="55"/>
        <v>Apr-2021</v>
      </c>
    </row>
    <row r="1746" spans="1:14" x14ac:dyDescent="0.3">
      <c r="A1746" s="3" t="s">
        <v>152</v>
      </c>
      <c r="B1746" s="3" t="s">
        <v>153</v>
      </c>
      <c r="C1746" s="8">
        <v>2021</v>
      </c>
      <c r="D1746" s="8">
        <v>5</v>
      </c>
      <c r="E1746" s="3" t="str">
        <f t="shared" si="54"/>
        <v>May</v>
      </c>
      <c r="F1746" s="3" t="s">
        <v>8</v>
      </c>
      <c r="G1746" s="8">
        <v>722.77957679999997</v>
      </c>
      <c r="H1746" s="8">
        <v>1002.681</v>
      </c>
      <c r="I1746" s="8">
        <v>279.90142320000001</v>
      </c>
      <c r="J1746" s="8">
        <v>1661.3340410000001</v>
      </c>
      <c r="K1746" s="8">
        <v>721.25438080000004</v>
      </c>
      <c r="L1746" s="8">
        <v>2682.509035</v>
      </c>
      <c r="M1746" s="9" t="str">
        <f>IF(A1746="",M1747,A1746)</f>
        <v>Guyana</v>
      </c>
      <c r="N1746" s="3" t="str">
        <f t="shared" si="55"/>
        <v>May-2021</v>
      </c>
    </row>
    <row r="1747" spans="1:14" x14ac:dyDescent="0.3">
      <c r="A1747" s="3" t="s">
        <v>152</v>
      </c>
      <c r="B1747" s="3" t="s">
        <v>153</v>
      </c>
      <c r="C1747" s="8">
        <v>2021</v>
      </c>
      <c r="D1747" s="8">
        <v>6</v>
      </c>
      <c r="E1747" s="3" t="str">
        <f t="shared" si="54"/>
        <v>June</v>
      </c>
      <c r="F1747" s="3" t="s">
        <v>8</v>
      </c>
      <c r="G1747" s="8">
        <v>724.67528040000002</v>
      </c>
      <c r="H1747" s="8">
        <v>1001.397</v>
      </c>
      <c r="I1747" s="8">
        <v>276.72171959999997</v>
      </c>
      <c r="J1747" s="8">
        <v>1938.05576</v>
      </c>
      <c r="K1747" s="8">
        <v>994.11640379999994</v>
      </c>
      <c r="L1747" s="8">
        <v>2974.427925</v>
      </c>
      <c r="M1747" s="9" t="str">
        <f>IF(A1747="",M1748,A1747)</f>
        <v>Guyana</v>
      </c>
      <c r="N1747" s="3" t="str">
        <f t="shared" si="55"/>
        <v>Jun-2021</v>
      </c>
    </row>
    <row r="1748" spans="1:14" x14ac:dyDescent="0.3">
      <c r="A1748" s="3" t="s">
        <v>152</v>
      </c>
      <c r="B1748" s="3" t="s">
        <v>153</v>
      </c>
      <c r="C1748" s="8">
        <v>2021</v>
      </c>
      <c r="D1748" s="8">
        <v>7</v>
      </c>
      <c r="E1748" s="3" t="str">
        <f t="shared" si="54"/>
        <v>July</v>
      </c>
      <c r="F1748" s="3" t="s">
        <v>8</v>
      </c>
      <c r="G1748" s="8">
        <v>724.05462850000004</v>
      </c>
      <c r="H1748" s="8">
        <v>995.87400000000002</v>
      </c>
      <c r="I1748" s="8">
        <v>271.81937149999999</v>
      </c>
      <c r="J1748" s="8">
        <v>2209.8751320000001</v>
      </c>
      <c r="K1748" s="8">
        <v>1230.5292919999999</v>
      </c>
      <c r="L1748" s="8">
        <v>3250.7450210000002</v>
      </c>
      <c r="M1748" s="9" t="str">
        <f>IF(A1748="",M1749,A1748)</f>
        <v>Guyana</v>
      </c>
      <c r="N1748" s="3" t="str">
        <f t="shared" si="55"/>
        <v>Jul-2021</v>
      </c>
    </row>
    <row r="1749" spans="1:14" x14ac:dyDescent="0.3">
      <c r="A1749" s="3" t="s">
        <v>152</v>
      </c>
      <c r="B1749" s="3" t="s">
        <v>153</v>
      </c>
      <c r="C1749" s="8">
        <v>2021</v>
      </c>
      <c r="D1749" s="8">
        <v>8</v>
      </c>
      <c r="E1749" s="3" t="str">
        <f t="shared" si="54"/>
        <v>August</v>
      </c>
      <c r="F1749" s="3" t="s">
        <v>8</v>
      </c>
      <c r="G1749" s="8">
        <v>721.44598980000001</v>
      </c>
      <c r="H1749" s="8">
        <v>1034.6120000000001</v>
      </c>
      <c r="I1749" s="8">
        <v>313.16601020000002</v>
      </c>
      <c r="J1749" s="8">
        <v>2523.041142</v>
      </c>
      <c r="K1749" s="8">
        <v>1480.320993</v>
      </c>
      <c r="L1749" s="8">
        <v>3622.8165770000001</v>
      </c>
      <c r="M1749" s="9" t="str">
        <f>IF(A1749="",M1750,A1749)</f>
        <v>Guyana</v>
      </c>
      <c r="N1749" s="3" t="str">
        <f t="shared" si="55"/>
        <v>Aug-2021</v>
      </c>
    </row>
    <row r="1750" spans="1:14" x14ac:dyDescent="0.3">
      <c r="A1750" s="3" t="s">
        <v>152</v>
      </c>
      <c r="B1750" s="3" t="s">
        <v>153</v>
      </c>
      <c r="C1750" s="8">
        <v>2021</v>
      </c>
      <c r="D1750" s="8">
        <v>9</v>
      </c>
      <c r="E1750" s="3" t="str">
        <f t="shared" si="54"/>
        <v>September</v>
      </c>
      <c r="F1750" s="3" t="s">
        <v>8</v>
      </c>
      <c r="G1750" s="8">
        <v>717.52721159999999</v>
      </c>
      <c r="H1750" s="8">
        <v>1237.03</v>
      </c>
      <c r="I1750" s="8">
        <v>519.50278839999999</v>
      </c>
      <c r="J1750" s="8">
        <v>3042.5439299999998</v>
      </c>
      <c r="K1750" s="8">
        <v>1891.2251980000001</v>
      </c>
      <c r="L1750" s="8">
        <v>4202.9087840000002</v>
      </c>
      <c r="M1750" s="9" t="str">
        <f>IF(A1750="",M1751,A1750)</f>
        <v>Guyana</v>
      </c>
      <c r="N1750" s="3" t="str">
        <f t="shared" si="55"/>
        <v>Sep-2021</v>
      </c>
    </row>
    <row r="1751" spans="1:14" x14ac:dyDescent="0.3">
      <c r="A1751" s="3" t="s">
        <v>152</v>
      </c>
      <c r="B1751" s="3" t="s">
        <v>153</v>
      </c>
      <c r="C1751" s="8">
        <v>2021</v>
      </c>
      <c r="D1751" s="8">
        <v>10</v>
      </c>
      <c r="E1751" s="3" t="str">
        <f t="shared" si="54"/>
        <v>October</v>
      </c>
      <c r="F1751" s="3" t="s">
        <v>8</v>
      </c>
      <c r="G1751" s="8">
        <v>719.7286977</v>
      </c>
      <c r="H1751" s="8">
        <v>1064.2619999999999</v>
      </c>
      <c r="I1751" s="8">
        <v>344.5333023</v>
      </c>
      <c r="J1751" s="8">
        <v>3387.077233</v>
      </c>
      <c r="K1751" s="8">
        <v>2249.1852819999999</v>
      </c>
      <c r="L1751" s="8">
        <v>4620.0181069999999</v>
      </c>
      <c r="M1751" s="9" t="str">
        <f>IF(A1751="",M1752,A1751)</f>
        <v>Guyana</v>
      </c>
      <c r="N1751" s="3" t="str">
        <f t="shared" si="55"/>
        <v>Oct-2021</v>
      </c>
    </row>
    <row r="1752" spans="1:14" x14ac:dyDescent="0.3">
      <c r="A1752" s="3" t="s">
        <v>152</v>
      </c>
      <c r="B1752" s="3" t="s">
        <v>153</v>
      </c>
      <c r="C1752" s="8">
        <v>2021</v>
      </c>
      <c r="D1752" s="8">
        <v>11</v>
      </c>
      <c r="E1752" s="3" t="str">
        <f t="shared" si="54"/>
        <v>November</v>
      </c>
      <c r="F1752" s="3" t="s">
        <v>8</v>
      </c>
      <c r="G1752" s="8">
        <v>720.81043509999995</v>
      </c>
      <c r="H1752" s="8">
        <v>957.63199999999995</v>
      </c>
      <c r="I1752" s="8">
        <v>236.8215649</v>
      </c>
      <c r="J1752" s="8">
        <v>3623.8987980000002</v>
      </c>
      <c r="K1752" s="8">
        <v>2443.2808140000002</v>
      </c>
      <c r="L1752" s="8">
        <v>4833.9396379999998</v>
      </c>
      <c r="M1752" s="9" t="str">
        <f>IF(A1752="",M1753,A1752)</f>
        <v>Guyana</v>
      </c>
      <c r="N1752" s="3" t="str">
        <f t="shared" si="55"/>
        <v>Nov-2021</v>
      </c>
    </row>
    <row r="1753" spans="1:14" x14ac:dyDescent="0.3">
      <c r="A1753" s="3" t="s">
        <v>152</v>
      </c>
      <c r="B1753" s="3" t="s">
        <v>153</v>
      </c>
      <c r="C1753" s="8">
        <v>2021</v>
      </c>
      <c r="D1753" s="8">
        <v>12</v>
      </c>
      <c r="E1753" s="3" t="str">
        <f t="shared" si="54"/>
        <v>December</v>
      </c>
      <c r="F1753" s="3" t="s">
        <v>8</v>
      </c>
      <c r="G1753" s="8">
        <v>723.48311850000005</v>
      </c>
      <c r="H1753" s="8">
        <v>920.81700000000001</v>
      </c>
      <c r="I1753" s="8">
        <v>197.33388149999999</v>
      </c>
      <c r="J1753" s="8">
        <v>3821.2326790000002</v>
      </c>
      <c r="K1753" s="8">
        <v>2616.3401180000001</v>
      </c>
      <c r="L1753" s="8">
        <v>5087.1715050000003</v>
      </c>
      <c r="M1753" s="9" t="str">
        <f>IF(A1753="",M1754,A1753)</f>
        <v>Guyana</v>
      </c>
      <c r="N1753" s="3" t="str">
        <f t="shared" si="55"/>
        <v>Dec-2021</v>
      </c>
    </row>
    <row r="1754" spans="1:14" x14ac:dyDescent="0.3">
      <c r="A1754" s="3" t="s">
        <v>154</v>
      </c>
      <c r="B1754" s="3" t="s">
        <v>155</v>
      </c>
      <c r="C1754" s="8">
        <v>2020</v>
      </c>
      <c r="D1754" s="8">
        <v>1</v>
      </c>
      <c r="E1754" s="3" t="str">
        <f t="shared" si="54"/>
        <v>January</v>
      </c>
      <c r="F1754" s="3" t="s">
        <v>8</v>
      </c>
      <c r="G1754" s="8">
        <v>4739.5035349999998</v>
      </c>
      <c r="H1754" s="8">
        <v>4903.1049999999996</v>
      </c>
      <c r="I1754" s="8">
        <v>163.6014649</v>
      </c>
      <c r="J1754" s="8">
        <v>163.6014649</v>
      </c>
      <c r="K1754" s="8">
        <v>-1083.7418580000001</v>
      </c>
      <c r="L1754" s="8">
        <v>1563.162413</v>
      </c>
      <c r="M1754" s="9" t="str">
        <f>IF(A1754="",M1755,A1754)</f>
        <v>Honduras</v>
      </c>
      <c r="N1754" s="3" t="str">
        <f t="shared" si="55"/>
        <v>Jan-2020</v>
      </c>
    </row>
    <row r="1755" spans="1:14" x14ac:dyDescent="0.3">
      <c r="A1755" s="3" t="s">
        <v>154</v>
      </c>
      <c r="B1755" s="3" t="s">
        <v>155</v>
      </c>
      <c r="C1755" s="8">
        <v>2020</v>
      </c>
      <c r="D1755" s="8">
        <v>2</v>
      </c>
      <c r="E1755" s="3" t="str">
        <f t="shared" si="54"/>
        <v>February</v>
      </c>
      <c r="F1755" s="3" t="s">
        <v>8</v>
      </c>
      <c r="G1755" s="8">
        <v>4704.9197240000003</v>
      </c>
      <c r="H1755" s="8">
        <v>4743.9920000000002</v>
      </c>
      <c r="I1755" s="8">
        <v>39.072276289999998</v>
      </c>
      <c r="J1755" s="8">
        <v>202.67374119999999</v>
      </c>
      <c r="K1755" s="8">
        <v>-1558.491579</v>
      </c>
      <c r="L1755" s="8">
        <v>2099.5487779999999</v>
      </c>
      <c r="M1755" s="9" t="str">
        <f>IF(A1755="",M1756,A1755)</f>
        <v>Honduras</v>
      </c>
      <c r="N1755" s="3" t="str">
        <f t="shared" si="55"/>
        <v>Feb-2020</v>
      </c>
    </row>
    <row r="1756" spans="1:14" x14ac:dyDescent="0.3">
      <c r="A1756" s="3" t="s">
        <v>154</v>
      </c>
      <c r="B1756" s="3" t="s">
        <v>155</v>
      </c>
      <c r="C1756" s="8">
        <v>2020</v>
      </c>
      <c r="D1756" s="8">
        <v>3</v>
      </c>
      <c r="E1756" s="3" t="str">
        <f t="shared" si="54"/>
        <v>March</v>
      </c>
      <c r="F1756" s="3" t="s">
        <v>8</v>
      </c>
      <c r="G1756" s="8">
        <v>4668.4421249999996</v>
      </c>
      <c r="H1756" s="8">
        <v>4126.5230000000001</v>
      </c>
      <c r="I1756" s="8">
        <v>-541.91912520000005</v>
      </c>
      <c r="J1756" s="8">
        <v>-339.245384</v>
      </c>
      <c r="K1756" s="8">
        <v>-2369.1992599999999</v>
      </c>
      <c r="L1756" s="8">
        <v>1838.6808940000001</v>
      </c>
      <c r="M1756" s="9" t="str">
        <f>IF(A1756="",M1757,A1756)</f>
        <v>Honduras</v>
      </c>
      <c r="N1756" s="3" t="str">
        <f t="shared" si="55"/>
        <v>Mar-2020</v>
      </c>
    </row>
    <row r="1757" spans="1:14" x14ac:dyDescent="0.3">
      <c r="A1757" s="3" t="s">
        <v>154</v>
      </c>
      <c r="B1757" s="3" t="s">
        <v>155</v>
      </c>
      <c r="C1757" s="8">
        <v>2020</v>
      </c>
      <c r="D1757" s="8">
        <v>4</v>
      </c>
      <c r="E1757" s="3" t="str">
        <f t="shared" si="54"/>
        <v>April</v>
      </c>
      <c r="F1757" s="3" t="s">
        <v>8</v>
      </c>
      <c r="G1757" s="8">
        <v>4642.3572949999998</v>
      </c>
      <c r="H1757" s="8">
        <v>4583.33</v>
      </c>
      <c r="I1757" s="8">
        <v>-59.027295350000003</v>
      </c>
      <c r="J1757" s="8">
        <v>-398.27267929999999</v>
      </c>
      <c r="K1757" s="8">
        <v>-2806.5895420000002</v>
      </c>
      <c r="L1757" s="8">
        <v>2219.867334</v>
      </c>
      <c r="M1757" s="9" t="str">
        <f>IF(A1757="",M1758,A1757)</f>
        <v>Honduras</v>
      </c>
      <c r="N1757" s="3" t="str">
        <f t="shared" si="55"/>
        <v>Apr-2020</v>
      </c>
    </row>
    <row r="1758" spans="1:14" x14ac:dyDescent="0.3">
      <c r="A1758" s="3" t="s">
        <v>154</v>
      </c>
      <c r="B1758" s="3" t="s">
        <v>155</v>
      </c>
      <c r="C1758" s="8">
        <v>2020</v>
      </c>
      <c r="D1758" s="8">
        <v>5</v>
      </c>
      <c r="E1758" s="3" t="str">
        <f t="shared" si="54"/>
        <v>May</v>
      </c>
      <c r="F1758" s="3" t="s">
        <v>8</v>
      </c>
      <c r="G1758" s="8">
        <v>4643.6404970000003</v>
      </c>
      <c r="H1758" s="8">
        <v>4975.2560000000003</v>
      </c>
      <c r="I1758" s="8">
        <v>331.61550260000001</v>
      </c>
      <c r="J1758" s="8">
        <v>-66.657176739999997</v>
      </c>
      <c r="K1758" s="8">
        <v>-2850.3827959999999</v>
      </c>
      <c r="L1758" s="8">
        <v>2925.9934990000002</v>
      </c>
      <c r="M1758" s="9" t="str">
        <f>IF(A1758="",M1759,A1758)</f>
        <v>Honduras</v>
      </c>
      <c r="N1758" s="3" t="str">
        <f t="shared" si="55"/>
        <v>May-2020</v>
      </c>
    </row>
    <row r="1759" spans="1:14" x14ac:dyDescent="0.3">
      <c r="A1759" s="3" t="s">
        <v>154</v>
      </c>
      <c r="B1759" s="3" t="s">
        <v>155</v>
      </c>
      <c r="C1759" s="8">
        <v>2020</v>
      </c>
      <c r="D1759" s="8">
        <v>6</v>
      </c>
      <c r="E1759" s="3" t="str">
        <f t="shared" si="54"/>
        <v>June</v>
      </c>
      <c r="F1759" s="3" t="s">
        <v>8</v>
      </c>
      <c r="G1759" s="8">
        <v>4666.8990409999997</v>
      </c>
      <c r="H1759" s="8">
        <v>5547.83</v>
      </c>
      <c r="I1759" s="8">
        <v>880.9309591</v>
      </c>
      <c r="J1759" s="8">
        <v>814.27378239999996</v>
      </c>
      <c r="K1759" s="8">
        <v>-2262.342791</v>
      </c>
      <c r="L1759" s="8">
        <v>4082.4120149999999</v>
      </c>
      <c r="M1759" s="9" t="str">
        <f>IF(A1759="",M1760,A1759)</f>
        <v>Honduras</v>
      </c>
      <c r="N1759" s="3" t="str">
        <f t="shared" si="55"/>
        <v>Jun-2020</v>
      </c>
    </row>
    <row r="1760" spans="1:14" x14ac:dyDescent="0.3">
      <c r="A1760" s="3" t="s">
        <v>154</v>
      </c>
      <c r="B1760" s="3" t="s">
        <v>155</v>
      </c>
      <c r="C1760" s="8">
        <v>2020</v>
      </c>
      <c r="D1760" s="8">
        <v>7</v>
      </c>
      <c r="E1760" s="3" t="str">
        <f t="shared" si="54"/>
        <v>July</v>
      </c>
      <c r="F1760" s="3" t="s">
        <v>8</v>
      </c>
      <c r="G1760" s="8">
        <v>4668.466907</v>
      </c>
      <c r="H1760" s="8">
        <v>6301.817</v>
      </c>
      <c r="I1760" s="8">
        <v>1633.350093</v>
      </c>
      <c r="J1760" s="8">
        <v>2447.6238760000001</v>
      </c>
      <c r="K1760" s="8">
        <v>-1146.5594699999999</v>
      </c>
      <c r="L1760" s="8">
        <v>6149.4518399999997</v>
      </c>
      <c r="M1760" s="9" t="str">
        <f>IF(A1760="",M1761,A1760)</f>
        <v>Honduras</v>
      </c>
      <c r="N1760" s="3" t="str">
        <f t="shared" si="55"/>
        <v>Jul-2020</v>
      </c>
    </row>
    <row r="1761" spans="1:14" x14ac:dyDescent="0.3">
      <c r="A1761" s="3" t="s">
        <v>154</v>
      </c>
      <c r="B1761" s="3" t="s">
        <v>155</v>
      </c>
      <c r="C1761" s="8">
        <v>2020</v>
      </c>
      <c r="D1761" s="8">
        <v>8</v>
      </c>
      <c r="E1761" s="3" t="str">
        <f t="shared" si="54"/>
        <v>August</v>
      </c>
      <c r="F1761" s="3" t="s">
        <v>8</v>
      </c>
      <c r="G1761" s="8">
        <v>4662.9739570000002</v>
      </c>
      <c r="H1761" s="8">
        <v>5836.8289999999997</v>
      </c>
      <c r="I1761" s="8">
        <v>1173.855043</v>
      </c>
      <c r="J1761" s="8">
        <v>3621.4789190000001</v>
      </c>
      <c r="K1761" s="8">
        <v>-327.03089319999998</v>
      </c>
      <c r="L1761" s="8">
        <v>7602.7873460000001</v>
      </c>
      <c r="M1761" s="9" t="str">
        <f>IF(A1761="",M1762,A1761)</f>
        <v>Honduras</v>
      </c>
      <c r="N1761" s="3" t="str">
        <f t="shared" si="55"/>
        <v>Aug-2020</v>
      </c>
    </row>
    <row r="1762" spans="1:14" x14ac:dyDescent="0.3">
      <c r="A1762" s="3" t="s">
        <v>154</v>
      </c>
      <c r="B1762" s="3" t="s">
        <v>155</v>
      </c>
      <c r="C1762" s="8">
        <v>2020</v>
      </c>
      <c r="D1762" s="8">
        <v>9</v>
      </c>
      <c r="E1762" s="3" t="str">
        <f t="shared" si="54"/>
        <v>September</v>
      </c>
      <c r="F1762" s="3" t="s">
        <v>8</v>
      </c>
      <c r="G1762" s="8">
        <v>4661.7472900000002</v>
      </c>
      <c r="H1762" s="8">
        <v>5486.5929999999998</v>
      </c>
      <c r="I1762" s="8">
        <v>824.84570970000004</v>
      </c>
      <c r="J1762" s="8">
        <v>4446.3246289999997</v>
      </c>
      <c r="K1762" s="8">
        <v>404.02928550000001</v>
      </c>
      <c r="L1762" s="8">
        <v>8743.9328249999999</v>
      </c>
      <c r="M1762" s="9" t="str">
        <f>IF(A1762="",M1763,A1762)</f>
        <v>Honduras</v>
      </c>
      <c r="N1762" s="3" t="str">
        <f t="shared" si="55"/>
        <v>Sep-2020</v>
      </c>
    </row>
    <row r="1763" spans="1:14" x14ac:dyDescent="0.3">
      <c r="A1763" s="3" t="s">
        <v>154</v>
      </c>
      <c r="B1763" s="3" t="s">
        <v>155</v>
      </c>
      <c r="C1763" s="8">
        <v>2020</v>
      </c>
      <c r="D1763" s="8">
        <v>10</v>
      </c>
      <c r="E1763" s="3" t="str">
        <f t="shared" si="54"/>
        <v>October</v>
      </c>
      <c r="F1763" s="3" t="s">
        <v>8</v>
      </c>
      <c r="G1763" s="8">
        <v>4690.831612</v>
      </c>
      <c r="H1763" s="8">
        <v>5294.1409999999996</v>
      </c>
      <c r="I1763" s="8">
        <v>603.30938800000001</v>
      </c>
      <c r="J1763" s="8">
        <v>5049.6340170000003</v>
      </c>
      <c r="K1763" s="8">
        <v>582.41093609999996</v>
      </c>
      <c r="L1763" s="8">
        <v>9534.1561409999995</v>
      </c>
      <c r="M1763" s="9" t="str">
        <f>IF(A1763="",M1764,A1763)</f>
        <v>Honduras</v>
      </c>
      <c r="N1763" s="3" t="str">
        <f t="shared" si="55"/>
        <v>Oct-2020</v>
      </c>
    </row>
    <row r="1764" spans="1:14" x14ac:dyDescent="0.3">
      <c r="A1764" s="3" t="s">
        <v>154</v>
      </c>
      <c r="B1764" s="3" t="s">
        <v>155</v>
      </c>
      <c r="C1764" s="8">
        <v>2020</v>
      </c>
      <c r="D1764" s="8">
        <v>11</v>
      </c>
      <c r="E1764" s="3" t="str">
        <f t="shared" si="54"/>
        <v>November</v>
      </c>
      <c r="F1764" s="3" t="s">
        <v>8</v>
      </c>
      <c r="G1764" s="8">
        <v>4716.8347379999996</v>
      </c>
      <c r="H1764" s="8">
        <v>5216.8209999999999</v>
      </c>
      <c r="I1764" s="8">
        <v>499.98626209999998</v>
      </c>
      <c r="J1764" s="8">
        <v>5549.6202789999998</v>
      </c>
      <c r="K1764" s="8">
        <v>791.1028953</v>
      </c>
      <c r="L1764" s="8">
        <v>10084.652760000001</v>
      </c>
      <c r="M1764" s="9" t="str">
        <f>IF(A1764="",M1765,A1764)</f>
        <v>Honduras</v>
      </c>
      <c r="N1764" s="3" t="str">
        <f t="shared" si="55"/>
        <v>Nov-2020</v>
      </c>
    </row>
    <row r="1765" spans="1:14" x14ac:dyDescent="0.3">
      <c r="A1765" s="3" t="s">
        <v>154</v>
      </c>
      <c r="B1765" s="3" t="s">
        <v>155</v>
      </c>
      <c r="C1765" s="8">
        <v>2020</v>
      </c>
      <c r="D1765" s="8">
        <v>12</v>
      </c>
      <c r="E1765" s="3" t="str">
        <f t="shared" si="54"/>
        <v>December</v>
      </c>
      <c r="F1765" s="3" t="s">
        <v>8</v>
      </c>
      <c r="G1765" s="8">
        <v>4735.444649</v>
      </c>
      <c r="H1765" s="8">
        <v>5197.2579999999998</v>
      </c>
      <c r="I1765" s="8">
        <v>461.81335109999998</v>
      </c>
      <c r="J1765" s="8">
        <v>6011.4336300000004</v>
      </c>
      <c r="K1765" s="8">
        <v>1199.6327510000001</v>
      </c>
      <c r="L1765" s="8">
        <v>10883.333500000001</v>
      </c>
      <c r="M1765" s="9" t="str">
        <f>IF(A1765="",M1766,A1765)</f>
        <v>Honduras</v>
      </c>
      <c r="N1765" s="3" t="str">
        <f t="shared" si="55"/>
        <v>Dec-2020</v>
      </c>
    </row>
    <row r="1766" spans="1:14" x14ac:dyDescent="0.3">
      <c r="A1766" s="3" t="s">
        <v>154</v>
      </c>
      <c r="B1766" s="3" t="s">
        <v>155</v>
      </c>
      <c r="C1766" s="8">
        <v>2021</v>
      </c>
      <c r="D1766" s="8">
        <v>1</v>
      </c>
      <c r="E1766" s="3" t="str">
        <f t="shared" si="54"/>
        <v>January</v>
      </c>
      <c r="F1766" s="3" t="s">
        <v>8</v>
      </c>
      <c r="G1766" s="8">
        <v>4858.7589090000001</v>
      </c>
      <c r="H1766" s="8">
        <v>5916.3119999999999</v>
      </c>
      <c r="I1766" s="8">
        <v>1057.553091</v>
      </c>
      <c r="J1766" s="8">
        <v>7068.9867210000002</v>
      </c>
      <c r="K1766" s="8">
        <v>1752.628107</v>
      </c>
      <c r="L1766" s="8">
        <v>12485.11555</v>
      </c>
      <c r="M1766" s="9" t="str">
        <f>IF(A1766="",M1767,A1766)</f>
        <v>Honduras</v>
      </c>
      <c r="N1766" s="3" t="str">
        <f t="shared" si="55"/>
        <v>Jan-2021</v>
      </c>
    </row>
    <row r="1767" spans="1:14" x14ac:dyDescent="0.3">
      <c r="A1767" s="3" t="s">
        <v>154</v>
      </c>
      <c r="B1767" s="3" t="s">
        <v>155</v>
      </c>
      <c r="C1767" s="8">
        <v>2021</v>
      </c>
      <c r="D1767" s="8">
        <v>2</v>
      </c>
      <c r="E1767" s="3" t="str">
        <f t="shared" si="54"/>
        <v>February</v>
      </c>
      <c r="F1767" s="3" t="s">
        <v>8</v>
      </c>
      <c r="G1767" s="8">
        <v>4822.0597330000001</v>
      </c>
      <c r="H1767" s="8">
        <v>5930.1220000000003</v>
      </c>
      <c r="I1767" s="8">
        <v>1108.062267</v>
      </c>
      <c r="J1767" s="8">
        <v>8177.0489879999996</v>
      </c>
      <c r="K1767" s="8">
        <v>2588.0810980000001</v>
      </c>
      <c r="L1767" s="8">
        <v>13916.18821</v>
      </c>
      <c r="M1767" s="9" t="str">
        <f>IF(A1767="",M1768,A1767)</f>
        <v>Honduras</v>
      </c>
      <c r="N1767" s="3" t="str">
        <f t="shared" si="55"/>
        <v>Feb-2021</v>
      </c>
    </row>
    <row r="1768" spans="1:14" x14ac:dyDescent="0.3">
      <c r="A1768" s="3" t="s">
        <v>154</v>
      </c>
      <c r="B1768" s="3" t="s">
        <v>155</v>
      </c>
      <c r="C1768" s="8">
        <v>2021</v>
      </c>
      <c r="D1768" s="8">
        <v>3</v>
      </c>
      <c r="E1768" s="3" t="str">
        <f t="shared" si="54"/>
        <v>March</v>
      </c>
      <c r="F1768" s="3" t="s">
        <v>8</v>
      </c>
      <c r="G1768" s="8">
        <v>4794.3753539999998</v>
      </c>
      <c r="H1768" s="8">
        <v>5849.6819999999998</v>
      </c>
      <c r="I1768" s="8">
        <v>1055.306646</v>
      </c>
      <c r="J1768" s="8">
        <v>9232.3556339999996</v>
      </c>
      <c r="K1768" s="8">
        <v>3381.0515270000001</v>
      </c>
      <c r="L1768" s="8">
        <v>15197.36146</v>
      </c>
      <c r="M1768" s="9" t="str">
        <f>IF(A1768="",M1769,A1768)</f>
        <v>Honduras</v>
      </c>
      <c r="N1768" s="3" t="str">
        <f t="shared" si="55"/>
        <v>Mar-2021</v>
      </c>
    </row>
    <row r="1769" spans="1:14" x14ac:dyDescent="0.3">
      <c r="A1769" s="3" t="s">
        <v>154</v>
      </c>
      <c r="B1769" s="3" t="s">
        <v>155</v>
      </c>
      <c r="C1769" s="8">
        <v>2021</v>
      </c>
      <c r="D1769" s="8">
        <v>4</v>
      </c>
      <c r="E1769" s="3" t="str">
        <f t="shared" si="54"/>
        <v>April</v>
      </c>
      <c r="F1769" s="3" t="s">
        <v>8</v>
      </c>
      <c r="G1769" s="8">
        <v>4741.5766050000002</v>
      </c>
      <c r="H1769" s="8">
        <v>6031.951</v>
      </c>
      <c r="I1769" s="8">
        <v>1290.374395</v>
      </c>
      <c r="J1769" s="8">
        <v>10522.730030000001</v>
      </c>
      <c r="K1769" s="8">
        <v>4511.4585779999998</v>
      </c>
      <c r="L1769" s="8">
        <v>16575.868030000001</v>
      </c>
      <c r="M1769" s="9" t="str">
        <f>IF(A1769="",M1770,A1769)</f>
        <v>Honduras</v>
      </c>
      <c r="N1769" s="3" t="str">
        <f t="shared" si="55"/>
        <v>Apr-2021</v>
      </c>
    </row>
    <row r="1770" spans="1:14" x14ac:dyDescent="0.3">
      <c r="A1770" s="3" t="s">
        <v>154</v>
      </c>
      <c r="B1770" s="3" t="s">
        <v>155</v>
      </c>
      <c r="C1770" s="8">
        <v>2021</v>
      </c>
      <c r="D1770" s="8">
        <v>5</v>
      </c>
      <c r="E1770" s="3" t="str">
        <f t="shared" si="54"/>
        <v>May</v>
      </c>
      <c r="F1770" s="3" t="s">
        <v>8</v>
      </c>
      <c r="G1770" s="8">
        <v>4755.7934089999999</v>
      </c>
      <c r="H1770" s="8">
        <v>6296.6719999999996</v>
      </c>
      <c r="I1770" s="8">
        <v>1540.8785909999999</v>
      </c>
      <c r="J1770" s="8">
        <v>12063.608620000001</v>
      </c>
      <c r="K1770" s="8">
        <v>5717.6577070000003</v>
      </c>
      <c r="L1770" s="8">
        <v>18708.971740000001</v>
      </c>
      <c r="M1770" s="9" t="str">
        <f>IF(A1770="",M1771,A1770)</f>
        <v>Honduras</v>
      </c>
      <c r="N1770" s="3" t="str">
        <f t="shared" si="55"/>
        <v>May-2021</v>
      </c>
    </row>
    <row r="1771" spans="1:14" x14ac:dyDescent="0.3">
      <c r="A1771" s="3" t="s">
        <v>154</v>
      </c>
      <c r="B1771" s="3" t="s">
        <v>155</v>
      </c>
      <c r="C1771" s="8">
        <v>2021</v>
      </c>
      <c r="D1771" s="8">
        <v>6</v>
      </c>
      <c r="E1771" s="3" t="str">
        <f t="shared" si="54"/>
        <v>June</v>
      </c>
      <c r="F1771" s="3" t="s">
        <v>8</v>
      </c>
      <c r="G1771" s="8">
        <v>4774.4078099999997</v>
      </c>
      <c r="H1771" s="8">
        <v>5834.1819999999998</v>
      </c>
      <c r="I1771" s="8">
        <v>1059.7741900000001</v>
      </c>
      <c r="J1771" s="8">
        <v>13123.382809999999</v>
      </c>
      <c r="K1771" s="8">
        <v>6727.2084869999999</v>
      </c>
      <c r="L1771" s="8">
        <v>20040.246879999999</v>
      </c>
      <c r="M1771" s="9" t="str">
        <f>IF(A1771="",M1772,A1771)</f>
        <v>Honduras</v>
      </c>
      <c r="N1771" s="3" t="str">
        <f t="shared" si="55"/>
        <v>Jun-2021</v>
      </c>
    </row>
    <row r="1772" spans="1:14" x14ac:dyDescent="0.3">
      <c r="A1772" s="3" t="s">
        <v>154</v>
      </c>
      <c r="B1772" s="3" t="s">
        <v>155</v>
      </c>
      <c r="C1772" s="8">
        <v>2021</v>
      </c>
      <c r="D1772" s="8">
        <v>7</v>
      </c>
      <c r="E1772" s="3" t="str">
        <f t="shared" si="54"/>
        <v>July</v>
      </c>
      <c r="F1772" s="3" t="s">
        <v>8</v>
      </c>
      <c r="G1772" s="8">
        <v>4771.3884200000002</v>
      </c>
      <c r="H1772" s="8">
        <v>6139.2020000000002</v>
      </c>
      <c r="I1772" s="8">
        <v>1367.81358</v>
      </c>
      <c r="J1772" s="8">
        <v>14491.196389999999</v>
      </c>
      <c r="K1772" s="8">
        <v>7723.7441349999999</v>
      </c>
      <c r="L1772" s="8">
        <v>21514.929390000001</v>
      </c>
      <c r="M1772" s="9" t="str">
        <f>IF(A1772="",M1773,A1772)</f>
        <v>Honduras</v>
      </c>
      <c r="N1772" s="3" t="str">
        <f t="shared" si="55"/>
        <v>Jul-2021</v>
      </c>
    </row>
    <row r="1773" spans="1:14" x14ac:dyDescent="0.3">
      <c r="A1773" s="3" t="s">
        <v>154</v>
      </c>
      <c r="B1773" s="3" t="s">
        <v>155</v>
      </c>
      <c r="C1773" s="8">
        <v>2021</v>
      </c>
      <c r="D1773" s="8">
        <v>8</v>
      </c>
      <c r="E1773" s="3" t="str">
        <f t="shared" si="54"/>
        <v>August</v>
      </c>
      <c r="F1773" s="3" t="s">
        <v>8</v>
      </c>
      <c r="G1773" s="8">
        <v>4780.3603640000001</v>
      </c>
      <c r="H1773" s="8">
        <v>6571.5039999999999</v>
      </c>
      <c r="I1773" s="8">
        <v>1791.143636</v>
      </c>
      <c r="J1773" s="8">
        <v>16282.340029999999</v>
      </c>
      <c r="K1773" s="8">
        <v>8958.3994160000002</v>
      </c>
      <c r="L1773" s="8">
        <v>23674.989689999999</v>
      </c>
      <c r="M1773" s="9" t="str">
        <f>IF(A1773="",M1774,A1773)</f>
        <v>Honduras</v>
      </c>
      <c r="N1773" s="3" t="str">
        <f t="shared" si="55"/>
        <v>Aug-2021</v>
      </c>
    </row>
    <row r="1774" spans="1:14" x14ac:dyDescent="0.3">
      <c r="A1774" s="3" t="s">
        <v>154</v>
      </c>
      <c r="B1774" s="3" t="s">
        <v>155</v>
      </c>
      <c r="C1774" s="8">
        <v>2021</v>
      </c>
      <c r="D1774" s="8">
        <v>9</v>
      </c>
      <c r="E1774" s="3" t="str">
        <f t="shared" si="54"/>
        <v>September</v>
      </c>
      <c r="F1774" s="3" t="s">
        <v>8</v>
      </c>
      <c r="G1774" s="8">
        <v>4775.3222779999996</v>
      </c>
      <c r="H1774" s="8">
        <v>6305.9679999999998</v>
      </c>
      <c r="I1774" s="8">
        <v>1530.645722</v>
      </c>
      <c r="J1774" s="8">
        <v>17812.98575</v>
      </c>
      <c r="K1774" s="8">
        <v>10768.953530000001</v>
      </c>
      <c r="L1774" s="8">
        <v>25775.403699999999</v>
      </c>
      <c r="M1774" s="9" t="str">
        <f>IF(A1774="",M1775,A1774)</f>
        <v>Honduras</v>
      </c>
      <c r="N1774" s="3" t="str">
        <f t="shared" si="55"/>
        <v>Sep-2021</v>
      </c>
    </row>
    <row r="1775" spans="1:14" x14ac:dyDescent="0.3">
      <c r="A1775" s="3" t="s">
        <v>154</v>
      </c>
      <c r="B1775" s="3" t="s">
        <v>155</v>
      </c>
      <c r="C1775" s="8">
        <v>2021</v>
      </c>
      <c r="D1775" s="8">
        <v>10</v>
      </c>
      <c r="E1775" s="3" t="str">
        <f t="shared" si="54"/>
        <v>October</v>
      </c>
      <c r="F1775" s="3" t="s">
        <v>8</v>
      </c>
      <c r="G1775" s="8">
        <v>4810.6691209999999</v>
      </c>
      <c r="H1775" s="8">
        <v>5822.85</v>
      </c>
      <c r="I1775" s="8">
        <v>1012.180879</v>
      </c>
      <c r="J1775" s="8">
        <v>18825.16663</v>
      </c>
      <c r="K1775" s="8">
        <v>11522.54988</v>
      </c>
      <c r="L1775" s="8">
        <v>26964.272059999999</v>
      </c>
      <c r="M1775" s="9" t="str">
        <f>IF(A1775="",M1776,A1775)</f>
        <v>Honduras</v>
      </c>
      <c r="N1775" s="3" t="str">
        <f t="shared" si="55"/>
        <v>Oct-2021</v>
      </c>
    </row>
    <row r="1776" spans="1:14" x14ac:dyDescent="0.3">
      <c r="A1776" s="3" t="s">
        <v>154</v>
      </c>
      <c r="B1776" s="3" t="s">
        <v>155</v>
      </c>
      <c r="C1776" s="8">
        <v>2021</v>
      </c>
      <c r="D1776" s="8">
        <v>11</v>
      </c>
      <c r="E1776" s="3" t="str">
        <f t="shared" si="54"/>
        <v>November</v>
      </c>
      <c r="F1776" s="3" t="s">
        <v>8</v>
      </c>
      <c r="G1776" s="8">
        <v>4829.8240740000001</v>
      </c>
      <c r="H1776" s="8">
        <v>5434.14</v>
      </c>
      <c r="I1776" s="8">
        <v>604.31592590000002</v>
      </c>
      <c r="J1776" s="8">
        <v>19429.482550000001</v>
      </c>
      <c r="K1776" s="8">
        <v>12216.27925</v>
      </c>
      <c r="L1776" s="8">
        <v>27692.618020000002</v>
      </c>
      <c r="M1776" s="9" t="str">
        <f>IF(A1776="",M1777,A1776)</f>
        <v>Honduras</v>
      </c>
      <c r="N1776" s="3" t="str">
        <f t="shared" si="55"/>
        <v>Nov-2021</v>
      </c>
    </row>
    <row r="1777" spans="1:14" x14ac:dyDescent="0.3">
      <c r="A1777" s="3" t="s">
        <v>154</v>
      </c>
      <c r="B1777" s="3" t="s">
        <v>155</v>
      </c>
      <c r="C1777" s="8">
        <v>2021</v>
      </c>
      <c r="D1777" s="8">
        <v>12</v>
      </c>
      <c r="E1777" s="3" t="str">
        <f t="shared" si="54"/>
        <v>December</v>
      </c>
      <c r="F1777" s="3" t="s">
        <v>8</v>
      </c>
      <c r="G1777" s="8">
        <v>4831.3159800000003</v>
      </c>
      <c r="H1777" s="8">
        <v>5307.9639999999999</v>
      </c>
      <c r="I1777" s="8">
        <v>476.64802040000001</v>
      </c>
      <c r="J1777" s="8">
        <v>19906.130570000001</v>
      </c>
      <c r="K1777" s="8">
        <v>12084.05572</v>
      </c>
      <c r="L1777" s="8">
        <v>28068.587909999998</v>
      </c>
      <c r="M1777" s="9" t="str">
        <f>IF(A1777="",M1778,A1777)</f>
        <v>Honduras</v>
      </c>
      <c r="N1777" s="3" t="str">
        <f t="shared" si="55"/>
        <v>Dec-2021</v>
      </c>
    </row>
    <row r="1778" spans="1:14" x14ac:dyDescent="0.3">
      <c r="A1778" s="3" t="s">
        <v>156</v>
      </c>
      <c r="B1778" s="3" t="s">
        <v>157</v>
      </c>
      <c r="C1778" s="8">
        <v>2020</v>
      </c>
      <c r="D1778" s="8">
        <v>1</v>
      </c>
      <c r="E1778" s="3" t="str">
        <f t="shared" si="54"/>
        <v>January</v>
      </c>
      <c r="F1778" s="3" t="s">
        <v>13</v>
      </c>
      <c r="G1778" s="8">
        <v>4749.7420490000004</v>
      </c>
      <c r="H1778" s="8">
        <v>4725</v>
      </c>
      <c r="I1778" s="8">
        <v>-25.49204877</v>
      </c>
      <c r="J1778" s="8">
        <v>-25.49204877</v>
      </c>
      <c r="K1778" s="8">
        <v>-274.77386150000001</v>
      </c>
      <c r="L1778" s="8">
        <v>203.8432493</v>
      </c>
      <c r="M1778" s="9" t="str">
        <f>IF(A1778="",M1779,A1778)</f>
        <v>Croatia</v>
      </c>
      <c r="N1778" s="3" t="str">
        <f t="shared" si="55"/>
        <v>Jan-2020</v>
      </c>
    </row>
    <row r="1779" spans="1:14" x14ac:dyDescent="0.3">
      <c r="A1779" s="3" t="s">
        <v>156</v>
      </c>
      <c r="B1779" s="3" t="s">
        <v>157</v>
      </c>
      <c r="C1779" s="8">
        <v>2020</v>
      </c>
      <c r="D1779" s="8">
        <v>2</v>
      </c>
      <c r="E1779" s="3" t="str">
        <f t="shared" si="54"/>
        <v>February</v>
      </c>
      <c r="F1779" s="3" t="s">
        <v>13</v>
      </c>
      <c r="G1779" s="8">
        <v>4689.623122</v>
      </c>
      <c r="H1779" s="8">
        <v>4383</v>
      </c>
      <c r="I1779" s="8">
        <v>-307.37312200000002</v>
      </c>
      <c r="J1779" s="8">
        <v>-332.86517079999999</v>
      </c>
      <c r="K1779" s="8">
        <v>-695.37144179999996</v>
      </c>
      <c r="L1779" s="8">
        <v>29.981677860000001</v>
      </c>
      <c r="M1779" s="9" t="str">
        <f>IF(A1779="",M1780,A1779)</f>
        <v>Croatia</v>
      </c>
      <c r="N1779" s="3" t="str">
        <f t="shared" si="55"/>
        <v>Feb-2020</v>
      </c>
    </row>
    <row r="1780" spans="1:14" x14ac:dyDescent="0.3">
      <c r="A1780" s="3" t="s">
        <v>156</v>
      </c>
      <c r="B1780" s="3" t="s">
        <v>157</v>
      </c>
      <c r="C1780" s="8">
        <v>2020</v>
      </c>
      <c r="D1780" s="8">
        <v>3</v>
      </c>
      <c r="E1780" s="3" t="str">
        <f t="shared" si="54"/>
        <v>March</v>
      </c>
      <c r="F1780" s="3" t="s">
        <v>13</v>
      </c>
      <c r="G1780" s="8">
        <v>4520.5697170000003</v>
      </c>
      <c r="H1780" s="8">
        <v>4789</v>
      </c>
      <c r="I1780" s="8">
        <v>267.68028329999999</v>
      </c>
      <c r="J1780" s="8">
        <v>-65.184887419999995</v>
      </c>
      <c r="K1780" s="8">
        <v>-528.75876189999997</v>
      </c>
      <c r="L1780" s="8">
        <v>367.57034850000002</v>
      </c>
      <c r="M1780" s="9" t="str">
        <f>IF(A1780="",M1781,A1780)</f>
        <v>Croatia</v>
      </c>
      <c r="N1780" s="3" t="str">
        <f t="shared" si="55"/>
        <v>Mar-2020</v>
      </c>
    </row>
    <row r="1781" spans="1:14" x14ac:dyDescent="0.3">
      <c r="A1781" s="3" t="s">
        <v>156</v>
      </c>
      <c r="B1781" s="3" t="s">
        <v>157</v>
      </c>
      <c r="C1781" s="8">
        <v>2020</v>
      </c>
      <c r="D1781" s="8">
        <v>4</v>
      </c>
      <c r="E1781" s="3" t="str">
        <f t="shared" si="54"/>
        <v>April</v>
      </c>
      <c r="F1781" s="3" t="s">
        <v>13</v>
      </c>
      <c r="G1781" s="8">
        <v>4230.71515</v>
      </c>
      <c r="H1781" s="8">
        <v>4089</v>
      </c>
      <c r="I1781" s="8">
        <v>-142.4651495</v>
      </c>
      <c r="J1781" s="8">
        <v>-207.650037</v>
      </c>
      <c r="K1781" s="8">
        <v>-764.77688060000003</v>
      </c>
      <c r="L1781" s="8">
        <v>304.66790880000002</v>
      </c>
      <c r="M1781" s="9" t="str">
        <f>IF(A1781="",M1782,A1781)</f>
        <v>Croatia</v>
      </c>
      <c r="N1781" s="3" t="str">
        <f t="shared" si="55"/>
        <v>Apr-2020</v>
      </c>
    </row>
    <row r="1782" spans="1:14" x14ac:dyDescent="0.3">
      <c r="A1782" s="3" t="s">
        <v>156</v>
      </c>
      <c r="B1782" s="3" t="s">
        <v>157</v>
      </c>
      <c r="C1782" s="8">
        <v>2020</v>
      </c>
      <c r="D1782" s="8">
        <v>5</v>
      </c>
      <c r="E1782" s="3" t="str">
        <f t="shared" si="54"/>
        <v>May</v>
      </c>
      <c r="F1782" s="3" t="s">
        <v>13</v>
      </c>
      <c r="G1782" s="8">
        <v>4034.8372100000001</v>
      </c>
      <c r="H1782" s="8">
        <v>3930</v>
      </c>
      <c r="I1782" s="8">
        <v>-105.5872099</v>
      </c>
      <c r="J1782" s="8">
        <v>-313.23724679999998</v>
      </c>
      <c r="K1782" s="8">
        <v>-907.92384579999998</v>
      </c>
      <c r="L1782" s="8">
        <v>260.63008880000001</v>
      </c>
      <c r="M1782" s="9" t="str">
        <f>IF(A1782="",M1783,A1782)</f>
        <v>Croatia</v>
      </c>
      <c r="N1782" s="3" t="str">
        <f t="shared" si="55"/>
        <v>May-2020</v>
      </c>
    </row>
    <row r="1783" spans="1:14" x14ac:dyDescent="0.3">
      <c r="A1783" s="3" t="s">
        <v>156</v>
      </c>
      <c r="B1783" s="3" t="s">
        <v>157</v>
      </c>
      <c r="C1783" s="8">
        <v>2020</v>
      </c>
      <c r="D1783" s="8">
        <v>6</v>
      </c>
      <c r="E1783" s="3" t="str">
        <f t="shared" si="54"/>
        <v>June</v>
      </c>
      <c r="F1783" s="3" t="s">
        <v>13</v>
      </c>
      <c r="G1783" s="8">
        <v>3966.331694</v>
      </c>
      <c r="H1783" s="8">
        <v>4044</v>
      </c>
      <c r="I1783" s="8">
        <v>76.918306349999995</v>
      </c>
      <c r="J1783" s="8">
        <v>-236.3189405</v>
      </c>
      <c r="K1783" s="8">
        <v>-867.84545270000001</v>
      </c>
      <c r="L1783" s="8">
        <v>344.04000309999998</v>
      </c>
      <c r="M1783" s="9" t="str">
        <f>IF(A1783="",M1784,A1783)</f>
        <v>Croatia</v>
      </c>
      <c r="N1783" s="3" t="str">
        <f t="shared" si="55"/>
        <v>Jun-2020</v>
      </c>
    </row>
    <row r="1784" spans="1:14" x14ac:dyDescent="0.3">
      <c r="A1784" s="3" t="s">
        <v>156</v>
      </c>
      <c r="B1784" s="3" t="s">
        <v>157</v>
      </c>
      <c r="C1784" s="8">
        <v>2020</v>
      </c>
      <c r="D1784" s="8">
        <v>7</v>
      </c>
      <c r="E1784" s="3" t="str">
        <f t="shared" si="54"/>
        <v>July</v>
      </c>
      <c r="F1784" s="3" t="s">
        <v>13</v>
      </c>
      <c r="G1784" s="8">
        <v>4030.5559509999998</v>
      </c>
      <c r="H1784" s="8">
        <v>4230</v>
      </c>
      <c r="I1784" s="8">
        <v>198.69404919999999</v>
      </c>
      <c r="J1784" s="8">
        <v>-37.624891320000003</v>
      </c>
      <c r="K1784" s="8">
        <v>-725.85734760000003</v>
      </c>
      <c r="L1784" s="8">
        <v>574.05374589999997</v>
      </c>
      <c r="M1784" s="9" t="str">
        <f>IF(A1784="",M1785,A1784)</f>
        <v>Croatia</v>
      </c>
      <c r="N1784" s="3" t="str">
        <f t="shared" si="55"/>
        <v>Jul-2020</v>
      </c>
    </row>
    <row r="1785" spans="1:14" x14ac:dyDescent="0.3">
      <c r="A1785" s="3" t="s">
        <v>156</v>
      </c>
      <c r="B1785" s="3" t="s">
        <v>157</v>
      </c>
      <c r="C1785" s="8">
        <v>2020</v>
      </c>
      <c r="D1785" s="8">
        <v>8</v>
      </c>
      <c r="E1785" s="3" t="str">
        <f t="shared" si="54"/>
        <v>August</v>
      </c>
      <c r="F1785" s="3" t="s">
        <v>13</v>
      </c>
      <c r="G1785" s="8">
        <v>3987.9212600000001</v>
      </c>
      <c r="H1785" s="8">
        <v>4211</v>
      </c>
      <c r="I1785" s="8">
        <v>222.32874029999999</v>
      </c>
      <c r="J1785" s="8">
        <v>184.7038489</v>
      </c>
      <c r="K1785" s="8">
        <v>-509.6640769</v>
      </c>
      <c r="L1785" s="8">
        <v>825.29926650000004</v>
      </c>
      <c r="M1785" s="9" t="str">
        <f>IF(A1785="",M1786,A1785)</f>
        <v>Croatia</v>
      </c>
      <c r="N1785" s="3" t="str">
        <f t="shared" si="55"/>
        <v>Aug-2020</v>
      </c>
    </row>
    <row r="1786" spans="1:14" x14ac:dyDescent="0.3">
      <c r="A1786" s="3" t="s">
        <v>156</v>
      </c>
      <c r="B1786" s="3" t="s">
        <v>157</v>
      </c>
      <c r="C1786" s="8">
        <v>2020</v>
      </c>
      <c r="D1786" s="8">
        <v>9</v>
      </c>
      <c r="E1786" s="3" t="str">
        <f t="shared" si="54"/>
        <v>September</v>
      </c>
      <c r="F1786" s="3" t="s">
        <v>13</v>
      </c>
      <c r="G1786" s="8">
        <v>3903.7518169999998</v>
      </c>
      <c r="H1786" s="8">
        <v>4192</v>
      </c>
      <c r="I1786" s="8">
        <v>287.49818320000003</v>
      </c>
      <c r="J1786" s="8">
        <v>472.20203220000002</v>
      </c>
      <c r="K1786" s="8">
        <v>-268.92003679999999</v>
      </c>
      <c r="L1786" s="8">
        <v>1165.660715</v>
      </c>
      <c r="M1786" s="9" t="str">
        <f>IF(A1786="",M1787,A1786)</f>
        <v>Croatia</v>
      </c>
      <c r="N1786" s="3" t="str">
        <f t="shared" si="55"/>
        <v>Sep-2020</v>
      </c>
    </row>
    <row r="1787" spans="1:14" x14ac:dyDescent="0.3">
      <c r="A1787" s="3" t="s">
        <v>156</v>
      </c>
      <c r="B1787" s="3" t="s">
        <v>157</v>
      </c>
      <c r="C1787" s="8">
        <v>2020</v>
      </c>
      <c r="D1787" s="8">
        <v>10</v>
      </c>
      <c r="E1787" s="3" t="str">
        <f t="shared" si="54"/>
        <v>October</v>
      </c>
      <c r="F1787" s="3" t="s">
        <v>13</v>
      </c>
      <c r="G1787" s="8">
        <v>4023.3103740000001</v>
      </c>
      <c r="H1787" s="8">
        <v>4801</v>
      </c>
      <c r="I1787" s="8">
        <v>776.93962639999995</v>
      </c>
      <c r="J1787" s="8">
        <v>1249.1416589999999</v>
      </c>
      <c r="K1787" s="8">
        <v>473.05893659999998</v>
      </c>
      <c r="L1787" s="8">
        <v>2000.314621</v>
      </c>
      <c r="M1787" s="9" t="str">
        <f>IF(A1787="",M1788,A1787)</f>
        <v>Croatia</v>
      </c>
      <c r="N1787" s="3" t="str">
        <f t="shared" si="55"/>
        <v>Oct-2020</v>
      </c>
    </row>
    <row r="1788" spans="1:14" x14ac:dyDescent="0.3">
      <c r="A1788" s="3" t="s">
        <v>156</v>
      </c>
      <c r="B1788" s="3" t="s">
        <v>157</v>
      </c>
      <c r="C1788" s="8">
        <v>2020</v>
      </c>
      <c r="D1788" s="8">
        <v>11</v>
      </c>
      <c r="E1788" s="3" t="str">
        <f t="shared" si="54"/>
        <v>November</v>
      </c>
      <c r="F1788" s="3" t="s">
        <v>13</v>
      </c>
      <c r="G1788" s="8">
        <v>4277.0896579999999</v>
      </c>
      <c r="H1788" s="8">
        <v>6031</v>
      </c>
      <c r="I1788" s="8">
        <v>1753.1603419999999</v>
      </c>
      <c r="J1788" s="8">
        <v>3002.302001</v>
      </c>
      <c r="K1788" s="8">
        <v>2175.0284849999998</v>
      </c>
      <c r="L1788" s="8">
        <v>3799.5302230000002</v>
      </c>
      <c r="M1788" s="9" t="str">
        <f>IF(A1788="",M1789,A1788)</f>
        <v>Croatia</v>
      </c>
      <c r="N1788" s="3" t="str">
        <f t="shared" si="55"/>
        <v>Nov-2020</v>
      </c>
    </row>
    <row r="1789" spans="1:14" x14ac:dyDescent="0.3">
      <c r="A1789" s="3" t="s">
        <v>156</v>
      </c>
      <c r="B1789" s="3" t="s">
        <v>157</v>
      </c>
      <c r="C1789" s="8">
        <v>2020</v>
      </c>
      <c r="D1789" s="8">
        <v>12</v>
      </c>
      <c r="E1789" s="3" t="str">
        <f t="shared" si="54"/>
        <v>December</v>
      </c>
      <c r="F1789" s="3" t="s">
        <v>13</v>
      </c>
      <c r="G1789" s="8">
        <v>4697.7933519999997</v>
      </c>
      <c r="H1789" s="8">
        <v>7567</v>
      </c>
      <c r="I1789" s="8">
        <v>2868.4566479999999</v>
      </c>
      <c r="J1789" s="8">
        <v>5870.7586490000003</v>
      </c>
      <c r="K1789" s="8">
        <v>4976.9354119999998</v>
      </c>
      <c r="L1789" s="8">
        <v>6725.9448160000002</v>
      </c>
      <c r="M1789" s="9" t="str">
        <f>IF(A1789="",M1790,A1789)</f>
        <v>Croatia</v>
      </c>
      <c r="N1789" s="3" t="str">
        <f t="shared" si="55"/>
        <v>Dec-2020</v>
      </c>
    </row>
    <row r="1790" spans="1:14" x14ac:dyDescent="0.3">
      <c r="A1790" s="3" t="s">
        <v>156</v>
      </c>
      <c r="B1790" s="3" t="s">
        <v>157</v>
      </c>
      <c r="C1790" s="8">
        <v>2021</v>
      </c>
      <c r="D1790" s="8">
        <v>1</v>
      </c>
      <c r="E1790" s="3" t="str">
        <f t="shared" si="54"/>
        <v>January</v>
      </c>
      <c r="F1790" s="3" t="s">
        <v>13</v>
      </c>
      <c r="G1790" s="8">
        <v>4695.7811700000002</v>
      </c>
      <c r="H1790" s="8">
        <v>5905</v>
      </c>
      <c r="I1790" s="8">
        <v>1208.3854960000001</v>
      </c>
      <c r="J1790" s="8">
        <v>7079.1441450000002</v>
      </c>
      <c r="K1790" s="8">
        <v>6181.390351</v>
      </c>
      <c r="L1790" s="8">
        <v>7999.8135519999996</v>
      </c>
      <c r="M1790" s="9" t="str">
        <f>IF(A1790="",M1791,A1790)</f>
        <v>Croatia</v>
      </c>
      <c r="N1790" s="3" t="str">
        <f t="shared" si="55"/>
        <v>Jan-2021</v>
      </c>
    </row>
    <row r="1791" spans="1:14" x14ac:dyDescent="0.3">
      <c r="A1791" s="3" t="s">
        <v>156</v>
      </c>
      <c r="B1791" s="3" t="s">
        <v>157</v>
      </c>
      <c r="C1791" s="8">
        <v>2021</v>
      </c>
      <c r="D1791" s="8">
        <v>2</v>
      </c>
      <c r="E1791" s="3" t="str">
        <f t="shared" si="54"/>
        <v>February</v>
      </c>
      <c r="F1791" s="3" t="s">
        <v>13</v>
      </c>
      <c r="G1791" s="8">
        <v>4646.1979080000001</v>
      </c>
      <c r="H1791" s="8">
        <v>4582</v>
      </c>
      <c r="I1791" s="8">
        <v>-65.031241210000005</v>
      </c>
      <c r="J1791" s="8">
        <v>7014.1129039999996</v>
      </c>
      <c r="K1791" s="8">
        <v>6075.6077949999999</v>
      </c>
      <c r="L1791" s="8">
        <v>7989.4150440000003</v>
      </c>
      <c r="M1791" s="9" t="str">
        <f>IF(A1791="",M1792,A1791)</f>
        <v>Croatia</v>
      </c>
      <c r="N1791" s="3" t="str">
        <f t="shared" si="55"/>
        <v>Feb-2021</v>
      </c>
    </row>
    <row r="1792" spans="1:14" x14ac:dyDescent="0.3">
      <c r="A1792" s="3" t="s">
        <v>156</v>
      </c>
      <c r="B1792" s="3" t="s">
        <v>157</v>
      </c>
      <c r="C1792" s="8">
        <v>2021</v>
      </c>
      <c r="D1792" s="8">
        <v>3</v>
      </c>
      <c r="E1792" s="3" t="str">
        <f t="shared" si="54"/>
        <v>March</v>
      </c>
      <c r="F1792" s="3" t="s">
        <v>13</v>
      </c>
      <c r="G1792" s="8">
        <v>4486.0080440000002</v>
      </c>
      <c r="H1792" s="8">
        <v>4805</v>
      </c>
      <c r="I1792" s="8">
        <v>318.15862229999999</v>
      </c>
      <c r="J1792" s="8">
        <v>7332.2715260000004</v>
      </c>
      <c r="K1792" s="8">
        <v>6354.9069890000001</v>
      </c>
      <c r="L1792" s="8">
        <v>8301.9546019999998</v>
      </c>
      <c r="M1792" s="9" t="str">
        <f>IF(A1792="",M1793,A1792)</f>
        <v>Croatia</v>
      </c>
      <c r="N1792" s="3" t="str">
        <f t="shared" si="55"/>
        <v>Mar-2021</v>
      </c>
    </row>
    <row r="1793" spans="1:14" x14ac:dyDescent="0.3">
      <c r="A1793" s="3" t="s">
        <v>156</v>
      </c>
      <c r="B1793" s="3" t="s">
        <v>157</v>
      </c>
      <c r="C1793" s="8">
        <v>2021</v>
      </c>
      <c r="D1793" s="8">
        <v>4</v>
      </c>
      <c r="E1793" s="3" t="str">
        <f t="shared" si="54"/>
        <v>April</v>
      </c>
      <c r="F1793" s="3" t="s">
        <v>13</v>
      </c>
      <c r="G1793" s="8">
        <v>4190.4284530000004</v>
      </c>
      <c r="H1793" s="8">
        <v>5551</v>
      </c>
      <c r="I1793" s="8">
        <v>1359.738214</v>
      </c>
      <c r="J1793" s="8">
        <v>8692.0097399999995</v>
      </c>
      <c r="K1793" s="8">
        <v>7697.4263950000004</v>
      </c>
      <c r="L1793" s="8">
        <v>9723.6086699999996</v>
      </c>
      <c r="M1793" s="9" t="str">
        <f>IF(A1793="",M1794,A1793)</f>
        <v>Croatia</v>
      </c>
      <c r="N1793" s="3" t="str">
        <f t="shared" si="55"/>
        <v>Apr-2021</v>
      </c>
    </row>
    <row r="1794" spans="1:14" x14ac:dyDescent="0.3">
      <c r="A1794" s="3" t="s">
        <v>156</v>
      </c>
      <c r="B1794" s="3" t="s">
        <v>157</v>
      </c>
      <c r="C1794" s="8">
        <v>2021</v>
      </c>
      <c r="D1794" s="8">
        <v>5</v>
      </c>
      <c r="E1794" s="3" t="str">
        <f t="shared" ref="E1794:E1857" si="56">TEXT(DATE(C1794,D1794,1),"MMMM")</f>
        <v>May</v>
      </c>
      <c r="F1794" s="3" t="s">
        <v>13</v>
      </c>
      <c r="G1794" s="8">
        <v>3999.7228060000002</v>
      </c>
      <c r="H1794" s="8">
        <v>5206</v>
      </c>
      <c r="I1794" s="8">
        <v>1205.443861</v>
      </c>
      <c r="J1794" s="8">
        <v>9897.4536009999993</v>
      </c>
      <c r="K1794" s="8">
        <v>8800.4366539999992</v>
      </c>
      <c r="L1794" s="8">
        <v>10982.27752</v>
      </c>
      <c r="M1794" s="9" t="str">
        <f>IF(A1794="",M1795,A1794)</f>
        <v>Croatia</v>
      </c>
      <c r="N1794" s="3" t="str">
        <f t="shared" ref="N1794:N1857" si="57">TEXT(DATE(C1794,D1794,1),"MMM-YYYY")</f>
        <v>May-2021</v>
      </c>
    </row>
    <row r="1795" spans="1:14" x14ac:dyDescent="0.3">
      <c r="A1795" s="3" t="s">
        <v>156</v>
      </c>
      <c r="B1795" s="3" t="s">
        <v>157</v>
      </c>
      <c r="C1795" s="8">
        <v>2021</v>
      </c>
      <c r="D1795" s="8">
        <v>6</v>
      </c>
      <c r="E1795" s="3" t="str">
        <f t="shared" si="56"/>
        <v>June</v>
      </c>
      <c r="F1795" s="3" t="s">
        <v>13</v>
      </c>
      <c r="G1795" s="8">
        <v>3930.2661450000001</v>
      </c>
      <c r="H1795" s="8">
        <v>4608</v>
      </c>
      <c r="I1795" s="8">
        <v>676.90052200000002</v>
      </c>
      <c r="J1795" s="8">
        <v>10574.35412</v>
      </c>
      <c r="K1795" s="8">
        <v>9418.4236760000003</v>
      </c>
      <c r="L1795" s="8">
        <v>11654.148660000001</v>
      </c>
      <c r="M1795" s="9" t="str">
        <f>IF(A1795="",M1796,A1795)</f>
        <v>Croatia</v>
      </c>
      <c r="N1795" s="3" t="str">
        <f t="shared" si="57"/>
        <v>Jun-2021</v>
      </c>
    </row>
    <row r="1796" spans="1:14" x14ac:dyDescent="0.3">
      <c r="A1796" s="3" t="s">
        <v>156</v>
      </c>
      <c r="B1796" s="3" t="s">
        <v>157</v>
      </c>
      <c r="C1796" s="8">
        <v>2021</v>
      </c>
      <c r="D1796" s="8">
        <v>7</v>
      </c>
      <c r="E1796" s="3" t="str">
        <f t="shared" si="56"/>
        <v>July</v>
      </c>
      <c r="F1796" s="3" t="s">
        <v>13</v>
      </c>
      <c r="G1796" s="8">
        <v>3986.3743469999999</v>
      </c>
      <c r="H1796" s="8">
        <v>4379</v>
      </c>
      <c r="I1796" s="8">
        <v>391.7923199</v>
      </c>
      <c r="J1796" s="8">
        <v>10966.14644</v>
      </c>
      <c r="K1796" s="8">
        <v>9815.2913389999994</v>
      </c>
      <c r="L1796" s="8">
        <v>12105.462229999999</v>
      </c>
      <c r="M1796" s="9" t="str">
        <f>IF(A1796="",M1797,A1796)</f>
        <v>Croatia</v>
      </c>
      <c r="N1796" s="3" t="str">
        <f t="shared" si="57"/>
        <v>Jul-2021</v>
      </c>
    </row>
    <row r="1797" spans="1:14" x14ac:dyDescent="0.3">
      <c r="A1797" s="3" t="s">
        <v>156</v>
      </c>
      <c r="B1797" s="3" t="s">
        <v>157</v>
      </c>
      <c r="C1797" s="8">
        <v>2021</v>
      </c>
      <c r="D1797" s="8">
        <v>8</v>
      </c>
      <c r="E1797" s="3" t="str">
        <f t="shared" si="56"/>
        <v>August</v>
      </c>
      <c r="F1797" s="3" t="s">
        <v>13</v>
      </c>
      <c r="G1797" s="8">
        <v>3939.5865100000001</v>
      </c>
      <c r="H1797" s="8">
        <v>4430</v>
      </c>
      <c r="I1797" s="8">
        <v>489.58015710000001</v>
      </c>
      <c r="J1797" s="8">
        <v>11455.7266</v>
      </c>
      <c r="K1797" s="8">
        <v>10297.58937</v>
      </c>
      <c r="L1797" s="8">
        <v>12616.53918</v>
      </c>
      <c r="M1797" s="9" t="str">
        <f>IF(A1797="",M1798,A1797)</f>
        <v>Croatia</v>
      </c>
      <c r="N1797" s="3" t="str">
        <f t="shared" si="57"/>
        <v>Aug-2021</v>
      </c>
    </row>
    <row r="1798" spans="1:14" x14ac:dyDescent="0.3">
      <c r="A1798" s="3" t="s">
        <v>156</v>
      </c>
      <c r="B1798" s="3" t="s">
        <v>157</v>
      </c>
      <c r="C1798" s="8">
        <v>2021</v>
      </c>
      <c r="D1798" s="8">
        <v>9</v>
      </c>
      <c r="E1798" s="3" t="str">
        <f t="shared" si="56"/>
        <v>September</v>
      </c>
      <c r="F1798" s="3" t="s">
        <v>13</v>
      </c>
      <c r="G1798" s="8">
        <v>3860.3189990000001</v>
      </c>
      <c r="H1798" s="8">
        <v>4660</v>
      </c>
      <c r="I1798" s="8">
        <v>798.847668</v>
      </c>
      <c r="J1798" s="8">
        <v>12254.574269999999</v>
      </c>
      <c r="K1798" s="8">
        <v>11090.33509</v>
      </c>
      <c r="L1798" s="8">
        <v>13461.480100000001</v>
      </c>
      <c r="M1798" s="9" t="str">
        <f>IF(A1798="",M1799,A1798)</f>
        <v>Croatia</v>
      </c>
      <c r="N1798" s="3" t="str">
        <f t="shared" si="57"/>
        <v>Sep-2021</v>
      </c>
    </row>
    <row r="1799" spans="1:14" x14ac:dyDescent="0.3">
      <c r="A1799" s="3" t="s">
        <v>156</v>
      </c>
      <c r="B1799" s="3" t="s">
        <v>157</v>
      </c>
      <c r="C1799" s="8">
        <v>2021</v>
      </c>
      <c r="D1799" s="8">
        <v>10</v>
      </c>
      <c r="E1799" s="3" t="str">
        <f t="shared" si="56"/>
        <v>October</v>
      </c>
      <c r="F1799" s="3" t="s">
        <v>13</v>
      </c>
      <c r="G1799" s="8">
        <v>3979.4067439999999</v>
      </c>
      <c r="H1799" s="8">
        <v>5246</v>
      </c>
      <c r="I1799" s="8">
        <v>1265.7599230000001</v>
      </c>
      <c r="J1799" s="8">
        <v>13520.33419</v>
      </c>
      <c r="K1799" s="8">
        <v>12356.92966</v>
      </c>
      <c r="L1799" s="8">
        <v>14744.25979</v>
      </c>
      <c r="M1799" s="9" t="str">
        <f>IF(A1799="",M1800,A1799)</f>
        <v>Croatia</v>
      </c>
      <c r="N1799" s="3" t="str">
        <f t="shared" si="57"/>
        <v>Oct-2021</v>
      </c>
    </row>
    <row r="1800" spans="1:14" x14ac:dyDescent="0.3">
      <c r="A1800" s="3" t="s">
        <v>156</v>
      </c>
      <c r="B1800" s="3" t="s">
        <v>157</v>
      </c>
      <c r="C1800" s="8">
        <v>2021</v>
      </c>
      <c r="D1800" s="8">
        <v>11</v>
      </c>
      <c r="E1800" s="3" t="str">
        <f t="shared" si="56"/>
        <v>November</v>
      </c>
      <c r="F1800" s="3" t="s">
        <v>13</v>
      </c>
      <c r="G1800" s="8">
        <v>4225.9711669999997</v>
      </c>
      <c r="H1800" s="8">
        <v>6685</v>
      </c>
      <c r="I1800" s="8">
        <v>2458.1954999999998</v>
      </c>
      <c r="J1800" s="8">
        <v>15978.529689999999</v>
      </c>
      <c r="K1800" s="8">
        <v>14765.765799999999</v>
      </c>
      <c r="L1800" s="8">
        <v>17241.781640000001</v>
      </c>
      <c r="M1800" s="9" t="str">
        <f>IF(A1800="",M1801,A1800)</f>
        <v>Croatia</v>
      </c>
      <c r="N1800" s="3" t="str">
        <f t="shared" si="57"/>
        <v>Nov-2021</v>
      </c>
    </row>
    <row r="1801" spans="1:14" x14ac:dyDescent="0.3">
      <c r="A1801" s="3" t="s">
        <v>156</v>
      </c>
      <c r="B1801" s="3" t="s">
        <v>157</v>
      </c>
      <c r="C1801" s="8">
        <v>2021</v>
      </c>
      <c r="D1801" s="8">
        <v>12</v>
      </c>
      <c r="E1801" s="3" t="str">
        <f t="shared" si="56"/>
        <v>December</v>
      </c>
      <c r="F1801" s="3" t="s">
        <v>13</v>
      </c>
      <c r="G1801" s="8">
        <v>4654.6495519999999</v>
      </c>
      <c r="H1801" s="8">
        <v>6816</v>
      </c>
      <c r="I1801" s="8">
        <v>2160.5171150000001</v>
      </c>
      <c r="J1801" s="8">
        <v>18139.04681</v>
      </c>
      <c r="K1801" s="8">
        <v>16869.788130000001</v>
      </c>
      <c r="L1801" s="8">
        <v>19507.150249999999</v>
      </c>
      <c r="M1801" s="9" t="str">
        <f>IF(A1801="",M1802,A1801)</f>
        <v>Croatia</v>
      </c>
      <c r="N1801" s="3" t="str">
        <f t="shared" si="57"/>
        <v>Dec-2021</v>
      </c>
    </row>
    <row r="1802" spans="1:14" x14ac:dyDescent="0.3">
      <c r="A1802" s="3" t="s">
        <v>158</v>
      </c>
      <c r="B1802" s="3" t="s">
        <v>159</v>
      </c>
      <c r="C1802" s="8">
        <v>2020</v>
      </c>
      <c r="D1802" s="8">
        <v>1</v>
      </c>
      <c r="E1802" s="3" t="str">
        <f t="shared" si="56"/>
        <v>January</v>
      </c>
      <c r="F1802" s="3" t="s">
        <v>8</v>
      </c>
      <c r="G1802" s="8">
        <v>7966.4447790000004</v>
      </c>
      <c r="H1802" s="8">
        <v>8027.518</v>
      </c>
      <c r="I1802" s="8">
        <v>61.073220689999999</v>
      </c>
      <c r="J1802" s="8">
        <v>61.073220689999999</v>
      </c>
      <c r="K1802" s="8">
        <v>-4904.5374270000002</v>
      </c>
      <c r="L1802" s="8">
        <v>5615.1656659999999</v>
      </c>
      <c r="M1802" s="9" t="str">
        <f>IF(A1802="",M1803,A1802)</f>
        <v>Haiti</v>
      </c>
      <c r="N1802" s="3" t="str">
        <f t="shared" si="57"/>
        <v>Jan-2020</v>
      </c>
    </row>
    <row r="1803" spans="1:14" x14ac:dyDescent="0.3">
      <c r="A1803" s="3" t="s">
        <v>158</v>
      </c>
      <c r="B1803" s="3" t="s">
        <v>159</v>
      </c>
      <c r="C1803" s="8">
        <v>2020</v>
      </c>
      <c r="D1803" s="8">
        <v>2</v>
      </c>
      <c r="E1803" s="3" t="str">
        <f t="shared" si="56"/>
        <v>February</v>
      </c>
      <c r="F1803" s="3" t="s">
        <v>8</v>
      </c>
      <c r="G1803" s="8">
        <v>7873.5013669999998</v>
      </c>
      <c r="H1803" s="8">
        <v>7996.5259999999998</v>
      </c>
      <c r="I1803" s="8">
        <v>123.0246334</v>
      </c>
      <c r="J1803" s="8">
        <v>184.09785410000001</v>
      </c>
      <c r="K1803" s="8">
        <v>-6980.9891010000001</v>
      </c>
      <c r="L1803" s="8">
        <v>7744.8730839999998</v>
      </c>
      <c r="M1803" s="9" t="str">
        <f>IF(A1803="",M1804,A1803)</f>
        <v>Haiti</v>
      </c>
      <c r="N1803" s="3" t="str">
        <f t="shared" si="57"/>
        <v>Feb-2020</v>
      </c>
    </row>
    <row r="1804" spans="1:14" x14ac:dyDescent="0.3">
      <c r="A1804" s="3" t="s">
        <v>158</v>
      </c>
      <c r="B1804" s="3" t="s">
        <v>159</v>
      </c>
      <c r="C1804" s="8">
        <v>2020</v>
      </c>
      <c r="D1804" s="8">
        <v>3</v>
      </c>
      <c r="E1804" s="3" t="str">
        <f t="shared" si="56"/>
        <v>March</v>
      </c>
      <c r="F1804" s="3" t="s">
        <v>8</v>
      </c>
      <c r="G1804" s="8">
        <v>7942.5708709999999</v>
      </c>
      <c r="H1804" s="8">
        <v>7780.3829999999998</v>
      </c>
      <c r="I1804" s="8">
        <v>-162.18787119999999</v>
      </c>
      <c r="J1804" s="8">
        <v>21.909982939999999</v>
      </c>
      <c r="K1804" s="8">
        <v>-8389.6458220000004</v>
      </c>
      <c r="L1804" s="8">
        <v>9662.0594999999994</v>
      </c>
      <c r="M1804" s="9" t="str">
        <f>IF(A1804="",M1805,A1804)</f>
        <v>Haiti</v>
      </c>
      <c r="N1804" s="3" t="str">
        <f t="shared" si="57"/>
        <v>Mar-2020</v>
      </c>
    </row>
    <row r="1805" spans="1:14" x14ac:dyDescent="0.3">
      <c r="A1805" s="3" t="s">
        <v>158</v>
      </c>
      <c r="B1805" s="3" t="s">
        <v>159</v>
      </c>
      <c r="C1805" s="8">
        <v>2020</v>
      </c>
      <c r="D1805" s="8">
        <v>4</v>
      </c>
      <c r="E1805" s="3" t="str">
        <f t="shared" si="56"/>
        <v>April</v>
      </c>
      <c r="F1805" s="3" t="s">
        <v>8</v>
      </c>
      <c r="G1805" s="8">
        <v>8004.3382789999996</v>
      </c>
      <c r="H1805" s="8">
        <v>7485.067</v>
      </c>
      <c r="I1805" s="8">
        <v>-519.27127910000002</v>
      </c>
      <c r="J1805" s="8">
        <v>-497.36129620000003</v>
      </c>
      <c r="K1805" s="8">
        <v>-10100.72552</v>
      </c>
      <c r="L1805" s="8">
        <v>10128.414140000001</v>
      </c>
      <c r="M1805" s="9" t="str">
        <f>IF(A1805="",M1806,A1805)</f>
        <v>Haiti</v>
      </c>
      <c r="N1805" s="3" t="str">
        <f t="shared" si="57"/>
        <v>Apr-2020</v>
      </c>
    </row>
    <row r="1806" spans="1:14" x14ac:dyDescent="0.3">
      <c r="A1806" s="3" t="s">
        <v>158</v>
      </c>
      <c r="B1806" s="3" t="s">
        <v>159</v>
      </c>
      <c r="C1806" s="8">
        <v>2020</v>
      </c>
      <c r="D1806" s="8">
        <v>5</v>
      </c>
      <c r="E1806" s="3" t="str">
        <f t="shared" si="56"/>
        <v>May</v>
      </c>
      <c r="F1806" s="3" t="s">
        <v>8</v>
      </c>
      <c r="G1806" s="8">
        <v>7922.8485220000002</v>
      </c>
      <c r="H1806" s="8">
        <v>8162.43</v>
      </c>
      <c r="I1806" s="8">
        <v>239.5814781</v>
      </c>
      <c r="J1806" s="8">
        <v>-257.7798181</v>
      </c>
      <c r="K1806" s="8">
        <v>-11548.94418</v>
      </c>
      <c r="L1806" s="8">
        <v>11935.225920000001</v>
      </c>
      <c r="M1806" s="9" t="str">
        <f>IF(A1806="",M1807,A1806)</f>
        <v>Haiti</v>
      </c>
      <c r="N1806" s="3" t="str">
        <f t="shared" si="57"/>
        <v>May-2020</v>
      </c>
    </row>
    <row r="1807" spans="1:14" x14ac:dyDescent="0.3">
      <c r="A1807" s="3" t="s">
        <v>158</v>
      </c>
      <c r="B1807" s="3" t="s">
        <v>159</v>
      </c>
      <c r="C1807" s="8">
        <v>2020</v>
      </c>
      <c r="D1807" s="8">
        <v>6</v>
      </c>
      <c r="E1807" s="3" t="str">
        <f t="shared" si="56"/>
        <v>June</v>
      </c>
      <c r="F1807" s="3" t="s">
        <v>8</v>
      </c>
      <c r="G1807" s="8">
        <v>7831.5321450000001</v>
      </c>
      <c r="H1807" s="8">
        <v>8738.8240000000005</v>
      </c>
      <c r="I1807" s="8">
        <v>907.29185540000003</v>
      </c>
      <c r="J1807" s="8">
        <v>649.51203729999997</v>
      </c>
      <c r="K1807" s="8">
        <v>-11543.09006</v>
      </c>
      <c r="L1807" s="8">
        <v>13684.510179999999</v>
      </c>
      <c r="M1807" s="9" t="str">
        <f>IF(A1807="",M1808,A1807)</f>
        <v>Haiti</v>
      </c>
      <c r="N1807" s="3" t="str">
        <f t="shared" si="57"/>
        <v>Jun-2020</v>
      </c>
    </row>
    <row r="1808" spans="1:14" x14ac:dyDescent="0.3">
      <c r="A1808" s="3" t="s">
        <v>158</v>
      </c>
      <c r="B1808" s="3" t="s">
        <v>159</v>
      </c>
      <c r="C1808" s="8">
        <v>2020</v>
      </c>
      <c r="D1808" s="8">
        <v>7</v>
      </c>
      <c r="E1808" s="3" t="str">
        <f t="shared" si="56"/>
        <v>July</v>
      </c>
      <c r="F1808" s="3" t="s">
        <v>8</v>
      </c>
      <c r="G1808" s="8">
        <v>7902.8015100000002</v>
      </c>
      <c r="H1808" s="8">
        <v>8963.4179999999997</v>
      </c>
      <c r="I1808" s="8">
        <v>1060.6164900000001</v>
      </c>
      <c r="J1808" s="8">
        <v>1710.1285270000001</v>
      </c>
      <c r="K1808" s="8">
        <v>-12235.268190000001</v>
      </c>
      <c r="L1808" s="8">
        <v>15849.332539999999</v>
      </c>
      <c r="M1808" s="9" t="str">
        <f>IF(A1808="",M1809,A1808)</f>
        <v>Haiti</v>
      </c>
      <c r="N1808" s="3" t="str">
        <f t="shared" si="57"/>
        <v>Jul-2020</v>
      </c>
    </row>
    <row r="1809" spans="1:14" x14ac:dyDescent="0.3">
      <c r="A1809" s="3" t="s">
        <v>158</v>
      </c>
      <c r="B1809" s="3" t="s">
        <v>159</v>
      </c>
      <c r="C1809" s="8">
        <v>2020</v>
      </c>
      <c r="D1809" s="8">
        <v>8</v>
      </c>
      <c r="E1809" s="3" t="str">
        <f t="shared" si="56"/>
        <v>August</v>
      </c>
      <c r="F1809" s="3" t="s">
        <v>8</v>
      </c>
      <c r="G1809" s="8">
        <v>7830.4906490000003</v>
      </c>
      <c r="H1809" s="8">
        <v>8706.5840000000007</v>
      </c>
      <c r="I1809" s="8">
        <v>876.09335099999998</v>
      </c>
      <c r="J1809" s="8">
        <v>2586.2218779999998</v>
      </c>
      <c r="K1809" s="8">
        <v>-11814.810740000001</v>
      </c>
      <c r="L1809" s="8">
        <v>17885.398959999999</v>
      </c>
      <c r="M1809" s="9" t="str">
        <f>IF(A1809="",M1810,A1809)</f>
        <v>Haiti</v>
      </c>
      <c r="N1809" s="3" t="str">
        <f t="shared" si="57"/>
        <v>Aug-2020</v>
      </c>
    </row>
    <row r="1810" spans="1:14" x14ac:dyDescent="0.3">
      <c r="A1810" s="3" t="s">
        <v>158</v>
      </c>
      <c r="B1810" s="3" t="s">
        <v>159</v>
      </c>
      <c r="C1810" s="8">
        <v>2020</v>
      </c>
      <c r="D1810" s="8">
        <v>9</v>
      </c>
      <c r="E1810" s="3" t="str">
        <f t="shared" si="56"/>
        <v>September</v>
      </c>
      <c r="F1810" s="3" t="s">
        <v>8</v>
      </c>
      <c r="G1810" s="8">
        <v>7807.2862279999999</v>
      </c>
      <c r="H1810" s="8">
        <v>8561.5810000000001</v>
      </c>
      <c r="I1810" s="8">
        <v>754.2947719</v>
      </c>
      <c r="J1810" s="8">
        <v>3340.51665</v>
      </c>
      <c r="K1810" s="8">
        <v>-12145.486849999999</v>
      </c>
      <c r="L1810" s="8">
        <v>20275.084019999998</v>
      </c>
      <c r="M1810" s="9" t="str">
        <f>IF(A1810="",M1811,A1810)</f>
        <v>Haiti</v>
      </c>
      <c r="N1810" s="3" t="str">
        <f t="shared" si="57"/>
        <v>Sep-2020</v>
      </c>
    </row>
    <row r="1811" spans="1:14" x14ac:dyDescent="0.3">
      <c r="A1811" s="3" t="s">
        <v>158</v>
      </c>
      <c r="B1811" s="3" t="s">
        <v>159</v>
      </c>
      <c r="C1811" s="8">
        <v>2020</v>
      </c>
      <c r="D1811" s="8">
        <v>10</v>
      </c>
      <c r="E1811" s="3" t="str">
        <f t="shared" si="56"/>
        <v>October</v>
      </c>
      <c r="F1811" s="3" t="s">
        <v>8</v>
      </c>
      <c r="G1811" s="8">
        <v>7951.0315300000002</v>
      </c>
      <c r="H1811" s="8">
        <v>8328.4539999999997</v>
      </c>
      <c r="I1811" s="8">
        <v>377.42246979999999</v>
      </c>
      <c r="J1811" s="8">
        <v>3717.93912</v>
      </c>
      <c r="K1811" s="8">
        <v>-13865.52312</v>
      </c>
      <c r="L1811" s="8">
        <v>20224.632979999998</v>
      </c>
      <c r="M1811" s="9" t="str">
        <f>IF(A1811="",M1812,A1811)</f>
        <v>Haiti</v>
      </c>
      <c r="N1811" s="3" t="str">
        <f t="shared" si="57"/>
        <v>Oct-2020</v>
      </c>
    </row>
    <row r="1812" spans="1:14" x14ac:dyDescent="0.3">
      <c r="A1812" s="3" t="s">
        <v>158</v>
      </c>
      <c r="B1812" s="3" t="s">
        <v>159</v>
      </c>
      <c r="C1812" s="8">
        <v>2020</v>
      </c>
      <c r="D1812" s="8">
        <v>11</v>
      </c>
      <c r="E1812" s="3" t="str">
        <f t="shared" si="56"/>
        <v>November</v>
      </c>
      <c r="F1812" s="3" t="s">
        <v>8</v>
      </c>
      <c r="G1812" s="8">
        <v>8041.5425310000001</v>
      </c>
      <c r="H1812" s="8">
        <v>8179.75</v>
      </c>
      <c r="I1812" s="8">
        <v>138.20746879999999</v>
      </c>
      <c r="J1812" s="8">
        <v>3856.1465880000001</v>
      </c>
      <c r="K1812" s="8">
        <v>-14256.09202</v>
      </c>
      <c r="L1812" s="8">
        <v>21759.000749999999</v>
      </c>
      <c r="M1812" s="9" t="str">
        <f>IF(A1812="",M1813,A1812)</f>
        <v>Haiti</v>
      </c>
      <c r="N1812" s="3" t="str">
        <f t="shared" si="57"/>
        <v>Nov-2020</v>
      </c>
    </row>
    <row r="1813" spans="1:14" x14ac:dyDescent="0.3">
      <c r="A1813" s="3" t="s">
        <v>158</v>
      </c>
      <c r="B1813" s="3" t="s">
        <v>159</v>
      </c>
      <c r="C1813" s="8">
        <v>2020</v>
      </c>
      <c r="D1813" s="8">
        <v>12</v>
      </c>
      <c r="E1813" s="3" t="str">
        <f t="shared" si="56"/>
        <v>December</v>
      </c>
      <c r="F1813" s="3" t="s">
        <v>8</v>
      </c>
      <c r="G1813" s="8">
        <v>7962.0472069999996</v>
      </c>
      <c r="H1813" s="8">
        <v>8378.5779999999995</v>
      </c>
      <c r="I1813" s="8">
        <v>416.53079350000002</v>
      </c>
      <c r="J1813" s="8">
        <v>4272.6773819999999</v>
      </c>
      <c r="K1813" s="8">
        <v>-14311.61082</v>
      </c>
      <c r="L1813" s="8">
        <v>23994.692869999999</v>
      </c>
      <c r="M1813" s="9" t="str">
        <f>IF(A1813="",M1814,A1813)</f>
        <v>Haiti</v>
      </c>
      <c r="N1813" s="3" t="str">
        <f t="shared" si="57"/>
        <v>Dec-2020</v>
      </c>
    </row>
    <row r="1814" spans="1:14" x14ac:dyDescent="0.3">
      <c r="A1814" s="3" t="s">
        <v>158</v>
      </c>
      <c r="B1814" s="3" t="s">
        <v>159</v>
      </c>
      <c r="C1814" s="8">
        <v>2021</v>
      </c>
      <c r="D1814" s="8">
        <v>1</v>
      </c>
      <c r="E1814" s="3" t="str">
        <f t="shared" si="56"/>
        <v>January</v>
      </c>
      <c r="F1814" s="3" t="s">
        <v>8</v>
      </c>
      <c r="G1814" s="8">
        <v>7821.9135180000003</v>
      </c>
      <c r="H1814" s="8">
        <v>8424.375</v>
      </c>
      <c r="I1814" s="8">
        <v>602.46148170000004</v>
      </c>
      <c r="J1814" s="8">
        <v>4875.1388639999996</v>
      </c>
      <c r="K1814" s="8">
        <v>-13950.09001</v>
      </c>
      <c r="L1814" s="8">
        <v>25461.40826</v>
      </c>
      <c r="M1814" s="9" t="str">
        <f>IF(A1814="",M1815,A1814)</f>
        <v>Haiti</v>
      </c>
      <c r="N1814" s="3" t="str">
        <f t="shared" si="57"/>
        <v>Jan-2021</v>
      </c>
    </row>
    <row r="1815" spans="1:14" x14ac:dyDescent="0.3">
      <c r="A1815" s="3" t="s">
        <v>158</v>
      </c>
      <c r="B1815" s="3" t="s">
        <v>159</v>
      </c>
      <c r="C1815" s="8">
        <v>2021</v>
      </c>
      <c r="D1815" s="8">
        <v>2</v>
      </c>
      <c r="E1815" s="3" t="str">
        <f t="shared" si="56"/>
        <v>February</v>
      </c>
      <c r="F1815" s="3" t="s">
        <v>8</v>
      </c>
      <c r="G1815" s="8">
        <v>7868.5682479999996</v>
      </c>
      <c r="H1815" s="8">
        <v>8309.7849999999999</v>
      </c>
      <c r="I1815" s="8">
        <v>441.21675169999997</v>
      </c>
      <c r="J1815" s="8">
        <v>5316.3556150000004</v>
      </c>
      <c r="K1815" s="8">
        <v>-15805.528179999999</v>
      </c>
      <c r="L1815" s="8">
        <v>26352.14603</v>
      </c>
      <c r="M1815" s="9" t="str">
        <f>IF(A1815="",M1816,A1815)</f>
        <v>Haiti</v>
      </c>
      <c r="N1815" s="3" t="str">
        <f t="shared" si="57"/>
        <v>Feb-2021</v>
      </c>
    </row>
    <row r="1816" spans="1:14" x14ac:dyDescent="0.3">
      <c r="A1816" s="3" t="s">
        <v>158</v>
      </c>
      <c r="B1816" s="3" t="s">
        <v>159</v>
      </c>
      <c r="C1816" s="8">
        <v>2021</v>
      </c>
      <c r="D1816" s="8">
        <v>3</v>
      </c>
      <c r="E1816" s="3" t="str">
        <f t="shared" si="56"/>
        <v>March</v>
      </c>
      <c r="F1816" s="3" t="s">
        <v>8</v>
      </c>
      <c r="G1816" s="8">
        <v>7880.2707739999996</v>
      </c>
      <c r="H1816" s="8">
        <v>8433.4130000000005</v>
      </c>
      <c r="I1816" s="8">
        <v>553.14222580000001</v>
      </c>
      <c r="J1816" s="8">
        <v>5869.4978410000003</v>
      </c>
      <c r="K1816" s="8">
        <v>-15712.346020000001</v>
      </c>
      <c r="L1816" s="8">
        <v>28183.912390000001</v>
      </c>
      <c r="M1816" s="9" t="str">
        <f>IF(A1816="",M1817,A1816)</f>
        <v>Haiti</v>
      </c>
      <c r="N1816" s="3" t="str">
        <f t="shared" si="57"/>
        <v>Mar-2021</v>
      </c>
    </row>
    <row r="1817" spans="1:14" x14ac:dyDescent="0.3">
      <c r="A1817" s="3" t="s">
        <v>158</v>
      </c>
      <c r="B1817" s="3" t="s">
        <v>159</v>
      </c>
      <c r="C1817" s="8">
        <v>2021</v>
      </c>
      <c r="D1817" s="8">
        <v>4</v>
      </c>
      <c r="E1817" s="3" t="str">
        <f t="shared" si="56"/>
        <v>April</v>
      </c>
      <c r="F1817" s="3" t="s">
        <v>8</v>
      </c>
      <c r="G1817" s="8">
        <v>7687.7678020000003</v>
      </c>
      <c r="H1817" s="8">
        <v>8500.0869999999995</v>
      </c>
      <c r="I1817" s="8">
        <v>812.31919800000003</v>
      </c>
      <c r="J1817" s="8">
        <v>6681.8170389999996</v>
      </c>
      <c r="K1817" s="8">
        <v>-15013.19608</v>
      </c>
      <c r="L1817" s="8">
        <v>29798.646669999998</v>
      </c>
      <c r="M1817" s="9" t="str">
        <f>IF(A1817="",M1818,A1817)</f>
        <v>Haiti</v>
      </c>
      <c r="N1817" s="3" t="str">
        <f t="shared" si="57"/>
        <v>Apr-2021</v>
      </c>
    </row>
    <row r="1818" spans="1:14" x14ac:dyDescent="0.3">
      <c r="A1818" s="3" t="s">
        <v>158</v>
      </c>
      <c r="B1818" s="3" t="s">
        <v>159</v>
      </c>
      <c r="C1818" s="8">
        <v>2021</v>
      </c>
      <c r="D1818" s="8">
        <v>5</v>
      </c>
      <c r="E1818" s="3" t="str">
        <f t="shared" si="56"/>
        <v>May</v>
      </c>
      <c r="F1818" s="3" t="s">
        <v>8</v>
      </c>
      <c r="G1818" s="8">
        <v>7757.115495</v>
      </c>
      <c r="H1818" s="8">
        <v>8894.9030000000002</v>
      </c>
      <c r="I1818" s="8">
        <v>1137.787505</v>
      </c>
      <c r="J1818" s="8">
        <v>7819.6045439999998</v>
      </c>
      <c r="K1818" s="8">
        <v>-15446.97848</v>
      </c>
      <c r="L1818" s="8">
        <v>31650.691180000002</v>
      </c>
      <c r="M1818" s="9" t="str">
        <f>IF(A1818="",M1819,A1818)</f>
        <v>Haiti</v>
      </c>
      <c r="N1818" s="3" t="str">
        <f t="shared" si="57"/>
        <v>May-2021</v>
      </c>
    </row>
    <row r="1819" spans="1:14" x14ac:dyDescent="0.3">
      <c r="A1819" s="3" t="s">
        <v>158</v>
      </c>
      <c r="B1819" s="3" t="s">
        <v>159</v>
      </c>
      <c r="C1819" s="8">
        <v>2021</v>
      </c>
      <c r="D1819" s="8">
        <v>6</v>
      </c>
      <c r="E1819" s="3" t="str">
        <f t="shared" si="56"/>
        <v>June</v>
      </c>
      <c r="F1819" s="3" t="s">
        <v>8</v>
      </c>
      <c r="G1819" s="8">
        <v>7749.1983030000001</v>
      </c>
      <c r="H1819" s="8">
        <v>8814.2049999999999</v>
      </c>
      <c r="I1819" s="8">
        <v>1065.006697</v>
      </c>
      <c r="J1819" s="8">
        <v>8884.6112410000005</v>
      </c>
      <c r="K1819" s="8">
        <v>-14825.901949999999</v>
      </c>
      <c r="L1819" s="8">
        <v>33418.871050000002</v>
      </c>
      <c r="M1819" s="9" t="str">
        <f>IF(A1819="",M1820,A1819)</f>
        <v>Haiti</v>
      </c>
      <c r="N1819" s="3" t="str">
        <f t="shared" si="57"/>
        <v>Jun-2021</v>
      </c>
    </row>
    <row r="1820" spans="1:14" x14ac:dyDescent="0.3">
      <c r="A1820" s="3" t="s">
        <v>158</v>
      </c>
      <c r="B1820" s="3" t="s">
        <v>159</v>
      </c>
      <c r="C1820" s="8">
        <v>2021</v>
      </c>
      <c r="D1820" s="8">
        <v>7</v>
      </c>
      <c r="E1820" s="3" t="str">
        <f t="shared" si="56"/>
        <v>July</v>
      </c>
      <c r="F1820" s="3" t="s">
        <v>8</v>
      </c>
      <c r="G1820" s="8">
        <v>7653.3599839999997</v>
      </c>
      <c r="H1820" s="8">
        <v>9076.1170000000002</v>
      </c>
      <c r="I1820" s="8">
        <v>1422.757016</v>
      </c>
      <c r="J1820" s="8">
        <v>10307.368259999999</v>
      </c>
      <c r="K1820" s="8">
        <v>-13669.44965</v>
      </c>
      <c r="L1820" s="8">
        <v>36068.227740000002</v>
      </c>
      <c r="M1820" s="9" t="str">
        <f>IF(A1820="",M1821,A1820)</f>
        <v>Haiti</v>
      </c>
      <c r="N1820" s="3" t="str">
        <f t="shared" si="57"/>
        <v>Jul-2021</v>
      </c>
    </row>
    <row r="1821" spans="1:14" x14ac:dyDescent="0.3">
      <c r="A1821" s="3" t="s">
        <v>158</v>
      </c>
      <c r="B1821" s="3" t="s">
        <v>159</v>
      </c>
      <c r="C1821" s="8">
        <v>2021</v>
      </c>
      <c r="D1821" s="8">
        <v>8</v>
      </c>
      <c r="E1821" s="3" t="str">
        <f t="shared" si="56"/>
        <v>August</v>
      </c>
      <c r="F1821" s="3" t="s">
        <v>8</v>
      </c>
      <c r="G1821" s="8">
        <v>7809.7243410000001</v>
      </c>
      <c r="H1821" s="8">
        <v>8563.9490000000005</v>
      </c>
      <c r="I1821" s="8">
        <v>754.22465899999997</v>
      </c>
      <c r="J1821" s="8">
        <v>11061.592919999999</v>
      </c>
      <c r="K1821" s="8">
        <v>-14630.726430000001</v>
      </c>
      <c r="L1821" s="8">
        <v>37850.452550000002</v>
      </c>
      <c r="M1821" s="9" t="str">
        <f>IF(A1821="",M1822,A1821)</f>
        <v>Haiti</v>
      </c>
      <c r="N1821" s="3" t="str">
        <f t="shared" si="57"/>
        <v>Aug-2021</v>
      </c>
    </row>
    <row r="1822" spans="1:14" x14ac:dyDescent="0.3">
      <c r="A1822" s="3" t="s">
        <v>158</v>
      </c>
      <c r="B1822" s="3" t="s">
        <v>159</v>
      </c>
      <c r="C1822" s="8">
        <v>2021</v>
      </c>
      <c r="D1822" s="8">
        <v>9</v>
      </c>
      <c r="E1822" s="3" t="str">
        <f t="shared" si="56"/>
        <v>September</v>
      </c>
      <c r="F1822" s="3" t="s">
        <v>8</v>
      </c>
      <c r="G1822" s="8">
        <v>7629.028867</v>
      </c>
      <c r="H1822" s="8">
        <v>8535.107</v>
      </c>
      <c r="I1822" s="8">
        <v>906.07813250000004</v>
      </c>
      <c r="J1822" s="8">
        <v>11967.671050000001</v>
      </c>
      <c r="K1822" s="8">
        <v>-13627.92942</v>
      </c>
      <c r="L1822" s="8">
        <v>38967.711689999996</v>
      </c>
      <c r="M1822" s="9" t="str">
        <f>IF(A1822="",M1823,A1822)</f>
        <v>Haiti</v>
      </c>
      <c r="N1822" s="3" t="str">
        <f t="shared" si="57"/>
        <v>Sep-2021</v>
      </c>
    </row>
    <row r="1823" spans="1:14" x14ac:dyDescent="0.3">
      <c r="A1823" s="3" t="s">
        <v>158</v>
      </c>
      <c r="B1823" s="3" t="s">
        <v>159</v>
      </c>
      <c r="C1823" s="8">
        <v>2021</v>
      </c>
      <c r="D1823" s="8">
        <v>10</v>
      </c>
      <c r="E1823" s="3" t="str">
        <f t="shared" si="56"/>
        <v>October</v>
      </c>
      <c r="F1823" s="3" t="s">
        <v>8</v>
      </c>
      <c r="G1823" s="8">
        <v>7764.5464860000002</v>
      </c>
      <c r="H1823" s="8">
        <v>8737.1260000000002</v>
      </c>
      <c r="I1823" s="8">
        <v>972.57951379999997</v>
      </c>
      <c r="J1823" s="8">
        <v>12940.25056</v>
      </c>
      <c r="K1823" s="8">
        <v>-13576.71477</v>
      </c>
      <c r="L1823" s="8">
        <v>40541.242879999998</v>
      </c>
      <c r="M1823" s="9" t="str">
        <f>IF(A1823="",M1824,A1823)</f>
        <v>Haiti</v>
      </c>
      <c r="N1823" s="3" t="str">
        <f t="shared" si="57"/>
        <v>Oct-2021</v>
      </c>
    </row>
    <row r="1824" spans="1:14" x14ac:dyDescent="0.3">
      <c r="A1824" s="3" t="s">
        <v>158</v>
      </c>
      <c r="B1824" s="3" t="s">
        <v>159</v>
      </c>
      <c r="C1824" s="8">
        <v>2021</v>
      </c>
      <c r="D1824" s="8">
        <v>11</v>
      </c>
      <c r="E1824" s="3" t="str">
        <f t="shared" si="56"/>
        <v>November</v>
      </c>
      <c r="F1824" s="3" t="s">
        <v>8</v>
      </c>
      <c r="G1824" s="8">
        <v>7841.3871980000004</v>
      </c>
      <c r="H1824" s="8">
        <v>8751.2099999999991</v>
      </c>
      <c r="I1824" s="8">
        <v>909.82280160000005</v>
      </c>
      <c r="J1824" s="8">
        <v>13850.07336</v>
      </c>
      <c r="K1824" s="8">
        <v>-14174.04811</v>
      </c>
      <c r="L1824" s="8">
        <v>42950.453079999999</v>
      </c>
      <c r="M1824" s="9" t="str">
        <f>IF(A1824="",M1825,A1824)</f>
        <v>Haiti</v>
      </c>
      <c r="N1824" s="3" t="str">
        <f t="shared" si="57"/>
        <v>Nov-2021</v>
      </c>
    </row>
    <row r="1825" spans="1:14" x14ac:dyDescent="0.3">
      <c r="A1825" s="3" t="s">
        <v>158</v>
      </c>
      <c r="B1825" s="3" t="s">
        <v>159</v>
      </c>
      <c r="C1825" s="8">
        <v>2021</v>
      </c>
      <c r="D1825" s="8">
        <v>12</v>
      </c>
      <c r="E1825" s="3" t="str">
        <f t="shared" si="56"/>
        <v>December</v>
      </c>
      <c r="F1825" s="3" t="s">
        <v>8</v>
      </c>
      <c r="G1825" s="8">
        <v>7831.1400640000002</v>
      </c>
      <c r="H1825" s="8">
        <v>8861.6479999999992</v>
      </c>
      <c r="I1825" s="8">
        <v>1030.507936</v>
      </c>
      <c r="J1825" s="8">
        <v>14880.5813</v>
      </c>
      <c r="K1825" s="8">
        <v>-12731.87026</v>
      </c>
      <c r="L1825" s="8">
        <v>43776.580439999998</v>
      </c>
      <c r="M1825" s="9" t="str">
        <f>IF(A1825="",M1826,A1825)</f>
        <v>Haiti</v>
      </c>
      <c r="N1825" s="3" t="str">
        <f t="shared" si="57"/>
        <v>Dec-2021</v>
      </c>
    </row>
    <row r="1826" spans="1:14" x14ac:dyDescent="0.3">
      <c r="A1826" s="3" t="s">
        <v>160</v>
      </c>
      <c r="B1826" s="3" t="s">
        <v>161</v>
      </c>
      <c r="C1826" s="8">
        <v>2020</v>
      </c>
      <c r="D1826" s="8">
        <v>1</v>
      </c>
      <c r="E1826" s="3" t="str">
        <f t="shared" si="56"/>
        <v>January</v>
      </c>
      <c r="F1826" s="3" t="s">
        <v>13</v>
      </c>
      <c r="G1826" s="8">
        <v>11939.94354</v>
      </c>
      <c r="H1826" s="8">
        <v>11759</v>
      </c>
      <c r="I1826" s="8">
        <v>-180.94353960000001</v>
      </c>
      <c r="J1826" s="8">
        <v>-180.94353960000001</v>
      </c>
      <c r="K1826" s="8">
        <v>-697.60711879999997</v>
      </c>
      <c r="L1826" s="8">
        <v>292.41067529999998</v>
      </c>
      <c r="M1826" s="9" t="str">
        <f>IF(A1826="",M1827,A1826)</f>
        <v>Hungary</v>
      </c>
      <c r="N1826" s="3" t="str">
        <f t="shared" si="57"/>
        <v>Jan-2020</v>
      </c>
    </row>
    <row r="1827" spans="1:14" x14ac:dyDescent="0.3">
      <c r="A1827" s="3" t="s">
        <v>160</v>
      </c>
      <c r="B1827" s="3" t="s">
        <v>161</v>
      </c>
      <c r="C1827" s="8">
        <v>2020</v>
      </c>
      <c r="D1827" s="8">
        <v>2</v>
      </c>
      <c r="E1827" s="3" t="str">
        <f t="shared" si="56"/>
        <v>February</v>
      </c>
      <c r="F1827" s="3" t="s">
        <v>13</v>
      </c>
      <c r="G1827" s="8">
        <v>12147.75548</v>
      </c>
      <c r="H1827" s="8">
        <v>11157</v>
      </c>
      <c r="I1827" s="8">
        <v>-990.75547529999994</v>
      </c>
      <c r="J1827" s="8">
        <v>-1171.6990149999999</v>
      </c>
      <c r="K1827" s="8">
        <v>-1949.2821489999999</v>
      </c>
      <c r="L1827" s="8">
        <v>-414.21158709999997</v>
      </c>
      <c r="M1827" s="9" t="str">
        <f>IF(A1827="",M1828,A1827)</f>
        <v>Hungary</v>
      </c>
      <c r="N1827" s="3" t="str">
        <f t="shared" si="57"/>
        <v>Feb-2020</v>
      </c>
    </row>
    <row r="1828" spans="1:14" x14ac:dyDescent="0.3">
      <c r="A1828" s="3" t="s">
        <v>160</v>
      </c>
      <c r="B1828" s="3" t="s">
        <v>161</v>
      </c>
      <c r="C1828" s="8">
        <v>2020</v>
      </c>
      <c r="D1828" s="8">
        <v>3</v>
      </c>
      <c r="E1828" s="3" t="str">
        <f t="shared" si="56"/>
        <v>March</v>
      </c>
      <c r="F1828" s="3" t="s">
        <v>13</v>
      </c>
      <c r="G1828" s="8">
        <v>11635.950440000001</v>
      </c>
      <c r="H1828" s="8">
        <v>11697</v>
      </c>
      <c r="I1828" s="8">
        <v>61.049564740000001</v>
      </c>
      <c r="J1828" s="8">
        <v>-1110.6494499999999</v>
      </c>
      <c r="K1828" s="8">
        <v>-2103.3046989999998</v>
      </c>
      <c r="L1828" s="8">
        <v>-158.21198559999999</v>
      </c>
      <c r="M1828" s="9" t="str">
        <f>IF(A1828="",M1829,A1828)</f>
        <v>Hungary</v>
      </c>
      <c r="N1828" s="3" t="str">
        <f t="shared" si="57"/>
        <v>Mar-2020</v>
      </c>
    </row>
    <row r="1829" spans="1:14" x14ac:dyDescent="0.3">
      <c r="A1829" s="3" t="s">
        <v>160</v>
      </c>
      <c r="B1829" s="3" t="s">
        <v>161</v>
      </c>
      <c r="C1829" s="8">
        <v>2020</v>
      </c>
      <c r="D1829" s="8">
        <v>4</v>
      </c>
      <c r="E1829" s="3" t="str">
        <f t="shared" si="56"/>
        <v>April</v>
      </c>
      <c r="F1829" s="3" t="s">
        <v>13</v>
      </c>
      <c r="G1829" s="8">
        <v>10668.32878</v>
      </c>
      <c r="H1829" s="8">
        <v>10534</v>
      </c>
      <c r="I1829" s="8">
        <v>-134.32878349999999</v>
      </c>
      <c r="J1829" s="8">
        <v>-1244.9782339999999</v>
      </c>
      <c r="K1829" s="8">
        <v>-2361.8939959999998</v>
      </c>
      <c r="L1829" s="8">
        <v>-133.75344509999999</v>
      </c>
      <c r="M1829" s="9" t="str">
        <f>IF(A1829="",M1830,A1829)</f>
        <v>Hungary</v>
      </c>
      <c r="N1829" s="3" t="str">
        <f t="shared" si="57"/>
        <v>Apr-2020</v>
      </c>
    </row>
    <row r="1830" spans="1:14" x14ac:dyDescent="0.3">
      <c r="A1830" s="3" t="s">
        <v>160</v>
      </c>
      <c r="B1830" s="3" t="s">
        <v>161</v>
      </c>
      <c r="C1830" s="8">
        <v>2020</v>
      </c>
      <c r="D1830" s="8">
        <v>5</v>
      </c>
      <c r="E1830" s="3" t="str">
        <f t="shared" si="56"/>
        <v>May</v>
      </c>
      <c r="F1830" s="3" t="s">
        <v>13</v>
      </c>
      <c r="G1830" s="8">
        <v>10015.121810000001</v>
      </c>
      <c r="H1830" s="8">
        <v>9903</v>
      </c>
      <c r="I1830" s="8">
        <v>-112.1218143</v>
      </c>
      <c r="J1830" s="8">
        <v>-1357.100048</v>
      </c>
      <c r="K1830" s="8">
        <v>-2585.3104739999999</v>
      </c>
      <c r="L1830" s="8">
        <v>-104.0563729</v>
      </c>
      <c r="M1830" s="9" t="str">
        <f>IF(A1830="",M1831,A1830)</f>
        <v>Hungary</v>
      </c>
      <c r="N1830" s="3" t="str">
        <f t="shared" si="57"/>
        <v>May-2020</v>
      </c>
    </row>
    <row r="1831" spans="1:14" x14ac:dyDescent="0.3">
      <c r="A1831" s="3" t="s">
        <v>160</v>
      </c>
      <c r="B1831" s="3" t="s">
        <v>161</v>
      </c>
      <c r="C1831" s="8">
        <v>2020</v>
      </c>
      <c r="D1831" s="8">
        <v>6</v>
      </c>
      <c r="E1831" s="3" t="str">
        <f t="shared" si="56"/>
        <v>June</v>
      </c>
      <c r="F1831" s="3" t="s">
        <v>13</v>
      </c>
      <c r="G1831" s="8">
        <v>9747.6091099999994</v>
      </c>
      <c r="H1831" s="8">
        <v>9686</v>
      </c>
      <c r="I1831" s="8">
        <v>-61.609110149999999</v>
      </c>
      <c r="J1831" s="8">
        <v>-1418.7091579999999</v>
      </c>
      <c r="K1831" s="8">
        <v>-2791.8651140000002</v>
      </c>
      <c r="L1831" s="8">
        <v>-89.460033960000004</v>
      </c>
      <c r="M1831" s="9" t="str">
        <f>IF(A1831="",M1832,A1831)</f>
        <v>Hungary</v>
      </c>
      <c r="N1831" s="3" t="str">
        <f t="shared" si="57"/>
        <v>Jun-2020</v>
      </c>
    </row>
    <row r="1832" spans="1:14" x14ac:dyDescent="0.3">
      <c r="A1832" s="3" t="s">
        <v>160</v>
      </c>
      <c r="B1832" s="3" t="s">
        <v>161</v>
      </c>
      <c r="C1832" s="8">
        <v>2020</v>
      </c>
      <c r="D1832" s="8">
        <v>7</v>
      </c>
      <c r="E1832" s="3" t="str">
        <f t="shared" si="56"/>
        <v>July</v>
      </c>
      <c r="F1832" s="3" t="s">
        <v>13</v>
      </c>
      <c r="G1832" s="8">
        <v>9860.6406790000001</v>
      </c>
      <c r="H1832" s="8">
        <v>9774</v>
      </c>
      <c r="I1832" s="8">
        <v>-86.640679000000006</v>
      </c>
      <c r="J1832" s="8">
        <v>-1505.349837</v>
      </c>
      <c r="K1832" s="8">
        <v>-2988.2284030000001</v>
      </c>
      <c r="L1832" s="8">
        <v>-79.092261289999996</v>
      </c>
      <c r="M1832" s="9" t="str">
        <f>IF(A1832="",M1833,A1832)</f>
        <v>Hungary</v>
      </c>
      <c r="N1832" s="3" t="str">
        <f t="shared" si="57"/>
        <v>Jul-2020</v>
      </c>
    </row>
    <row r="1833" spans="1:14" x14ac:dyDescent="0.3">
      <c r="A1833" s="3" t="s">
        <v>160</v>
      </c>
      <c r="B1833" s="3" t="s">
        <v>161</v>
      </c>
      <c r="C1833" s="8">
        <v>2020</v>
      </c>
      <c r="D1833" s="8">
        <v>8</v>
      </c>
      <c r="E1833" s="3" t="str">
        <f t="shared" si="56"/>
        <v>August</v>
      </c>
      <c r="F1833" s="3" t="s">
        <v>13</v>
      </c>
      <c r="G1833" s="8">
        <v>9914.9599089999992</v>
      </c>
      <c r="H1833" s="8">
        <v>9998</v>
      </c>
      <c r="I1833" s="8">
        <v>83.040090820000003</v>
      </c>
      <c r="J1833" s="8">
        <v>-1422.3097459999999</v>
      </c>
      <c r="K1833" s="8">
        <v>-3024.836734</v>
      </c>
      <c r="L1833" s="8">
        <v>32.384287010000001</v>
      </c>
      <c r="M1833" s="9" t="str">
        <f>IF(A1833="",M1834,A1833)</f>
        <v>Hungary</v>
      </c>
      <c r="N1833" s="3" t="str">
        <f t="shared" si="57"/>
        <v>Aug-2020</v>
      </c>
    </row>
    <row r="1834" spans="1:14" x14ac:dyDescent="0.3">
      <c r="A1834" s="3" t="s">
        <v>160</v>
      </c>
      <c r="B1834" s="3" t="s">
        <v>161</v>
      </c>
      <c r="C1834" s="8">
        <v>2020</v>
      </c>
      <c r="D1834" s="8">
        <v>9</v>
      </c>
      <c r="E1834" s="3" t="str">
        <f t="shared" si="56"/>
        <v>September</v>
      </c>
      <c r="F1834" s="3" t="s">
        <v>13</v>
      </c>
      <c r="G1834" s="8">
        <v>9939.9164949999995</v>
      </c>
      <c r="H1834" s="8">
        <v>10264</v>
      </c>
      <c r="I1834" s="8">
        <v>324.08350480000001</v>
      </c>
      <c r="J1834" s="8">
        <v>-1098.226242</v>
      </c>
      <c r="K1834" s="8">
        <v>-2688.7497760000001</v>
      </c>
      <c r="L1834" s="8">
        <v>474.99220380000003</v>
      </c>
      <c r="M1834" s="9" t="str">
        <f>IF(A1834="",M1835,A1834)</f>
        <v>Hungary</v>
      </c>
      <c r="N1834" s="3" t="str">
        <f t="shared" si="57"/>
        <v>Sep-2020</v>
      </c>
    </row>
    <row r="1835" spans="1:14" x14ac:dyDescent="0.3">
      <c r="A1835" s="3" t="s">
        <v>160</v>
      </c>
      <c r="B1835" s="3" t="s">
        <v>161</v>
      </c>
      <c r="C1835" s="8">
        <v>2020</v>
      </c>
      <c r="D1835" s="8">
        <v>10</v>
      </c>
      <c r="E1835" s="3" t="str">
        <f t="shared" si="56"/>
        <v>October</v>
      </c>
      <c r="F1835" s="3" t="s">
        <v>13</v>
      </c>
      <c r="G1835" s="8">
        <v>10316.329299999999</v>
      </c>
      <c r="H1835" s="8">
        <v>12504</v>
      </c>
      <c r="I1835" s="8">
        <v>2187.6707029999998</v>
      </c>
      <c r="J1835" s="8">
        <v>1089.444461</v>
      </c>
      <c r="K1835" s="8">
        <v>-691.15682260000005</v>
      </c>
      <c r="L1835" s="8">
        <v>2770.1531679999998</v>
      </c>
      <c r="M1835" s="9" t="str">
        <f>IF(A1835="",M1836,A1835)</f>
        <v>Hungary</v>
      </c>
      <c r="N1835" s="3" t="str">
        <f t="shared" si="57"/>
        <v>Oct-2020</v>
      </c>
    </row>
    <row r="1836" spans="1:14" x14ac:dyDescent="0.3">
      <c r="A1836" s="3" t="s">
        <v>160</v>
      </c>
      <c r="B1836" s="3" t="s">
        <v>161</v>
      </c>
      <c r="C1836" s="8">
        <v>2020</v>
      </c>
      <c r="D1836" s="8">
        <v>11</v>
      </c>
      <c r="E1836" s="3" t="str">
        <f t="shared" si="56"/>
        <v>November</v>
      </c>
      <c r="F1836" s="3" t="s">
        <v>13</v>
      </c>
      <c r="G1836" s="8">
        <v>10854.64718</v>
      </c>
      <c r="H1836" s="8">
        <v>16582</v>
      </c>
      <c r="I1836" s="8">
        <v>5727.3528249999999</v>
      </c>
      <c r="J1836" s="8">
        <v>6816.797286</v>
      </c>
      <c r="K1836" s="8">
        <v>5027.0238660000005</v>
      </c>
      <c r="L1836" s="8">
        <v>8667.2315959999996</v>
      </c>
      <c r="M1836" s="9" t="str">
        <f>IF(A1836="",M1837,A1836)</f>
        <v>Hungary</v>
      </c>
      <c r="N1836" s="3" t="str">
        <f t="shared" si="57"/>
        <v>Nov-2020</v>
      </c>
    </row>
    <row r="1837" spans="1:14" x14ac:dyDescent="0.3">
      <c r="A1837" s="3" t="s">
        <v>160</v>
      </c>
      <c r="B1837" s="3" t="s">
        <v>161</v>
      </c>
      <c r="C1837" s="8">
        <v>2020</v>
      </c>
      <c r="D1837" s="8">
        <v>12</v>
      </c>
      <c r="E1837" s="3" t="str">
        <f t="shared" si="56"/>
        <v>December</v>
      </c>
      <c r="F1837" s="3" t="s">
        <v>13</v>
      </c>
      <c r="G1837" s="8">
        <v>11909.04581</v>
      </c>
      <c r="H1837" s="8">
        <v>17139</v>
      </c>
      <c r="I1837" s="8">
        <v>5229.9541870000003</v>
      </c>
      <c r="J1837" s="8">
        <v>12046.751469999999</v>
      </c>
      <c r="K1837" s="8">
        <v>10128.193719999999</v>
      </c>
      <c r="L1837" s="8">
        <v>13996.205099999999</v>
      </c>
      <c r="M1837" s="9" t="str">
        <f>IF(A1837="",M1838,A1837)</f>
        <v>Hungary</v>
      </c>
      <c r="N1837" s="3" t="str">
        <f t="shared" si="57"/>
        <v>Dec-2020</v>
      </c>
    </row>
    <row r="1838" spans="1:14" x14ac:dyDescent="0.3">
      <c r="A1838" s="3" t="s">
        <v>160</v>
      </c>
      <c r="B1838" s="3" t="s">
        <v>161</v>
      </c>
      <c r="C1838" s="8">
        <v>2021</v>
      </c>
      <c r="D1838" s="8">
        <v>1</v>
      </c>
      <c r="E1838" s="3" t="str">
        <f t="shared" si="56"/>
        <v>January</v>
      </c>
      <c r="F1838" s="3" t="s">
        <v>13</v>
      </c>
      <c r="G1838" s="8">
        <v>11911.90307</v>
      </c>
      <c r="H1838" s="8">
        <v>13831</v>
      </c>
      <c r="I1838" s="8">
        <v>1919.096931</v>
      </c>
      <c r="J1838" s="8">
        <v>13965.848400000001</v>
      </c>
      <c r="K1838" s="8">
        <v>11954.67799</v>
      </c>
      <c r="L1838" s="8">
        <v>15999.00786</v>
      </c>
      <c r="M1838" s="9" t="str">
        <f>IF(A1838="",M1839,A1838)</f>
        <v>Hungary</v>
      </c>
      <c r="N1838" s="3" t="str">
        <f t="shared" si="57"/>
        <v>Jan-2021</v>
      </c>
    </row>
    <row r="1839" spans="1:14" x14ac:dyDescent="0.3">
      <c r="A1839" s="3" t="s">
        <v>160</v>
      </c>
      <c r="B1839" s="3" t="s">
        <v>161</v>
      </c>
      <c r="C1839" s="8">
        <v>2021</v>
      </c>
      <c r="D1839" s="8">
        <v>2</v>
      </c>
      <c r="E1839" s="3" t="str">
        <f t="shared" si="56"/>
        <v>February</v>
      </c>
      <c r="F1839" s="3" t="s">
        <v>13</v>
      </c>
      <c r="G1839" s="8">
        <v>12135.201940000001</v>
      </c>
      <c r="H1839" s="8">
        <v>11870</v>
      </c>
      <c r="I1839" s="8">
        <v>-265.20193849999998</v>
      </c>
      <c r="J1839" s="8">
        <v>13700.64647</v>
      </c>
      <c r="K1839" s="8">
        <v>11673.056049999999</v>
      </c>
      <c r="L1839" s="8">
        <v>15709.86391</v>
      </c>
      <c r="M1839" s="9" t="str">
        <f>IF(A1839="",M1840,A1839)</f>
        <v>Hungary</v>
      </c>
      <c r="N1839" s="3" t="str">
        <f t="shared" si="57"/>
        <v>Feb-2021</v>
      </c>
    </row>
    <row r="1840" spans="1:14" x14ac:dyDescent="0.3">
      <c r="A1840" s="3" t="s">
        <v>160</v>
      </c>
      <c r="B1840" s="3" t="s">
        <v>161</v>
      </c>
      <c r="C1840" s="8">
        <v>2021</v>
      </c>
      <c r="D1840" s="8">
        <v>3</v>
      </c>
      <c r="E1840" s="3" t="str">
        <f t="shared" si="56"/>
        <v>March</v>
      </c>
      <c r="F1840" s="3" t="s">
        <v>13</v>
      </c>
      <c r="G1840" s="8">
        <v>11596.862940000001</v>
      </c>
      <c r="H1840" s="8">
        <v>17892</v>
      </c>
      <c r="I1840" s="8">
        <v>6295.1370550000001</v>
      </c>
      <c r="J1840" s="8">
        <v>19995.783520000001</v>
      </c>
      <c r="K1840" s="8">
        <v>17860.35081</v>
      </c>
      <c r="L1840" s="8">
        <v>22084.02622</v>
      </c>
      <c r="M1840" s="9" t="str">
        <f>IF(A1840="",M1841,A1840)</f>
        <v>Hungary</v>
      </c>
      <c r="N1840" s="3" t="str">
        <f t="shared" si="57"/>
        <v>Mar-2021</v>
      </c>
    </row>
    <row r="1841" spans="1:14" x14ac:dyDescent="0.3">
      <c r="A1841" s="3" t="s">
        <v>160</v>
      </c>
      <c r="B1841" s="3" t="s">
        <v>161</v>
      </c>
      <c r="C1841" s="8">
        <v>2021</v>
      </c>
      <c r="D1841" s="8">
        <v>4</v>
      </c>
      <c r="E1841" s="3" t="str">
        <f t="shared" si="56"/>
        <v>April</v>
      </c>
      <c r="F1841" s="3" t="s">
        <v>13</v>
      </c>
      <c r="G1841" s="8">
        <v>10626.369720000001</v>
      </c>
      <c r="H1841" s="8">
        <v>15634</v>
      </c>
      <c r="I1841" s="8">
        <v>5007.6302830000004</v>
      </c>
      <c r="J1841" s="8">
        <v>25003.413799999998</v>
      </c>
      <c r="K1841" s="8">
        <v>22790.086609999998</v>
      </c>
      <c r="L1841" s="8">
        <v>27371.850839999999</v>
      </c>
      <c r="M1841" s="9" t="str">
        <f>IF(A1841="",M1842,A1841)</f>
        <v>Hungary</v>
      </c>
      <c r="N1841" s="3" t="str">
        <f t="shared" si="57"/>
        <v>Apr-2021</v>
      </c>
    </row>
    <row r="1842" spans="1:14" x14ac:dyDescent="0.3">
      <c r="A1842" s="3" t="s">
        <v>160</v>
      </c>
      <c r="B1842" s="3" t="s">
        <v>161</v>
      </c>
      <c r="C1842" s="8">
        <v>2021</v>
      </c>
      <c r="D1842" s="8">
        <v>5</v>
      </c>
      <c r="E1842" s="3" t="str">
        <f t="shared" si="56"/>
        <v>May</v>
      </c>
      <c r="F1842" s="3" t="s">
        <v>13</v>
      </c>
      <c r="G1842" s="8">
        <v>9991.6635100000003</v>
      </c>
      <c r="H1842" s="8">
        <v>11195</v>
      </c>
      <c r="I1842" s="8">
        <v>1203.3364899999999</v>
      </c>
      <c r="J1842" s="8">
        <v>26206.75029</v>
      </c>
      <c r="K1842" s="8">
        <v>23901.185539999999</v>
      </c>
      <c r="L1842" s="8">
        <v>28499.495309999998</v>
      </c>
      <c r="M1842" s="9" t="str">
        <f>IF(A1842="",M1843,A1842)</f>
        <v>Hungary</v>
      </c>
      <c r="N1842" s="3" t="str">
        <f t="shared" si="57"/>
        <v>May-2021</v>
      </c>
    </row>
    <row r="1843" spans="1:14" x14ac:dyDescent="0.3">
      <c r="A1843" s="3" t="s">
        <v>160</v>
      </c>
      <c r="B1843" s="3" t="s">
        <v>161</v>
      </c>
      <c r="C1843" s="8">
        <v>2021</v>
      </c>
      <c r="D1843" s="8">
        <v>6</v>
      </c>
      <c r="E1843" s="3" t="str">
        <f t="shared" si="56"/>
        <v>June</v>
      </c>
      <c r="F1843" s="3" t="s">
        <v>13</v>
      </c>
      <c r="G1843" s="8">
        <v>9714.1205059999993</v>
      </c>
      <c r="H1843" s="8">
        <v>10513</v>
      </c>
      <c r="I1843" s="8">
        <v>798.87949370000001</v>
      </c>
      <c r="J1843" s="8">
        <v>27005.629789999999</v>
      </c>
      <c r="K1843" s="8">
        <v>24604.1351</v>
      </c>
      <c r="L1843" s="8">
        <v>29459.30068</v>
      </c>
      <c r="M1843" s="9" t="str">
        <f>IF(A1843="",M1844,A1843)</f>
        <v>Hungary</v>
      </c>
      <c r="N1843" s="3" t="str">
        <f t="shared" si="57"/>
        <v>Jun-2021</v>
      </c>
    </row>
    <row r="1844" spans="1:14" x14ac:dyDescent="0.3">
      <c r="A1844" s="3" t="s">
        <v>160</v>
      </c>
      <c r="B1844" s="3" t="s">
        <v>161</v>
      </c>
      <c r="C1844" s="8">
        <v>2021</v>
      </c>
      <c r="D1844" s="8">
        <v>7</v>
      </c>
      <c r="E1844" s="3" t="str">
        <f t="shared" si="56"/>
        <v>July</v>
      </c>
      <c r="F1844" s="3" t="s">
        <v>13</v>
      </c>
      <c r="G1844" s="8">
        <v>9857.0960230000001</v>
      </c>
      <c r="H1844" s="8">
        <v>10408</v>
      </c>
      <c r="I1844" s="8">
        <v>550.90397729999995</v>
      </c>
      <c r="J1844" s="8">
        <v>27556.533769999998</v>
      </c>
      <c r="K1844" s="8">
        <v>25055.685020000001</v>
      </c>
      <c r="L1844" s="8">
        <v>29992.77751</v>
      </c>
      <c r="M1844" s="9" t="str">
        <f>IF(A1844="",M1845,A1844)</f>
        <v>Hungary</v>
      </c>
      <c r="N1844" s="3" t="str">
        <f t="shared" si="57"/>
        <v>Jul-2021</v>
      </c>
    </row>
    <row r="1845" spans="1:14" x14ac:dyDescent="0.3">
      <c r="A1845" s="3" t="s">
        <v>160</v>
      </c>
      <c r="B1845" s="3" t="s">
        <v>161</v>
      </c>
      <c r="C1845" s="8">
        <v>2021</v>
      </c>
      <c r="D1845" s="8">
        <v>8</v>
      </c>
      <c r="E1845" s="3" t="str">
        <f t="shared" si="56"/>
        <v>August</v>
      </c>
      <c r="F1845" s="3" t="s">
        <v>13</v>
      </c>
      <c r="G1845" s="8">
        <v>9889.2490500000004</v>
      </c>
      <c r="H1845" s="8">
        <v>9919</v>
      </c>
      <c r="I1845" s="8">
        <v>29.75095009</v>
      </c>
      <c r="J1845" s="8">
        <v>27586.28472</v>
      </c>
      <c r="K1845" s="8">
        <v>25103.790550000002</v>
      </c>
      <c r="L1845" s="8">
        <v>30193.0409</v>
      </c>
      <c r="M1845" s="9" t="str">
        <f>IF(A1845="",M1846,A1845)</f>
        <v>Hungary</v>
      </c>
      <c r="N1845" s="3" t="str">
        <f t="shared" si="57"/>
        <v>Aug-2021</v>
      </c>
    </row>
    <row r="1846" spans="1:14" x14ac:dyDescent="0.3">
      <c r="A1846" s="3" t="s">
        <v>160</v>
      </c>
      <c r="B1846" s="3" t="s">
        <v>161</v>
      </c>
      <c r="C1846" s="8">
        <v>2021</v>
      </c>
      <c r="D1846" s="8">
        <v>9</v>
      </c>
      <c r="E1846" s="3" t="str">
        <f t="shared" si="56"/>
        <v>September</v>
      </c>
      <c r="F1846" s="3" t="s">
        <v>13</v>
      </c>
      <c r="G1846" s="8">
        <v>9911.7229559999996</v>
      </c>
      <c r="H1846" s="8">
        <v>10260</v>
      </c>
      <c r="I1846" s="8">
        <v>348.27704419999998</v>
      </c>
      <c r="J1846" s="8">
        <v>27934.561760000001</v>
      </c>
      <c r="K1846" s="8">
        <v>25196.3514</v>
      </c>
      <c r="L1846" s="8">
        <v>30568.563969999999</v>
      </c>
      <c r="M1846" s="9" t="str">
        <f>IF(A1846="",M1847,A1846)</f>
        <v>Hungary</v>
      </c>
      <c r="N1846" s="3" t="str">
        <f t="shared" si="57"/>
        <v>Sep-2021</v>
      </c>
    </row>
    <row r="1847" spans="1:14" x14ac:dyDescent="0.3">
      <c r="A1847" s="3" t="s">
        <v>160</v>
      </c>
      <c r="B1847" s="3" t="s">
        <v>161</v>
      </c>
      <c r="C1847" s="8">
        <v>2021</v>
      </c>
      <c r="D1847" s="8">
        <v>10</v>
      </c>
      <c r="E1847" s="3" t="str">
        <f t="shared" si="56"/>
        <v>October</v>
      </c>
      <c r="F1847" s="3" t="s">
        <v>13</v>
      </c>
      <c r="G1847" s="8">
        <v>10278.48977</v>
      </c>
      <c r="H1847" s="8">
        <v>11882</v>
      </c>
      <c r="I1847" s="8">
        <v>1603.5102340000001</v>
      </c>
      <c r="J1847" s="8">
        <v>29538.07199</v>
      </c>
      <c r="K1847" s="8">
        <v>26703.295600000001</v>
      </c>
      <c r="L1847" s="8">
        <v>32207.384239999999</v>
      </c>
      <c r="M1847" s="9" t="str">
        <f>IF(A1847="",M1848,A1847)</f>
        <v>Hungary</v>
      </c>
      <c r="N1847" s="3" t="str">
        <f t="shared" si="57"/>
        <v>Oct-2021</v>
      </c>
    </row>
    <row r="1848" spans="1:14" x14ac:dyDescent="0.3">
      <c r="A1848" s="3" t="s">
        <v>160</v>
      </c>
      <c r="B1848" s="3" t="s">
        <v>161</v>
      </c>
      <c r="C1848" s="8">
        <v>2021</v>
      </c>
      <c r="D1848" s="8">
        <v>11</v>
      </c>
      <c r="E1848" s="3" t="str">
        <f t="shared" si="56"/>
        <v>November</v>
      </c>
      <c r="F1848" s="3" t="s">
        <v>13</v>
      </c>
      <c r="G1848" s="8">
        <v>10831.714089999999</v>
      </c>
      <c r="H1848" s="8">
        <v>15751</v>
      </c>
      <c r="I1848" s="8">
        <v>4919.2859099999996</v>
      </c>
      <c r="J1848" s="8">
        <v>34457.357900000003</v>
      </c>
      <c r="K1848" s="8">
        <v>31523.727869999999</v>
      </c>
      <c r="L1848" s="8">
        <v>37131.271769999999</v>
      </c>
      <c r="M1848" s="9" t="str">
        <f>IF(A1848="",M1849,A1848)</f>
        <v>Hungary</v>
      </c>
      <c r="N1848" s="3" t="str">
        <f t="shared" si="57"/>
        <v>Nov-2021</v>
      </c>
    </row>
    <row r="1849" spans="1:14" x14ac:dyDescent="0.3">
      <c r="A1849" s="3" t="s">
        <v>160</v>
      </c>
      <c r="B1849" s="3" t="s">
        <v>161</v>
      </c>
      <c r="C1849" s="8">
        <v>2021</v>
      </c>
      <c r="D1849" s="8">
        <v>12</v>
      </c>
      <c r="E1849" s="3" t="str">
        <f t="shared" si="56"/>
        <v>December</v>
      </c>
      <c r="F1849" s="3" t="s">
        <v>13</v>
      </c>
      <c r="G1849" s="8">
        <v>11856.462740000001</v>
      </c>
      <c r="H1849" s="8">
        <v>16418</v>
      </c>
      <c r="I1849" s="8">
        <v>4561.5372630000002</v>
      </c>
      <c r="J1849" s="8">
        <v>39018.895170000003</v>
      </c>
      <c r="K1849" s="8">
        <v>36136.142090000001</v>
      </c>
      <c r="L1849" s="8">
        <v>41783.114959999999</v>
      </c>
      <c r="M1849" s="9" t="str">
        <f>IF(A1849="",M1850,A1849)</f>
        <v>Hungary</v>
      </c>
      <c r="N1849" s="3" t="str">
        <f t="shared" si="57"/>
        <v>Dec-2021</v>
      </c>
    </row>
    <row r="1850" spans="1:14" x14ac:dyDescent="0.3">
      <c r="A1850" s="3" t="s">
        <v>162</v>
      </c>
      <c r="B1850" s="3" t="s">
        <v>163</v>
      </c>
      <c r="C1850" s="8">
        <v>2020</v>
      </c>
      <c r="D1850" s="8">
        <v>1</v>
      </c>
      <c r="E1850" s="3" t="str">
        <f t="shared" si="56"/>
        <v>January</v>
      </c>
      <c r="F1850" s="3" t="s">
        <v>8</v>
      </c>
      <c r="G1850" s="8">
        <v>154050.6298</v>
      </c>
      <c r="H1850" s="8">
        <v>179335.33100000001</v>
      </c>
      <c r="I1850" s="8">
        <v>25294.160090000001</v>
      </c>
      <c r="J1850" s="8">
        <v>25294.160090000001</v>
      </c>
      <c r="K1850" s="8">
        <v>311.84393019999999</v>
      </c>
      <c r="L1850" s="8">
        <v>53292.731090000001</v>
      </c>
      <c r="M1850" s="9" t="str">
        <f>IF(A1850="",M1851,A1850)</f>
        <v>Indonesia</v>
      </c>
      <c r="N1850" s="3" t="str">
        <f t="shared" si="57"/>
        <v>Jan-2020</v>
      </c>
    </row>
    <row r="1851" spans="1:14" x14ac:dyDescent="0.3">
      <c r="A1851" s="3" t="s">
        <v>162</v>
      </c>
      <c r="B1851" s="3" t="s">
        <v>163</v>
      </c>
      <c r="C1851" s="8">
        <v>2020</v>
      </c>
      <c r="D1851" s="8">
        <v>2</v>
      </c>
      <c r="E1851" s="3" t="str">
        <f t="shared" si="56"/>
        <v>February</v>
      </c>
      <c r="F1851" s="3" t="s">
        <v>8</v>
      </c>
      <c r="G1851" s="8">
        <v>154077.20929999999</v>
      </c>
      <c r="H1851" s="8">
        <v>166721.77499999999</v>
      </c>
      <c r="I1851" s="8">
        <v>12684.25834</v>
      </c>
      <c r="J1851" s="8">
        <v>37978.418429999998</v>
      </c>
      <c r="K1851" s="8">
        <v>464.4801678</v>
      </c>
      <c r="L1851" s="8">
        <v>78355.122719999999</v>
      </c>
      <c r="M1851" s="9" t="str">
        <f>IF(A1851="",M1852,A1851)</f>
        <v>Indonesia</v>
      </c>
      <c r="N1851" s="3" t="str">
        <f t="shared" si="57"/>
        <v>Feb-2020</v>
      </c>
    </row>
    <row r="1852" spans="1:14" x14ac:dyDescent="0.3">
      <c r="A1852" s="3" t="s">
        <v>162</v>
      </c>
      <c r="B1852" s="3" t="s">
        <v>163</v>
      </c>
      <c r="C1852" s="8">
        <v>2020</v>
      </c>
      <c r="D1852" s="8">
        <v>3</v>
      </c>
      <c r="E1852" s="3" t="str">
        <f t="shared" si="56"/>
        <v>March</v>
      </c>
      <c r="F1852" s="3" t="s">
        <v>8</v>
      </c>
      <c r="G1852" s="8">
        <v>153927.07320000001</v>
      </c>
      <c r="H1852" s="8">
        <v>107330.496</v>
      </c>
      <c r="I1852" s="8">
        <v>-46658.662490000002</v>
      </c>
      <c r="J1852" s="8">
        <v>-8680.2440530000003</v>
      </c>
      <c r="K1852" s="8">
        <v>-52146.008260000002</v>
      </c>
      <c r="L1852" s="8">
        <v>37105.731359999998</v>
      </c>
      <c r="M1852" s="9" t="str">
        <f>IF(A1852="",M1853,A1852)</f>
        <v>Indonesia</v>
      </c>
      <c r="N1852" s="3" t="str">
        <f t="shared" si="57"/>
        <v>Mar-2020</v>
      </c>
    </row>
    <row r="1853" spans="1:14" x14ac:dyDescent="0.3">
      <c r="A1853" s="3" t="s">
        <v>162</v>
      </c>
      <c r="B1853" s="3" t="s">
        <v>163</v>
      </c>
      <c r="C1853" s="8">
        <v>2020</v>
      </c>
      <c r="D1853" s="8">
        <v>4</v>
      </c>
      <c r="E1853" s="3" t="str">
        <f t="shared" si="56"/>
        <v>April</v>
      </c>
      <c r="F1853" s="3" t="s">
        <v>8</v>
      </c>
      <c r="G1853" s="8">
        <v>153847.2218</v>
      </c>
      <c r="H1853" s="8">
        <v>109127.484</v>
      </c>
      <c r="I1853" s="8">
        <v>-44723.505819999998</v>
      </c>
      <c r="J1853" s="8">
        <v>-53403.74987</v>
      </c>
      <c r="K1853" s="8">
        <v>-105716.79859999999</v>
      </c>
      <c r="L1853" s="8">
        <v>-4324.9540059999999</v>
      </c>
      <c r="M1853" s="9" t="str">
        <f>IF(A1853="",M1854,A1853)</f>
        <v>Indonesia</v>
      </c>
      <c r="N1853" s="3" t="str">
        <f t="shared" si="57"/>
        <v>Apr-2020</v>
      </c>
    </row>
    <row r="1854" spans="1:14" x14ac:dyDescent="0.3">
      <c r="A1854" s="3" t="s">
        <v>162</v>
      </c>
      <c r="B1854" s="3" t="s">
        <v>163</v>
      </c>
      <c r="C1854" s="8">
        <v>2020</v>
      </c>
      <c r="D1854" s="8">
        <v>5</v>
      </c>
      <c r="E1854" s="3" t="str">
        <f t="shared" si="56"/>
        <v>May</v>
      </c>
      <c r="F1854" s="3" t="s">
        <v>8</v>
      </c>
      <c r="G1854" s="8">
        <v>153767.2212</v>
      </c>
      <c r="H1854" s="8">
        <v>138051.54</v>
      </c>
      <c r="I1854" s="8">
        <v>-15696.19226</v>
      </c>
      <c r="J1854" s="8">
        <v>-69099.942129999996</v>
      </c>
      <c r="K1854" s="8">
        <v>-128443.6787</v>
      </c>
      <c r="L1854" s="8">
        <v>-11323.170179999999</v>
      </c>
      <c r="M1854" s="9" t="str">
        <f>IF(A1854="",M1855,A1854)</f>
        <v>Indonesia</v>
      </c>
      <c r="N1854" s="3" t="str">
        <f t="shared" si="57"/>
        <v>May-2020</v>
      </c>
    </row>
    <row r="1855" spans="1:14" x14ac:dyDescent="0.3">
      <c r="A1855" s="3" t="s">
        <v>162</v>
      </c>
      <c r="B1855" s="3" t="s">
        <v>163</v>
      </c>
      <c r="C1855" s="8">
        <v>2020</v>
      </c>
      <c r="D1855" s="8">
        <v>6</v>
      </c>
      <c r="E1855" s="3" t="str">
        <f t="shared" si="56"/>
        <v>June</v>
      </c>
      <c r="F1855" s="3" t="s">
        <v>8</v>
      </c>
      <c r="G1855" s="8">
        <v>154532.54870000001</v>
      </c>
      <c r="H1855" s="8">
        <v>243175.48699999999</v>
      </c>
      <c r="I1855" s="8">
        <v>88651.154169999994</v>
      </c>
      <c r="J1855" s="8">
        <v>19551.212029999999</v>
      </c>
      <c r="K1855" s="8">
        <v>-60614.893459999999</v>
      </c>
      <c r="L1855" s="8">
        <v>94426.671860000002</v>
      </c>
      <c r="M1855" s="9" t="str">
        <f>IF(A1855="",M1856,A1855)</f>
        <v>Indonesia</v>
      </c>
      <c r="N1855" s="3" t="str">
        <f t="shared" si="57"/>
        <v>Jun-2020</v>
      </c>
    </row>
    <row r="1856" spans="1:14" x14ac:dyDescent="0.3">
      <c r="A1856" s="3" t="s">
        <v>162</v>
      </c>
      <c r="B1856" s="3" t="s">
        <v>163</v>
      </c>
      <c r="C1856" s="8">
        <v>2020</v>
      </c>
      <c r="D1856" s="8">
        <v>7</v>
      </c>
      <c r="E1856" s="3" t="str">
        <f t="shared" si="56"/>
        <v>July</v>
      </c>
      <c r="F1856" s="3" t="s">
        <v>8</v>
      </c>
      <c r="G1856" s="8">
        <v>154631.68299999999</v>
      </c>
      <c r="H1856" s="8">
        <v>225444.09599999999</v>
      </c>
      <c r="I1856" s="8">
        <v>70819.274390000006</v>
      </c>
      <c r="J1856" s="8">
        <v>90370.486420000001</v>
      </c>
      <c r="K1856" s="8">
        <v>103.71827380000001</v>
      </c>
      <c r="L1856" s="8">
        <v>177819.55129999999</v>
      </c>
      <c r="M1856" s="9" t="str">
        <f>IF(A1856="",M1857,A1856)</f>
        <v>Indonesia</v>
      </c>
      <c r="N1856" s="3" t="str">
        <f t="shared" si="57"/>
        <v>Jul-2020</v>
      </c>
    </row>
    <row r="1857" spans="1:14" x14ac:dyDescent="0.3">
      <c r="A1857" s="3" t="s">
        <v>162</v>
      </c>
      <c r="B1857" s="3" t="s">
        <v>163</v>
      </c>
      <c r="C1857" s="8">
        <v>2020</v>
      </c>
      <c r="D1857" s="8">
        <v>8</v>
      </c>
      <c r="E1857" s="3" t="str">
        <f t="shared" si="56"/>
        <v>August</v>
      </c>
      <c r="F1857" s="3" t="s">
        <v>8</v>
      </c>
      <c r="G1857" s="8">
        <v>154324.62650000001</v>
      </c>
      <c r="H1857" s="8">
        <v>190843.71100000001</v>
      </c>
      <c r="I1857" s="8">
        <v>36558.941870000002</v>
      </c>
      <c r="J1857" s="8">
        <v>126929.4283</v>
      </c>
      <c r="K1857" s="8">
        <v>24093.03181</v>
      </c>
      <c r="L1857" s="8">
        <v>226357.06830000001</v>
      </c>
      <c r="M1857" s="9" t="str">
        <f>IF(A1857="",M1858,A1857)</f>
        <v>Indonesia</v>
      </c>
      <c r="N1857" s="3" t="str">
        <f t="shared" si="57"/>
        <v>Aug-2020</v>
      </c>
    </row>
    <row r="1858" spans="1:14" x14ac:dyDescent="0.3">
      <c r="A1858" s="3" t="s">
        <v>162</v>
      </c>
      <c r="B1858" s="3" t="s">
        <v>163</v>
      </c>
      <c r="C1858" s="8">
        <v>2020</v>
      </c>
      <c r="D1858" s="8">
        <v>9</v>
      </c>
      <c r="E1858" s="3" t="str">
        <f t="shared" ref="E1858:E1921" si="58">TEXT(DATE(C1858,D1858,1),"MMMM")</f>
        <v>September</v>
      </c>
      <c r="F1858" s="3" t="s">
        <v>8</v>
      </c>
      <c r="G1858" s="8">
        <v>154440.3297</v>
      </c>
      <c r="H1858" s="8">
        <v>201567.21599999999</v>
      </c>
      <c r="I1858" s="8">
        <v>47130.601799999997</v>
      </c>
      <c r="J1858" s="8">
        <v>174060.0301</v>
      </c>
      <c r="K1858" s="8">
        <v>67256.509820000007</v>
      </c>
      <c r="L1858" s="8">
        <v>287670.761</v>
      </c>
      <c r="M1858" s="9" t="str">
        <f>IF(A1858="",M1859,A1858)</f>
        <v>Indonesia</v>
      </c>
      <c r="N1858" s="3" t="str">
        <f t="shared" ref="N1858:N1921" si="59">TEXT(DATE(C1858,D1858,1),"MMM-YYYY")</f>
        <v>Sep-2020</v>
      </c>
    </row>
    <row r="1859" spans="1:14" x14ac:dyDescent="0.3">
      <c r="A1859" s="3" t="s">
        <v>162</v>
      </c>
      <c r="B1859" s="3" t="s">
        <v>163</v>
      </c>
      <c r="C1859" s="8">
        <v>2020</v>
      </c>
      <c r="D1859" s="8">
        <v>10</v>
      </c>
      <c r="E1859" s="3" t="str">
        <f t="shared" si="58"/>
        <v>October</v>
      </c>
      <c r="F1859" s="3" t="s">
        <v>8</v>
      </c>
      <c r="G1859" s="8">
        <v>154066.3027</v>
      </c>
      <c r="H1859" s="8">
        <v>185795.48800000001</v>
      </c>
      <c r="I1859" s="8">
        <v>31748.277910000001</v>
      </c>
      <c r="J1859" s="8">
        <v>205808.30799999999</v>
      </c>
      <c r="K1859" s="8">
        <v>77661.636190000005</v>
      </c>
      <c r="L1859" s="8">
        <v>334782.98</v>
      </c>
      <c r="M1859" s="9" t="str">
        <f>IF(A1859="",M1860,A1859)</f>
        <v>Indonesia</v>
      </c>
      <c r="N1859" s="3" t="str">
        <f t="shared" si="59"/>
        <v>Oct-2020</v>
      </c>
    </row>
    <row r="1860" spans="1:14" x14ac:dyDescent="0.3">
      <c r="A1860" s="3" t="s">
        <v>162</v>
      </c>
      <c r="B1860" s="3" t="s">
        <v>163</v>
      </c>
      <c r="C1860" s="8">
        <v>2020</v>
      </c>
      <c r="D1860" s="8">
        <v>11</v>
      </c>
      <c r="E1860" s="3" t="str">
        <f t="shared" si="58"/>
        <v>November</v>
      </c>
      <c r="F1860" s="3" t="s">
        <v>8</v>
      </c>
      <c r="G1860" s="8">
        <v>154122.29139999999</v>
      </c>
      <c r="H1860" s="8">
        <v>245502.878</v>
      </c>
      <c r="I1860" s="8">
        <v>91342.311180000004</v>
      </c>
      <c r="J1860" s="8">
        <v>297150.61920000002</v>
      </c>
      <c r="K1860" s="8">
        <v>151316.49359999999</v>
      </c>
      <c r="L1860" s="8">
        <v>444266.92930000002</v>
      </c>
      <c r="M1860" s="9" t="str">
        <f>IF(A1860="",M1861,A1860)</f>
        <v>Indonesia</v>
      </c>
      <c r="N1860" s="3" t="str">
        <f t="shared" si="59"/>
        <v>Nov-2020</v>
      </c>
    </row>
    <row r="1861" spans="1:14" x14ac:dyDescent="0.3">
      <c r="A1861" s="3" t="s">
        <v>162</v>
      </c>
      <c r="B1861" s="3" t="s">
        <v>163</v>
      </c>
      <c r="C1861" s="8">
        <v>2020</v>
      </c>
      <c r="D1861" s="8">
        <v>12</v>
      </c>
      <c r="E1861" s="3" t="str">
        <f t="shared" si="58"/>
        <v>December</v>
      </c>
      <c r="F1861" s="3" t="s">
        <v>8</v>
      </c>
      <c r="G1861" s="8">
        <v>154317.20699999999</v>
      </c>
      <c r="H1861" s="8">
        <v>215419.408</v>
      </c>
      <c r="I1861" s="8">
        <v>61089.714390000001</v>
      </c>
      <c r="J1861" s="8">
        <v>358240.33360000001</v>
      </c>
      <c r="K1861" s="8">
        <v>198860.9112</v>
      </c>
      <c r="L1861" s="8">
        <v>521585.23910000001</v>
      </c>
      <c r="M1861" s="9" t="str">
        <f>IF(A1861="",M1862,A1861)</f>
        <v>Indonesia</v>
      </c>
      <c r="N1861" s="3" t="str">
        <f t="shared" si="59"/>
        <v>Dec-2020</v>
      </c>
    </row>
    <row r="1862" spans="1:14" x14ac:dyDescent="0.3">
      <c r="A1862" s="3" t="s">
        <v>162</v>
      </c>
      <c r="B1862" s="3" t="s">
        <v>163</v>
      </c>
      <c r="C1862" s="8">
        <v>2021</v>
      </c>
      <c r="D1862" s="8">
        <v>1</v>
      </c>
      <c r="E1862" s="3" t="str">
        <f t="shared" si="58"/>
        <v>January</v>
      </c>
      <c r="F1862" s="3" t="s">
        <v>8</v>
      </c>
      <c r="G1862" s="8">
        <v>156869.60649999999</v>
      </c>
      <c r="H1862" s="8">
        <v>257230.75200000001</v>
      </c>
      <c r="I1862" s="8">
        <v>100403.1836</v>
      </c>
      <c r="J1862" s="8">
        <v>458643.5172</v>
      </c>
      <c r="K1862" s="8">
        <v>274880.00699999998</v>
      </c>
      <c r="L1862" s="8">
        <v>631772.27619999996</v>
      </c>
      <c r="M1862" s="9" t="str">
        <f>IF(A1862="",M1863,A1862)</f>
        <v>Indonesia</v>
      </c>
      <c r="N1862" s="3" t="str">
        <f t="shared" si="59"/>
        <v>Jan-2021</v>
      </c>
    </row>
    <row r="1863" spans="1:14" x14ac:dyDescent="0.3">
      <c r="A1863" s="3" t="s">
        <v>162</v>
      </c>
      <c r="B1863" s="3" t="s">
        <v>163</v>
      </c>
      <c r="C1863" s="8">
        <v>2021</v>
      </c>
      <c r="D1863" s="8">
        <v>2</v>
      </c>
      <c r="E1863" s="3" t="str">
        <f t="shared" si="58"/>
        <v>February</v>
      </c>
      <c r="F1863" s="3" t="s">
        <v>8</v>
      </c>
      <c r="G1863" s="8">
        <v>156849.46669999999</v>
      </c>
      <c r="H1863" s="8">
        <v>260885.087</v>
      </c>
      <c r="I1863" s="8">
        <v>104022.42290000001</v>
      </c>
      <c r="J1863" s="8">
        <v>562665.94010000001</v>
      </c>
      <c r="K1863" s="8">
        <v>376117.4253</v>
      </c>
      <c r="L1863" s="8">
        <v>756316.77639999997</v>
      </c>
      <c r="M1863" s="9" t="str">
        <f>IF(A1863="",M1864,A1863)</f>
        <v>Indonesia</v>
      </c>
      <c r="N1863" s="3" t="str">
        <f t="shared" si="59"/>
        <v>Feb-2021</v>
      </c>
    </row>
    <row r="1864" spans="1:14" x14ac:dyDescent="0.3">
      <c r="A1864" s="3" t="s">
        <v>162</v>
      </c>
      <c r="B1864" s="3" t="s">
        <v>163</v>
      </c>
      <c r="C1864" s="8">
        <v>2021</v>
      </c>
      <c r="D1864" s="8">
        <v>3</v>
      </c>
      <c r="E1864" s="3" t="str">
        <f t="shared" si="58"/>
        <v>March</v>
      </c>
      <c r="F1864" s="3" t="s">
        <v>8</v>
      </c>
      <c r="G1864" s="8">
        <v>156730.92360000001</v>
      </c>
      <c r="H1864" s="8">
        <v>264969.22700000001</v>
      </c>
      <c r="I1864" s="8">
        <v>108211.2917</v>
      </c>
      <c r="J1864" s="8">
        <v>670877.23179999995</v>
      </c>
      <c r="K1864" s="8">
        <v>469806.86310000002</v>
      </c>
      <c r="L1864" s="8">
        <v>885213.28540000005</v>
      </c>
      <c r="M1864" s="9" t="str">
        <f>IF(A1864="",M1865,A1864)</f>
        <v>Indonesia</v>
      </c>
      <c r="N1864" s="3" t="str">
        <f t="shared" si="59"/>
        <v>Mar-2021</v>
      </c>
    </row>
    <row r="1865" spans="1:14" x14ac:dyDescent="0.3">
      <c r="A1865" s="3" t="s">
        <v>162</v>
      </c>
      <c r="B1865" s="3" t="s">
        <v>163</v>
      </c>
      <c r="C1865" s="8">
        <v>2021</v>
      </c>
      <c r="D1865" s="8">
        <v>4</v>
      </c>
      <c r="E1865" s="3" t="str">
        <f t="shared" si="58"/>
        <v>April</v>
      </c>
      <c r="F1865" s="3" t="s">
        <v>8</v>
      </c>
      <c r="G1865" s="8">
        <v>156669.6067</v>
      </c>
      <c r="H1865" s="8">
        <v>223954.557</v>
      </c>
      <c r="I1865" s="8">
        <v>67363.303820000001</v>
      </c>
      <c r="J1865" s="8">
        <v>738240.53559999994</v>
      </c>
      <c r="K1865" s="8">
        <v>518338.15029999998</v>
      </c>
      <c r="L1865" s="8">
        <v>962753.2611</v>
      </c>
      <c r="M1865" s="9" t="str">
        <f>IF(A1865="",M1866,A1865)</f>
        <v>Indonesia</v>
      </c>
      <c r="N1865" s="3" t="str">
        <f t="shared" si="59"/>
        <v>Apr-2021</v>
      </c>
    </row>
    <row r="1866" spans="1:14" x14ac:dyDescent="0.3">
      <c r="A1866" s="3" t="s">
        <v>162</v>
      </c>
      <c r="B1866" s="3" t="s">
        <v>163</v>
      </c>
      <c r="C1866" s="8">
        <v>2021</v>
      </c>
      <c r="D1866" s="8">
        <v>5</v>
      </c>
      <c r="E1866" s="3" t="str">
        <f t="shared" si="58"/>
        <v>May</v>
      </c>
      <c r="F1866" s="3" t="s">
        <v>8</v>
      </c>
      <c r="G1866" s="8">
        <v>156560.85329999999</v>
      </c>
      <c r="H1866" s="8">
        <v>165207.38</v>
      </c>
      <c r="I1866" s="8">
        <v>8659.4255369999992</v>
      </c>
      <c r="J1866" s="8">
        <v>746899.96120000002</v>
      </c>
      <c r="K1866" s="8">
        <v>516359.91600000003</v>
      </c>
      <c r="L1866" s="8">
        <v>984202.43310000002</v>
      </c>
      <c r="M1866" s="9" t="str">
        <f>IF(A1866="",M1867,A1866)</f>
        <v>Indonesia</v>
      </c>
      <c r="N1866" s="3" t="str">
        <f t="shared" si="59"/>
        <v>May-2021</v>
      </c>
    </row>
    <row r="1867" spans="1:14" x14ac:dyDescent="0.3">
      <c r="A1867" s="3" t="s">
        <v>162</v>
      </c>
      <c r="B1867" s="3" t="s">
        <v>163</v>
      </c>
      <c r="C1867" s="8">
        <v>2021</v>
      </c>
      <c r="D1867" s="8">
        <v>6</v>
      </c>
      <c r="E1867" s="3" t="str">
        <f t="shared" si="58"/>
        <v>June</v>
      </c>
      <c r="F1867" s="3" t="s">
        <v>8</v>
      </c>
      <c r="G1867" s="8">
        <v>157269.0073</v>
      </c>
      <c r="H1867" s="8">
        <v>238909.10699999999</v>
      </c>
      <c r="I1867" s="8">
        <v>81577.448040000003</v>
      </c>
      <c r="J1867" s="8">
        <v>828477.40919999999</v>
      </c>
      <c r="K1867" s="8">
        <v>589078.7807</v>
      </c>
      <c r="L1867" s="8">
        <v>1077716.7930000001</v>
      </c>
      <c r="M1867" s="9" t="str">
        <f>IF(A1867="",M1868,A1867)</f>
        <v>Indonesia</v>
      </c>
      <c r="N1867" s="3" t="str">
        <f t="shared" si="59"/>
        <v>Jun-2021</v>
      </c>
    </row>
    <row r="1868" spans="1:14" x14ac:dyDescent="0.3">
      <c r="A1868" s="3" t="s">
        <v>162</v>
      </c>
      <c r="B1868" s="3" t="s">
        <v>163</v>
      </c>
      <c r="C1868" s="8">
        <v>2021</v>
      </c>
      <c r="D1868" s="8">
        <v>7</v>
      </c>
      <c r="E1868" s="3" t="str">
        <f t="shared" si="58"/>
        <v>July</v>
      </c>
      <c r="F1868" s="3" t="s">
        <v>8</v>
      </c>
      <c r="G1868" s="8">
        <v>157419.76860000001</v>
      </c>
      <c r="H1868" s="8">
        <v>245314.18100000001</v>
      </c>
      <c r="I1868" s="8">
        <v>87894.412429999997</v>
      </c>
      <c r="J1868" s="8">
        <v>916371.82160000002</v>
      </c>
      <c r="K1868" s="8">
        <v>668878.46790000005</v>
      </c>
      <c r="L1868" s="8">
        <v>1170279.635</v>
      </c>
      <c r="M1868" s="9" t="str">
        <f>IF(A1868="",M1869,A1868)</f>
        <v>Indonesia</v>
      </c>
      <c r="N1868" s="3" t="str">
        <f t="shared" si="59"/>
        <v>Jul-2021</v>
      </c>
    </row>
    <row r="1869" spans="1:14" x14ac:dyDescent="0.3">
      <c r="A1869" s="3" t="s">
        <v>162</v>
      </c>
      <c r="B1869" s="3" t="s">
        <v>163</v>
      </c>
      <c r="C1869" s="8">
        <v>2021</v>
      </c>
      <c r="D1869" s="8">
        <v>8</v>
      </c>
      <c r="E1869" s="3" t="str">
        <f t="shared" si="58"/>
        <v>August</v>
      </c>
      <c r="F1869" s="3" t="s">
        <v>8</v>
      </c>
      <c r="G1869" s="8">
        <v>157143.72589999999</v>
      </c>
      <c r="H1869" s="8">
        <v>252097.821</v>
      </c>
      <c r="I1869" s="8">
        <v>94954.095069999996</v>
      </c>
      <c r="J1869" s="8">
        <v>1011325.917</v>
      </c>
      <c r="K1869" s="8">
        <v>766279.81929999997</v>
      </c>
      <c r="L1869" s="8">
        <v>1262890.3030000001</v>
      </c>
      <c r="M1869" s="9" t="str">
        <f>IF(A1869="",M1870,A1869)</f>
        <v>Indonesia</v>
      </c>
      <c r="N1869" s="3" t="str">
        <f t="shared" si="59"/>
        <v>Aug-2021</v>
      </c>
    </row>
    <row r="1870" spans="1:14" x14ac:dyDescent="0.3">
      <c r="A1870" s="3" t="s">
        <v>162</v>
      </c>
      <c r="B1870" s="3" t="s">
        <v>163</v>
      </c>
      <c r="C1870" s="8">
        <v>2021</v>
      </c>
      <c r="D1870" s="8">
        <v>9</v>
      </c>
      <c r="E1870" s="3" t="str">
        <f t="shared" si="58"/>
        <v>September</v>
      </c>
      <c r="F1870" s="3" t="s">
        <v>8</v>
      </c>
      <c r="G1870" s="8">
        <v>157228.76300000001</v>
      </c>
      <c r="H1870" s="8">
        <v>185188.571</v>
      </c>
      <c r="I1870" s="8">
        <v>27959.807970000002</v>
      </c>
      <c r="J1870" s="8">
        <v>1039285.725</v>
      </c>
      <c r="K1870" s="8">
        <v>786123.87490000005</v>
      </c>
      <c r="L1870" s="8">
        <v>1301870.872</v>
      </c>
      <c r="M1870" s="9" t="str">
        <f>IF(A1870="",M1871,A1870)</f>
        <v>Indonesia</v>
      </c>
      <c r="N1870" s="3" t="str">
        <f t="shared" si="59"/>
        <v>Sep-2021</v>
      </c>
    </row>
    <row r="1871" spans="1:14" x14ac:dyDescent="0.3">
      <c r="A1871" s="3" t="s">
        <v>162</v>
      </c>
      <c r="B1871" s="3" t="s">
        <v>163</v>
      </c>
      <c r="C1871" s="8">
        <v>2021</v>
      </c>
      <c r="D1871" s="8">
        <v>10</v>
      </c>
      <c r="E1871" s="3" t="str">
        <f t="shared" si="58"/>
        <v>October</v>
      </c>
      <c r="F1871" s="3" t="s">
        <v>8</v>
      </c>
      <c r="G1871" s="8">
        <v>156852.4541</v>
      </c>
      <c r="H1871" s="8">
        <v>166779.84299999999</v>
      </c>
      <c r="I1871" s="8">
        <v>9927.3888869999992</v>
      </c>
      <c r="J1871" s="8">
        <v>1049213.1140000001</v>
      </c>
      <c r="K1871" s="8">
        <v>793823.03819999995</v>
      </c>
      <c r="L1871" s="8">
        <v>1310714.4680000001</v>
      </c>
      <c r="M1871" s="9" t="str">
        <f>IF(A1871="",M1872,A1871)</f>
        <v>Indonesia</v>
      </c>
      <c r="N1871" s="3" t="str">
        <f t="shared" si="59"/>
        <v>Oct-2021</v>
      </c>
    </row>
    <row r="1872" spans="1:14" x14ac:dyDescent="0.3">
      <c r="A1872" s="3" t="s">
        <v>162</v>
      </c>
      <c r="B1872" s="3" t="s">
        <v>163</v>
      </c>
      <c r="C1872" s="8">
        <v>2021</v>
      </c>
      <c r="D1872" s="8">
        <v>11</v>
      </c>
      <c r="E1872" s="3" t="str">
        <f t="shared" si="58"/>
        <v>November</v>
      </c>
      <c r="F1872" s="3" t="s">
        <v>8</v>
      </c>
      <c r="G1872" s="8">
        <v>156911.0883</v>
      </c>
      <c r="H1872" s="8">
        <v>164113.58100000001</v>
      </c>
      <c r="I1872" s="8">
        <v>7202.4926519999999</v>
      </c>
      <c r="J1872" s="8">
        <v>1056415.6059999999</v>
      </c>
      <c r="K1872" s="8">
        <v>795599.28269999998</v>
      </c>
      <c r="L1872" s="8">
        <v>1317284.7239999999</v>
      </c>
      <c r="M1872" s="9" t="str">
        <f>IF(A1872="",M1873,A1872)</f>
        <v>Indonesia</v>
      </c>
      <c r="N1872" s="3" t="str">
        <f t="shared" si="59"/>
        <v>Nov-2021</v>
      </c>
    </row>
    <row r="1873" spans="1:14" x14ac:dyDescent="0.3">
      <c r="A1873" s="3" t="s">
        <v>162</v>
      </c>
      <c r="B1873" s="3" t="s">
        <v>163</v>
      </c>
      <c r="C1873" s="8">
        <v>2021</v>
      </c>
      <c r="D1873" s="8">
        <v>12</v>
      </c>
      <c r="E1873" s="3" t="str">
        <f t="shared" si="58"/>
        <v>December</v>
      </c>
      <c r="F1873" s="3" t="s">
        <v>8</v>
      </c>
      <c r="G1873" s="8">
        <v>157127.85260000001</v>
      </c>
      <c r="H1873" s="8">
        <v>168577.117</v>
      </c>
      <c r="I1873" s="8">
        <v>11449.264380000001</v>
      </c>
      <c r="J1873" s="8">
        <v>1067864.871</v>
      </c>
      <c r="K1873" s="8">
        <v>806814.64939999999</v>
      </c>
      <c r="L1873" s="8">
        <v>1343849.331</v>
      </c>
      <c r="M1873" s="9" t="str">
        <f>IF(A1873="",M1874,A1873)</f>
        <v>Indonesia</v>
      </c>
      <c r="N1873" s="3" t="str">
        <f t="shared" si="59"/>
        <v>Dec-2021</v>
      </c>
    </row>
    <row r="1874" spans="1:14" x14ac:dyDescent="0.3">
      <c r="A1874" s="3" t="s">
        <v>164</v>
      </c>
      <c r="B1874" s="3" t="s">
        <v>165</v>
      </c>
      <c r="C1874" s="8">
        <v>2020</v>
      </c>
      <c r="D1874" s="8">
        <v>1</v>
      </c>
      <c r="E1874" s="3" t="str">
        <f t="shared" si="58"/>
        <v>January</v>
      </c>
      <c r="F1874" s="3" t="s">
        <v>8</v>
      </c>
      <c r="G1874" s="8">
        <v>805458.63049999997</v>
      </c>
      <c r="H1874" s="8">
        <v>913263.14599999995</v>
      </c>
      <c r="I1874" s="8">
        <v>108667.2932</v>
      </c>
      <c r="J1874" s="8">
        <v>108667.2932</v>
      </c>
      <c r="K1874" s="8">
        <v>11173.52672</v>
      </c>
      <c r="L1874" s="8">
        <v>230464.50760000001</v>
      </c>
      <c r="M1874" s="9" t="str">
        <f>IF(A1874="",M1875,A1874)</f>
        <v>India</v>
      </c>
      <c r="N1874" s="3" t="str">
        <f t="shared" si="59"/>
        <v>Jan-2020</v>
      </c>
    </row>
    <row r="1875" spans="1:14" x14ac:dyDescent="0.3">
      <c r="A1875" s="3" t="s">
        <v>164</v>
      </c>
      <c r="B1875" s="3" t="s">
        <v>165</v>
      </c>
      <c r="C1875" s="8">
        <v>2020</v>
      </c>
      <c r="D1875" s="8">
        <v>2</v>
      </c>
      <c r="E1875" s="3" t="str">
        <f t="shared" si="58"/>
        <v>February</v>
      </c>
      <c r="F1875" s="3" t="s">
        <v>8</v>
      </c>
      <c r="G1875" s="8">
        <v>789812.22889999999</v>
      </c>
      <c r="H1875" s="8">
        <v>754721.99899999995</v>
      </c>
      <c r="I1875" s="8">
        <v>-35486.666830000002</v>
      </c>
      <c r="J1875" s="8">
        <v>73180.626409999997</v>
      </c>
      <c r="K1875" s="8">
        <v>-55478.309609999997</v>
      </c>
      <c r="L1875" s="8">
        <v>226938.63620000001</v>
      </c>
      <c r="M1875" s="9" t="str">
        <f>IF(A1875="",M1876,A1875)</f>
        <v>India</v>
      </c>
      <c r="N1875" s="3" t="str">
        <f t="shared" si="59"/>
        <v>Feb-2020</v>
      </c>
    </row>
    <row r="1876" spans="1:14" x14ac:dyDescent="0.3">
      <c r="A1876" s="3" t="s">
        <v>164</v>
      </c>
      <c r="B1876" s="3" t="s">
        <v>165</v>
      </c>
      <c r="C1876" s="8">
        <v>2020</v>
      </c>
      <c r="D1876" s="8">
        <v>3</v>
      </c>
      <c r="E1876" s="3" t="str">
        <f t="shared" si="58"/>
        <v>March</v>
      </c>
      <c r="F1876" s="3" t="s">
        <v>8</v>
      </c>
      <c r="G1876" s="8">
        <v>772849.94039999996</v>
      </c>
      <c r="H1876" s="8">
        <v>657219.76699999999</v>
      </c>
      <c r="I1876" s="8">
        <v>-116173.6182</v>
      </c>
      <c r="J1876" s="8">
        <v>-42992.991750000001</v>
      </c>
      <c r="K1876" s="8">
        <v>-192707.86480000001</v>
      </c>
      <c r="L1876" s="8">
        <v>130871.2365</v>
      </c>
      <c r="M1876" s="9" t="str">
        <f>IF(A1876="",M1877,A1876)</f>
        <v>India</v>
      </c>
      <c r="N1876" s="3" t="str">
        <f t="shared" si="59"/>
        <v>Mar-2020</v>
      </c>
    </row>
    <row r="1877" spans="1:14" x14ac:dyDescent="0.3">
      <c r="A1877" s="3" t="s">
        <v>164</v>
      </c>
      <c r="B1877" s="3" t="s">
        <v>165</v>
      </c>
      <c r="C1877" s="8">
        <v>2020</v>
      </c>
      <c r="D1877" s="8">
        <v>4</v>
      </c>
      <c r="E1877" s="3" t="str">
        <f t="shared" si="58"/>
        <v>April</v>
      </c>
      <c r="F1877" s="3" t="s">
        <v>8</v>
      </c>
      <c r="G1877" s="8">
        <v>752797.17039999994</v>
      </c>
      <c r="H1877" s="8">
        <v>498352.90500000003</v>
      </c>
      <c r="I1877" s="8">
        <v>-254675.96179999999</v>
      </c>
      <c r="J1877" s="8">
        <v>-297668.95360000001</v>
      </c>
      <c r="K1877" s="8">
        <v>-464413.75030000001</v>
      </c>
      <c r="L1877" s="8">
        <v>-108092.0919</v>
      </c>
      <c r="M1877" s="9" t="str">
        <f>IF(A1877="",M1878,A1877)</f>
        <v>India</v>
      </c>
      <c r="N1877" s="3" t="str">
        <f t="shared" si="59"/>
        <v>Apr-2020</v>
      </c>
    </row>
    <row r="1878" spans="1:14" x14ac:dyDescent="0.3">
      <c r="A1878" s="3" t="s">
        <v>164</v>
      </c>
      <c r="B1878" s="3" t="s">
        <v>165</v>
      </c>
      <c r="C1878" s="8">
        <v>2020</v>
      </c>
      <c r="D1878" s="8">
        <v>5</v>
      </c>
      <c r="E1878" s="3" t="str">
        <f t="shared" si="58"/>
        <v>May</v>
      </c>
      <c r="F1878" s="3" t="s">
        <v>8</v>
      </c>
      <c r="G1878" s="8">
        <v>742294.63910000003</v>
      </c>
      <c r="H1878" s="8">
        <v>657144.95200000005</v>
      </c>
      <c r="I1878" s="8">
        <v>-85243.017319999999</v>
      </c>
      <c r="J1878" s="8">
        <v>-382911.97090000001</v>
      </c>
      <c r="K1878" s="8">
        <v>-568912.89899999998</v>
      </c>
      <c r="L1878" s="8">
        <v>-146645.78909999999</v>
      </c>
      <c r="M1878" s="9" t="str">
        <f>IF(A1878="",M1879,A1878)</f>
        <v>India</v>
      </c>
      <c r="N1878" s="3" t="str">
        <f t="shared" si="59"/>
        <v>May-2020</v>
      </c>
    </row>
    <row r="1879" spans="1:14" x14ac:dyDescent="0.3">
      <c r="A1879" s="3" t="s">
        <v>164</v>
      </c>
      <c r="B1879" s="3" t="s">
        <v>165</v>
      </c>
      <c r="C1879" s="8">
        <v>2020</v>
      </c>
      <c r="D1879" s="8">
        <v>6</v>
      </c>
      <c r="E1879" s="3" t="str">
        <f t="shared" si="58"/>
        <v>June</v>
      </c>
      <c r="F1879" s="3" t="s">
        <v>8</v>
      </c>
      <c r="G1879" s="8">
        <v>748200.3419</v>
      </c>
      <c r="H1879" s="8">
        <v>765497.18</v>
      </c>
      <c r="I1879" s="8">
        <v>17807.405480000001</v>
      </c>
      <c r="J1879" s="8">
        <v>-365104.56540000002</v>
      </c>
      <c r="K1879" s="8">
        <v>-590699.24650000001</v>
      </c>
      <c r="L1879" s="8">
        <v>-83316.953970000002</v>
      </c>
      <c r="M1879" s="9" t="str">
        <f>IF(A1879="",M1880,A1879)</f>
        <v>India</v>
      </c>
      <c r="N1879" s="3" t="str">
        <f t="shared" si="59"/>
        <v>Jun-2020</v>
      </c>
    </row>
    <row r="1880" spans="1:14" x14ac:dyDescent="0.3">
      <c r="A1880" s="3" t="s">
        <v>164</v>
      </c>
      <c r="B1880" s="3" t="s">
        <v>165</v>
      </c>
      <c r="C1880" s="8">
        <v>2020</v>
      </c>
      <c r="D1880" s="8">
        <v>7</v>
      </c>
      <c r="E1880" s="3" t="str">
        <f t="shared" si="58"/>
        <v>July</v>
      </c>
      <c r="F1880" s="3" t="s">
        <v>8</v>
      </c>
      <c r="G1880" s="8">
        <v>752384.05720000004</v>
      </c>
      <c r="H1880" s="8">
        <v>831152.87699999998</v>
      </c>
      <c r="I1880" s="8">
        <v>78711.854240000001</v>
      </c>
      <c r="J1880" s="8">
        <v>-286392.71120000002</v>
      </c>
      <c r="K1880" s="8">
        <v>-538727.30009999999</v>
      </c>
      <c r="L1880" s="8">
        <v>20165.643840000001</v>
      </c>
      <c r="M1880" s="9" t="str">
        <f>IF(A1880="",M1881,A1880)</f>
        <v>India</v>
      </c>
      <c r="N1880" s="3" t="str">
        <f t="shared" si="59"/>
        <v>Jul-2020</v>
      </c>
    </row>
    <row r="1881" spans="1:14" x14ac:dyDescent="0.3">
      <c r="A1881" s="3" t="s">
        <v>164</v>
      </c>
      <c r="B1881" s="3" t="s">
        <v>165</v>
      </c>
      <c r="C1881" s="8">
        <v>2020</v>
      </c>
      <c r="D1881" s="8">
        <v>8</v>
      </c>
      <c r="E1881" s="3" t="str">
        <f t="shared" si="58"/>
        <v>August</v>
      </c>
      <c r="F1881" s="3" t="s">
        <v>8</v>
      </c>
      <c r="G1881" s="8">
        <v>756851.7476</v>
      </c>
      <c r="H1881" s="8">
        <v>978901.05799999996</v>
      </c>
      <c r="I1881" s="8">
        <v>222015.91759999999</v>
      </c>
      <c r="J1881" s="8">
        <v>-64376.793550000002</v>
      </c>
      <c r="K1881" s="8">
        <v>-368494.571</v>
      </c>
      <c r="L1881" s="8">
        <v>274708.70069999999</v>
      </c>
      <c r="M1881" s="9" t="str">
        <f>IF(A1881="",M1882,A1881)</f>
        <v>India</v>
      </c>
      <c r="N1881" s="3" t="str">
        <f t="shared" si="59"/>
        <v>Aug-2020</v>
      </c>
    </row>
    <row r="1882" spans="1:14" x14ac:dyDescent="0.3">
      <c r="A1882" s="3" t="s">
        <v>164</v>
      </c>
      <c r="B1882" s="3" t="s">
        <v>165</v>
      </c>
      <c r="C1882" s="8">
        <v>2020</v>
      </c>
      <c r="D1882" s="8">
        <v>9</v>
      </c>
      <c r="E1882" s="3" t="str">
        <f t="shared" si="58"/>
        <v>September</v>
      </c>
      <c r="F1882" s="3" t="s">
        <v>8</v>
      </c>
      <c r="G1882" s="8">
        <v>755757.87450000003</v>
      </c>
      <c r="H1882" s="8">
        <v>1068067.939</v>
      </c>
      <c r="I1882" s="8">
        <v>312169.6446</v>
      </c>
      <c r="J1882" s="8">
        <v>247792.8511</v>
      </c>
      <c r="K1882" s="8">
        <v>-98705.512839999996</v>
      </c>
      <c r="L1882" s="8">
        <v>614184.1433</v>
      </c>
      <c r="M1882" s="9" t="str">
        <f>IF(A1882="",M1883,A1882)</f>
        <v>India</v>
      </c>
      <c r="N1882" s="3" t="str">
        <f t="shared" si="59"/>
        <v>Sep-2020</v>
      </c>
    </row>
    <row r="1883" spans="1:14" x14ac:dyDescent="0.3">
      <c r="A1883" s="3" t="s">
        <v>164</v>
      </c>
      <c r="B1883" s="3" t="s">
        <v>165</v>
      </c>
      <c r="C1883" s="8">
        <v>2020</v>
      </c>
      <c r="D1883" s="8">
        <v>10</v>
      </c>
      <c r="E1883" s="3" t="str">
        <f t="shared" si="58"/>
        <v>October</v>
      </c>
      <c r="F1883" s="3" t="s">
        <v>8</v>
      </c>
      <c r="G1883" s="8">
        <v>762456.58180000004</v>
      </c>
      <c r="H1883" s="8">
        <v>992436.06799999997</v>
      </c>
      <c r="I1883" s="8">
        <v>229869.44519999999</v>
      </c>
      <c r="J1883" s="8">
        <v>477662.29619999998</v>
      </c>
      <c r="K1883" s="8">
        <v>99371.868740000005</v>
      </c>
      <c r="L1883" s="8">
        <v>871489.53099999996</v>
      </c>
      <c r="M1883" s="9" t="str">
        <f>IF(A1883="",M1884,A1883)</f>
        <v>India</v>
      </c>
      <c r="N1883" s="3" t="str">
        <f t="shared" si="59"/>
        <v>Oct-2020</v>
      </c>
    </row>
    <row r="1884" spans="1:14" x14ac:dyDescent="0.3">
      <c r="A1884" s="3" t="s">
        <v>164</v>
      </c>
      <c r="B1884" s="3" t="s">
        <v>165</v>
      </c>
      <c r="C1884" s="8">
        <v>2020</v>
      </c>
      <c r="D1884" s="8">
        <v>11</v>
      </c>
      <c r="E1884" s="3" t="str">
        <f t="shared" si="58"/>
        <v>November</v>
      </c>
      <c r="F1884" s="3" t="s">
        <v>8</v>
      </c>
      <c r="G1884" s="8">
        <v>783580.93420000002</v>
      </c>
      <c r="H1884" s="8">
        <v>919457.40099999995</v>
      </c>
      <c r="I1884" s="8">
        <v>135685.7403</v>
      </c>
      <c r="J1884" s="8">
        <v>613348.03650000005</v>
      </c>
      <c r="K1884" s="8">
        <v>200958.32250000001</v>
      </c>
      <c r="L1884" s="8">
        <v>1038129.138</v>
      </c>
      <c r="M1884" s="9" t="str">
        <f>IF(A1884="",M1885,A1884)</f>
        <v>India</v>
      </c>
      <c r="N1884" s="3" t="str">
        <f t="shared" si="59"/>
        <v>Nov-2020</v>
      </c>
    </row>
    <row r="1885" spans="1:14" x14ac:dyDescent="0.3">
      <c r="A1885" s="3" t="s">
        <v>164</v>
      </c>
      <c r="B1885" s="3" t="s">
        <v>165</v>
      </c>
      <c r="C1885" s="8">
        <v>2020</v>
      </c>
      <c r="D1885" s="8">
        <v>12</v>
      </c>
      <c r="E1885" s="3" t="str">
        <f t="shared" si="58"/>
        <v>December</v>
      </c>
      <c r="F1885" s="3" t="s">
        <v>8</v>
      </c>
      <c r="G1885" s="8">
        <v>798481.06759999995</v>
      </c>
      <c r="H1885" s="8">
        <v>1014190.374</v>
      </c>
      <c r="I1885" s="8">
        <v>216065.0698</v>
      </c>
      <c r="J1885" s="8">
        <v>829413.10629999998</v>
      </c>
      <c r="K1885" s="8">
        <v>376787.67810000002</v>
      </c>
      <c r="L1885" s="8">
        <v>1319717.78</v>
      </c>
      <c r="M1885" s="9" t="str">
        <f>IF(A1885="",M1886,A1885)</f>
        <v>India</v>
      </c>
      <c r="N1885" s="3" t="str">
        <f t="shared" si="59"/>
        <v>Dec-2020</v>
      </c>
    </row>
    <row r="1886" spans="1:14" x14ac:dyDescent="0.3">
      <c r="A1886" s="3" t="s">
        <v>164</v>
      </c>
      <c r="B1886" s="3" t="s">
        <v>165</v>
      </c>
      <c r="C1886" s="8">
        <v>2021</v>
      </c>
      <c r="D1886" s="8">
        <v>1</v>
      </c>
      <c r="E1886" s="3" t="str">
        <f t="shared" si="58"/>
        <v>January</v>
      </c>
      <c r="F1886" s="3" t="s">
        <v>8</v>
      </c>
      <c r="G1886" s="8">
        <v>812232.19240000006</v>
      </c>
      <c r="H1886" s="8">
        <v>1028805.127</v>
      </c>
      <c r="I1886" s="8">
        <v>216738.00459999999</v>
      </c>
      <c r="J1886" s="8">
        <v>1046151.111</v>
      </c>
      <c r="K1886" s="8">
        <v>556590.02630000003</v>
      </c>
      <c r="L1886" s="8">
        <v>1572698.5290000001</v>
      </c>
      <c r="M1886" s="9" t="str">
        <f>IF(A1886="",M1887,A1886)</f>
        <v>India</v>
      </c>
      <c r="N1886" s="3" t="str">
        <f t="shared" si="59"/>
        <v>Jan-2021</v>
      </c>
    </row>
    <row r="1887" spans="1:14" x14ac:dyDescent="0.3">
      <c r="A1887" s="3" t="s">
        <v>164</v>
      </c>
      <c r="B1887" s="3" t="s">
        <v>165</v>
      </c>
      <c r="C1887" s="8">
        <v>2021</v>
      </c>
      <c r="D1887" s="8">
        <v>2</v>
      </c>
      <c r="E1887" s="3" t="str">
        <f t="shared" si="58"/>
        <v>February</v>
      </c>
      <c r="F1887" s="3" t="s">
        <v>8</v>
      </c>
      <c r="G1887" s="8">
        <v>796399.10160000005</v>
      </c>
      <c r="H1887" s="8">
        <v>919129.647</v>
      </c>
      <c r="I1887" s="8">
        <v>121814.8466</v>
      </c>
      <c r="J1887" s="8">
        <v>1167965.9569999999</v>
      </c>
      <c r="K1887" s="8">
        <v>639502.7561</v>
      </c>
      <c r="L1887" s="8">
        <v>1712223.3259999999</v>
      </c>
      <c r="M1887" s="9" t="str">
        <f>IF(A1887="",M1888,A1887)</f>
        <v>India</v>
      </c>
      <c r="N1887" s="3" t="str">
        <f t="shared" si="59"/>
        <v>Feb-2021</v>
      </c>
    </row>
    <row r="1888" spans="1:14" x14ac:dyDescent="0.3">
      <c r="A1888" s="3" t="s">
        <v>164</v>
      </c>
      <c r="B1888" s="3" t="s">
        <v>165</v>
      </c>
      <c r="C1888" s="8">
        <v>2021</v>
      </c>
      <c r="D1888" s="8">
        <v>3</v>
      </c>
      <c r="E1888" s="3" t="str">
        <f t="shared" si="58"/>
        <v>March</v>
      </c>
      <c r="F1888" s="3" t="s">
        <v>8</v>
      </c>
      <c r="G1888" s="8">
        <v>779352.84239999996</v>
      </c>
      <c r="H1888" s="8">
        <v>833105.64899999998</v>
      </c>
      <c r="I1888" s="8">
        <v>53759.244229999997</v>
      </c>
      <c r="J1888" s="8">
        <v>1221725.202</v>
      </c>
      <c r="K1888" s="8">
        <v>687176.97589999996</v>
      </c>
      <c r="L1888" s="8">
        <v>1806528.621</v>
      </c>
      <c r="M1888" s="9" t="str">
        <f>IF(A1888="",M1889,A1888)</f>
        <v>India</v>
      </c>
      <c r="N1888" s="3" t="str">
        <f t="shared" si="59"/>
        <v>Mar-2021</v>
      </c>
    </row>
    <row r="1889" spans="1:14" x14ac:dyDescent="0.3">
      <c r="A1889" s="3" t="s">
        <v>164</v>
      </c>
      <c r="B1889" s="3" t="s">
        <v>165</v>
      </c>
      <c r="C1889" s="8">
        <v>2021</v>
      </c>
      <c r="D1889" s="8">
        <v>4</v>
      </c>
      <c r="E1889" s="3" t="str">
        <f t="shared" si="58"/>
        <v>April</v>
      </c>
      <c r="F1889" s="3" t="s">
        <v>8</v>
      </c>
      <c r="G1889" s="8">
        <v>758869.70680000004</v>
      </c>
      <c r="H1889" s="8">
        <v>1093267.727</v>
      </c>
      <c r="I1889" s="8">
        <v>334180.35029999999</v>
      </c>
      <c r="J1889" s="8">
        <v>1555905.5519999999</v>
      </c>
      <c r="K1889" s="8">
        <v>936943.97809999995</v>
      </c>
      <c r="L1889" s="8">
        <v>2165837.9139999999</v>
      </c>
      <c r="M1889" s="9" t="str">
        <f>IF(A1889="",M1890,A1889)</f>
        <v>India</v>
      </c>
      <c r="N1889" s="3" t="str">
        <f t="shared" si="59"/>
        <v>Apr-2021</v>
      </c>
    </row>
    <row r="1890" spans="1:14" x14ac:dyDescent="0.3">
      <c r="A1890" s="3" t="s">
        <v>164</v>
      </c>
      <c r="B1890" s="3" t="s">
        <v>165</v>
      </c>
      <c r="C1890" s="8">
        <v>2021</v>
      </c>
      <c r="D1890" s="8">
        <v>5</v>
      </c>
      <c r="E1890" s="3" t="str">
        <f t="shared" si="58"/>
        <v>May</v>
      </c>
      <c r="F1890" s="3" t="s">
        <v>8</v>
      </c>
      <c r="G1890" s="8">
        <v>748838.01439999999</v>
      </c>
      <c r="H1890" s="8">
        <v>2051527.24</v>
      </c>
      <c r="I1890" s="8">
        <v>1303368.3489999999</v>
      </c>
      <c r="J1890" s="8">
        <v>2859273.9010000001</v>
      </c>
      <c r="K1890" s="8">
        <v>2153532.6609999998</v>
      </c>
      <c r="L1890" s="8">
        <v>3552064.2540000002</v>
      </c>
      <c r="M1890" s="9" t="str">
        <f>IF(A1890="",M1891,A1890)</f>
        <v>India</v>
      </c>
      <c r="N1890" s="3" t="str">
        <f t="shared" si="59"/>
        <v>May-2021</v>
      </c>
    </row>
    <row r="1891" spans="1:14" x14ac:dyDescent="0.3">
      <c r="A1891" s="3" t="s">
        <v>164</v>
      </c>
      <c r="B1891" s="3" t="s">
        <v>165</v>
      </c>
      <c r="C1891" s="8">
        <v>2021</v>
      </c>
      <c r="D1891" s="8">
        <v>6</v>
      </c>
      <c r="E1891" s="3" t="str">
        <f t="shared" si="58"/>
        <v>June</v>
      </c>
      <c r="F1891" s="3" t="s">
        <v>8</v>
      </c>
      <c r="G1891" s="8">
        <v>753998.50749999995</v>
      </c>
      <c r="H1891" s="8">
        <v>1836201.52</v>
      </c>
      <c r="I1891" s="8">
        <v>1082181.449</v>
      </c>
      <c r="J1891" s="8">
        <v>3941455.35</v>
      </c>
      <c r="K1891" s="8">
        <v>3168949.9580000001</v>
      </c>
      <c r="L1891" s="8">
        <v>4688862.3480000002</v>
      </c>
      <c r="M1891" s="9" t="str">
        <f>IF(A1891="",M1892,A1891)</f>
        <v>India</v>
      </c>
      <c r="N1891" s="3" t="str">
        <f t="shared" si="59"/>
        <v>Jun-2021</v>
      </c>
    </row>
    <row r="1892" spans="1:14" x14ac:dyDescent="0.3">
      <c r="A1892" s="3" t="s">
        <v>164</v>
      </c>
      <c r="B1892" s="3" t="s">
        <v>165</v>
      </c>
      <c r="C1892" s="8">
        <v>2021</v>
      </c>
      <c r="D1892" s="8">
        <v>7</v>
      </c>
      <c r="E1892" s="3" t="str">
        <f t="shared" si="58"/>
        <v>July</v>
      </c>
      <c r="F1892" s="3" t="s">
        <v>8</v>
      </c>
      <c r="G1892" s="8">
        <v>759023.18559999997</v>
      </c>
      <c r="H1892" s="8">
        <v>1192412.1939999999</v>
      </c>
      <c r="I1892" s="8">
        <v>433576.00679999997</v>
      </c>
      <c r="J1892" s="8">
        <v>4375031.3569999998</v>
      </c>
      <c r="K1892" s="8">
        <v>3578996.8909999998</v>
      </c>
      <c r="L1892" s="8">
        <v>5139613.5240000002</v>
      </c>
      <c r="M1892" s="9" t="str">
        <f>IF(A1892="",M1893,A1892)</f>
        <v>India</v>
      </c>
      <c r="N1892" s="3" t="str">
        <f t="shared" si="59"/>
        <v>Jul-2021</v>
      </c>
    </row>
    <row r="1893" spans="1:14" x14ac:dyDescent="0.3">
      <c r="A1893" s="3" t="s">
        <v>164</v>
      </c>
      <c r="B1893" s="3" t="s">
        <v>165</v>
      </c>
      <c r="C1893" s="8">
        <v>2021</v>
      </c>
      <c r="D1893" s="8">
        <v>8</v>
      </c>
      <c r="E1893" s="3" t="str">
        <f t="shared" si="58"/>
        <v>August</v>
      </c>
      <c r="F1893" s="3" t="s">
        <v>8</v>
      </c>
      <c r="G1893" s="8">
        <v>763232.85430000001</v>
      </c>
      <c r="H1893" s="8">
        <v>809310.799</v>
      </c>
      <c r="I1893" s="8">
        <v>46189.385479999997</v>
      </c>
      <c r="J1893" s="8">
        <v>4421220.7419999996</v>
      </c>
      <c r="K1893" s="8">
        <v>3585556.24</v>
      </c>
      <c r="L1893" s="8">
        <v>5201619.7680000002</v>
      </c>
      <c r="M1893" s="9" t="str">
        <f>IF(A1893="",M1894,A1893)</f>
        <v>India</v>
      </c>
      <c r="N1893" s="3" t="str">
        <f t="shared" si="59"/>
        <v>Aug-2021</v>
      </c>
    </row>
    <row r="1894" spans="1:14" x14ac:dyDescent="0.3">
      <c r="A1894" s="3" t="s">
        <v>164</v>
      </c>
      <c r="B1894" s="3" t="s">
        <v>165</v>
      </c>
      <c r="C1894" s="8">
        <v>2021</v>
      </c>
      <c r="D1894" s="8">
        <v>9</v>
      </c>
      <c r="E1894" s="3" t="str">
        <f t="shared" si="58"/>
        <v>September</v>
      </c>
      <c r="F1894" s="3" t="s">
        <v>8</v>
      </c>
      <c r="G1894" s="8">
        <v>761827.08440000005</v>
      </c>
      <c r="H1894" s="8">
        <v>746876.00899999996</v>
      </c>
      <c r="I1894" s="8">
        <v>-15325.43354</v>
      </c>
      <c r="J1894" s="8">
        <v>4405895.3090000004</v>
      </c>
      <c r="K1894" s="8">
        <v>3550210.9679999999</v>
      </c>
      <c r="L1894" s="8">
        <v>5178003.9469999997</v>
      </c>
      <c r="M1894" s="9" t="str">
        <f>IF(A1894="",M1895,A1894)</f>
        <v>India</v>
      </c>
      <c r="N1894" s="3" t="str">
        <f t="shared" si="59"/>
        <v>Sep-2021</v>
      </c>
    </row>
    <row r="1895" spans="1:14" x14ac:dyDescent="0.3">
      <c r="A1895" s="3" t="s">
        <v>164</v>
      </c>
      <c r="B1895" s="3" t="s">
        <v>165</v>
      </c>
      <c r="C1895" s="8">
        <v>2021</v>
      </c>
      <c r="D1895" s="8">
        <v>10</v>
      </c>
      <c r="E1895" s="3" t="str">
        <f t="shared" si="58"/>
        <v>October</v>
      </c>
      <c r="F1895" s="3" t="s">
        <v>8</v>
      </c>
      <c r="G1895" s="8">
        <v>769382.39919999999</v>
      </c>
      <c r="H1895" s="8">
        <v>839452.09149999998</v>
      </c>
      <c r="I1895" s="8">
        <v>71053.519220000002</v>
      </c>
      <c r="J1895" s="8">
        <v>4476948.8279999997</v>
      </c>
      <c r="K1895" s="8">
        <v>3530546.213</v>
      </c>
      <c r="L1895" s="8">
        <v>5404604.5800000001</v>
      </c>
      <c r="M1895" s="9" t="str">
        <f>IF(A1895="",M1896,A1895)</f>
        <v>India</v>
      </c>
      <c r="N1895" s="3" t="str">
        <f t="shared" si="59"/>
        <v>Oct-2021</v>
      </c>
    </row>
    <row r="1896" spans="1:14" x14ac:dyDescent="0.3">
      <c r="A1896" s="3" t="s">
        <v>164</v>
      </c>
      <c r="B1896" s="3" t="s">
        <v>165</v>
      </c>
      <c r="C1896" s="8">
        <v>2021</v>
      </c>
      <c r="D1896" s="8">
        <v>11</v>
      </c>
      <c r="E1896" s="3" t="str">
        <f t="shared" si="58"/>
        <v>November</v>
      </c>
      <c r="F1896" s="3" t="s">
        <v>8</v>
      </c>
      <c r="G1896" s="8">
        <v>790797.3946</v>
      </c>
      <c r="H1896" s="8">
        <v>907132.24910000002</v>
      </c>
      <c r="I1896" s="8">
        <v>117083.16499999999</v>
      </c>
      <c r="J1896" s="8">
        <v>4594031.9929999998</v>
      </c>
      <c r="K1896" s="8">
        <v>3436742.3220000002</v>
      </c>
      <c r="L1896" s="8">
        <v>5848910.4519999996</v>
      </c>
      <c r="M1896" s="9" t="str">
        <f>IF(A1896="",M1897,A1896)</f>
        <v>India</v>
      </c>
      <c r="N1896" s="3" t="str">
        <f t="shared" si="59"/>
        <v>Nov-2021</v>
      </c>
    </row>
    <row r="1897" spans="1:14" x14ac:dyDescent="0.3">
      <c r="A1897" s="3" t="s">
        <v>164</v>
      </c>
      <c r="B1897" s="3" t="s">
        <v>165</v>
      </c>
      <c r="C1897" s="8">
        <v>2021</v>
      </c>
      <c r="D1897" s="8">
        <v>12</v>
      </c>
      <c r="E1897" s="3" t="str">
        <f t="shared" si="58"/>
        <v>December</v>
      </c>
      <c r="F1897" s="3" t="s">
        <v>8</v>
      </c>
      <c r="G1897" s="8">
        <v>805225.62280000001</v>
      </c>
      <c r="H1897" s="8">
        <v>946276.74809999997</v>
      </c>
      <c r="I1897" s="8">
        <v>140483.51879999999</v>
      </c>
      <c r="J1897" s="8">
        <v>4734515.5120000001</v>
      </c>
      <c r="K1897" s="8">
        <v>3315581.5430000001</v>
      </c>
      <c r="L1897" s="8">
        <v>6479562.9079999998</v>
      </c>
      <c r="M1897" s="9" t="str">
        <f>IF(A1897="",M1898,A1897)</f>
        <v>India</v>
      </c>
      <c r="N1897" s="3" t="str">
        <f t="shared" si="59"/>
        <v>Dec-2021</v>
      </c>
    </row>
    <row r="1898" spans="1:14" x14ac:dyDescent="0.3">
      <c r="A1898" s="3" t="s">
        <v>166</v>
      </c>
      <c r="B1898" s="3" t="s">
        <v>167</v>
      </c>
      <c r="C1898" s="8">
        <v>2020</v>
      </c>
      <c r="D1898" s="8">
        <v>1</v>
      </c>
      <c r="E1898" s="3" t="str">
        <f t="shared" si="58"/>
        <v>January</v>
      </c>
      <c r="F1898" s="3" t="s">
        <v>13</v>
      </c>
      <c r="G1898" s="8">
        <v>3030.322885</v>
      </c>
      <c r="H1898" s="8">
        <v>3066</v>
      </c>
      <c r="I1898" s="8">
        <v>35.677115239999999</v>
      </c>
      <c r="J1898" s="8">
        <v>35.677115239999999</v>
      </c>
      <c r="K1898" s="8">
        <v>-82.303687749999995</v>
      </c>
      <c r="L1898" s="8">
        <v>151.6591195</v>
      </c>
      <c r="M1898" s="9" t="str">
        <f>IF(A1898="",M1899,A1898)</f>
        <v>Ireland</v>
      </c>
      <c r="N1898" s="3" t="str">
        <f t="shared" si="59"/>
        <v>Jan-2020</v>
      </c>
    </row>
    <row r="1899" spans="1:14" x14ac:dyDescent="0.3">
      <c r="A1899" s="3" t="s">
        <v>166</v>
      </c>
      <c r="B1899" s="3" t="s">
        <v>167</v>
      </c>
      <c r="C1899" s="8">
        <v>2020</v>
      </c>
      <c r="D1899" s="8">
        <v>2</v>
      </c>
      <c r="E1899" s="3" t="str">
        <f t="shared" si="58"/>
        <v>February</v>
      </c>
      <c r="F1899" s="3" t="s">
        <v>13</v>
      </c>
      <c r="G1899" s="8">
        <v>2817.0369409999998</v>
      </c>
      <c r="H1899" s="8">
        <v>2798</v>
      </c>
      <c r="I1899" s="8">
        <v>-19.036941299999999</v>
      </c>
      <c r="J1899" s="8">
        <v>16.64017394</v>
      </c>
      <c r="K1899" s="8">
        <v>-172.87318149999999</v>
      </c>
      <c r="L1899" s="8">
        <v>217.3990871</v>
      </c>
      <c r="M1899" s="9" t="str">
        <f>IF(A1899="",M1900,A1899)</f>
        <v>Ireland</v>
      </c>
      <c r="N1899" s="3" t="str">
        <f t="shared" si="59"/>
        <v>Feb-2020</v>
      </c>
    </row>
    <row r="1900" spans="1:14" x14ac:dyDescent="0.3">
      <c r="A1900" s="3" t="s">
        <v>166</v>
      </c>
      <c r="B1900" s="3" t="s">
        <v>167</v>
      </c>
      <c r="C1900" s="8">
        <v>2020</v>
      </c>
      <c r="D1900" s="8">
        <v>3</v>
      </c>
      <c r="E1900" s="3" t="str">
        <f t="shared" si="58"/>
        <v>March</v>
      </c>
      <c r="F1900" s="3" t="s">
        <v>13</v>
      </c>
      <c r="G1900" s="8">
        <v>2795.9998599999999</v>
      </c>
      <c r="H1900" s="8">
        <v>2998</v>
      </c>
      <c r="I1900" s="8">
        <v>202.00014049999999</v>
      </c>
      <c r="J1900" s="8">
        <v>218.64031439999999</v>
      </c>
      <c r="K1900" s="8">
        <v>-16.05596903</v>
      </c>
      <c r="L1900" s="8">
        <v>455.17825310000001</v>
      </c>
      <c r="M1900" s="9" t="str">
        <f>IF(A1900="",M1901,A1900)</f>
        <v>Ireland</v>
      </c>
      <c r="N1900" s="3" t="str">
        <f t="shared" si="59"/>
        <v>Mar-2020</v>
      </c>
    </row>
    <row r="1901" spans="1:14" x14ac:dyDescent="0.3">
      <c r="A1901" s="3" t="s">
        <v>166</v>
      </c>
      <c r="B1901" s="3" t="s">
        <v>167</v>
      </c>
      <c r="C1901" s="8">
        <v>2020</v>
      </c>
      <c r="D1901" s="8">
        <v>4</v>
      </c>
      <c r="E1901" s="3" t="str">
        <f t="shared" si="58"/>
        <v>April</v>
      </c>
      <c r="F1901" s="3" t="s">
        <v>13</v>
      </c>
      <c r="G1901" s="8">
        <v>2588.6373939999999</v>
      </c>
      <c r="H1901" s="8">
        <v>3680</v>
      </c>
      <c r="I1901" s="8">
        <v>1091.3626059999999</v>
      </c>
      <c r="J1901" s="8">
        <v>1310.002921</v>
      </c>
      <c r="K1901" s="8">
        <v>1033.8804259999999</v>
      </c>
      <c r="L1901" s="8">
        <v>1572.973013</v>
      </c>
      <c r="M1901" s="9" t="str">
        <f>IF(A1901="",M1902,A1901)</f>
        <v>Ireland</v>
      </c>
      <c r="N1901" s="3" t="str">
        <f t="shared" si="59"/>
        <v>Apr-2020</v>
      </c>
    </row>
    <row r="1902" spans="1:14" x14ac:dyDescent="0.3">
      <c r="A1902" s="3" t="s">
        <v>166</v>
      </c>
      <c r="B1902" s="3" t="s">
        <v>167</v>
      </c>
      <c r="C1902" s="8">
        <v>2020</v>
      </c>
      <c r="D1902" s="8">
        <v>5</v>
      </c>
      <c r="E1902" s="3" t="str">
        <f t="shared" si="58"/>
        <v>May</v>
      </c>
      <c r="F1902" s="3" t="s">
        <v>13</v>
      </c>
      <c r="G1902" s="8">
        <v>2505.66689</v>
      </c>
      <c r="H1902" s="8">
        <v>2734</v>
      </c>
      <c r="I1902" s="8">
        <v>228.33310990000001</v>
      </c>
      <c r="J1902" s="8">
        <v>1538.336031</v>
      </c>
      <c r="K1902" s="8">
        <v>1241.1126959999999</v>
      </c>
      <c r="L1902" s="8">
        <v>1849.324108</v>
      </c>
      <c r="M1902" s="9" t="str">
        <f>IF(A1902="",M1903,A1902)</f>
        <v>Ireland</v>
      </c>
      <c r="N1902" s="3" t="str">
        <f t="shared" si="59"/>
        <v>May-2020</v>
      </c>
    </row>
    <row r="1903" spans="1:14" x14ac:dyDescent="0.3">
      <c r="A1903" s="3" t="s">
        <v>166</v>
      </c>
      <c r="B1903" s="3" t="s">
        <v>167</v>
      </c>
      <c r="C1903" s="8">
        <v>2020</v>
      </c>
      <c r="D1903" s="8">
        <v>6</v>
      </c>
      <c r="E1903" s="3" t="str">
        <f t="shared" si="58"/>
        <v>June</v>
      </c>
      <c r="F1903" s="3" t="s">
        <v>13</v>
      </c>
      <c r="G1903" s="8">
        <v>2343.3807940000002</v>
      </c>
      <c r="H1903" s="8">
        <v>2262</v>
      </c>
      <c r="I1903" s="8">
        <v>-81.380793679999996</v>
      </c>
      <c r="J1903" s="8">
        <v>1456.9552369999999</v>
      </c>
      <c r="K1903" s="8">
        <v>1143.806994</v>
      </c>
      <c r="L1903" s="8">
        <v>1792.233849</v>
      </c>
      <c r="M1903" s="9" t="str">
        <f>IF(A1903="",M1904,A1903)</f>
        <v>Ireland</v>
      </c>
      <c r="N1903" s="3" t="str">
        <f t="shared" si="59"/>
        <v>Jun-2020</v>
      </c>
    </row>
    <row r="1904" spans="1:14" x14ac:dyDescent="0.3">
      <c r="A1904" s="3" t="s">
        <v>166</v>
      </c>
      <c r="B1904" s="3" t="s">
        <v>167</v>
      </c>
      <c r="C1904" s="8">
        <v>2020</v>
      </c>
      <c r="D1904" s="8">
        <v>7</v>
      </c>
      <c r="E1904" s="3" t="str">
        <f t="shared" si="58"/>
        <v>July</v>
      </c>
      <c r="F1904" s="3" t="s">
        <v>13</v>
      </c>
      <c r="G1904" s="8">
        <v>2297.745073</v>
      </c>
      <c r="H1904" s="8">
        <v>2290</v>
      </c>
      <c r="I1904" s="8">
        <v>-7.7450729279999999</v>
      </c>
      <c r="J1904" s="8">
        <v>1449.2101640000001</v>
      </c>
      <c r="K1904" s="8">
        <v>1111.1204580000001</v>
      </c>
      <c r="L1904" s="8">
        <v>1802.3786480000001</v>
      </c>
      <c r="M1904" s="9" t="str">
        <f>IF(A1904="",M1905,A1904)</f>
        <v>Ireland</v>
      </c>
      <c r="N1904" s="3" t="str">
        <f t="shared" si="59"/>
        <v>Jul-2020</v>
      </c>
    </row>
    <row r="1905" spans="1:14" x14ac:dyDescent="0.3">
      <c r="A1905" s="3" t="s">
        <v>166</v>
      </c>
      <c r="B1905" s="3" t="s">
        <v>167</v>
      </c>
      <c r="C1905" s="8">
        <v>2020</v>
      </c>
      <c r="D1905" s="8">
        <v>8</v>
      </c>
      <c r="E1905" s="3" t="str">
        <f t="shared" si="58"/>
        <v>August</v>
      </c>
      <c r="F1905" s="3" t="s">
        <v>13</v>
      </c>
      <c r="G1905" s="8">
        <v>2306.3159019999998</v>
      </c>
      <c r="H1905" s="8">
        <v>2397</v>
      </c>
      <c r="I1905" s="8">
        <v>90.684098250000005</v>
      </c>
      <c r="J1905" s="8">
        <v>1539.894262</v>
      </c>
      <c r="K1905" s="8">
        <v>1180.0846140000001</v>
      </c>
      <c r="L1905" s="8">
        <v>1919.1079830000001</v>
      </c>
      <c r="M1905" s="9" t="str">
        <f>IF(A1905="",M1906,A1905)</f>
        <v>Ireland</v>
      </c>
      <c r="N1905" s="3" t="str">
        <f t="shared" si="59"/>
        <v>Aug-2020</v>
      </c>
    </row>
    <row r="1906" spans="1:14" x14ac:dyDescent="0.3">
      <c r="A1906" s="3" t="s">
        <v>166</v>
      </c>
      <c r="B1906" s="3" t="s">
        <v>167</v>
      </c>
      <c r="C1906" s="8">
        <v>2020</v>
      </c>
      <c r="D1906" s="8">
        <v>9</v>
      </c>
      <c r="E1906" s="3" t="str">
        <f t="shared" si="58"/>
        <v>September</v>
      </c>
      <c r="F1906" s="3" t="s">
        <v>13</v>
      </c>
      <c r="G1906" s="8">
        <v>2388.4712279999999</v>
      </c>
      <c r="H1906" s="8">
        <v>2433</v>
      </c>
      <c r="I1906" s="8">
        <v>44.528772089999997</v>
      </c>
      <c r="J1906" s="8">
        <v>1584.4230339999999</v>
      </c>
      <c r="K1906" s="8">
        <v>1197.1727800000001</v>
      </c>
      <c r="L1906" s="8">
        <v>1965.267175</v>
      </c>
      <c r="M1906" s="9" t="str">
        <f>IF(A1906="",M1907,A1906)</f>
        <v>Ireland</v>
      </c>
      <c r="N1906" s="3" t="str">
        <f t="shared" si="59"/>
        <v>Sep-2020</v>
      </c>
    </row>
    <row r="1907" spans="1:14" x14ac:dyDescent="0.3">
      <c r="A1907" s="3" t="s">
        <v>166</v>
      </c>
      <c r="B1907" s="3" t="s">
        <v>167</v>
      </c>
      <c r="C1907" s="8">
        <v>2020</v>
      </c>
      <c r="D1907" s="8">
        <v>10</v>
      </c>
      <c r="E1907" s="3" t="str">
        <f t="shared" si="58"/>
        <v>October</v>
      </c>
      <c r="F1907" s="3" t="s">
        <v>13</v>
      </c>
      <c r="G1907" s="8">
        <v>2516.6936340000002</v>
      </c>
      <c r="H1907" s="8">
        <v>2789</v>
      </c>
      <c r="I1907" s="8">
        <v>272.30636579999998</v>
      </c>
      <c r="J1907" s="8">
        <v>1856.7293999999999</v>
      </c>
      <c r="K1907" s="8">
        <v>1444.9293150000001</v>
      </c>
      <c r="L1907" s="8">
        <v>2258.2590970000001</v>
      </c>
      <c r="M1907" s="9" t="str">
        <f>IF(A1907="",M1908,A1907)</f>
        <v>Ireland</v>
      </c>
      <c r="N1907" s="3" t="str">
        <f t="shared" si="59"/>
        <v>Oct-2020</v>
      </c>
    </row>
    <row r="1908" spans="1:14" x14ac:dyDescent="0.3">
      <c r="A1908" s="3" t="s">
        <v>166</v>
      </c>
      <c r="B1908" s="3" t="s">
        <v>167</v>
      </c>
      <c r="C1908" s="8">
        <v>2020</v>
      </c>
      <c r="D1908" s="8">
        <v>11</v>
      </c>
      <c r="E1908" s="3" t="str">
        <f t="shared" si="58"/>
        <v>November</v>
      </c>
      <c r="F1908" s="3" t="s">
        <v>13</v>
      </c>
      <c r="G1908" s="8">
        <v>2621.914925</v>
      </c>
      <c r="H1908" s="8">
        <v>2573</v>
      </c>
      <c r="I1908" s="8">
        <v>-48.91492487</v>
      </c>
      <c r="J1908" s="8">
        <v>1807.8144749999999</v>
      </c>
      <c r="K1908" s="8">
        <v>1409.2993280000001</v>
      </c>
      <c r="L1908" s="8">
        <v>2266.7104330000002</v>
      </c>
      <c r="M1908" s="9" t="str">
        <f>IF(A1908="",M1909,A1908)</f>
        <v>Ireland</v>
      </c>
      <c r="N1908" s="3" t="str">
        <f t="shared" si="59"/>
        <v>Nov-2020</v>
      </c>
    </row>
    <row r="1909" spans="1:14" x14ac:dyDescent="0.3">
      <c r="A1909" s="3" t="s">
        <v>166</v>
      </c>
      <c r="B1909" s="3" t="s">
        <v>167</v>
      </c>
      <c r="C1909" s="8">
        <v>2020</v>
      </c>
      <c r="D1909" s="8">
        <v>12</v>
      </c>
      <c r="E1909" s="3" t="str">
        <f t="shared" si="58"/>
        <v>December</v>
      </c>
      <c r="F1909" s="3" t="s">
        <v>13</v>
      </c>
      <c r="G1909" s="8">
        <v>3042.3665059999998</v>
      </c>
      <c r="H1909" s="8">
        <v>2836</v>
      </c>
      <c r="I1909" s="8">
        <v>-206.3665062</v>
      </c>
      <c r="J1909" s="8">
        <v>1601.4479690000001</v>
      </c>
      <c r="K1909" s="8">
        <v>1182.778579</v>
      </c>
      <c r="L1909" s="8">
        <v>2064.3589959999999</v>
      </c>
      <c r="M1909" s="9" t="str">
        <f>IF(A1909="",M1910,A1909)</f>
        <v>Ireland</v>
      </c>
      <c r="N1909" s="3" t="str">
        <f t="shared" si="59"/>
        <v>Dec-2020</v>
      </c>
    </row>
    <row r="1910" spans="1:14" x14ac:dyDescent="0.3">
      <c r="A1910" s="3" t="s">
        <v>166</v>
      </c>
      <c r="B1910" s="3" t="s">
        <v>167</v>
      </c>
      <c r="C1910" s="8">
        <v>2021</v>
      </c>
      <c r="D1910" s="8">
        <v>1</v>
      </c>
      <c r="E1910" s="3" t="str">
        <f t="shared" si="58"/>
        <v>January</v>
      </c>
      <c r="F1910" s="3" t="s">
        <v>13</v>
      </c>
      <c r="G1910" s="8">
        <v>3049.5509499999998</v>
      </c>
      <c r="H1910" s="8">
        <v>3965</v>
      </c>
      <c r="I1910" s="8">
        <v>915.44904980000001</v>
      </c>
      <c r="J1910" s="8">
        <v>2516.897019</v>
      </c>
      <c r="K1910" s="8">
        <v>2073.4914450000001</v>
      </c>
      <c r="L1910" s="8">
        <v>2978.3966380000002</v>
      </c>
      <c r="M1910" s="9" t="str">
        <f>IF(A1910="",M1911,A1910)</f>
        <v>Ireland</v>
      </c>
      <c r="N1910" s="3" t="str">
        <f t="shared" si="59"/>
        <v>Jan-2021</v>
      </c>
    </row>
    <row r="1911" spans="1:14" x14ac:dyDescent="0.3">
      <c r="A1911" s="3" t="s">
        <v>166</v>
      </c>
      <c r="B1911" s="3" t="s">
        <v>167</v>
      </c>
      <c r="C1911" s="8">
        <v>2021</v>
      </c>
      <c r="D1911" s="8">
        <v>2</v>
      </c>
      <c r="E1911" s="3" t="str">
        <f t="shared" si="58"/>
        <v>February</v>
      </c>
      <c r="F1911" s="3" t="s">
        <v>13</v>
      </c>
      <c r="G1911" s="8">
        <v>2836.5199069999999</v>
      </c>
      <c r="H1911" s="8">
        <v>3178</v>
      </c>
      <c r="I1911" s="8">
        <v>341.48009339999999</v>
      </c>
      <c r="J1911" s="8">
        <v>2858.3771120000001</v>
      </c>
      <c r="K1911" s="8">
        <v>2379.1503659999998</v>
      </c>
      <c r="L1911" s="8">
        <v>3346.6325539999998</v>
      </c>
      <c r="M1911" s="9" t="str">
        <f>IF(A1911="",M1912,A1911)</f>
        <v>Ireland</v>
      </c>
      <c r="N1911" s="3" t="str">
        <f t="shared" si="59"/>
        <v>Feb-2021</v>
      </c>
    </row>
    <row r="1912" spans="1:14" x14ac:dyDescent="0.3">
      <c r="A1912" s="3" t="s">
        <v>166</v>
      </c>
      <c r="B1912" s="3" t="s">
        <v>167</v>
      </c>
      <c r="C1912" s="8">
        <v>2021</v>
      </c>
      <c r="D1912" s="8">
        <v>3</v>
      </c>
      <c r="E1912" s="3" t="str">
        <f t="shared" si="58"/>
        <v>March</v>
      </c>
      <c r="F1912" s="3" t="s">
        <v>13</v>
      </c>
      <c r="G1912" s="8">
        <v>2812.322713</v>
      </c>
      <c r="H1912" s="8">
        <v>2680</v>
      </c>
      <c r="I1912" s="8">
        <v>-132.32271320000001</v>
      </c>
      <c r="J1912" s="8">
        <v>2726.0543990000001</v>
      </c>
      <c r="K1912" s="8">
        <v>2216.432323</v>
      </c>
      <c r="L1912" s="8">
        <v>3264.226455</v>
      </c>
      <c r="M1912" s="9" t="str">
        <f>IF(A1912="",M1913,A1912)</f>
        <v>Ireland</v>
      </c>
      <c r="N1912" s="3" t="str">
        <f t="shared" si="59"/>
        <v>Mar-2021</v>
      </c>
    </row>
    <row r="1913" spans="1:14" x14ac:dyDescent="0.3">
      <c r="A1913" s="3" t="s">
        <v>166</v>
      </c>
      <c r="B1913" s="3" t="s">
        <v>167</v>
      </c>
      <c r="C1913" s="8">
        <v>2021</v>
      </c>
      <c r="D1913" s="8">
        <v>4</v>
      </c>
      <c r="E1913" s="3" t="str">
        <f t="shared" si="58"/>
        <v>April</v>
      </c>
      <c r="F1913" s="3" t="s">
        <v>13</v>
      </c>
      <c r="G1913" s="8">
        <v>2605.0765059999999</v>
      </c>
      <c r="H1913" s="8">
        <v>2539</v>
      </c>
      <c r="I1913" s="8">
        <v>-66.076505800000007</v>
      </c>
      <c r="J1913" s="8">
        <v>2659.9778930000002</v>
      </c>
      <c r="K1913" s="8">
        <v>2132.76523</v>
      </c>
      <c r="L1913" s="8">
        <v>3229.1960509999999</v>
      </c>
      <c r="M1913" s="9" t="str">
        <f>IF(A1913="",M1914,A1913)</f>
        <v>Ireland</v>
      </c>
      <c r="N1913" s="3" t="str">
        <f t="shared" si="59"/>
        <v>Apr-2021</v>
      </c>
    </row>
    <row r="1914" spans="1:14" x14ac:dyDescent="0.3">
      <c r="A1914" s="3" t="s">
        <v>166</v>
      </c>
      <c r="B1914" s="3" t="s">
        <v>167</v>
      </c>
      <c r="C1914" s="8">
        <v>2021</v>
      </c>
      <c r="D1914" s="8">
        <v>5</v>
      </c>
      <c r="E1914" s="3" t="str">
        <f t="shared" si="58"/>
        <v>May</v>
      </c>
      <c r="F1914" s="3" t="s">
        <v>13</v>
      </c>
      <c r="G1914" s="8">
        <v>2520.6412639999999</v>
      </c>
      <c r="H1914" s="8">
        <v>2635</v>
      </c>
      <c r="I1914" s="8">
        <v>114.3587363</v>
      </c>
      <c r="J1914" s="8">
        <v>2774.3366299999998</v>
      </c>
      <c r="K1914" s="8">
        <v>2249.3209700000002</v>
      </c>
      <c r="L1914" s="8">
        <v>3354.166776</v>
      </c>
      <c r="M1914" s="9" t="str">
        <f>IF(A1914="",M1915,A1914)</f>
        <v>Ireland</v>
      </c>
      <c r="N1914" s="3" t="str">
        <f t="shared" si="59"/>
        <v>May-2021</v>
      </c>
    </row>
    <row r="1915" spans="1:14" x14ac:dyDescent="0.3">
      <c r="A1915" s="3" t="s">
        <v>166</v>
      </c>
      <c r="B1915" s="3" t="s">
        <v>167</v>
      </c>
      <c r="C1915" s="8">
        <v>2021</v>
      </c>
      <c r="D1915" s="8">
        <v>6</v>
      </c>
      <c r="E1915" s="3" t="str">
        <f t="shared" si="58"/>
        <v>June</v>
      </c>
      <c r="F1915" s="3" t="s">
        <v>13</v>
      </c>
      <c r="G1915" s="8">
        <v>2358.6245170000002</v>
      </c>
      <c r="H1915" s="8">
        <v>2359</v>
      </c>
      <c r="I1915" s="8">
        <v>0.375482863</v>
      </c>
      <c r="J1915" s="8">
        <v>2774.712113</v>
      </c>
      <c r="K1915" s="8">
        <v>2234.0516940000002</v>
      </c>
      <c r="L1915" s="8">
        <v>3368.2347629999999</v>
      </c>
      <c r="M1915" s="9" t="str">
        <f>IF(A1915="",M1916,A1915)</f>
        <v>Ireland</v>
      </c>
      <c r="N1915" s="3" t="str">
        <f t="shared" si="59"/>
        <v>Jun-2021</v>
      </c>
    </row>
    <row r="1916" spans="1:14" x14ac:dyDescent="0.3">
      <c r="A1916" s="3" t="s">
        <v>166</v>
      </c>
      <c r="B1916" s="3" t="s">
        <v>167</v>
      </c>
      <c r="C1916" s="8">
        <v>2021</v>
      </c>
      <c r="D1916" s="8">
        <v>7</v>
      </c>
      <c r="E1916" s="3" t="str">
        <f t="shared" si="58"/>
        <v>July</v>
      </c>
      <c r="F1916" s="3" t="s">
        <v>13</v>
      </c>
      <c r="G1916" s="8">
        <v>2316.4715000000001</v>
      </c>
      <c r="H1916" s="8">
        <v>2586</v>
      </c>
      <c r="I1916" s="8">
        <v>269.52850030000002</v>
      </c>
      <c r="J1916" s="8">
        <v>3044.2406129999999</v>
      </c>
      <c r="K1916" s="8">
        <v>2477.6241340000001</v>
      </c>
      <c r="L1916" s="8">
        <v>3653.5001969999998</v>
      </c>
      <c r="M1916" s="9" t="str">
        <f>IF(A1916="",M1917,A1916)</f>
        <v>Ireland</v>
      </c>
      <c r="N1916" s="3" t="str">
        <f t="shared" si="59"/>
        <v>Jul-2021</v>
      </c>
    </row>
    <row r="1917" spans="1:14" x14ac:dyDescent="0.3">
      <c r="A1917" s="3" t="s">
        <v>166</v>
      </c>
      <c r="B1917" s="3" t="s">
        <v>167</v>
      </c>
      <c r="C1917" s="8">
        <v>2021</v>
      </c>
      <c r="D1917" s="8">
        <v>8</v>
      </c>
      <c r="E1917" s="3" t="str">
        <f t="shared" si="58"/>
        <v>August</v>
      </c>
      <c r="F1917" s="3" t="s">
        <v>13</v>
      </c>
      <c r="G1917" s="8">
        <v>2321.7724450000001</v>
      </c>
      <c r="H1917" s="8">
        <v>2576</v>
      </c>
      <c r="I1917" s="8">
        <v>254.22755470000001</v>
      </c>
      <c r="J1917" s="8">
        <v>3298.4681679999999</v>
      </c>
      <c r="K1917" s="8">
        <v>2711.0787169999999</v>
      </c>
      <c r="L1917" s="8">
        <v>3947.5719359999998</v>
      </c>
      <c r="M1917" s="9" t="str">
        <f>IF(A1917="",M1918,A1917)</f>
        <v>Ireland</v>
      </c>
      <c r="N1917" s="3" t="str">
        <f t="shared" si="59"/>
        <v>Aug-2021</v>
      </c>
    </row>
    <row r="1918" spans="1:14" x14ac:dyDescent="0.3">
      <c r="A1918" s="3" t="s">
        <v>166</v>
      </c>
      <c r="B1918" s="3" t="s">
        <v>167</v>
      </c>
      <c r="C1918" s="8">
        <v>2021</v>
      </c>
      <c r="D1918" s="8">
        <v>9</v>
      </c>
      <c r="E1918" s="3" t="str">
        <f t="shared" si="58"/>
        <v>September</v>
      </c>
      <c r="F1918" s="3" t="s">
        <v>13</v>
      </c>
      <c r="G1918" s="8">
        <v>2408.1514360000001</v>
      </c>
      <c r="H1918" s="8">
        <v>2663</v>
      </c>
      <c r="I1918" s="8">
        <v>254.84856350000001</v>
      </c>
      <c r="J1918" s="8">
        <v>3553.3167309999999</v>
      </c>
      <c r="K1918" s="8">
        <v>2925.9884269999998</v>
      </c>
      <c r="L1918" s="8">
        <v>4196.1389570000001</v>
      </c>
      <c r="M1918" s="9" t="str">
        <f>IF(A1918="",M1919,A1918)</f>
        <v>Ireland</v>
      </c>
      <c r="N1918" s="3" t="str">
        <f t="shared" si="59"/>
        <v>Sep-2021</v>
      </c>
    </row>
    <row r="1919" spans="1:14" x14ac:dyDescent="0.3">
      <c r="A1919" s="3" t="s">
        <v>166</v>
      </c>
      <c r="B1919" s="3" t="s">
        <v>167</v>
      </c>
      <c r="C1919" s="8">
        <v>2021</v>
      </c>
      <c r="D1919" s="8">
        <v>10</v>
      </c>
      <c r="E1919" s="3" t="str">
        <f t="shared" si="58"/>
        <v>October</v>
      </c>
      <c r="F1919" s="3" t="s">
        <v>13</v>
      </c>
      <c r="G1919" s="8">
        <v>2536.8812849999999</v>
      </c>
      <c r="H1919" s="8">
        <v>2968</v>
      </c>
      <c r="I1919" s="8">
        <v>431.11871500000001</v>
      </c>
      <c r="J1919" s="8">
        <v>3984.435446</v>
      </c>
      <c r="K1919" s="8">
        <v>3325.3964540000002</v>
      </c>
      <c r="L1919" s="8">
        <v>4623.5748830000002</v>
      </c>
      <c r="M1919" s="9" t="str">
        <f>IF(A1919="",M1920,A1919)</f>
        <v>Ireland</v>
      </c>
      <c r="N1919" s="3" t="str">
        <f t="shared" si="59"/>
        <v>Oct-2021</v>
      </c>
    </row>
    <row r="1920" spans="1:14" x14ac:dyDescent="0.3">
      <c r="A1920" s="3" t="s">
        <v>166</v>
      </c>
      <c r="B1920" s="3" t="s">
        <v>167</v>
      </c>
      <c r="C1920" s="8">
        <v>2021</v>
      </c>
      <c r="D1920" s="8">
        <v>11</v>
      </c>
      <c r="E1920" s="3" t="str">
        <f t="shared" si="58"/>
        <v>November</v>
      </c>
      <c r="F1920" s="3" t="s">
        <v>13</v>
      </c>
      <c r="G1920" s="8">
        <v>2637.510229</v>
      </c>
      <c r="H1920" s="8">
        <v>3045</v>
      </c>
      <c r="I1920" s="8">
        <v>407.4897709</v>
      </c>
      <c r="J1920" s="8">
        <v>4391.925217</v>
      </c>
      <c r="K1920" s="8">
        <v>3741.3828830000002</v>
      </c>
      <c r="L1920" s="8">
        <v>5070.2622030000002</v>
      </c>
      <c r="M1920" s="9" t="str">
        <f>IF(A1920="",M1921,A1920)</f>
        <v>Ireland</v>
      </c>
      <c r="N1920" s="3" t="str">
        <f t="shared" si="59"/>
        <v>Nov-2021</v>
      </c>
    </row>
    <row r="1921" spans="1:14" x14ac:dyDescent="0.3">
      <c r="A1921" s="3" t="s">
        <v>166</v>
      </c>
      <c r="B1921" s="3" t="s">
        <v>167</v>
      </c>
      <c r="C1921" s="8">
        <v>2021</v>
      </c>
      <c r="D1921" s="8">
        <v>12</v>
      </c>
      <c r="E1921" s="3" t="str">
        <f t="shared" si="58"/>
        <v>December</v>
      </c>
      <c r="F1921" s="3" t="s">
        <v>13</v>
      </c>
      <c r="G1921" s="8">
        <v>3062.0489990000001</v>
      </c>
      <c r="H1921" s="8">
        <v>3132</v>
      </c>
      <c r="I1921" s="8">
        <v>69.951000629999996</v>
      </c>
      <c r="J1921" s="8">
        <v>4461.8762180000003</v>
      </c>
      <c r="K1921" s="8">
        <v>3757.807953</v>
      </c>
      <c r="L1921" s="8">
        <v>5131.8918450000001</v>
      </c>
      <c r="M1921" s="9" t="str">
        <f>IF(A1921="",M1922,A1921)</f>
        <v>Ireland</v>
      </c>
      <c r="N1921" s="3" t="str">
        <f t="shared" si="59"/>
        <v>Dec-2021</v>
      </c>
    </row>
    <row r="1922" spans="1:14" x14ac:dyDescent="0.3">
      <c r="A1922" s="3" t="s">
        <v>168</v>
      </c>
      <c r="B1922" s="3" t="s">
        <v>169</v>
      </c>
      <c r="C1922" s="8">
        <v>2020</v>
      </c>
      <c r="D1922" s="8">
        <v>1</v>
      </c>
      <c r="E1922" s="3" t="str">
        <f t="shared" ref="E1922:E1985" si="60">TEXT(DATE(C1922,D1922,1),"MMMM")</f>
        <v>January</v>
      </c>
      <c r="F1922" s="3" t="s">
        <v>13</v>
      </c>
      <c r="G1922" s="8">
        <v>42144.455300000001</v>
      </c>
      <c r="H1922" s="8">
        <v>39099</v>
      </c>
      <c r="I1922" s="8">
        <v>-3083.6979489999999</v>
      </c>
      <c r="J1922" s="8">
        <v>-3083.6979489999999</v>
      </c>
      <c r="K1922" s="8">
        <v>-4162.2954390000004</v>
      </c>
      <c r="L1922" s="8">
        <v>-1962.5167750000001</v>
      </c>
      <c r="M1922" s="9" t="str">
        <f>IF(A1922="",M1923,A1922)</f>
        <v>Iran (Islamic Republic of)</v>
      </c>
      <c r="N1922" s="3" t="str">
        <f t="shared" ref="N1922:N1985" si="61">TEXT(DATE(C1922,D1922,1),"MMM-YYYY")</f>
        <v>Jan-2020</v>
      </c>
    </row>
    <row r="1923" spans="1:14" x14ac:dyDescent="0.3">
      <c r="A1923" s="3" t="s">
        <v>168</v>
      </c>
      <c r="B1923" s="3" t="s">
        <v>169</v>
      </c>
      <c r="C1923" s="8">
        <v>2020</v>
      </c>
      <c r="D1923" s="8">
        <v>2</v>
      </c>
      <c r="E1923" s="3" t="str">
        <f t="shared" si="60"/>
        <v>February</v>
      </c>
      <c r="F1923" s="3" t="s">
        <v>13</v>
      </c>
      <c r="G1923" s="8">
        <v>37012.201260000002</v>
      </c>
      <c r="H1923" s="8">
        <v>38041</v>
      </c>
      <c r="I1923" s="8">
        <v>990.55608900000004</v>
      </c>
      <c r="J1923" s="8">
        <v>-2093.1418600000002</v>
      </c>
      <c r="K1923" s="8">
        <v>-3597.4035730000001</v>
      </c>
      <c r="L1923" s="8">
        <v>-512.02458869999998</v>
      </c>
      <c r="M1923" s="9" t="str">
        <f>IF(A1923="",M1924,A1923)</f>
        <v>Iran (Islamic Republic of)</v>
      </c>
      <c r="N1923" s="3" t="str">
        <f t="shared" si="61"/>
        <v>Feb-2020</v>
      </c>
    </row>
    <row r="1924" spans="1:14" x14ac:dyDescent="0.3">
      <c r="A1924" s="3" t="s">
        <v>168</v>
      </c>
      <c r="B1924" s="3" t="s">
        <v>169</v>
      </c>
      <c r="C1924" s="8">
        <v>2020</v>
      </c>
      <c r="D1924" s="8">
        <v>3</v>
      </c>
      <c r="E1924" s="3" t="str">
        <f t="shared" si="60"/>
        <v>March</v>
      </c>
      <c r="F1924" s="3" t="s">
        <v>13</v>
      </c>
      <c r="G1924" s="8">
        <v>36814.10888</v>
      </c>
      <c r="H1924" s="8">
        <v>48305</v>
      </c>
      <c r="I1924" s="8">
        <v>11452.64847</v>
      </c>
      <c r="J1924" s="8">
        <v>9359.5066079999997</v>
      </c>
      <c r="K1924" s="8">
        <v>7355.1828539999997</v>
      </c>
      <c r="L1924" s="8">
        <v>11320.43072</v>
      </c>
      <c r="M1924" s="9" t="str">
        <f>IF(A1924="",M1925,A1924)</f>
        <v>Iran (Islamic Republic of)</v>
      </c>
      <c r="N1924" s="3" t="str">
        <f t="shared" si="61"/>
        <v>Mar-2020</v>
      </c>
    </row>
    <row r="1925" spans="1:14" x14ac:dyDescent="0.3">
      <c r="A1925" s="3" t="s">
        <v>168</v>
      </c>
      <c r="B1925" s="3" t="s">
        <v>169</v>
      </c>
      <c r="C1925" s="8">
        <v>2020</v>
      </c>
      <c r="D1925" s="8">
        <v>4</v>
      </c>
      <c r="E1925" s="3" t="str">
        <f t="shared" si="60"/>
        <v>April</v>
      </c>
      <c r="F1925" s="3" t="s">
        <v>13</v>
      </c>
      <c r="G1925" s="8">
        <v>36969.391669999997</v>
      </c>
      <c r="H1925" s="8">
        <v>44526</v>
      </c>
      <c r="I1925" s="8">
        <v>7518.3656769999998</v>
      </c>
      <c r="J1925" s="8">
        <v>16877.872289999999</v>
      </c>
      <c r="K1925" s="8">
        <v>14389.1898</v>
      </c>
      <c r="L1925" s="8">
        <v>19121.120650000001</v>
      </c>
      <c r="M1925" s="9" t="str">
        <f>IF(A1925="",M1926,A1925)</f>
        <v>Iran (Islamic Republic of)</v>
      </c>
      <c r="N1925" s="3" t="str">
        <f t="shared" si="61"/>
        <v>Apr-2020</v>
      </c>
    </row>
    <row r="1926" spans="1:14" x14ac:dyDescent="0.3">
      <c r="A1926" s="3" t="s">
        <v>168</v>
      </c>
      <c r="B1926" s="3" t="s">
        <v>169</v>
      </c>
      <c r="C1926" s="8">
        <v>2020</v>
      </c>
      <c r="D1926" s="8">
        <v>5</v>
      </c>
      <c r="E1926" s="3" t="str">
        <f t="shared" si="60"/>
        <v>May</v>
      </c>
      <c r="F1926" s="3" t="s">
        <v>13</v>
      </c>
      <c r="G1926" s="8">
        <v>35857.501279999997</v>
      </c>
      <c r="H1926" s="8">
        <v>38107</v>
      </c>
      <c r="I1926" s="8">
        <v>2211.2560720000001</v>
      </c>
      <c r="J1926" s="8">
        <v>19089.128359999999</v>
      </c>
      <c r="K1926" s="8">
        <v>16464.532429999999</v>
      </c>
      <c r="L1926" s="8">
        <v>21902.807359999999</v>
      </c>
      <c r="M1926" s="9" t="str">
        <f>IF(A1926="",M1927,A1926)</f>
        <v>Iran (Islamic Republic of)</v>
      </c>
      <c r="N1926" s="3" t="str">
        <f t="shared" si="61"/>
        <v>May-2020</v>
      </c>
    </row>
    <row r="1927" spans="1:14" x14ac:dyDescent="0.3">
      <c r="A1927" s="3" t="s">
        <v>168</v>
      </c>
      <c r="B1927" s="3" t="s">
        <v>169</v>
      </c>
      <c r="C1927" s="8">
        <v>2020</v>
      </c>
      <c r="D1927" s="8">
        <v>6</v>
      </c>
      <c r="E1927" s="3" t="str">
        <f t="shared" si="60"/>
        <v>June</v>
      </c>
      <c r="F1927" s="3" t="s">
        <v>13</v>
      </c>
      <c r="G1927" s="8">
        <v>34909.88708</v>
      </c>
      <c r="H1927" s="8">
        <v>45056</v>
      </c>
      <c r="I1927" s="8">
        <v>10107.87026</v>
      </c>
      <c r="J1927" s="8">
        <v>29196.998619999998</v>
      </c>
      <c r="K1927" s="8">
        <v>26312.527610000001</v>
      </c>
      <c r="L1927" s="8">
        <v>32181.039379999998</v>
      </c>
      <c r="M1927" s="9" t="str">
        <f>IF(A1927="",M1928,A1927)</f>
        <v>Iran (Islamic Republic of)</v>
      </c>
      <c r="N1927" s="3" t="str">
        <f t="shared" si="61"/>
        <v>Jun-2020</v>
      </c>
    </row>
    <row r="1928" spans="1:14" x14ac:dyDescent="0.3">
      <c r="A1928" s="3" t="s">
        <v>168</v>
      </c>
      <c r="B1928" s="3" t="s">
        <v>169</v>
      </c>
      <c r="C1928" s="8">
        <v>2020</v>
      </c>
      <c r="D1928" s="8">
        <v>7</v>
      </c>
      <c r="E1928" s="3" t="str">
        <f t="shared" si="60"/>
        <v>July</v>
      </c>
      <c r="F1928" s="3" t="s">
        <v>13</v>
      </c>
      <c r="G1928" s="8">
        <v>37026.397960000002</v>
      </c>
      <c r="H1928" s="8">
        <v>53509</v>
      </c>
      <c r="I1928" s="8">
        <v>16444.359390000001</v>
      </c>
      <c r="J1928" s="8">
        <v>45641.358010000004</v>
      </c>
      <c r="K1928" s="8">
        <v>42626.744379999996</v>
      </c>
      <c r="L1928" s="8">
        <v>48873.6368</v>
      </c>
      <c r="M1928" s="9" t="str">
        <f>IF(A1928="",M1929,A1928)</f>
        <v>Iran (Islamic Republic of)</v>
      </c>
      <c r="N1928" s="3" t="str">
        <f t="shared" si="61"/>
        <v>Jul-2020</v>
      </c>
    </row>
    <row r="1929" spans="1:14" x14ac:dyDescent="0.3">
      <c r="A1929" s="3" t="s">
        <v>168</v>
      </c>
      <c r="B1929" s="3" t="s">
        <v>169</v>
      </c>
      <c r="C1929" s="8">
        <v>2020</v>
      </c>
      <c r="D1929" s="8">
        <v>8</v>
      </c>
      <c r="E1929" s="3" t="str">
        <f t="shared" si="60"/>
        <v>August</v>
      </c>
      <c r="F1929" s="3" t="s">
        <v>13</v>
      </c>
      <c r="G1929" s="8">
        <v>36227.43028</v>
      </c>
      <c r="H1929" s="8">
        <v>49941</v>
      </c>
      <c r="I1929" s="8">
        <v>13675.327069999999</v>
      </c>
      <c r="J1929" s="8">
        <v>59316.685080000003</v>
      </c>
      <c r="K1929" s="8">
        <v>55974.507590000001</v>
      </c>
      <c r="L1929" s="8">
        <v>62739.006009999997</v>
      </c>
      <c r="M1929" s="9" t="str">
        <f>IF(A1929="",M1930,A1929)</f>
        <v>Iran (Islamic Republic of)</v>
      </c>
      <c r="N1929" s="3" t="str">
        <f t="shared" si="61"/>
        <v>Aug-2020</v>
      </c>
    </row>
    <row r="1930" spans="1:14" x14ac:dyDescent="0.3">
      <c r="A1930" s="3" t="s">
        <v>168</v>
      </c>
      <c r="B1930" s="3" t="s">
        <v>169</v>
      </c>
      <c r="C1930" s="8">
        <v>2020</v>
      </c>
      <c r="D1930" s="8">
        <v>9</v>
      </c>
      <c r="E1930" s="3" t="str">
        <f t="shared" si="60"/>
        <v>September</v>
      </c>
      <c r="F1930" s="3" t="s">
        <v>13</v>
      </c>
      <c r="G1930" s="8">
        <v>35301.99813</v>
      </c>
      <c r="H1930" s="8">
        <v>46322</v>
      </c>
      <c r="I1930" s="8">
        <v>10981.75921</v>
      </c>
      <c r="J1930" s="8">
        <v>70298.444300000003</v>
      </c>
      <c r="K1930" s="8">
        <v>66522.15178</v>
      </c>
      <c r="L1930" s="8">
        <v>73862.318410000007</v>
      </c>
      <c r="M1930" s="9" t="str">
        <f>IF(A1930="",M1931,A1930)</f>
        <v>Iran (Islamic Republic of)</v>
      </c>
      <c r="N1930" s="3" t="str">
        <f t="shared" si="61"/>
        <v>Sep-2020</v>
      </c>
    </row>
    <row r="1931" spans="1:14" x14ac:dyDescent="0.3">
      <c r="A1931" s="3" t="s">
        <v>168</v>
      </c>
      <c r="B1931" s="3" t="s">
        <v>169</v>
      </c>
      <c r="C1931" s="8">
        <v>2020</v>
      </c>
      <c r="D1931" s="8">
        <v>10</v>
      </c>
      <c r="E1931" s="3" t="str">
        <f t="shared" si="60"/>
        <v>October</v>
      </c>
      <c r="F1931" s="3" t="s">
        <v>13</v>
      </c>
      <c r="G1931" s="8">
        <v>37208.719409999998</v>
      </c>
      <c r="H1931" s="8">
        <v>59897</v>
      </c>
      <c r="I1931" s="8">
        <v>22650.037929999999</v>
      </c>
      <c r="J1931" s="8">
        <v>92948.482229999994</v>
      </c>
      <c r="K1931" s="8">
        <v>89018.609479999999</v>
      </c>
      <c r="L1931" s="8">
        <v>96855.266570000007</v>
      </c>
      <c r="M1931" s="9" t="str">
        <f>IF(A1931="",M1932,A1931)</f>
        <v>Iran (Islamic Republic of)</v>
      </c>
      <c r="N1931" s="3" t="str">
        <f t="shared" si="61"/>
        <v>Oct-2020</v>
      </c>
    </row>
    <row r="1932" spans="1:14" x14ac:dyDescent="0.3">
      <c r="A1932" s="3" t="s">
        <v>168</v>
      </c>
      <c r="B1932" s="3" t="s">
        <v>169</v>
      </c>
      <c r="C1932" s="8">
        <v>2020</v>
      </c>
      <c r="D1932" s="8">
        <v>11</v>
      </c>
      <c r="E1932" s="3" t="str">
        <f t="shared" si="60"/>
        <v>November</v>
      </c>
      <c r="F1932" s="3" t="s">
        <v>13</v>
      </c>
      <c r="G1932" s="8">
        <v>39288.028169999998</v>
      </c>
      <c r="H1932" s="8">
        <v>71232</v>
      </c>
      <c r="I1932" s="8">
        <v>31905.729179999998</v>
      </c>
      <c r="J1932" s="8">
        <v>124854.2114</v>
      </c>
      <c r="K1932" s="8">
        <v>120879.1507</v>
      </c>
      <c r="L1932" s="8">
        <v>128932.8248</v>
      </c>
      <c r="M1932" s="9" t="str">
        <f>IF(A1932="",M1933,A1932)</f>
        <v>Iran (Islamic Republic of)</v>
      </c>
      <c r="N1932" s="3" t="str">
        <f t="shared" si="61"/>
        <v>Nov-2020</v>
      </c>
    </row>
    <row r="1933" spans="1:14" x14ac:dyDescent="0.3">
      <c r="A1933" s="3" t="s">
        <v>168</v>
      </c>
      <c r="B1933" s="3" t="s">
        <v>169</v>
      </c>
      <c r="C1933" s="8">
        <v>2020</v>
      </c>
      <c r="D1933" s="8">
        <v>12</v>
      </c>
      <c r="E1933" s="3" t="str">
        <f t="shared" si="60"/>
        <v>December</v>
      </c>
      <c r="F1933" s="3" t="s">
        <v>13</v>
      </c>
      <c r="G1933" s="8">
        <v>42774.019480000003</v>
      </c>
      <c r="H1933" s="8">
        <v>54252</v>
      </c>
      <c r="I1933" s="8">
        <v>11439.737870000001</v>
      </c>
      <c r="J1933" s="8">
        <v>136293.94930000001</v>
      </c>
      <c r="K1933" s="8">
        <v>132049.34299999999</v>
      </c>
      <c r="L1933" s="8">
        <v>140842.54370000001</v>
      </c>
      <c r="M1933" s="9" t="str">
        <f>IF(A1933="",M1934,A1933)</f>
        <v>Iran (Islamic Republic of)</v>
      </c>
      <c r="N1933" s="3" t="str">
        <f t="shared" si="61"/>
        <v>Dec-2020</v>
      </c>
    </row>
    <row r="1934" spans="1:14" x14ac:dyDescent="0.3">
      <c r="A1934" s="3" t="s">
        <v>168</v>
      </c>
      <c r="B1934" s="3" t="s">
        <v>169</v>
      </c>
      <c r="C1934" s="8">
        <v>2021</v>
      </c>
      <c r="D1934" s="8">
        <v>1</v>
      </c>
      <c r="E1934" s="3" t="str">
        <f t="shared" si="60"/>
        <v>January</v>
      </c>
      <c r="F1934" s="3" t="s">
        <v>13</v>
      </c>
      <c r="G1934" s="8">
        <v>42850.830419999998</v>
      </c>
      <c r="H1934" s="8">
        <v>45286</v>
      </c>
      <c r="I1934" s="8">
        <v>2413.233436</v>
      </c>
      <c r="J1934" s="8">
        <v>138707.1827</v>
      </c>
      <c r="K1934" s="8">
        <v>134184.228</v>
      </c>
      <c r="L1934" s="8">
        <v>143282.0122</v>
      </c>
      <c r="M1934" s="9" t="str">
        <f>IF(A1934="",M1935,A1934)</f>
        <v>Iran (Islamic Republic of)</v>
      </c>
      <c r="N1934" s="3" t="str">
        <f t="shared" si="61"/>
        <v>Jan-2021</v>
      </c>
    </row>
    <row r="1935" spans="1:14" x14ac:dyDescent="0.3">
      <c r="A1935" s="3" t="s">
        <v>168</v>
      </c>
      <c r="B1935" s="3" t="s">
        <v>169</v>
      </c>
      <c r="C1935" s="8">
        <v>2021</v>
      </c>
      <c r="D1935" s="8">
        <v>2</v>
      </c>
      <c r="E1935" s="3" t="str">
        <f t="shared" si="60"/>
        <v>February</v>
      </c>
      <c r="F1935" s="3" t="s">
        <v>13</v>
      </c>
      <c r="G1935" s="8">
        <v>37643.303489999998</v>
      </c>
      <c r="H1935" s="8">
        <v>38681</v>
      </c>
      <c r="I1935" s="8">
        <v>1015.760368</v>
      </c>
      <c r="J1935" s="8">
        <v>139722.9431</v>
      </c>
      <c r="K1935" s="8">
        <v>134923.1158</v>
      </c>
      <c r="L1935" s="8">
        <v>144753.87669999999</v>
      </c>
      <c r="M1935" s="9" t="str">
        <f>IF(A1935="",M1936,A1935)</f>
        <v>Iran (Islamic Republic of)</v>
      </c>
      <c r="N1935" s="3" t="str">
        <f t="shared" si="61"/>
        <v>Feb-2021</v>
      </c>
    </row>
    <row r="1936" spans="1:14" x14ac:dyDescent="0.3">
      <c r="A1936" s="3" t="s">
        <v>168</v>
      </c>
      <c r="B1936" s="3" t="s">
        <v>169</v>
      </c>
      <c r="C1936" s="8">
        <v>2021</v>
      </c>
      <c r="D1936" s="8">
        <v>3</v>
      </c>
      <c r="E1936" s="3" t="str">
        <f t="shared" si="60"/>
        <v>March</v>
      </c>
      <c r="F1936" s="3" t="s">
        <v>13</v>
      </c>
      <c r="G1936" s="8">
        <v>37417.929080000002</v>
      </c>
      <c r="H1936" s="8">
        <v>42126</v>
      </c>
      <c r="I1936" s="8">
        <v>4686.1347830000004</v>
      </c>
      <c r="J1936" s="8">
        <v>144409.0779</v>
      </c>
      <c r="K1936" s="8">
        <v>139386.6801</v>
      </c>
      <c r="L1936" s="8">
        <v>149610.5619</v>
      </c>
      <c r="M1936" s="9" t="str">
        <f>IF(A1936="",M1937,A1936)</f>
        <v>Iran (Islamic Republic of)</v>
      </c>
      <c r="N1936" s="3" t="str">
        <f t="shared" si="61"/>
        <v>Mar-2021</v>
      </c>
    </row>
    <row r="1937" spans="1:14" x14ac:dyDescent="0.3">
      <c r="A1937" s="3" t="s">
        <v>168</v>
      </c>
      <c r="B1937" s="3" t="s">
        <v>169</v>
      </c>
      <c r="C1937" s="8">
        <v>2021</v>
      </c>
      <c r="D1937" s="8">
        <v>4</v>
      </c>
      <c r="E1937" s="3" t="str">
        <f t="shared" si="60"/>
        <v>April</v>
      </c>
      <c r="F1937" s="3" t="s">
        <v>13</v>
      </c>
      <c r="G1937" s="8">
        <v>37573.725579999998</v>
      </c>
      <c r="H1937" s="8">
        <v>57043</v>
      </c>
      <c r="I1937" s="8">
        <v>19447.33828</v>
      </c>
      <c r="J1937" s="8">
        <v>163856.4161</v>
      </c>
      <c r="K1937" s="8">
        <v>158740.94270000001</v>
      </c>
      <c r="L1937" s="8">
        <v>169031.43599999999</v>
      </c>
      <c r="M1937" s="9" t="str">
        <f>IF(A1937="",M1938,A1937)</f>
        <v>Iran (Islamic Republic of)</v>
      </c>
      <c r="N1937" s="3" t="str">
        <f t="shared" si="61"/>
        <v>Apr-2021</v>
      </c>
    </row>
    <row r="1938" spans="1:14" x14ac:dyDescent="0.3">
      <c r="A1938" s="3" t="s">
        <v>168</v>
      </c>
      <c r="B1938" s="3" t="s">
        <v>169</v>
      </c>
      <c r="C1938" s="8">
        <v>2021</v>
      </c>
      <c r="D1938" s="8">
        <v>5</v>
      </c>
      <c r="E1938" s="3" t="str">
        <f t="shared" si="60"/>
        <v>May</v>
      </c>
      <c r="F1938" s="3" t="s">
        <v>13</v>
      </c>
      <c r="G1938" s="8">
        <v>36448.713259999997</v>
      </c>
      <c r="H1938" s="8">
        <v>54689</v>
      </c>
      <c r="I1938" s="8">
        <v>18218.350600000002</v>
      </c>
      <c r="J1938" s="8">
        <v>182074.76670000001</v>
      </c>
      <c r="K1938" s="8">
        <v>176709.58670000001</v>
      </c>
      <c r="L1938" s="8">
        <v>187424.2954</v>
      </c>
      <c r="M1938" s="9" t="str">
        <f>IF(A1938="",M1939,A1938)</f>
        <v>Iran (Islamic Republic of)</v>
      </c>
      <c r="N1938" s="3" t="str">
        <f t="shared" si="61"/>
        <v>May-2021</v>
      </c>
    </row>
    <row r="1939" spans="1:14" x14ac:dyDescent="0.3">
      <c r="A1939" s="3" t="s">
        <v>168</v>
      </c>
      <c r="B1939" s="3" t="s">
        <v>169</v>
      </c>
      <c r="C1939" s="8">
        <v>2021</v>
      </c>
      <c r="D1939" s="8">
        <v>6</v>
      </c>
      <c r="E1939" s="3" t="str">
        <f t="shared" si="60"/>
        <v>June</v>
      </c>
      <c r="F1939" s="3" t="s">
        <v>13</v>
      </c>
      <c r="G1939" s="8">
        <v>35495.124689999997</v>
      </c>
      <c r="H1939" s="8">
        <v>45131</v>
      </c>
      <c r="I1939" s="8">
        <v>9613.9391680000008</v>
      </c>
      <c r="J1939" s="8">
        <v>191688.7059</v>
      </c>
      <c r="K1939" s="8">
        <v>185990.23439999999</v>
      </c>
      <c r="L1939" s="8">
        <v>197035.59</v>
      </c>
      <c r="M1939" s="9" t="str">
        <f>IF(A1939="",M1940,A1939)</f>
        <v>Iran (Islamic Republic of)</v>
      </c>
      <c r="N1939" s="3" t="str">
        <f t="shared" si="61"/>
        <v>Jun-2021</v>
      </c>
    </row>
    <row r="1940" spans="1:14" x14ac:dyDescent="0.3">
      <c r="A1940" s="3" t="s">
        <v>168</v>
      </c>
      <c r="B1940" s="3" t="s">
        <v>169</v>
      </c>
      <c r="C1940" s="8">
        <v>2021</v>
      </c>
      <c r="D1940" s="8">
        <v>7</v>
      </c>
      <c r="E1940" s="3" t="str">
        <f t="shared" si="60"/>
        <v>July</v>
      </c>
      <c r="F1940" s="3" t="s">
        <v>13</v>
      </c>
      <c r="G1940" s="8">
        <v>37678.34562</v>
      </c>
      <c r="H1940" s="8">
        <v>50642</v>
      </c>
      <c r="I1940" s="8">
        <v>12941.71824</v>
      </c>
      <c r="J1940" s="8">
        <v>204630.42420000001</v>
      </c>
      <c r="K1940" s="8">
        <v>198882.07209999999</v>
      </c>
      <c r="L1940" s="8">
        <v>210231.6207</v>
      </c>
      <c r="M1940" s="9" t="str">
        <f>IF(A1940="",M1941,A1940)</f>
        <v>Iran (Islamic Republic of)</v>
      </c>
      <c r="N1940" s="3" t="str">
        <f t="shared" si="61"/>
        <v>Jul-2021</v>
      </c>
    </row>
    <row r="1941" spans="1:14" x14ac:dyDescent="0.3">
      <c r="A1941" s="3" t="s">
        <v>168</v>
      </c>
      <c r="B1941" s="3" t="s">
        <v>169</v>
      </c>
      <c r="C1941" s="8">
        <v>2021</v>
      </c>
      <c r="D1941" s="8">
        <v>8</v>
      </c>
      <c r="E1941" s="3" t="str">
        <f t="shared" si="60"/>
        <v>August</v>
      </c>
      <c r="F1941" s="3" t="s">
        <v>13</v>
      </c>
      <c r="G1941" s="8">
        <v>36831.578459999997</v>
      </c>
      <c r="H1941" s="8">
        <v>76875</v>
      </c>
      <c r="I1941" s="8">
        <v>40021.485399999998</v>
      </c>
      <c r="J1941" s="8">
        <v>244651.90960000001</v>
      </c>
      <c r="K1941" s="8">
        <v>238828.12450000001</v>
      </c>
      <c r="L1941" s="8">
        <v>250482.46729999999</v>
      </c>
      <c r="M1941" s="9" t="str">
        <f>IF(A1941="",M1942,A1941)</f>
        <v>Iran (Islamic Republic of)</v>
      </c>
      <c r="N1941" s="3" t="str">
        <f t="shared" si="61"/>
        <v>Aug-2021</v>
      </c>
    </row>
    <row r="1942" spans="1:14" x14ac:dyDescent="0.3">
      <c r="A1942" s="3" t="s">
        <v>168</v>
      </c>
      <c r="B1942" s="3" t="s">
        <v>169</v>
      </c>
      <c r="C1942" s="8">
        <v>2021</v>
      </c>
      <c r="D1942" s="8">
        <v>9</v>
      </c>
      <c r="E1942" s="3" t="str">
        <f t="shared" si="60"/>
        <v>September</v>
      </c>
      <c r="F1942" s="3" t="s">
        <v>13</v>
      </c>
      <c r="G1942" s="8">
        <v>35914.058649999999</v>
      </c>
      <c r="H1942" s="8">
        <v>66161</v>
      </c>
      <c r="I1942" s="8">
        <v>30225.005209999999</v>
      </c>
      <c r="J1942" s="8">
        <v>274876.91480000003</v>
      </c>
      <c r="K1942" s="8">
        <v>268966.40480000002</v>
      </c>
      <c r="L1942" s="8">
        <v>281025.63569999998</v>
      </c>
      <c r="M1942" s="9" t="str">
        <f>IF(A1942="",M1943,A1942)</f>
        <v>Iran (Islamic Republic of)</v>
      </c>
      <c r="N1942" s="3" t="str">
        <f t="shared" si="61"/>
        <v>Sep-2021</v>
      </c>
    </row>
    <row r="1943" spans="1:14" x14ac:dyDescent="0.3">
      <c r="A1943" s="3" t="s">
        <v>168</v>
      </c>
      <c r="B1943" s="3" t="s">
        <v>169</v>
      </c>
      <c r="C1943" s="8">
        <v>2021</v>
      </c>
      <c r="D1943" s="8">
        <v>10</v>
      </c>
      <c r="E1943" s="3" t="str">
        <f t="shared" si="60"/>
        <v>October</v>
      </c>
      <c r="F1943" s="3" t="s">
        <v>13</v>
      </c>
      <c r="G1943" s="8">
        <v>37782.402600000001</v>
      </c>
      <c r="H1943" s="8">
        <v>52813</v>
      </c>
      <c r="I1943" s="8">
        <v>15008.661260000001</v>
      </c>
      <c r="J1943" s="8">
        <v>289885.576</v>
      </c>
      <c r="K1943" s="8">
        <v>283701.5821</v>
      </c>
      <c r="L1943" s="8">
        <v>295927.11849999998</v>
      </c>
      <c r="M1943" s="9" t="str">
        <f>IF(A1943="",M1944,A1943)</f>
        <v>Iran (Islamic Republic of)</v>
      </c>
      <c r="N1943" s="3" t="str">
        <f t="shared" si="61"/>
        <v>Oct-2021</v>
      </c>
    </row>
    <row r="1944" spans="1:14" x14ac:dyDescent="0.3">
      <c r="A1944" s="3" t="s">
        <v>168</v>
      </c>
      <c r="B1944" s="3" t="s">
        <v>169</v>
      </c>
      <c r="C1944" s="8">
        <v>2021</v>
      </c>
      <c r="D1944" s="8">
        <v>11</v>
      </c>
      <c r="E1944" s="3" t="str">
        <f t="shared" si="60"/>
        <v>November</v>
      </c>
      <c r="F1944" s="3" t="s">
        <v>13</v>
      </c>
      <c r="G1944" s="8">
        <v>39965.904869999998</v>
      </c>
      <c r="H1944" s="8">
        <v>45749</v>
      </c>
      <c r="I1944" s="8">
        <v>5761.1589940000003</v>
      </c>
      <c r="J1944" s="8">
        <v>295646.73499999999</v>
      </c>
      <c r="K1944" s="8">
        <v>289654.72379999998</v>
      </c>
      <c r="L1944" s="8">
        <v>301932.19819999998</v>
      </c>
      <c r="M1944" s="9" t="str">
        <f>IF(A1944="",M1945,A1944)</f>
        <v>Iran (Islamic Republic of)</v>
      </c>
      <c r="N1944" s="3" t="str">
        <f t="shared" si="61"/>
        <v>Nov-2021</v>
      </c>
    </row>
    <row r="1945" spans="1:14" x14ac:dyDescent="0.3">
      <c r="A1945" s="3" t="s">
        <v>168</v>
      </c>
      <c r="B1945" s="3" t="s">
        <v>169</v>
      </c>
      <c r="C1945" s="8">
        <v>2021</v>
      </c>
      <c r="D1945" s="8">
        <v>12</v>
      </c>
      <c r="E1945" s="3" t="str">
        <f t="shared" si="60"/>
        <v>December</v>
      </c>
      <c r="F1945" s="3" t="s">
        <v>13</v>
      </c>
      <c r="G1945" s="8">
        <v>43452.435740000001</v>
      </c>
      <c r="H1945" s="8">
        <v>43360</v>
      </c>
      <c r="I1945" s="8">
        <v>-114.3718756</v>
      </c>
      <c r="J1945" s="8">
        <v>295532.36310000002</v>
      </c>
      <c r="K1945" s="8">
        <v>289299.61959999998</v>
      </c>
      <c r="L1945" s="8">
        <v>301922.02370000002</v>
      </c>
      <c r="M1945" s="9" t="str">
        <f>IF(A1945="",M1946,A1945)</f>
        <v>Iran (Islamic Republic of)</v>
      </c>
      <c r="N1945" s="3" t="str">
        <f t="shared" si="61"/>
        <v>Dec-2021</v>
      </c>
    </row>
    <row r="1946" spans="1:14" x14ac:dyDescent="0.3">
      <c r="A1946" s="3" t="s">
        <v>170</v>
      </c>
      <c r="B1946" s="3" t="s">
        <v>171</v>
      </c>
      <c r="C1946" s="8">
        <v>2020</v>
      </c>
      <c r="D1946" s="8">
        <v>1</v>
      </c>
      <c r="E1946" s="3" t="str">
        <f t="shared" si="60"/>
        <v>January</v>
      </c>
      <c r="F1946" s="3" t="s">
        <v>13</v>
      </c>
      <c r="G1946" s="8">
        <v>11819.96091</v>
      </c>
      <c r="H1946" s="8">
        <v>11228</v>
      </c>
      <c r="I1946" s="8">
        <v>-821.96090990000005</v>
      </c>
      <c r="J1946" s="8">
        <v>-821.96090990000005</v>
      </c>
      <c r="K1946" s="8">
        <v>-1421.6375310000001</v>
      </c>
      <c r="L1946" s="8">
        <v>-240.40295850000001</v>
      </c>
      <c r="M1946" s="9" t="str">
        <f>IF(A1946="",M1947,A1946)</f>
        <v>Iraq</v>
      </c>
      <c r="N1946" s="3" t="str">
        <f t="shared" si="61"/>
        <v>Jan-2020</v>
      </c>
    </row>
    <row r="1947" spans="1:14" x14ac:dyDescent="0.3">
      <c r="A1947" s="3" t="s">
        <v>170</v>
      </c>
      <c r="B1947" s="3" t="s">
        <v>171</v>
      </c>
      <c r="C1947" s="8">
        <v>2020</v>
      </c>
      <c r="D1947" s="8">
        <v>2</v>
      </c>
      <c r="E1947" s="3" t="str">
        <f t="shared" si="60"/>
        <v>February</v>
      </c>
      <c r="F1947" s="3" t="s">
        <v>13</v>
      </c>
      <c r="G1947" s="8">
        <v>10050.04442</v>
      </c>
      <c r="H1947" s="8">
        <v>10177</v>
      </c>
      <c r="I1947" s="8">
        <v>-103.04442040000001</v>
      </c>
      <c r="J1947" s="8">
        <v>-925.00533029999997</v>
      </c>
      <c r="K1947" s="8">
        <v>-1835.5604900000001</v>
      </c>
      <c r="L1947" s="8">
        <v>-41.088109639999999</v>
      </c>
      <c r="M1947" s="9" t="str">
        <f>IF(A1947="",M1948,A1947)</f>
        <v>Iraq</v>
      </c>
      <c r="N1947" s="3" t="str">
        <f t="shared" si="61"/>
        <v>Feb-2020</v>
      </c>
    </row>
    <row r="1948" spans="1:14" x14ac:dyDescent="0.3">
      <c r="A1948" s="3" t="s">
        <v>170</v>
      </c>
      <c r="B1948" s="3" t="s">
        <v>171</v>
      </c>
      <c r="C1948" s="8">
        <v>2020</v>
      </c>
      <c r="D1948" s="8">
        <v>3</v>
      </c>
      <c r="E1948" s="3" t="str">
        <f t="shared" si="60"/>
        <v>March</v>
      </c>
      <c r="F1948" s="3" t="s">
        <v>13</v>
      </c>
      <c r="G1948" s="8">
        <v>9699.2659149999999</v>
      </c>
      <c r="H1948" s="8">
        <v>9571</v>
      </c>
      <c r="I1948" s="8">
        <v>-358.26591450000001</v>
      </c>
      <c r="J1948" s="8">
        <v>-1283.2712449999999</v>
      </c>
      <c r="K1948" s="8">
        <v>-2394.6351380000001</v>
      </c>
      <c r="L1948" s="8">
        <v>-216.59505849999999</v>
      </c>
      <c r="M1948" s="9" t="str">
        <f>IF(A1948="",M1949,A1948)</f>
        <v>Iraq</v>
      </c>
      <c r="N1948" s="3" t="str">
        <f t="shared" si="61"/>
        <v>Mar-2020</v>
      </c>
    </row>
    <row r="1949" spans="1:14" x14ac:dyDescent="0.3">
      <c r="A1949" s="3" t="s">
        <v>170</v>
      </c>
      <c r="B1949" s="3" t="s">
        <v>171</v>
      </c>
      <c r="C1949" s="8">
        <v>2020</v>
      </c>
      <c r="D1949" s="8">
        <v>4</v>
      </c>
      <c r="E1949" s="3" t="str">
        <f t="shared" si="60"/>
        <v>April</v>
      </c>
      <c r="F1949" s="3" t="s">
        <v>13</v>
      </c>
      <c r="G1949" s="8">
        <v>9638.0865450000001</v>
      </c>
      <c r="H1949" s="8">
        <v>8734</v>
      </c>
      <c r="I1949" s="8">
        <v>-1134.0865449999999</v>
      </c>
      <c r="J1949" s="8">
        <v>-2417.3577890000001</v>
      </c>
      <c r="K1949" s="8">
        <v>-3680.3771400000001</v>
      </c>
      <c r="L1949" s="8">
        <v>-1167.301481</v>
      </c>
      <c r="M1949" s="9" t="str">
        <f>IF(A1949="",M1950,A1949)</f>
        <v>Iraq</v>
      </c>
      <c r="N1949" s="3" t="str">
        <f t="shared" si="61"/>
        <v>Apr-2020</v>
      </c>
    </row>
    <row r="1950" spans="1:14" x14ac:dyDescent="0.3">
      <c r="A1950" s="3" t="s">
        <v>170</v>
      </c>
      <c r="B1950" s="3" t="s">
        <v>171</v>
      </c>
      <c r="C1950" s="8">
        <v>2020</v>
      </c>
      <c r="D1950" s="8">
        <v>5</v>
      </c>
      <c r="E1950" s="3" t="str">
        <f t="shared" si="60"/>
        <v>May</v>
      </c>
      <c r="F1950" s="3" t="s">
        <v>13</v>
      </c>
      <c r="G1950" s="8">
        <v>9579.4819669999997</v>
      </c>
      <c r="H1950" s="8">
        <v>9409</v>
      </c>
      <c r="I1950" s="8">
        <v>-400.48196689999997</v>
      </c>
      <c r="J1950" s="8">
        <v>-2817.8397559999999</v>
      </c>
      <c r="K1950" s="8">
        <v>-4285.9093089999997</v>
      </c>
      <c r="L1950" s="8">
        <v>-1479.455741</v>
      </c>
      <c r="M1950" s="9" t="str">
        <f>IF(A1950="",M1951,A1950)</f>
        <v>Iraq</v>
      </c>
      <c r="N1950" s="3" t="str">
        <f t="shared" si="61"/>
        <v>May-2020</v>
      </c>
    </row>
    <row r="1951" spans="1:14" x14ac:dyDescent="0.3">
      <c r="A1951" s="3" t="s">
        <v>170</v>
      </c>
      <c r="B1951" s="3" t="s">
        <v>171</v>
      </c>
      <c r="C1951" s="8">
        <v>2020</v>
      </c>
      <c r="D1951" s="8">
        <v>6</v>
      </c>
      <c r="E1951" s="3" t="str">
        <f t="shared" si="60"/>
        <v>June</v>
      </c>
      <c r="F1951" s="3" t="s">
        <v>13</v>
      </c>
      <c r="G1951" s="8">
        <v>9393.1909360000009</v>
      </c>
      <c r="H1951" s="8">
        <v>14100</v>
      </c>
      <c r="I1951" s="8">
        <v>4476.809064</v>
      </c>
      <c r="J1951" s="8">
        <v>1658.969308</v>
      </c>
      <c r="K1951" s="8">
        <v>145.75092169999999</v>
      </c>
      <c r="L1951" s="8">
        <v>3113.2743829999999</v>
      </c>
      <c r="M1951" s="9" t="str">
        <f>IF(A1951="",M1952,A1951)</f>
        <v>Iraq</v>
      </c>
      <c r="N1951" s="3" t="str">
        <f t="shared" si="61"/>
        <v>Jun-2020</v>
      </c>
    </row>
    <row r="1952" spans="1:14" x14ac:dyDescent="0.3">
      <c r="A1952" s="3" t="s">
        <v>170</v>
      </c>
      <c r="B1952" s="3" t="s">
        <v>171</v>
      </c>
      <c r="C1952" s="8">
        <v>2020</v>
      </c>
      <c r="D1952" s="8">
        <v>7</v>
      </c>
      <c r="E1952" s="3" t="str">
        <f t="shared" si="60"/>
        <v>July</v>
      </c>
      <c r="F1952" s="3" t="s">
        <v>13</v>
      </c>
      <c r="G1952" s="8">
        <v>9593.5270729999993</v>
      </c>
      <c r="H1952" s="8">
        <v>18215</v>
      </c>
      <c r="I1952" s="8">
        <v>8391.4729270000007</v>
      </c>
      <c r="J1952" s="8">
        <v>10050.442230000001</v>
      </c>
      <c r="K1952" s="8">
        <v>8314.8136699999995</v>
      </c>
      <c r="L1952" s="8">
        <v>11659.920480000001</v>
      </c>
      <c r="M1952" s="9" t="str">
        <f>IF(A1952="",M1953,A1952)</f>
        <v>Iraq</v>
      </c>
      <c r="N1952" s="3" t="str">
        <f t="shared" si="61"/>
        <v>Jul-2020</v>
      </c>
    </row>
    <row r="1953" spans="1:14" x14ac:dyDescent="0.3">
      <c r="A1953" s="3" t="s">
        <v>170</v>
      </c>
      <c r="B1953" s="3" t="s">
        <v>171</v>
      </c>
      <c r="C1953" s="8">
        <v>2020</v>
      </c>
      <c r="D1953" s="8">
        <v>8</v>
      </c>
      <c r="E1953" s="3" t="str">
        <f t="shared" si="60"/>
        <v>August</v>
      </c>
      <c r="F1953" s="3" t="s">
        <v>13</v>
      </c>
      <c r="G1953" s="8">
        <v>9529.8355150000007</v>
      </c>
      <c r="H1953" s="8">
        <v>16761</v>
      </c>
      <c r="I1953" s="8">
        <v>7001.1644850000002</v>
      </c>
      <c r="J1953" s="8">
        <v>17051.60672</v>
      </c>
      <c r="K1953" s="8">
        <v>15153.76332</v>
      </c>
      <c r="L1953" s="8">
        <v>18863.575290000001</v>
      </c>
      <c r="M1953" s="9" t="str">
        <f>IF(A1953="",M1954,A1953)</f>
        <v>Iraq</v>
      </c>
      <c r="N1953" s="3" t="str">
        <f t="shared" si="61"/>
        <v>Aug-2020</v>
      </c>
    </row>
    <row r="1954" spans="1:14" x14ac:dyDescent="0.3">
      <c r="A1954" s="3" t="s">
        <v>170</v>
      </c>
      <c r="B1954" s="3" t="s">
        <v>171</v>
      </c>
      <c r="C1954" s="8">
        <v>2020</v>
      </c>
      <c r="D1954" s="8">
        <v>9</v>
      </c>
      <c r="E1954" s="3" t="str">
        <f t="shared" si="60"/>
        <v>September</v>
      </c>
      <c r="F1954" s="3" t="s">
        <v>13</v>
      </c>
      <c r="G1954" s="8">
        <v>9349.4344000000001</v>
      </c>
      <c r="H1954" s="8">
        <v>15524</v>
      </c>
      <c r="I1954" s="8">
        <v>5944.5655999999999</v>
      </c>
      <c r="J1954" s="8">
        <v>22996.172320000001</v>
      </c>
      <c r="K1954" s="8">
        <v>20971.15711</v>
      </c>
      <c r="L1954" s="8">
        <v>24868.352879999999</v>
      </c>
      <c r="M1954" s="9" t="str">
        <f>IF(A1954="",M1955,A1954)</f>
        <v>Iraq</v>
      </c>
      <c r="N1954" s="3" t="str">
        <f t="shared" si="61"/>
        <v>Sep-2020</v>
      </c>
    </row>
    <row r="1955" spans="1:14" x14ac:dyDescent="0.3">
      <c r="A1955" s="3" t="s">
        <v>170</v>
      </c>
      <c r="B1955" s="3" t="s">
        <v>171</v>
      </c>
      <c r="C1955" s="8">
        <v>2020</v>
      </c>
      <c r="D1955" s="8">
        <v>10</v>
      </c>
      <c r="E1955" s="3" t="str">
        <f t="shared" si="60"/>
        <v>October</v>
      </c>
      <c r="F1955" s="3" t="s">
        <v>13</v>
      </c>
      <c r="G1955" s="8">
        <v>10026.250840000001</v>
      </c>
      <c r="H1955" s="8">
        <v>14152</v>
      </c>
      <c r="I1955" s="8">
        <v>3895.7491580000001</v>
      </c>
      <c r="J1955" s="8">
        <v>26891.921480000001</v>
      </c>
      <c r="K1955" s="8">
        <v>24783.897099999998</v>
      </c>
      <c r="L1955" s="8">
        <v>28875.4758</v>
      </c>
      <c r="M1955" s="9" t="str">
        <f>IF(A1955="",M1956,A1955)</f>
        <v>Iraq</v>
      </c>
      <c r="N1955" s="3" t="str">
        <f t="shared" si="61"/>
        <v>Oct-2020</v>
      </c>
    </row>
    <row r="1956" spans="1:14" x14ac:dyDescent="0.3">
      <c r="A1956" s="3" t="s">
        <v>170</v>
      </c>
      <c r="B1956" s="3" t="s">
        <v>171</v>
      </c>
      <c r="C1956" s="8">
        <v>2020</v>
      </c>
      <c r="D1956" s="8">
        <v>11</v>
      </c>
      <c r="E1956" s="3" t="str">
        <f t="shared" si="60"/>
        <v>November</v>
      </c>
      <c r="F1956" s="3" t="s">
        <v>13</v>
      </c>
      <c r="G1956" s="8">
        <v>11318.6916</v>
      </c>
      <c r="H1956" s="8">
        <v>12772</v>
      </c>
      <c r="I1956" s="8">
        <v>1223.308401</v>
      </c>
      <c r="J1956" s="8">
        <v>28115.229879999999</v>
      </c>
      <c r="K1956" s="8">
        <v>25977.584709999999</v>
      </c>
      <c r="L1956" s="8">
        <v>30215.984329999999</v>
      </c>
      <c r="M1956" s="9" t="str">
        <f>IF(A1956="",M1957,A1956)</f>
        <v>Iraq</v>
      </c>
      <c r="N1956" s="3" t="str">
        <f t="shared" si="61"/>
        <v>Nov-2020</v>
      </c>
    </row>
    <row r="1957" spans="1:14" x14ac:dyDescent="0.3">
      <c r="A1957" s="3" t="s">
        <v>170</v>
      </c>
      <c r="B1957" s="3" t="s">
        <v>171</v>
      </c>
      <c r="C1957" s="8">
        <v>2020</v>
      </c>
      <c r="D1957" s="8">
        <v>12</v>
      </c>
      <c r="E1957" s="3" t="str">
        <f t="shared" si="60"/>
        <v>December</v>
      </c>
      <c r="F1957" s="3" t="s">
        <v>13</v>
      </c>
      <c r="G1957" s="8">
        <v>12017.646070000001</v>
      </c>
      <c r="H1957" s="8">
        <v>12258</v>
      </c>
      <c r="I1957" s="8">
        <v>10.35392671</v>
      </c>
      <c r="J1957" s="8">
        <v>28125.58381</v>
      </c>
      <c r="K1957" s="8">
        <v>25723.07617</v>
      </c>
      <c r="L1957" s="8">
        <v>30366.294310000001</v>
      </c>
      <c r="M1957" s="9" t="str">
        <f>IF(A1957="",M1958,A1957)</f>
        <v>Iraq</v>
      </c>
      <c r="N1957" s="3" t="str">
        <f t="shared" si="61"/>
        <v>Dec-2020</v>
      </c>
    </row>
    <row r="1958" spans="1:14" x14ac:dyDescent="0.3">
      <c r="A1958" s="3" t="s">
        <v>170</v>
      </c>
      <c r="B1958" s="3" t="s">
        <v>171</v>
      </c>
      <c r="C1958" s="8">
        <v>2021</v>
      </c>
      <c r="D1958" s="8">
        <v>1</v>
      </c>
      <c r="E1958" s="3" t="str">
        <f t="shared" si="60"/>
        <v>January</v>
      </c>
      <c r="F1958" s="3" t="s">
        <v>8</v>
      </c>
      <c r="G1958" s="8">
        <v>12019.202719999999</v>
      </c>
      <c r="H1958" s="8">
        <v>12449.418</v>
      </c>
      <c r="I1958" s="8">
        <v>202.13194340000001</v>
      </c>
      <c r="J1958" s="8">
        <v>28327.715749999999</v>
      </c>
      <c r="K1958" s="8">
        <v>24302.671160000002</v>
      </c>
      <c r="L1958" s="8">
        <v>32788.608659999998</v>
      </c>
      <c r="M1958" s="9" t="str">
        <f>IF(A1958="",M1959,A1958)</f>
        <v>Iraq</v>
      </c>
      <c r="N1958" s="3" t="str">
        <f t="shared" si="61"/>
        <v>Jan-2021</v>
      </c>
    </row>
    <row r="1959" spans="1:14" x14ac:dyDescent="0.3">
      <c r="A1959" s="3" t="s">
        <v>170</v>
      </c>
      <c r="B1959" s="3" t="s">
        <v>171</v>
      </c>
      <c r="C1959" s="8">
        <v>2021</v>
      </c>
      <c r="D1959" s="8">
        <v>2</v>
      </c>
      <c r="E1959" s="3" t="str">
        <f t="shared" si="60"/>
        <v>February</v>
      </c>
      <c r="F1959" s="3" t="s">
        <v>8</v>
      </c>
      <c r="G1959" s="8">
        <v>10212.72293</v>
      </c>
      <c r="H1959" s="8">
        <v>10776.539000000001</v>
      </c>
      <c r="I1959" s="8">
        <v>335.7327411</v>
      </c>
      <c r="J1959" s="8">
        <v>28663.448489999999</v>
      </c>
      <c r="K1959" s="8">
        <v>23491.076430000001</v>
      </c>
      <c r="L1959" s="8">
        <v>34405.322529999998</v>
      </c>
      <c r="M1959" s="9" t="str">
        <f>IF(A1959="",M1960,A1959)</f>
        <v>Iraq</v>
      </c>
      <c r="N1959" s="3" t="str">
        <f t="shared" si="61"/>
        <v>Feb-2021</v>
      </c>
    </row>
    <row r="1960" spans="1:14" x14ac:dyDescent="0.3">
      <c r="A1960" s="3" t="s">
        <v>170</v>
      </c>
      <c r="B1960" s="3" t="s">
        <v>171</v>
      </c>
      <c r="C1960" s="8">
        <v>2021</v>
      </c>
      <c r="D1960" s="8">
        <v>3</v>
      </c>
      <c r="E1960" s="3" t="str">
        <f t="shared" si="60"/>
        <v>March</v>
      </c>
      <c r="F1960" s="3" t="s">
        <v>8</v>
      </c>
      <c r="G1960" s="8">
        <v>9871.6331580000005</v>
      </c>
      <c r="H1960" s="8">
        <v>11237.615</v>
      </c>
      <c r="I1960" s="8">
        <v>1137.898508</v>
      </c>
      <c r="J1960" s="8">
        <v>29801.347000000002</v>
      </c>
      <c r="K1960" s="8">
        <v>23418.800920000001</v>
      </c>
      <c r="L1960" s="8">
        <v>36995.127460000003</v>
      </c>
      <c r="M1960" s="9" t="str">
        <f>IF(A1960="",M1961,A1960)</f>
        <v>Iraq</v>
      </c>
      <c r="N1960" s="3" t="str">
        <f t="shared" si="61"/>
        <v>Mar-2021</v>
      </c>
    </row>
    <row r="1961" spans="1:14" x14ac:dyDescent="0.3">
      <c r="A1961" s="3" t="s">
        <v>170</v>
      </c>
      <c r="B1961" s="3" t="s">
        <v>171</v>
      </c>
      <c r="C1961" s="8">
        <v>2021</v>
      </c>
      <c r="D1961" s="8">
        <v>4</v>
      </c>
      <c r="E1961" s="3" t="str">
        <f t="shared" si="60"/>
        <v>April</v>
      </c>
      <c r="F1961" s="3" t="s">
        <v>8</v>
      </c>
      <c r="G1961" s="8">
        <v>9834.764948</v>
      </c>
      <c r="H1961" s="8">
        <v>11677.986999999999</v>
      </c>
      <c r="I1961" s="8">
        <v>1615.138719</v>
      </c>
      <c r="J1961" s="8">
        <v>31416.485720000001</v>
      </c>
      <c r="K1961" s="8">
        <v>24226.337490000002</v>
      </c>
      <c r="L1961" s="8">
        <v>39289.444219999998</v>
      </c>
      <c r="M1961" s="9" t="str">
        <f>IF(A1961="",M1962,A1961)</f>
        <v>Iraq</v>
      </c>
      <c r="N1961" s="3" t="str">
        <f t="shared" si="61"/>
        <v>Apr-2021</v>
      </c>
    </row>
    <row r="1962" spans="1:14" x14ac:dyDescent="0.3">
      <c r="A1962" s="3" t="s">
        <v>170</v>
      </c>
      <c r="B1962" s="3" t="s">
        <v>171</v>
      </c>
      <c r="C1962" s="8">
        <v>2021</v>
      </c>
      <c r="D1962" s="8">
        <v>5</v>
      </c>
      <c r="E1962" s="3" t="str">
        <f t="shared" si="60"/>
        <v>May</v>
      </c>
      <c r="F1962" s="3" t="s">
        <v>8</v>
      </c>
      <c r="G1962" s="8">
        <v>9741.879723</v>
      </c>
      <c r="H1962" s="8">
        <v>11280.208000000001</v>
      </c>
      <c r="I1962" s="8">
        <v>1310.244944</v>
      </c>
      <c r="J1962" s="8">
        <v>32726.730660000001</v>
      </c>
      <c r="K1962" s="8">
        <v>24652.4594</v>
      </c>
      <c r="L1962" s="8">
        <v>41306.178780000002</v>
      </c>
      <c r="M1962" s="9" t="str">
        <f>IF(A1962="",M1963,A1962)</f>
        <v>Iraq</v>
      </c>
      <c r="N1962" s="3" t="str">
        <f t="shared" si="61"/>
        <v>May-2021</v>
      </c>
    </row>
    <row r="1963" spans="1:14" x14ac:dyDescent="0.3">
      <c r="A1963" s="3" t="s">
        <v>170</v>
      </c>
      <c r="B1963" s="3" t="s">
        <v>171</v>
      </c>
      <c r="C1963" s="8">
        <v>2021</v>
      </c>
      <c r="D1963" s="8">
        <v>6</v>
      </c>
      <c r="E1963" s="3" t="str">
        <f t="shared" si="60"/>
        <v>June</v>
      </c>
      <c r="F1963" s="3" t="s">
        <v>8</v>
      </c>
      <c r="G1963" s="8">
        <v>9541.2265540000008</v>
      </c>
      <c r="H1963" s="8">
        <v>11101.121999999999</v>
      </c>
      <c r="I1963" s="8">
        <v>1331.812113</v>
      </c>
      <c r="J1963" s="8">
        <v>34058.54277</v>
      </c>
      <c r="K1963" s="8">
        <v>25063.002779999999</v>
      </c>
      <c r="L1963" s="8">
        <v>43894.658869999999</v>
      </c>
      <c r="M1963" s="9" t="str">
        <f>IF(A1963="",M1964,A1963)</f>
        <v>Iraq</v>
      </c>
      <c r="N1963" s="3" t="str">
        <f t="shared" si="61"/>
        <v>Jun-2021</v>
      </c>
    </row>
    <row r="1964" spans="1:14" x14ac:dyDescent="0.3">
      <c r="A1964" s="3" t="s">
        <v>170</v>
      </c>
      <c r="B1964" s="3" t="s">
        <v>171</v>
      </c>
      <c r="C1964" s="8">
        <v>2021</v>
      </c>
      <c r="D1964" s="8">
        <v>7</v>
      </c>
      <c r="E1964" s="3" t="str">
        <f t="shared" si="60"/>
        <v>July</v>
      </c>
      <c r="F1964" s="3" t="s">
        <v>8</v>
      </c>
      <c r="G1964" s="8">
        <v>9736.5719150000004</v>
      </c>
      <c r="H1964" s="8">
        <v>12477.696</v>
      </c>
      <c r="I1964" s="8">
        <v>2513.040751</v>
      </c>
      <c r="J1964" s="8">
        <v>36571.583530000004</v>
      </c>
      <c r="K1964" s="8">
        <v>26266.416669999999</v>
      </c>
      <c r="L1964" s="8">
        <v>46889.173329999998</v>
      </c>
      <c r="M1964" s="9" t="str">
        <f>IF(A1964="",M1965,A1964)</f>
        <v>Iraq</v>
      </c>
      <c r="N1964" s="3" t="str">
        <f t="shared" si="61"/>
        <v>Jul-2021</v>
      </c>
    </row>
    <row r="1965" spans="1:14" x14ac:dyDescent="0.3">
      <c r="A1965" s="3" t="s">
        <v>170</v>
      </c>
      <c r="B1965" s="3" t="s">
        <v>171</v>
      </c>
      <c r="C1965" s="8">
        <v>2021</v>
      </c>
      <c r="D1965" s="8">
        <v>8</v>
      </c>
      <c r="E1965" s="3" t="str">
        <f t="shared" si="60"/>
        <v>August</v>
      </c>
      <c r="F1965" s="3" t="s">
        <v>8</v>
      </c>
      <c r="G1965" s="8">
        <v>9669.8467299999993</v>
      </c>
      <c r="H1965" s="8">
        <v>13123.441000000001</v>
      </c>
      <c r="I1965" s="8">
        <v>3225.510937</v>
      </c>
      <c r="J1965" s="8">
        <v>39797.09446</v>
      </c>
      <c r="K1965" s="8">
        <v>28519.40108</v>
      </c>
      <c r="L1965" s="8">
        <v>50981.124980000001</v>
      </c>
      <c r="M1965" s="9" t="str">
        <f>IF(A1965="",M1966,A1965)</f>
        <v>Iraq</v>
      </c>
      <c r="N1965" s="3" t="str">
        <f t="shared" si="61"/>
        <v>Aug-2021</v>
      </c>
    </row>
    <row r="1966" spans="1:14" x14ac:dyDescent="0.3">
      <c r="A1966" s="3" t="s">
        <v>170</v>
      </c>
      <c r="B1966" s="3" t="s">
        <v>171</v>
      </c>
      <c r="C1966" s="8">
        <v>2021</v>
      </c>
      <c r="D1966" s="8">
        <v>9</v>
      </c>
      <c r="E1966" s="3" t="str">
        <f t="shared" si="60"/>
        <v>September</v>
      </c>
      <c r="F1966" s="3" t="s">
        <v>8</v>
      </c>
      <c r="G1966" s="8">
        <v>9500.2977570000003</v>
      </c>
      <c r="H1966" s="8">
        <v>11580.17</v>
      </c>
      <c r="I1966" s="8">
        <v>1851.78891</v>
      </c>
      <c r="J1966" s="8">
        <v>41648.883370000003</v>
      </c>
      <c r="K1966" s="8">
        <v>29697.754730000001</v>
      </c>
      <c r="L1966" s="8">
        <v>54053.220300000001</v>
      </c>
      <c r="M1966" s="9" t="str">
        <f>IF(A1966="",M1967,A1966)</f>
        <v>Iraq</v>
      </c>
      <c r="N1966" s="3" t="str">
        <f t="shared" si="61"/>
        <v>Sep-2021</v>
      </c>
    </row>
    <row r="1967" spans="1:14" x14ac:dyDescent="0.3">
      <c r="A1967" s="3" t="s">
        <v>170</v>
      </c>
      <c r="B1967" s="3" t="s">
        <v>171</v>
      </c>
      <c r="C1967" s="8">
        <v>2021</v>
      </c>
      <c r="D1967" s="8">
        <v>10</v>
      </c>
      <c r="E1967" s="3" t="str">
        <f t="shared" si="60"/>
        <v>October</v>
      </c>
      <c r="F1967" s="3" t="s">
        <v>8</v>
      </c>
      <c r="G1967" s="8">
        <v>10199.41725</v>
      </c>
      <c r="H1967" s="8">
        <v>11516.198</v>
      </c>
      <c r="I1967" s="8">
        <v>1088.697418</v>
      </c>
      <c r="J1967" s="8">
        <v>42737.58079</v>
      </c>
      <c r="K1967" s="8">
        <v>29527.91044</v>
      </c>
      <c r="L1967" s="8">
        <v>55788.874510000001</v>
      </c>
      <c r="M1967" s="9" t="str">
        <f>IF(A1967="",M1968,A1967)</f>
        <v>Iraq</v>
      </c>
      <c r="N1967" s="3" t="str">
        <f t="shared" si="61"/>
        <v>Oct-2021</v>
      </c>
    </row>
    <row r="1968" spans="1:14" x14ac:dyDescent="0.3">
      <c r="A1968" s="3" t="s">
        <v>170</v>
      </c>
      <c r="B1968" s="3" t="s">
        <v>171</v>
      </c>
      <c r="C1968" s="8">
        <v>2021</v>
      </c>
      <c r="D1968" s="8">
        <v>11</v>
      </c>
      <c r="E1968" s="3" t="str">
        <f t="shared" si="60"/>
        <v>November</v>
      </c>
      <c r="F1968" s="3" t="s">
        <v>8</v>
      </c>
      <c r="G1968" s="8">
        <v>11510.325199999999</v>
      </c>
      <c r="H1968" s="8">
        <v>12810.691000000001</v>
      </c>
      <c r="I1968" s="8">
        <v>1072.282471</v>
      </c>
      <c r="J1968" s="8">
        <v>43809.863259999998</v>
      </c>
      <c r="K1968" s="8">
        <v>29256.937389999999</v>
      </c>
      <c r="L1968" s="8">
        <v>57845.972800000003</v>
      </c>
      <c r="M1968" s="9" t="str">
        <f>IF(A1968="",M1969,A1968)</f>
        <v>Iraq</v>
      </c>
      <c r="N1968" s="3" t="str">
        <f t="shared" si="61"/>
        <v>Nov-2021</v>
      </c>
    </row>
    <row r="1969" spans="1:14" x14ac:dyDescent="0.3">
      <c r="A1969" s="3" t="s">
        <v>170</v>
      </c>
      <c r="B1969" s="3" t="s">
        <v>171</v>
      </c>
      <c r="C1969" s="8">
        <v>2021</v>
      </c>
      <c r="D1969" s="8">
        <v>12</v>
      </c>
      <c r="E1969" s="3" t="str">
        <f t="shared" si="60"/>
        <v>December</v>
      </c>
      <c r="F1969" s="3" t="s">
        <v>8</v>
      </c>
      <c r="G1969" s="8">
        <v>12190.263660000001</v>
      </c>
      <c r="H1969" s="8">
        <v>13455.53</v>
      </c>
      <c r="I1969" s="8">
        <v>1037.183004</v>
      </c>
      <c r="J1969" s="8">
        <v>44847.046269999999</v>
      </c>
      <c r="K1969" s="8">
        <v>29079.51455</v>
      </c>
      <c r="L1969" s="8">
        <v>60101.019359999998</v>
      </c>
      <c r="M1969" s="9" t="str">
        <f>IF(A1969="",M1970,A1969)</f>
        <v>Iraq</v>
      </c>
      <c r="N1969" s="3" t="str">
        <f t="shared" si="61"/>
        <v>Dec-2021</v>
      </c>
    </row>
    <row r="1970" spans="1:14" x14ac:dyDescent="0.3">
      <c r="A1970" s="3" t="s">
        <v>172</v>
      </c>
      <c r="B1970" s="3" t="s">
        <v>173</v>
      </c>
      <c r="C1970" s="8">
        <v>2020</v>
      </c>
      <c r="D1970" s="8">
        <v>1</v>
      </c>
      <c r="E1970" s="3" t="str">
        <f t="shared" si="60"/>
        <v>January</v>
      </c>
      <c r="F1970" s="3" t="s">
        <v>13</v>
      </c>
      <c r="G1970" s="8">
        <v>193.84464070000001</v>
      </c>
      <c r="H1970" s="8">
        <v>231</v>
      </c>
      <c r="I1970" s="8">
        <v>36.905359349999998</v>
      </c>
      <c r="J1970" s="8">
        <v>36.905359349999998</v>
      </c>
      <c r="K1970" s="8">
        <v>28.340648980000001</v>
      </c>
      <c r="L1970" s="8">
        <v>45.431195789999997</v>
      </c>
      <c r="M1970" s="9" t="str">
        <f>IF(A1970="",M1971,A1970)</f>
        <v>Iceland</v>
      </c>
      <c r="N1970" s="3" t="str">
        <f t="shared" si="61"/>
        <v>Jan-2020</v>
      </c>
    </row>
    <row r="1971" spans="1:14" x14ac:dyDescent="0.3">
      <c r="A1971" s="3" t="s">
        <v>172</v>
      </c>
      <c r="B1971" s="3" t="s">
        <v>173</v>
      </c>
      <c r="C1971" s="8">
        <v>2020</v>
      </c>
      <c r="D1971" s="8">
        <v>2</v>
      </c>
      <c r="E1971" s="3" t="str">
        <f t="shared" si="60"/>
        <v>February</v>
      </c>
      <c r="F1971" s="3" t="s">
        <v>13</v>
      </c>
      <c r="G1971" s="8">
        <v>194.8032858</v>
      </c>
      <c r="H1971" s="8">
        <v>192</v>
      </c>
      <c r="I1971" s="8">
        <v>-3.0532857940000002</v>
      </c>
      <c r="J1971" s="8">
        <v>33.85207355</v>
      </c>
      <c r="K1971" s="8">
        <v>22.234109</v>
      </c>
      <c r="L1971" s="8">
        <v>45.097722660000002</v>
      </c>
      <c r="M1971" s="9" t="str">
        <f>IF(A1971="",M1972,A1971)</f>
        <v>Iceland</v>
      </c>
      <c r="N1971" s="3" t="str">
        <f t="shared" si="61"/>
        <v>Feb-2020</v>
      </c>
    </row>
    <row r="1972" spans="1:14" x14ac:dyDescent="0.3">
      <c r="A1972" s="3" t="s">
        <v>172</v>
      </c>
      <c r="B1972" s="3" t="s">
        <v>173</v>
      </c>
      <c r="C1972" s="8">
        <v>2020</v>
      </c>
      <c r="D1972" s="8">
        <v>3</v>
      </c>
      <c r="E1972" s="3" t="str">
        <f t="shared" si="60"/>
        <v>March</v>
      </c>
      <c r="F1972" s="3" t="s">
        <v>13</v>
      </c>
      <c r="G1972" s="8">
        <v>194.2333074</v>
      </c>
      <c r="H1972" s="8">
        <v>194</v>
      </c>
      <c r="I1972" s="8">
        <v>-0.48330737299999998</v>
      </c>
      <c r="J1972" s="8">
        <v>33.368766180000001</v>
      </c>
      <c r="K1972" s="8">
        <v>18.91281343</v>
      </c>
      <c r="L1972" s="8">
        <v>47.863975699999997</v>
      </c>
      <c r="M1972" s="9" t="str">
        <f>IF(A1972="",M1973,A1972)</f>
        <v>Iceland</v>
      </c>
      <c r="N1972" s="3" t="str">
        <f t="shared" si="61"/>
        <v>Mar-2020</v>
      </c>
    </row>
    <row r="1973" spans="1:14" x14ac:dyDescent="0.3">
      <c r="A1973" s="3" t="s">
        <v>172</v>
      </c>
      <c r="B1973" s="3" t="s">
        <v>173</v>
      </c>
      <c r="C1973" s="8">
        <v>2020</v>
      </c>
      <c r="D1973" s="8">
        <v>4</v>
      </c>
      <c r="E1973" s="3" t="str">
        <f t="shared" si="60"/>
        <v>April</v>
      </c>
      <c r="F1973" s="3" t="s">
        <v>13</v>
      </c>
      <c r="G1973" s="8">
        <v>191.6080024</v>
      </c>
      <c r="H1973" s="8">
        <v>206</v>
      </c>
      <c r="I1973" s="8">
        <v>14.141997630000001</v>
      </c>
      <c r="J1973" s="8">
        <v>47.51076381</v>
      </c>
      <c r="K1973" s="8">
        <v>29.593158519999999</v>
      </c>
      <c r="L1973" s="8">
        <v>65.983450219999995</v>
      </c>
      <c r="M1973" s="9" t="str">
        <f>IF(A1973="",M1974,A1973)</f>
        <v>Iceland</v>
      </c>
      <c r="N1973" s="3" t="str">
        <f t="shared" si="61"/>
        <v>Apr-2020</v>
      </c>
    </row>
    <row r="1974" spans="1:14" x14ac:dyDescent="0.3">
      <c r="A1974" s="3" t="s">
        <v>172</v>
      </c>
      <c r="B1974" s="3" t="s">
        <v>173</v>
      </c>
      <c r="C1974" s="8">
        <v>2020</v>
      </c>
      <c r="D1974" s="8">
        <v>5</v>
      </c>
      <c r="E1974" s="3" t="str">
        <f t="shared" si="60"/>
        <v>May</v>
      </c>
      <c r="F1974" s="3" t="s">
        <v>13</v>
      </c>
      <c r="G1974" s="8">
        <v>188.24413190000001</v>
      </c>
      <c r="H1974" s="8">
        <v>198</v>
      </c>
      <c r="I1974" s="8">
        <v>9.5058681180000004</v>
      </c>
      <c r="J1974" s="8">
        <v>57.016631930000003</v>
      </c>
      <c r="K1974" s="8">
        <v>36.692903719999997</v>
      </c>
      <c r="L1974" s="8">
        <v>77.277204019999999</v>
      </c>
      <c r="M1974" s="9" t="str">
        <f>IF(A1974="",M1975,A1974)</f>
        <v>Iceland</v>
      </c>
      <c r="N1974" s="3" t="str">
        <f t="shared" si="61"/>
        <v>May-2020</v>
      </c>
    </row>
    <row r="1975" spans="1:14" x14ac:dyDescent="0.3">
      <c r="A1975" s="3" t="s">
        <v>172</v>
      </c>
      <c r="B1975" s="3" t="s">
        <v>173</v>
      </c>
      <c r="C1975" s="8">
        <v>2020</v>
      </c>
      <c r="D1975" s="8">
        <v>6</v>
      </c>
      <c r="E1975" s="3" t="str">
        <f t="shared" si="60"/>
        <v>June</v>
      </c>
      <c r="F1975" s="3" t="s">
        <v>13</v>
      </c>
      <c r="G1975" s="8">
        <v>184.8803532</v>
      </c>
      <c r="H1975" s="8">
        <v>150</v>
      </c>
      <c r="I1975" s="8">
        <v>-35.130353239999998</v>
      </c>
      <c r="J1975" s="8">
        <v>21.886278690000001</v>
      </c>
      <c r="K1975" s="8">
        <v>0.31661088199999998</v>
      </c>
      <c r="L1975" s="8">
        <v>44.260361609999997</v>
      </c>
      <c r="M1975" s="9" t="str">
        <f>IF(A1975="",M1976,A1975)</f>
        <v>Iceland</v>
      </c>
      <c r="N1975" s="3" t="str">
        <f t="shared" si="61"/>
        <v>Jun-2020</v>
      </c>
    </row>
    <row r="1976" spans="1:14" x14ac:dyDescent="0.3">
      <c r="A1976" s="3" t="s">
        <v>172</v>
      </c>
      <c r="B1976" s="3" t="s">
        <v>173</v>
      </c>
      <c r="C1976" s="8">
        <v>2020</v>
      </c>
      <c r="D1976" s="8">
        <v>7</v>
      </c>
      <c r="E1976" s="3" t="str">
        <f t="shared" si="60"/>
        <v>July</v>
      </c>
      <c r="F1976" s="3" t="s">
        <v>13</v>
      </c>
      <c r="G1976" s="8">
        <v>182.69228989999999</v>
      </c>
      <c r="H1976" s="8">
        <v>174</v>
      </c>
      <c r="I1976" s="8">
        <v>-8.9422899420000004</v>
      </c>
      <c r="J1976" s="8">
        <v>12.943988750000001</v>
      </c>
      <c r="K1976" s="8">
        <v>-10.905754379999999</v>
      </c>
      <c r="L1976" s="8">
        <v>37.59883086</v>
      </c>
      <c r="M1976" s="9" t="str">
        <f>IF(A1976="",M1977,A1976)</f>
        <v>Iceland</v>
      </c>
      <c r="N1976" s="3" t="str">
        <f t="shared" si="61"/>
        <v>Jul-2020</v>
      </c>
    </row>
    <row r="1977" spans="1:14" x14ac:dyDescent="0.3">
      <c r="A1977" s="3" t="s">
        <v>172</v>
      </c>
      <c r="B1977" s="3" t="s">
        <v>173</v>
      </c>
      <c r="C1977" s="8">
        <v>2020</v>
      </c>
      <c r="D1977" s="8">
        <v>8</v>
      </c>
      <c r="E1977" s="3" t="str">
        <f t="shared" si="60"/>
        <v>August</v>
      </c>
      <c r="F1977" s="3" t="s">
        <v>13</v>
      </c>
      <c r="G1977" s="8">
        <v>182.33812879999999</v>
      </c>
      <c r="H1977" s="8">
        <v>160</v>
      </c>
      <c r="I1977" s="8">
        <v>-22.588128820000001</v>
      </c>
      <c r="J1977" s="8">
        <v>-9.6441400759999993</v>
      </c>
      <c r="K1977" s="8">
        <v>-34.772266420000001</v>
      </c>
      <c r="L1977" s="8">
        <v>15.956319349999999</v>
      </c>
      <c r="M1977" s="9" t="str">
        <f>IF(A1977="",M1978,A1977)</f>
        <v>Iceland</v>
      </c>
      <c r="N1977" s="3" t="str">
        <f t="shared" si="61"/>
        <v>Aug-2020</v>
      </c>
    </row>
    <row r="1978" spans="1:14" x14ac:dyDescent="0.3">
      <c r="A1978" s="3" t="s">
        <v>172</v>
      </c>
      <c r="B1978" s="3" t="s">
        <v>173</v>
      </c>
      <c r="C1978" s="8">
        <v>2020</v>
      </c>
      <c r="D1978" s="8">
        <v>9</v>
      </c>
      <c r="E1978" s="3" t="str">
        <f t="shared" si="60"/>
        <v>September</v>
      </c>
      <c r="F1978" s="3" t="s">
        <v>13</v>
      </c>
      <c r="G1978" s="8">
        <v>184.70574379999999</v>
      </c>
      <c r="H1978" s="8">
        <v>185</v>
      </c>
      <c r="I1978" s="8">
        <v>4.4256209999999997E-2</v>
      </c>
      <c r="J1978" s="8">
        <v>-9.5998838660000008</v>
      </c>
      <c r="K1978" s="8">
        <v>-36.704106930000002</v>
      </c>
      <c r="L1978" s="8">
        <v>17.23128114</v>
      </c>
      <c r="M1978" s="9" t="str">
        <f>IF(A1978="",M1979,A1978)</f>
        <v>Iceland</v>
      </c>
      <c r="N1978" s="3" t="str">
        <f t="shared" si="61"/>
        <v>Sep-2020</v>
      </c>
    </row>
    <row r="1979" spans="1:14" x14ac:dyDescent="0.3">
      <c r="A1979" s="3" t="s">
        <v>172</v>
      </c>
      <c r="B1979" s="3" t="s">
        <v>173</v>
      </c>
      <c r="C1979" s="8">
        <v>2020</v>
      </c>
      <c r="D1979" s="8">
        <v>10</v>
      </c>
      <c r="E1979" s="3" t="str">
        <f t="shared" si="60"/>
        <v>October</v>
      </c>
      <c r="F1979" s="3" t="s">
        <v>13</v>
      </c>
      <c r="G1979" s="8">
        <v>188.54168820000001</v>
      </c>
      <c r="H1979" s="8">
        <v>220</v>
      </c>
      <c r="I1979" s="8">
        <v>31.208311770000002</v>
      </c>
      <c r="J1979" s="8">
        <v>21.608427899999999</v>
      </c>
      <c r="K1979" s="8">
        <v>-7.0498943809999997</v>
      </c>
      <c r="L1979" s="8">
        <v>50.841492250000002</v>
      </c>
      <c r="M1979" s="9" t="str">
        <f>IF(A1979="",M1980,A1979)</f>
        <v>Iceland</v>
      </c>
      <c r="N1979" s="3" t="str">
        <f t="shared" si="61"/>
        <v>Oct-2020</v>
      </c>
    </row>
    <row r="1980" spans="1:14" x14ac:dyDescent="0.3">
      <c r="A1980" s="3" t="s">
        <v>172</v>
      </c>
      <c r="B1980" s="3" t="s">
        <v>173</v>
      </c>
      <c r="C1980" s="8">
        <v>2020</v>
      </c>
      <c r="D1980" s="8">
        <v>11</v>
      </c>
      <c r="E1980" s="3" t="str">
        <f t="shared" si="60"/>
        <v>November</v>
      </c>
      <c r="F1980" s="3" t="s">
        <v>13</v>
      </c>
      <c r="G1980" s="8">
        <v>191.75814</v>
      </c>
      <c r="H1980" s="8">
        <v>197</v>
      </c>
      <c r="I1980" s="8">
        <v>4.991859979</v>
      </c>
      <c r="J1980" s="8">
        <v>26.60028788</v>
      </c>
      <c r="K1980" s="8">
        <v>-3.3555444169999999</v>
      </c>
      <c r="L1980" s="8">
        <v>57.123410270000001</v>
      </c>
      <c r="M1980" s="9" t="str">
        <f>IF(A1980="",M1981,A1980)</f>
        <v>Iceland</v>
      </c>
      <c r="N1980" s="3" t="str">
        <f t="shared" si="61"/>
        <v>Nov-2020</v>
      </c>
    </row>
    <row r="1981" spans="1:14" x14ac:dyDescent="0.3">
      <c r="A1981" s="3" t="s">
        <v>172</v>
      </c>
      <c r="B1981" s="3" t="s">
        <v>173</v>
      </c>
      <c r="C1981" s="8">
        <v>2020</v>
      </c>
      <c r="D1981" s="8">
        <v>12</v>
      </c>
      <c r="E1981" s="3" t="str">
        <f t="shared" si="60"/>
        <v>December</v>
      </c>
      <c r="F1981" s="3" t="s">
        <v>13</v>
      </c>
      <c r="G1981" s="8">
        <v>194.34480239999999</v>
      </c>
      <c r="H1981" s="8">
        <v>202</v>
      </c>
      <c r="I1981" s="8">
        <v>7.4051976059999998</v>
      </c>
      <c r="J1981" s="8">
        <v>34.005485479999997</v>
      </c>
      <c r="K1981" s="8">
        <v>2.1700763169999999</v>
      </c>
      <c r="L1981" s="8">
        <v>66.40253611</v>
      </c>
      <c r="M1981" s="9" t="str">
        <f>IF(A1981="",M1982,A1981)</f>
        <v>Iceland</v>
      </c>
      <c r="N1981" s="3" t="str">
        <f t="shared" si="61"/>
        <v>Dec-2020</v>
      </c>
    </row>
    <row r="1982" spans="1:14" x14ac:dyDescent="0.3">
      <c r="A1982" s="3" t="s">
        <v>172</v>
      </c>
      <c r="B1982" s="3" t="s">
        <v>173</v>
      </c>
      <c r="C1982" s="8">
        <v>2021</v>
      </c>
      <c r="D1982" s="8">
        <v>1</v>
      </c>
      <c r="E1982" s="3" t="str">
        <f t="shared" si="60"/>
        <v>January</v>
      </c>
      <c r="F1982" s="3" t="s">
        <v>13</v>
      </c>
      <c r="G1982" s="8">
        <v>194.89035440000001</v>
      </c>
      <c r="H1982" s="8">
        <v>212</v>
      </c>
      <c r="I1982" s="8">
        <v>17.1096456</v>
      </c>
      <c r="J1982" s="8">
        <v>51.115131079999998</v>
      </c>
      <c r="K1982" s="8">
        <v>16.276756979999998</v>
      </c>
      <c r="L1982" s="8">
        <v>84.245163259999998</v>
      </c>
      <c r="M1982" s="9" t="str">
        <f>IF(A1982="",M1983,A1982)</f>
        <v>Iceland</v>
      </c>
      <c r="N1982" s="3" t="str">
        <f t="shared" si="61"/>
        <v>Jan-2021</v>
      </c>
    </row>
    <row r="1983" spans="1:14" x14ac:dyDescent="0.3">
      <c r="A1983" s="3" t="s">
        <v>172</v>
      </c>
      <c r="B1983" s="3" t="s">
        <v>173</v>
      </c>
      <c r="C1983" s="8">
        <v>2021</v>
      </c>
      <c r="D1983" s="8">
        <v>2</v>
      </c>
      <c r="E1983" s="3" t="str">
        <f t="shared" si="60"/>
        <v>February</v>
      </c>
      <c r="F1983" s="3" t="s">
        <v>13</v>
      </c>
      <c r="G1983" s="8">
        <v>195.42513360000001</v>
      </c>
      <c r="H1983" s="8">
        <v>189</v>
      </c>
      <c r="I1983" s="8">
        <v>-6.4251335660000004</v>
      </c>
      <c r="J1983" s="8">
        <v>44.689997519999999</v>
      </c>
      <c r="K1983" s="8">
        <v>9.1958543650000006</v>
      </c>
      <c r="L1983" s="8">
        <v>80.854181089999997</v>
      </c>
      <c r="M1983" s="9" t="str">
        <f>IF(A1983="",M1984,A1983)</f>
        <v>Iceland</v>
      </c>
      <c r="N1983" s="3" t="str">
        <f t="shared" si="61"/>
        <v>Feb-2021</v>
      </c>
    </row>
    <row r="1984" spans="1:14" x14ac:dyDescent="0.3">
      <c r="A1984" s="3" t="s">
        <v>172</v>
      </c>
      <c r="B1984" s="3" t="s">
        <v>173</v>
      </c>
      <c r="C1984" s="8">
        <v>2021</v>
      </c>
      <c r="D1984" s="8">
        <v>3</v>
      </c>
      <c r="E1984" s="3" t="str">
        <f t="shared" si="60"/>
        <v>March</v>
      </c>
      <c r="F1984" s="3" t="s">
        <v>13</v>
      </c>
      <c r="G1984" s="8">
        <v>195.09756179999999</v>
      </c>
      <c r="H1984" s="8">
        <v>187</v>
      </c>
      <c r="I1984" s="8">
        <v>-8.0975617579999994</v>
      </c>
      <c r="J1984" s="8">
        <v>36.592435760000001</v>
      </c>
      <c r="K1984" s="8">
        <v>-1.256946066</v>
      </c>
      <c r="L1984" s="8">
        <v>74.381960329999998</v>
      </c>
      <c r="M1984" s="9" t="str">
        <f>IF(A1984="",M1985,A1984)</f>
        <v>Iceland</v>
      </c>
      <c r="N1984" s="3" t="str">
        <f t="shared" si="61"/>
        <v>Mar-2021</v>
      </c>
    </row>
    <row r="1985" spans="1:14" x14ac:dyDescent="0.3">
      <c r="A1985" s="3" t="s">
        <v>172</v>
      </c>
      <c r="B1985" s="3" t="s">
        <v>173</v>
      </c>
      <c r="C1985" s="8">
        <v>2021</v>
      </c>
      <c r="D1985" s="8">
        <v>4</v>
      </c>
      <c r="E1985" s="3" t="str">
        <f t="shared" si="60"/>
        <v>April</v>
      </c>
      <c r="F1985" s="3" t="s">
        <v>13</v>
      </c>
      <c r="G1985" s="8">
        <v>192.77303749999999</v>
      </c>
      <c r="H1985" s="8">
        <v>202</v>
      </c>
      <c r="I1985" s="8">
        <v>9.2269624829999994</v>
      </c>
      <c r="J1985" s="8">
        <v>45.819398239999998</v>
      </c>
      <c r="K1985" s="8">
        <v>8.8731656520000008</v>
      </c>
      <c r="L1985" s="8">
        <v>83.311886610000002</v>
      </c>
      <c r="M1985" s="9" t="str">
        <f>IF(A1985="",M1986,A1985)</f>
        <v>Iceland</v>
      </c>
      <c r="N1985" s="3" t="str">
        <f t="shared" si="61"/>
        <v>Apr-2021</v>
      </c>
    </row>
    <row r="1986" spans="1:14" x14ac:dyDescent="0.3">
      <c r="A1986" s="3" t="s">
        <v>172</v>
      </c>
      <c r="B1986" s="3" t="s">
        <v>173</v>
      </c>
      <c r="C1986" s="8">
        <v>2021</v>
      </c>
      <c r="D1986" s="8">
        <v>5</v>
      </c>
      <c r="E1986" s="3" t="str">
        <f t="shared" ref="E1986:E2049" si="62">TEXT(DATE(C1986,D1986,1),"MMMM")</f>
        <v>May</v>
      </c>
      <c r="F1986" s="3" t="s">
        <v>13</v>
      </c>
      <c r="G1986" s="8">
        <v>189.02952199999999</v>
      </c>
      <c r="H1986" s="8">
        <v>189</v>
      </c>
      <c r="I1986" s="8">
        <v>-2.9521981999999999E-2</v>
      </c>
      <c r="J1986" s="8">
        <v>45.78987626</v>
      </c>
      <c r="K1986" s="8">
        <v>7.1554977290000004</v>
      </c>
      <c r="L1986" s="8">
        <v>86.787781289999998</v>
      </c>
      <c r="M1986" s="9" t="str">
        <f>IF(A1986="",M1987,A1986)</f>
        <v>Iceland</v>
      </c>
      <c r="N1986" s="3" t="str">
        <f t="shared" ref="N1986:N2049" si="63">TEXT(DATE(C1986,D1986,1),"MMM-YYYY")</f>
        <v>May-2021</v>
      </c>
    </row>
    <row r="1987" spans="1:14" x14ac:dyDescent="0.3">
      <c r="A1987" s="3" t="s">
        <v>172</v>
      </c>
      <c r="B1987" s="3" t="s">
        <v>173</v>
      </c>
      <c r="C1987" s="8">
        <v>2021</v>
      </c>
      <c r="D1987" s="8">
        <v>6</v>
      </c>
      <c r="E1987" s="3" t="str">
        <f t="shared" si="62"/>
        <v>June</v>
      </c>
      <c r="F1987" s="3" t="s">
        <v>13</v>
      </c>
      <c r="G1987" s="8">
        <v>185.65961809999999</v>
      </c>
      <c r="H1987" s="8">
        <v>193</v>
      </c>
      <c r="I1987" s="8">
        <v>7.3403819280000002</v>
      </c>
      <c r="J1987" s="8">
        <v>53.130258189999999</v>
      </c>
      <c r="K1987" s="8">
        <v>13.903953189999999</v>
      </c>
      <c r="L1987" s="8">
        <v>95.126001250000002</v>
      </c>
      <c r="M1987" s="9" t="str">
        <f>IF(A1987="",M1988,A1987)</f>
        <v>Iceland</v>
      </c>
      <c r="N1987" s="3" t="str">
        <f t="shared" si="63"/>
        <v>Jun-2021</v>
      </c>
    </row>
    <row r="1988" spans="1:14" x14ac:dyDescent="0.3">
      <c r="A1988" s="3" t="s">
        <v>172</v>
      </c>
      <c r="B1988" s="3" t="s">
        <v>173</v>
      </c>
      <c r="C1988" s="8">
        <v>2021</v>
      </c>
      <c r="D1988" s="8">
        <v>7</v>
      </c>
      <c r="E1988" s="3" t="str">
        <f t="shared" si="62"/>
        <v>July</v>
      </c>
      <c r="F1988" s="3" t="s">
        <v>13</v>
      </c>
      <c r="G1988" s="8">
        <v>183.42109550000001</v>
      </c>
      <c r="H1988" s="8">
        <v>202</v>
      </c>
      <c r="I1988" s="8">
        <v>18.578904489999999</v>
      </c>
      <c r="J1988" s="8">
        <v>71.709162680000006</v>
      </c>
      <c r="K1988" s="8">
        <v>31.242119899999999</v>
      </c>
      <c r="L1988" s="8">
        <v>116.44977849999999</v>
      </c>
      <c r="M1988" s="9" t="str">
        <f>IF(A1988="",M1989,A1988)</f>
        <v>Iceland</v>
      </c>
      <c r="N1988" s="3" t="str">
        <f t="shared" si="63"/>
        <v>Jul-2021</v>
      </c>
    </row>
    <row r="1989" spans="1:14" x14ac:dyDescent="0.3">
      <c r="A1989" s="3" t="s">
        <v>172</v>
      </c>
      <c r="B1989" s="3" t="s">
        <v>173</v>
      </c>
      <c r="C1989" s="8">
        <v>2021</v>
      </c>
      <c r="D1989" s="8">
        <v>8</v>
      </c>
      <c r="E1989" s="3" t="str">
        <f t="shared" si="62"/>
        <v>August</v>
      </c>
      <c r="F1989" s="3" t="s">
        <v>13</v>
      </c>
      <c r="G1989" s="8">
        <v>183.14954800000001</v>
      </c>
      <c r="H1989" s="8">
        <v>200</v>
      </c>
      <c r="I1989" s="8">
        <v>16.85045199</v>
      </c>
      <c r="J1989" s="8">
        <v>88.559614670000002</v>
      </c>
      <c r="K1989" s="8">
        <v>46.546511549999998</v>
      </c>
      <c r="L1989" s="8">
        <v>134.3464668</v>
      </c>
      <c r="M1989" s="9" t="str">
        <f>IF(A1989="",M1990,A1989)</f>
        <v>Iceland</v>
      </c>
      <c r="N1989" s="3" t="str">
        <f t="shared" si="63"/>
        <v>Aug-2021</v>
      </c>
    </row>
    <row r="1990" spans="1:14" x14ac:dyDescent="0.3">
      <c r="A1990" s="3" t="s">
        <v>172</v>
      </c>
      <c r="B1990" s="3" t="s">
        <v>173</v>
      </c>
      <c r="C1990" s="8">
        <v>2021</v>
      </c>
      <c r="D1990" s="8">
        <v>9</v>
      </c>
      <c r="E1990" s="3" t="str">
        <f t="shared" si="62"/>
        <v>September</v>
      </c>
      <c r="F1990" s="3" t="s">
        <v>13</v>
      </c>
      <c r="G1990" s="8">
        <v>185.68362769999999</v>
      </c>
      <c r="H1990" s="8">
        <v>164</v>
      </c>
      <c r="I1990" s="8">
        <v>-21.683627699999999</v>
      </c>
      <c r="J1990" s="8">
        <v>66.875986979999993</v>
      </c>
      <c r="K1990" s="8">
        <v>24.41429703</v>
      </c>
      <c r="L1990" s="8">
        <v>112.3079224</v>
      </c>
      <c r="M1990" s="9" t="str">
        <f>IF(A1990="",M1991,A1990)</f>
        <v>Iceland</v>
      </c>
      <c r="N1990" s="3" t="str">
        <f t="shared" si="63"/>
        <v>Sep-2021</v>
      </c>
    </row>
    <row r="1991" spans="1:14" x14ac:dyDescent="0.3">
      <c r="A1991" s="3" t="s">
        <v>172</v>
      </c>
      <c r="B1991" s="3" t="s">
        <v>173</v>
      </c>
      <c r="C1991" s="8">
        <v>2021</v>
      </c>
      <c r="D1991" s="8">
        <v>10</v>
      </c>
      <c r="E1991" s="3" t="str">
        <f t="shared" si="62"/>
        <v>October</v>
      </c>
      <c r="F1991" s="3" t="s">
        <v>13</v>
      </c>
      <c r="G1991" s="8">
        <v>189.4225098</v>
      </c>
      <c r="H1991" s="8">
        <v>170</v>
      </c>
      <c r="I1991" s="8">
        <v>-19.422509789999999</v>
      </c>
      <c r="J1991" s="8">
        <v>47.45347718</v>
      </c>
      <c r="K1991" s="8">
        <v>1.7407053910000001</v>
      </c>
      <c r="L1991" s="8">
        <v>95.244728179999996</v>
      </c>
      <c r="M1991" s="9" t="str">
        <f>IF(A1991="",M1992,A1991)</f>
        <v>Iceland</v>
      </c>
      <c r="N1991" s="3" t="str">
        <f t="shared" si="63"/>
        <v>Oct-2021</v>
      </c>
    </row>
    <row r="1992" spans="1:14" x14ac:dyDescent="0.3">
      <c r="A1992" s="3" t="s">
        <v>172</v>
      </c>
      <c r="B1992" s="3" t="s">
        <v>173</v>
      </c>
      <c r="C1992" s="8">
        <v>2021</v>
      </c>
      <c r="D1992" s="8">
        <v>11</v>
      </c>
      <c r="E1992" s="3" t="str">
        <f t="shared" si="62"/>
        <v>November</v>
      </c>
      <c r="F1992" s="3" t="s">
        <v>13</v>
      </c>
      <c r="G1992" s="8">
        <v>193.01458</v>
      </c>
      <c r="H1992" s="8">
        <v>204</v>
      </c>
      <c r="I1992" s="8">
        <v>10.98542001</v>
      </c>
      <c r="J1992" s="8">
        <v>58.4388972</v>
      </c>
      <c r="K1992" s="8">
        <v>11.019605520000001</v>
      </c>
      <c r="L1992" s="8">
        <v>106.9849729</v>
      </c>
      <c r="M1992" s="9" t="str">
        <f>IF(A1992="",M1993,A1992)</f>
        <v>Iceland</v>
      </c>
      <c r="N1992" s="3" t="str">
        <f t="shared" si="63"/>
        <v>Nov-2021</v>
      </c>
    </row>
    <row r="1993" spans="1:14" x14ac:dyDescent="0.3">
      <c r="A1993" s="3" t="s">
        <v>172</v>
      </c>
      <c r="B1993" s="3" t="s">
        <v>173</v>
      </c>
      <c r="C1993" s="8">
        <v>2021</v>
      </c>
      <c r="D1993" s="8">
        <v>12</v>
      </c>
      <c r="E1993" s="3" t="str">
        <f t="shared" si="62"/>
        <v>December</v>
      </c>
      <c r="F1993" s="3" t="s">
        <v>13</v>
      </c>
      <c r="G1993" s="8">
        <v>195.51658699999999</v>
      </c>
      <c r="H1993" s="8">
        <v>225</v>
      </c>
      <c r="I1993" s="8">
        <v>29.48341302</v>
      </c>
      <c r="J1993" s="8">
        <v>87.92231022</v>
      </c>
      <c r="K1993" s="8">
        <v>39.679084500000002</v>
      </c>
      <c r="L1993" s="8">
        <v>140.00199799999999</v>
      </c>
      <c r="M1993" s="9" t="str">
        <f>IF(A1993="",M1994,A1993)</f>
        <v>Iceland</v>
      </c>
      <c r="N1993" s="3" t="str">
        <f t="shared" si="63"/>
        <v>Dec-2021</v>
      </c>
    </row>
    <row r="1994" spans="1:14" x14ac:dyDescent="0.3">
      <c r="A1994" s="3" t="s">
        <v>174</v>
      </c>
      <c r="B1994" s="3" t="s">
        <v>175</v>
      </c>
      <c r="C1994" s="8">
        <v>2020</v>
      </c>
      <c r="D1994" s="8">
        <v>1</v>
      </c>
      <c r="E1994" s="3" t="str">
        <f t="shared" si="62"/>
        <v>January</v>
      </c>
      <c r="F1994" s="3" t="s">
        <v>13</v>
      </c>
      <c r="G1994" s="8">
        <v>4401.6318010000005</v>
      </c>
      <c r="H1994" s="8">
        <v>4585</v>
      </c>
      <c r="I1994" s="8">
        <v>182.4515322</v>
      </c>
      <c r="J1994" s="8">
        <v>182.4515322</v>
      </c>
      <c r="K1994" s="8">
        <v>40.77164097</v>
      </c>
      <c r="L1994" s="8">
        <v>309.44121030000002</v>
      </c>
      <c r="M1994" s="9" t="str">
        <f>IF(A1994="",M1995,A1994)</f>
        <v>Israel</v>
      </c>
      <c r="N1994" s="3" t="str">
        <f t="shared" si="63"/>
        <v>Jan-2020</v>
      </c>
    </row>
    <row r="1995" spans="1:14" x14ac:dyDescent="0.3">
      <c r="A1995" s="3" t="s">
        <v>174</v>
      </c>
      <c r="B1995" s="3" t="s">
        <v>175</v>
      </c>
      <c r="C1995" s="8">
        <v>2020</v>
      </c>
      <c r="D1995" s="8">
        <v>2</v>
      </c>
      <c r="E1995" s="3" t="str">
        <f t="shared" si="62"/>
        <v>February</v>
      </c>
      <c r="F1995" s="3" t="s">
        <v>13</v>
      </c>
      <c r="G1995" s="8">
        <v>4217.1294539999999</v>
      </c>
      <c r="H1995" s="8">
        <v>3963</v>
      </c>
      <c r="I1995" s="8">
        <v>-255.04612059999999</v>
      </c>
      <c r="J1995" s="8">
        <v>-72.594588380000005</v>
      </c>
      <c r="K1995" s="8">
        <v>-298.90863769999999</v>
      </c>
      <c r="L1995" s="8">
        <v>136.8143714</v>
      </c>
      <c r="M1995" s="9" t="str">
        <f>IF(A1995="",M1996,A1995)</f>
        <v>Israel</v>
      </c>
      <c r="N1995" s="3" t="str">
        <f t="shared" si="63"/>
        <v>Feb-2020</v>
      </c>
    </row>
    <row r="1996" spans="1:14" x14ac:dyDescent="0.3">
      <c r="A1996" s="3" t="s">
        <v>174</v>
      </c>
      <c r="B1996" s="3" t="s">
        <v>175</v>
      </c>
      <c r="C1996" s="8">
        <v>2020</v>
      </c>
      <c r="D1996" s="8">
        <v>3</v>
      </c>
      <c r="E1996" s="3" t="str">
        <f t="shared" si="62"/>
        <v>March</v>
      </c>
      <c r="F1996" s="3" t="s">
        <v>13</v>
      </c>
      <c r="G1996" s="8">
        <v>4084.8213959999998</v>
      </c>
      <c r="H1996" s="8">
        <v>4181</v>
      </c>
      <c r="I1996" s="8">
        <v>95.261936899999995</v>
      </c>
      <c r="J1996" s="8">
        <v>22.667348520000001</v>
      </c>
      <c r="K1996" s="8">
        <v>-290.969379</v>
      </c>
      <c r="L1996" s="8">
        <v>279.5107314</v>
      </c>
      <c r="M1996" s="9" t="str">
        <f>IF(A1996="",M1997,A1996)</f>
        <v>Israel</v>
      </c>
      <c r="N1996" s="3" t="str">
        <f t="shared" si="63"/>
        <v>Mar-2020</v>
      </c>
    </row>
    <row r="1997" spans="1:14" x14ac:dyDescent="0.3">
      <c r="A1997" s="3" t="s">
        <v>174</v>
      </c>
      <c r="B1997" s="3" t="s">
        <v>175</v>
      </c>
      <c r="C1997" s="8">
        <v>2020</v>
      </c>
      <c r="D1997" s="8">
        <v>4</v>
      </c>
      <c r="E1997" s="3" t="str">
        <f t="shared" si="62"/>
        <v>April</v>
      </c>
      <c r="F1997" s="3" t="s">
        <v>13</v>
      </c>
      <c r="G1997" s="8">
        <v>3736.4858319999998</v>
      </c>
      <c r="H1997" s="8">
        <v>3921</v>
      </c>
      <c r="I1997" s="8">
        <v>183.5975013</v>
      </c>
      <c r="J1997" s="8">
        <v>206.26484980000001</v>
      </c>
      <c r="K1997" s="8">
        <v>-129.11155919999999</v>
      </c>
      <c r="L1997" s="8">
        <v>519.34107470000004</v>
      </c>
      <c r="M1997" s="9" t="str">
        <f>IF(A1997="",M1998,A1997)</f>
        <v>Israel</v>
      </c>
      <c r="N1997" s="3" t="str">
        <f t="shared" si="63"/>
        <v>Apr-2020</v>
      </c>
    </row>
    <row r="1998" spans="1:14" x14ac:dyDescent="0.3">
      <c r="A1998" s="3" t="s">
        <v>174</v>
      </c>
      <c r="B1998" s="3" t="s">
        <v>175</v>
      </c>
      <c r="C1998" s="8">
        <v>2020</v>
      </c>
      <c r="D1998" s="8">
        <v>5</v>
      </c>
      <c r="E1998" s="3" t="str">
        <f t="shared" si="62"/>
        <v>May</v>
      </c>
      <c r="F1998" s="3" t="s">
        <v>13</v>
      </c>
      <c r="G1998" s="8">
        <v>3593.8573879999999</v>
      </c>
      <c r="H1998" s="8">
        <v>3878</v>
      </c>
      <c r="I1998" s="8">
        <v>283.22594550000002</v>
      </c>
      <c r="J1998" s="8">
        <v>489.4907953</v>
      </c>
      <c r="K1998" s="8">
        <v>97.004127600000004</v>
      </c>
      <c r="L1998" s="8">
        <v>842.25558750000005</v>
      </c>
      <c r="M1998" s="9" t="str">
        <f>IF(A1998="",M1999,A1998)</f>
        <v>Israel</v>
      </c>
      <c r="N1998" s="3" t="str">
        <f t="shared" si="63"/>
        <v>May-2020</v>
      </c>
    </row>
    <row r="1999" spans="1:14" x14ac:dyDescent="0.3">
      <c r="A1999" s="3" t="s">
        <v>174</v>
      </c>
      <c r="B1999" s="3" t="s">
        <v>175</v>
      </c>
      <c r="C1999" s="8">
        <v>2020</v>
      </c>
      <c r="D1999" s="8">
        <v>6</v>
      </c>
      <c r="E1999" s="3" t="str">
        <f t="shared" si="62"/>
        <v>June</v>
      </c>
      <c r="F1999" s="3" t="s">
        <v>13</v>
      </c>
      <c r="G1999" s="8">
        <v>3379.0160139999998</v>
      </c>
      <c r="H1999" s="8">
        <v>3418</v>
      </c>
      <c r="I1999" s="8">
        <v>38.067319730000001</v>
      </c>
      <c r="J1999" s="8">
        <v>527.55811500000004</v>
      </c>
      <c r="K1999" s="8">
        <v>129.88022649999999</v>
      </c>
      <c r="L1999" s="8">
        <v>907.50154550000002</v>
      </c>
      <c r="M1999" s="9" t="str">
        <f>IF(A1999="",M2000,A1999)</f>
        <v>Israel</v>
      </c>
      <c r="N1999" s="3" t="str">
        <f t="shared" si="63"/>
        <v>Jun-2020</v>
      </c>
    </row>
    <row r="2000" spans="1:14" x14ac:dyDescent="0.3">
      <c r="A2000" s="3" t="s">
        <v>174</v>
      </c>
      <c r="B2000" s="3" t="s">
        <v>175</v>
      </c>
      <c r="C2000" s="8">
        <v>2020</v>
      </c>
      <c r="D2000" s="8">
        <v>7</v>
      </c>
      <c r="E2000" s="3" t="str">
        <f t="shared" si="62"/>
        <v>July</v>
      </c>
      <c r="F2000" s="3" t="s">
        <v>13</v>
      </c>
      <c r="G2000" s="8">
        <v>3459.1668110000001</v>
      </c>
      <c r="H2000" s="8">
        <v>3701</v>
      </c>
      <c r="I2000" s="8">
        <v>240.91652210000001</v>
      </c>
      <c r="J2000" s="8">
        <v>768.4746371</v>
      </c>
      <c r="K2000" s="8">
        <v>329.3069529</v>
      </c>
      <c r="L2000" s="8">
        <v>1157.011403</v>
      </c>
      <c r="M2000" s="9" t="str">
        <f>IF(A2000="",M2001,A2000)</f>
        <v>Israel</v>
      </c>
      <c r="N2000" s="3" t="str">
        <f t="shared" si="63"/>
        <v>Jul-2020</v>
      </c>
    </row>
    <row r="2001" spans="1:14" x14ac:dyDescent="0.3">
      <c r="A2001" s="3" t="s">
        <v>174</v>
      </c>
      <c r="B2001" s="3" t="s">
        <v>175</v>
      </c>
      <c r="C2001" s="8">
        <v>2020</v>
      </c>
      <c r="D2001" s="8">
        <v>8</v>
      </c>
      <c r="E2001" s="3" t="str">
        <f t="shared" si="62"/>
        <v>August</v>
      </c>
      <c r="F2001" s="3" t="s">
        <v>13</v>
      </c>
      <c r="G2001" s="8">
        <v>3495.3621509999998</v>
      </c>
      <c r="H2001" s="8">
        <v>4026</v>
      </c>
      <c r="I2001" s="8">
        <v>529.72118190000003</v>
      </c>
      <c r="J2001" s="8">
        <v>1298.195819</v>
      </c>
      <c r="K2001" s="8">
        <v>828.73756289999994</v>
      </c>
      <c r="L2001" s="8">
        <v>1719.753886</v>
      </c>
      <c r="M2001" s="9" t="str">
        <f>IF(A2001="",M2002,A2001)</f>
        <v>Israel</v>
      </c>
      <c r="N2001" s="3" t="str">
        <f t="shared" si="63"/>
        <v>Aug-2020</v>
      </c>
    </row>
    <row r="2002" spans="1:14" x14ac:dyDescent="0.3">
      <c r="A2002" s="3" t="s">
        <v>174</v>
      </c>
      <c r="B2002" s="3" t="s">
        <v>175</v>
      </c>
      <c r="C2002" s="8">
        <v>2020</v>
      </c>
      <c r="D2002" s="8">
        <v>9</v>
      </c>
      <c r="E2002" s="3" t="str">
        <f t="shared" si="62"/>
        <v>September</v>
      </c>
      <c r="F2002" s="3" t="s">
        <v>13</v>
      </c>
      <c r="G2002" s="8">
        <v>3413.247993</v>
      </c>
      <c r="H2002" s="8">
        <v>4163</v>
      </c>
      <c r="I2002" s="8">
        <v>748.83534020000002</v>
      </c>
      <c r="J2002" s="8">
        <v>2047.0311589999999</v>
      </c>
      <c r="K2002" s="8">
        <v>1580.560365</v>
      </c>
      <c r="L2002" s="8">
        <v>2515.6278470000002</v>
      </c>
      <c r="M2002" s="9" t="str">
        <f>IF(A2002="",M2003,A2002)</f>
        <v>Israel</v>
      </c>
      <c r="N2002" s="3" t="str">
        <f t="shared" si="63"/>
        <v>Sep-2020</v>
      </c>
    </row>
    <row r="2003" spans="1:14" x14ac:dyDescent="0.3">
      <c r="A2003" s="3" t="s">
        <v>174</v>
      </c>
      <c r="B2003" s="3" t="s">
        <v>175</v>
      </c>
      <c r="C2003" s="8">
        <v>2020</v>
      </c>
      <c r="D2003" s="8">
        <v>10</v>
      </c>
      <c r="E2003" s="3" t="str">
        <f t="shared" si="62"/>
        <v>October</v>
      </c>
      <c r="F2003" s="3" t="s">
        <v>13</v>
      </c>
      <c r="G2003" s="8">
        <v>3607.6986689999999</v>
      </c>
      <c r="H2003" s="8">
        <v>4645</v>
      </c>
      <c r="I2003" s="8">
        <v>1036.3846639999999</v>
      </c>
      <c r="J2003" s="8">
        <v>3083.4158240000002</v>
      </c>
      <c r="K2003" s="8">
        <v>2596.2635270000001</v>
      </c>
      <c r="L2003" s="8">
        <v>3575.889267</v>
      </c>
      <c r="M2003" s="9" t="str">
        <f>IF(A2003="",M2004,A2003)</f>
        <v>Israel</v>
      </c>
      <c r="N2003" s="3" t="str">
        <f t="shared" si="63"/>
        <v>Oct-2020</v>
      </c>
    </row>
    <row r="2004" spans="1:14" x14ac:dyDescent="0.3">
      <c r="A2004" s="3" t="s">
        <v>174</v>
      </c>
      <c r="B2004" s="3" t="s">
        <v>175</v>
      </c>
      <c r="C2004" s="8">
        <v>2020</v>
      </c>
      <c r="D2004" s="8">
        <v>11</v>
      </c>
      <c r="E2004" s="3" t="str">
        <f t="shared" si="62"/>
        <v>November</v>
      </c>
      <c r="F2004" s="3" t="s">
        <v>13</v>
      </c>
      <c r="G2004" s="8">
        <v>3787.709425</v>
      </c>
      <c r="H2004" s="8">
        <v>3827</v>
      </c>
      <c r="I2004" s="8">
        <v>38.373908370000002</v>
      </c>
      <c r="J2004" s="8">
        <v>3121.7897320000002</v>
      </c>
      <c r="K2004" s="8">
        <v>2607.6453879999999</v>
      </c>
      <c r="L2004" s="8">
        <v>3616.6546360000002</v>
      </c>
      <c r="M2004" s="9" t="str">
        <f>IF(A2004="",M2005,A2004)</f>
        <v>Israel</v>
      </c>
      <c r="N2004" s="3" t="str">
        <f t="shared" si="63"/>
        <v>Nov-2020</v>
      </c>
    </row>
    <row r="2005" spans="1:14" x14ac:dyDescent="0.3">
      <c r="A2005" s="3" t="s">
        <v>174</v>
      </c>
      <c r="B2005" s="3" t="s">
        <v>175</v>
      </c>
      <c r="C2005" s="8">
        <v>2020</v>
      </c>
      <c r="D2005" s="8">
        <v>12</v>
      </c>
      <c r="E2005" s="3" t="str">
        <f t="shared" si="62"/>
        <v>December</v>
      </c>
      <c r="F2005" s="3" t="s">
        <v>13</v>
      </c>
      <c r="G2005" s="8">
        <v>4431.9292180000002</v>
      </c>
      <c r="H2005" s="8">
        <v>4489</v>
      </c>
      <c r="I2005" s="8">
        <v>56.154115279999999</v>
      </c>
      <c r="J2005" s="8">
        <v>3177.943847</v>
      </c>
      <c r="K2005" s="8">
        <v>2656.1002290000001</v>
      </c>
      <c r="L2005" s="8">
        <v>3696.761743</v>
      </c>
      <c r="M2005" s="9" t="str">
        <f>IF(A2005="",M2006,A2005)</f>
        <v>Israel</v>
      </c>
      <c r="N2005" s="3" t="str">
        <f t="shared" si="63"/>
        <v>Dec-2020</v>
      </c>
    </row>
    <row r="2006" spans="1:14" x14ac:dyDescent="0.3">
      <c r="A2006" s="3" t="s">
        <v>174</v>
      </c>
      <c r="B2006" s="3" t="s">
        <v>175</v>
      </c>
      <c r="C2006" s="8">
        <v>2021</v>
      </c>
      <c r="D2006" s="8">
        <v>1</v>
      </c>
      <c r="E2006" s="3" t="str">
        <f t="shared" si="62"/>
        <v>January</v>
      </c>
      <c r="F2006" s="3" t="s">
        <v>13</v>
      </c>
      <c r="G2006" s="8">
        <v>4430.7219690000002</v>
      </c>
      <c r="H2006" s="8">
        <v>5494</v>
      </c>
      <c r="I2006" s="8">
        <v>1061.4446969999999</v>
      </c>
      <c r="J2006" s="8">
        <v>4239.3885440000004</v>
      </c>
      <c r="K2006" s="8">
        <v>3685.5043850000002</v>
      </c>
      <c r="L2006" s="8">
        <v>4787.0795200000002</v>
      </c>
      <c r="M2006" s="9" t="str">
        <f>IF(A2006="",M2007,A2006)</f>
        <v>Israel</v>
      </c>
      <c r="N2006" s="3" t="str">
        <f t="shared" si="63"/>
        <v>Jan-2021</v>
      </c>
    </row>
    <row r="2007" spans="1:14" x14ac:dyDescent="0.3">
      <c r="A2007" s="3" t="s">
        <v>174</v>
      </c>
      <c r="B2007" s="3" t="s">
        <v>175</v>
      </c>
      <c r="C2007" s="8">
        <v>2021</v>
      </c>
      <c r="D2007" s="8">
        <v>2</v>
      </c>
      <c r="E2007" s="3" t="str">
        <f t="shared" si="62"/>
        <v>February</v>
      </c>
      <c r="F2007" s="3" t="s">
        <v>13</v>
      </c>
      <c r="G2007" s="8">
        <v>4245.7007119999998</v>
      </c>
      <c r="H2007" s="8">
        <v>4535</v>
      </c>
      <c r="I2007" s="8">
        <v>287.46595509999997</v>
      </c>
      <c r="J2007" s="8">
        <v>4526.854499</v>
      </c>
      <c r="K2007" s="8">
        <v>3930.0551989999999</v>
      </c>
      <c r="L2007" s="8">
        <v>5120.0783700000002</v>
      </c>
      <c r="M2007" s="9" t="str">
        <f>IF(A2007="",M2008,A2007)</f>
        <v>Israel</v>
      </c>
      <c r="N2007" s="3" t="str">
        <f t="shared" si="63"/>
        <v>Feb-2021</v>
      </c>
    </row>
    <row r="2008" spans="1:14" x14ac:dyDescent="0.3">
      <c r="A2008" s="3" t="s">
        <v>174</v>
      </c>
      <c r="B2008" s="3" t="s">
        <v>175</v>
      </c>
      <c r="C2008" s="8">
        <v>2021</v>
      </c>
      <c r="D2008" s="8">
        <v>3</v>
      </c>
      <c r="E2008" s="3" t="str">
        <f t="shared" si="62"/>
        <v>March</v>
      </c>
      <c r="F2008" s="3" t="s">
        <v>13</v>
      </c>
      <c r="G2008" s="8">
        <v>4108.4226420000005</v>
      </c>
      <c r="H2008" s="8">
        <v>4483</v>
      </c>
      <c r="I2008" s="8">
        <v>372.74402500000002</v>
      </c>
      <c r="J2008" s="8">
        <v>4899.598524</v>
      </c>
      <c r="K2008" s="8">
        <v>4279.8306110000003</v>
      </c>
      <c r="L2008" s="8">
        <v>5508.6811530000004</v>
      </c>
      <c r="M2008" s="9" t="str">
        <f>IF(A2008="",M2009,A2008)</f>
        <v>Israel</v>
      </c>
      <c r="N2008" s="3" t="str">
        <f t="shared" si="63"/>
        <v>Mar-2021</v>
      </c>
    </row>
    <row r="2009" spans="1:14" x14ac:dyDescent="0.3">
      <c r="A2009" s="3" t="s">
        <v>174</v>
      </c>
      <c r="B2009" s="3" t="s">
        <v>175</v>
      </c>
      <c r="C2009" s="8">
        <v>2021</v>
      </c>
      <c r="D2009" s="8">
        <v>4</v>
      </c>
      <c r="E2009" s="3" t="str">
        <f t="shared" si="62"/>
        <v>April</v>
      </c>
      <c r="F2009" s="3" t="s">
        <v>13</v>
      </c>
      <c r="G2009" s="8">
        <v>3763.0525969999999</v>
      </c>
      <c r="H2009" s="8">
        <v>4008</v>
      </c>
      <c r="I2009" s="8">
        <v>243.11407</v>
      </c>
      <c r="J2009" s="8">
        <v>5142.7125939999996</v>
      </c>
      <c r="K2009" s="8">
        <v>4507.966461</v>
      </c>
      <c r="L2009" s="8">
        <v>5808.4945319999997</v>
      </c>
      <c r="M2009" s="9" t="str">
        <f>IF(A2009="",M2010,A2009)</f>
        <v>Israel</v>
      </c>
      <c r="N2009" s="3" t="str">
        <f t="shared" si="63"/>
        <v>Apr-2021</v>
      </c>
    </row>
    <row r="2010" spans="1:14" x14ac:dyDescent="0.3">
      <c r="A2010" s="3" t="s">
        <v>174</v>
      </c>
      <c r="B2010" s="3" t="s">
        <v>175</v>
      </c>
      <c r="C2010" s="8">
        <v>2021</v>
      </c>
      <c r="D2010" s="8">
        <v>5</v>
      </c>
      <c r="E2010" s="3" t="str">
        <f t="shared" si="62"/>
        <v>May</v>
      </c>
      <c r="F2010" s="3" t="s">
        <v>13</v>
      </c>
      <c r="G2010" s="8">
        <v>3620.4741570000001</v>
      </c>
      <c r="H2010" s="8">
        <v>3826</v>
      </c>
      <c r="I2010" s="8">
        <v>203.6925095</v>
      </c>
      <c r="J2010" s="8">
        <v>5346.4051040000004</v>
      </c>
      <c r="K2010" s="8">
        <v>4670.5243650000002</v>
      </c>
      <c r="L2010" s="8">
        <v>6015.4239200000002</v>
      </c>
      <c r="M2010" s="9" t="str">
        <f>IF(A2010="",M2011,A2010)</f>
        <v>Israel</v>
      </c>
      <c r="N2010" s="3" t="str">
        <f t="shared" si="63"/>
        <v>May-2021</v>
      </c>
    </row>
    <row r="2011" spans="1:14" x14ac:dyDescent="0.3">
      <c r="A2011" s="3" t="s">
        <v>174</v>
      </c>
      <c r="B2011" s="3" t="s">
        <v>175</v>
      </c>
      <c r="C2011" s="8">
        <v>2021</v>
      </c>
      <c r="D2011" s="8">
        <v>6</v>
      </c>
      <c r="E2011" s="3" t="str">
        <f t="shared" si="62"/>
        <v>June</v>
      </c>
      <c r="F2011" s="3" t="s">
        <v>13</v>
      </c>
      <c r="G2011" s="8">
        <v>3405.9742329999999</v>
      </c>
      <c r="H2011" s="8">
        <v>3511</v>
      </c>
      <c r="I2011" s="8">
        <v>103.1924332</v>
      </c>
      <c r="J2011" s="8">
        <v>5449.5975369999996</v>
      </c>
      <c r="K2011" s="8">
        <v>4760.7569830000002</v>
      </c>
      <c r="L2011" s="8">
        <v>6110.8058819999997</v>
      </c>
      <c r="M2011" s="9" t="str">
        <f>IF(A2011="",M2012,A2011)</f>
        <v>Israel</v>
      </c>
      <c r="N2011" s="3" t="str">
        <f t="shared" si="63"/>
        <v>Jun-2021</v>
      </c>
    </row>
    <row r="2012" spans="1:14" x14ac:dyDescent="0.3">
      <c r="A2012" s="3" t="s">
        <v>174</v>
      </c>
      <c r="B2012" s="3" t="s">
        <v>175</v>
      </c>
      <c r="C2012" s="8">
        <v>2021</v>
      </c>
      <c r="D2012" s="8">
        <v>7</v>
      </c>
      <c r="E2012" s="3" t="str">
        <f t="shared" si="62"/>
        <v>July</v>
      </c>
      <c r="F2012" s="3" t="s">
        <v>13</v>
      </c>
      <c r="G2012" s="8">
        <v>3488.8161300000002</v>
      </c>
      <c r="H2012" s="8">
        <v>3730</v>
      </c>
      <c r="I2012" s="8">
        <v>239.350537</v>
      </c>
      <c r="J2012" s="8">
        <v>5688.9480739999999</v>
      </c>
      <c r="K2012" s="8">
        <v>4984.2190760000003</v>
      </c>
      <c r="L2012" s="8">
        <v>6373.1908489999996</v>
      </c>
      <c r="M2012" s="9" t="str">
        <f>IF(A2012="",M2013,A2012)</f>
        <v>Israel</v>
      </c>
      <c r="N2012" s="3" t="str">
        <f t="shared" si="63"/>
        <v>Jul-2021</v>
      </c>
    </row>
    <row r="2013" spans="1:14" x14ac:dyDescent="0.3">
      <c r="A2013" s="3" t="s">
        <v>174</v>
      </c>
      <c r="B2013" s="3" t="s">
        <v>175</v>
      </c>
      <c r="C2013" s="8">
        <v>2021</v>
      </c>
      <c r="D2013" s="8">
        <v>8</v>
      </c>
      <c r="E2013" s="3" t="str">
        <f t="shared" si="62"/>
        <v>August</v>
      </c>
      <c r="F2013" s="3" t="s">
        <v>13</v>
      </c>
      <c r="G2013" s="8">
        <v>3520.6225930000001</v>
      </c>
      <c r="H2013" s="8">
        <v>4507</v>
      </c>
      <c r="I2013" s="8">
        <v>984.54407349999997</v>
      </c>
      <c r="J2013" s="8">
        <v>6673.4921480000003</v>
      </c>
      <c r="K2013" s="8">
        <v>5962.6429109999999</v>
      </c>
      <c r="L2013" s="8">
        <v>7368.7451529999998</v>
      </c>
      <c r="M2013" s="9" t="str">
        <f>IF(A2013="",M2014,A2013)</f>
        <v>Israel</v>
      </c>
      <c r="N2013" s="3" t="str">
        <f t="shared" si="63"/>
        <v>Aug-2021</v>
      </c>
    </row>
    <row r="2014" spans="1:14" x14ac:dyDescent="0.3">
      <c r="A2014" s="3" t="s">
        <v>174</v>
      </c>
      <c r="B2014" s="3" t="s">
        <v>175</v>
      </c>
      <c r="C2014" s="8">
        <v>2021</v>
      </c>
      <c r="D2014" s="8">
        <v>9</v>
      </c>
      <c r="E2014" s="3" t="str">
        <f t="shared" si="62"/>
        <v>September</v>
      </c>
      <c r="F2014" s="3" t="s">
        <v>13</v>
      </c>
      <c r="G2014" s="8">
        <v>3435.0647370000002</v>
      </c>
      <c r="H2014" s="8">
        <v>4289</v>
      </c>
      <c r="I2014" s="8">
        <v>852.10192989999996</v>
      </c>
      <c r="J2014" s="8">
        <v>7525.5940769999997</v>
      </c>
      <c r="K2014" s="8">
        <v>6780.1211990000002</v>
      </c>
      <c r="L2014" s="8">
        <v>8228.4859670000005</v>
      </c>
      <c r="M2014" s="9" t="str">
        <f>IF(A2014="",M2015,A2014)</f>
        <v>Israel</v>
      </c>
      <c r="N2014" s="3" t="str">
        <f t="shared" si="63"/>
        <v>Sep-2021</v>
      </c>
    </row>
    <row r="2015" spans="1:14" x14ac:dyDescent="0.3">
      <c r="A2015" s="3" t="s">
        <v>174</v>
      </c>
      <c r="B2015" s="3" t="s">
        <v>175</v>
      </c>
      <c r="C2015" s="8">
        <v>2021</v>
      </c>
      <c r="D2015" s="8">
        <v>10</v>
      </c>
      <c r="E2015" s="3" t="str">
        <f t="shared" si="62"/>
        <v>October</v>
      </c>
      <c r="F2015" s="3" t="s">
        <v>13</v>
      </c>
      <c r="G2015" s="8">
        <v>3635.8625740000002</v>
      </c>
      <c r="H2015" s="8">
        <v>4163</v>
      </c>
      <c r="I2015" s="8">
        <v>525.30409229999998</v>
      </c>
      <c r="J2015" s="8">
        <v>8050.8981700000004</v>
      </c>
      <c r="K2015" s="8">
        <v>7333.7468419999996</v>
      </c>
      <c r="L2015" s="8">
        <v>8762.6565439999995</v>
      </c>
      <c r="M2015" s="9" t="str">
        <f>IF(A2015="",M2016,A2015)</f>
        <v>Israel</v>
      </c>
      <c r="N2015" s="3" t="str">
        <f t="shared" si="63"/>
        <v>Oct-2021</v>
      </c>
    </row>
    <row r="2016" spans="1:14" x14ac:dyDescent="0.3">
      <c r="A2016" s="3" t="s">
        <v>174</v>
      </c>
      <c r="B2016" s="3" t="s">
        <v>175</v>
      </c>
      <c r="C2016" s="8">
        <v>2021</v>
      </c>
      <c r="D2016" s="8">
        <v>11</v>
      </c>
      <c r="E2016" s="3" t="str">
        <f t="shared" si="62"/>
        <v>November</v>
      </c>
      <c r="F2016" s="3" t="s">
        <v>13</v>
      </c>
      <c r="G2016" s="8">
        <v>3819.6254530000001</v>
      </c>
      <c r="H2016" s="8">
        <v>3818</v>
      </c>
      <c r="I2016" s="8">
        <v>-3.4587864060000002</v>
      </c>
      <c r="J2016" s="8">
        <v>8047.4393829999999</v>
      </c>
      <c r="K2016" s="8">
        <v>7290.6470170000002</v>
      </c>
      <c r="L2016" s="8">
        <v>8793.3849859999991</v>
      </c>
      <c r="M2016" s="9" t="str">
        <f>IF(A2016="",M2017,A2016)</f>
        <v>Israel</v>
      </c>
      <c r="N2016" s="3" t="str">
        <f t="shared" si="63"/>
        <v>Nov-2021</v>
      </c>
    </row>
    <row r="2017" spans="1:14" x14ac:dyDescent="0.3">
      <c r="A2017" s="3" t="s">
        <v>174</v>
      </c>
      <c r="B2017" s="3" t="s">
        <v>175</v>
      </c>
      <c r="C2017" s="8">
        <v>2021</v>
      </c>
      <c r="D2017" s="8">
        <v>12</v>
      </c>
      <c r="E2017" s="3" t="str">
        <f t="shared" si="62"/>
        <v>December</v>
      </c>
      <c r="F2017" s="3" t="s">
        <v>13</v>
      </c>
      <c r="G2017" s="8">
        <v>4464.1755599999997</v>
      </c>
      <c r="H2017" s="8">
        <v>4392</v>
      </c>
      <c r="I2017" s="8">
        <v>-74.008893139999998</v>
      </c>
      <c r="J2017" s="8">
        <v>7973.4304899999997</v>
      </c>
      <c r="K2017" s="8">
        <v>7189.6371220000001</v>
      </c>
      <c r="L2017" s="8">
        <v>8735.6430560000008</v>
      </c>
      <c r="M2017" s="9" t="str">
        <f>IF(A2017="",M2018,A2017)</f>
        <v>Israel</v>
      </c>
      <c r="N2017" s="3" t="str">
        <f t="shared" si="63"/>
        <v>Dec-2021</v>
      </c>
    </row>
    <row r="2018" spans="1:14" x14ac:dyDescent="0.3">
      <c r="A2018" s="3" t="s">
        <v>176</v>
      </c>
      <c r="B2018" s="3" t="s">
        <v>177</v>
      </c>
      <c r="C2018" s="8">
        <v>2020</v>
      </c>
      <c r="D2018" s="8">
        <v>1</v>
      </c>
      <c r="E2018" s="3" t="str">
        <f t="shared" si="62"/>
        <v>January</v>
      </c>
      <c r="F2018" s="3" t="s">
        <v>13</v>
      </c>
      <c r="G2018" s="8">
        <v>61149.545539999999</v>
      </c>
      <c r="H2018" s="8">
        <v>62019</v>
      </c>
      <c r="I2018" s="8">
        <v>867.87112930000001</v>
      </c>
      <c r="J2018" s="8">
        <v>867.87112930000001</v>
      </c>
      <c r="K2018" s="8">
        <v>-1985.1671349999999</v>
      </c>
      <c r="L2018" s="8">
        <v>3633.1985330000002</v>
      </c>
      <c r="M2018" s="9" t="str">
        <f>IF(A2018="",M2019,A2018)</f>
        <v>Italy</v>
      </c>
      <c r="N2018" s="3" t="str">
        <f t="shared" si="63"/>
        <v>Jan-2020</v>
      </c>
    </row>
    <row r="2019" spans="1:14" x14ac:dyDescent="0.3">
      <c r="A2019" s="3" t="s">
        <v>176</v>
      </c>
      <c r="B2019" s="3" t="s">
        <v>177</v>
      </c>
      <c r="C2019" s="8">
        <v>2020</v>
      </c>
      <c r="D2019" s="8">
        <v>2</v>
      </c>
      <c r="E2019" s="3" t="str">
        <f t="shared" si="62"/>
        <v>February</v>
      </c>
      <c r="F2019" s="3" t="s">
        <v>13</v>
      </c>
      <c r="G2019" s="8">
        <v>58597.581019999998</v>
      </c>
      <c r="H2019" s="8">
        <v>56070</v>
      </c>
      <c r="I2019" s="8">
        <v>-2529.1643479999998</v>
      </c>
      <c r="J2019" s="8">
        <v>-1661.2932189999999</v>
      </c>
      <c r="K2019" s="8">
        <v>-6099.1523980000002</v>
      </c>
      <c r="L2019" s="8">
        <v>2420.99955</v>
      </c>
      <c r="M2019" s="9" t="str">
        <f>IF(A2019="",M2020,A2019)</f>
        <v>Italy</v>
      </c>
      <c r="N2019" s="3" t="str">
        <f t="shared" si="63"/>
        <v>Feb-2020</v>
      </c>
    </row>
    <row r="2020" spans="1:14" x14ac:dyDescent="0.3">
      <c r="A2020" s="3" t="s">
        <v>176</v>
      </c>
      <c r="B2020" s="3" t="s">
        <v>177</v>
      </c>
      <c r="C2020" s="8">
        <v>2020</v>
      </c>
      <c r="D2020" s="8">
        <v>3</v>
      </c>
      <c r="E2020" s="3" t="str">
        <f t="shared" si="62"/>
        <v>March</v>
      </c>
      <c r="F2020" s="3" t="s">
        <v>13</v>
      </c>
      <c r="G2020" s="8">
        <v>56398.930350000002</v>
      </c>
      <c r="H2020" s="8">
        <v>86501</v>
      </c>
      <c r="I2020" s="8">
        <v>30100.48632</v>
      </c>
      <c r="J2020" s="8">
        <v>28439.1931</v>
      </c>
      <c r="K2020" s="8">
        <v>23324.37585</v>
      </c>
      <c r="L2020" s="8">
        <v>33841.947339999999</v>
      </c>
      <c r="M2020" s="9" t="str">
        <f>IF(A2020="",M2021,A2020)</f>
        <v>Italy</v>
      </c>
      <c r="N2020" s="3" t="str">
        <f t="shared" si="63"/>
        <v>Mar-2020</v>
      </c>
    </row>
    <row r="2021" spans="1:14" x14ac:dyDescent="0.3">
      <c r="A2021" s="3" t="s">
        <v>176</v>
      </c>
      <c r="B2021" s="3" t="s">
        <v>177</v>
      </c>
      <c r="C2021" s="8">
        <v>2020</v>
      </c>
      <c r="D2021" s="8">
        <v>4</v>
      </c>
      <c r="E2021" s="3" t="str">
        <f t="shared" si="62"/>
        <v>April</v>
      </c>
      <c r="F2021" s="3" t="s">
        <v>13</v>
      </c>
      <c r="G2021" s="8">
        <v>51845.759460000001</v>
      </c>
      <c r="H2021" s="8">
        <v>72809</v>
      </c>
      <c r="I2021" s="8">
        <v>20961.657200000001</v>
      </c>
      <c r="J2021" s="8">
        <v>49400.850299999998</v>
      </c>
      <c r="K2021" s="8">
        <v>43670.919959999999</v>
      </c>
      <c r="L2021" s="8">
        <v>55532.73717</v>
      </c>
      <c r="M2021" s="9" t="str">
        <f>IF(A2021="",M2022,A2021)</f>
        <v>Italy</v>
      </c>
      <c r="N2021" s="3" t="str">
        <f t="shared" si="63"/>
        <v>Apr-2020</v>
      </c>
    </row>
    <row r="2022" spans="1:14" x14ac:dyDescent="0.3">
      <c r="A2022" s="3" t="s">
        <v>176</v>
      </c>
      <c r="B2022" s="3" t="s">
        <v>177</v>
      </c>
      <c r="C2022" s="8">
        <v>2020</v>
      </c>
      <c r="D2022" s="8">
        <v>5</v>
      </c>
      <c r="E2022" s="3" t="str">
        <f t="shared" si="62"/>
        <v>May</v>
      </c>
      <c r="F2022" s="3" t="s">
        <v>13</v>
      </c>
      <c r="G2022" s="8">
        <v>49506.39228</v>
      </c>
      <c r="H2022" s="8">
        <v>52440</v>
      </c>
      <c r="I2022" s="8">
        <v>2932.0243869999999</v>
      </c>
      <c r="J2022" s="8">
        <v>52332.874689999997</v>
      </c>
      <c r="K2022" s="8">
        <v>45482.568240000001</v>
      </c>
      <c r="L2022" s="8">
        <v>58533.40423</v>
      </c>
      <c r="M2022" s="9" t="str">
        <f>IF(A2022="",M2023,A2022)</f>
        <v>Italy</v>
      </c>
      <c r="N2022" s="3" t="str">
        <f t="shared" si="63"/>
        <v>May-2020</v>
      </c>
    </row>
    <row r="2023" spans="1:14" x14ac:dyDescent="0.3">
      <c r="A2023" s="3" t="s">
        <v>176</v>
      </c>
      <c r="B2023" s="3" t="s">
        <v>177</v>
      </c>
      <c r="C2023" s="8">
        <v>2020</v>
      </c>
      <c r="D2023" s="8">
        <v>6</v>
      </c>
      <c r="E2023" s="3" t="str">
        <f t="shared" si="62"/>
        <v>June</v>
      </c>
      <c r="F2023" s="3" t="s">
        <v>13</v>
      </c>
      <c r="G2023" s="8">
        <v>48575.61363</v>
      </c>
      <c r="H2023" s="8">
        <v>48589</v>
      </c>
      <c r="I2023" s="8">
        <v>11.803033920000001</v>
      </c>
      <c r="J2023" s="8">
        <v>52344.67772</v>
      </c>
      <c r="K2023" s="8">
        <v>45084.251960000001</v>
      </c>
      <c r="L2023" s="8">
        <v>59228.890789999998</v>
      </c>
      <c r="M2023" s="9" t="str">
        <f>IF(A2023="",M2024,A2023)</f>
        <v>Italy</v>
      </c>
      <c r="N2023" s="3" t="str">
        <f t="shared" si="63"/>
        <v>Jun-2020</v>
      </c>
    </row>
    <row r="2024" spans="1:14" x14ac:dyDescent="0.3">
      <c r="A2024" s="3" t="s">
        <v>176</v>
      </c>
      <c r="B2024" s="3" t="s">
        <v>177</v>
      </c>
      <c r="C2024" s="8">
        <v>2020</v>
      </c>
      <c r="D2024" s="8">
        <v>7</v>
      </c>
      <c r="E2024" s="3" t="str">
        <f t="shared" si="62"/>
        <v>July</v>
      </c>
      <c r="F2024" s="3" t="s">
        <v>13</v>
      </c>
      <c r="G2024" s="8">
        <v>50624.388250000004</v>
      </c>
      <c r="H2024" s="8">
        <v>51422</v>
      </c>
      <c r="I2024" s="8">
        <v>796.02841909999995</v>
      </c>
      <c r="J2024" s="8">
        <v>53140.706140000002</v>
      </c>
      <c r="K2024" s="8">
        <v>45341.133710000002</v>
      </c>
      <c r="L2024" s="8">
        <v>60808.529459999998</v>
      </c>
      <c r="M2024" s="9" t="str">
        <f>IF(A2024="",M2025,A2024)</f>
        <v>Italy</v>
      </c>
      <c r="N2024" s="3" t="str">
        <f t="shared" si="63"/>
        <v>Jul-2020</v>
      </c>
    </row>
    <row r="2025" spans="1:14" x14ac:dyDescent="0.3">
      <c r="A2025" s="3" t="s">
        <v>176</v>
      </c>
      <c r="B2025" s="3" t="s">
        <v>177</v>
      </c>
      <c r="C2025" s="8">
        <v>2020</v>
      </c>
      <c r="D2025" s="8">
        <v>8</v>
      </c>
      <c r="E2025" s="3" t="str">
        <f t="shared" si="62"/>
        <v>August</v>
      </c>
      <c r="F2025" s="3" t="s">
        <v>13</v>
      </c>
      <c r="G2025" s="8">
        <v>49827.357239999998</v>
      </c>
      <c r="H2025" s="8">
        <v>53744</v>
      </c>
      <c r="I2025" s="8">
        <v>3915.0594259999998</v>
      </c>
      <c r="J2025" s="8">
        <v>57055.765570000003</v>
      </c>
      <c r="K2025" s="8">
        <v>48822.580569999998</v>
      </c>
      <c r="L2025" s="8">
        <v>65061.68591</v>
      </c>
      <c r="M2025" s="9" t="str">
        <f>IF(A2025="",M2026,A2025)</f>
        <v>Italy</v>
      </c>
      <c r="N2025" s="3" t="str">
        <f t="shared" si="63"/>
        <v>Aug-2020</v>
      </c>
    </row>
    <row r="2026" spans="1:14" x14ac:dyDescent="0.3">
      <c r="A2026" s="3" t="s">
        <v>176</v>
      </c>
      <c r="B2026" s="3" t="s">
        <v>177</v>
      </c>
      <c r="C2026" s="8">
        <v>2020</v>
      </c>
      <c r="D2026" s="8">
        <v>9</v>
      </c>
      <c r="E2026" s="3" t="str">
        <f t="shared" si="62"/>
        <v>September</v>
      </c>
      <c r="F2026" s="3" t="s">
        <v>13</v>
      </c>
      <c r="G2026" s="8">
        <v>47094.515780000002</v>
      </c>
      <c r="H2026" s="8">
        <v>49326</v>
      </c>
      <c r="I2026" s="8">
        <v>2229.900885</v>
      </c>
      <c r="J2026" s="8">
        <v>59285.666449999997</v>
      </c>
      <c r="K2026" s="8">
        <v>50831.781269999999</v>
      </c>
      <c r="L2026" s="8">
        <v>67660.738679999995</v>
      </c>
      <c r="M2026" s="9" t="str">
        <f>IF(A2026="",M2027,A2026)</f>
        <v>Italy</v>
      </c>
      <c r="N2026" s="3" t="str">
        <f t="shared" si="63"/>
        <v>Sep-2020</v>
      </c>
    </row>
    <row r="2027" spans="1:14" x14ac:dyDescent="0.3">
      <c r="A2027" s="3" t="s">
        <v>176</v>
      </c>
      <c r="B2027" s="3" t="s">
        <v>177</v>
      </c>
      <c r="C2027" s="8">
        <v>2020</v>
      </c>
      <c r="D2027" s="8">
        <v>10</v>
      </c>
      <c r="E2027" s="3" t="str">
        <f t="shared" si="62"/>
        <v>October</v>
      </c>
      <c r="F2027" s="3" t="s">
        <v>13</v>
      </c>
      <c r="G2027" s="8">
        <v>49618.994939999997</v>
      </c>
      <c r="H2027" s="8">
        <v>59861</v>
      </c>
      <c r="I2027" s="8">
        <v>10240.42173</v>
      </c>
      <c r="J2027" s="8">
        <v>69526.088180000006</v>
      </c>
      <c r="K2027" s="8">
        <v>60375.174420000003</v>
      </c>
      <c r="L2027" s="8">
        <v>78872.578250000006</v>
      </c>
      <c r="M2027" s="9" t="str">
        <f>IF(A2027="",M2028,A2027)</f>
        <v>Italy</v>
      </c>
      <c r="N2027" s="3" t="str">
        <f t="shared" si="63"/>
        <v>Oct-2020</v>
      </c>
    </row>
    <row r="2028" spans="1:14" x14ac:dyDescent="0.3">
      <c r="A2028" s="3" t="s">
        <v>176</v>
      </c>
      <c r="B2028" s="3" t="s">
        <v>177</v>
      </c>
      <c r="C2028" s="8">
        <v>2020</v>
      </c>
      <c r="D2028" s="8">
        <v>11</v>
      </c>
      <c r="E2028" s="3" t="str">
        <f t="shared" si="62"/>
        <v>November</v>
      </c>
      <c r="F2028" s="3" t="s">
        <v>13</v>
      </c>
      <c r="G2028" s="8">
        <v>52911.472240000003</v>
      </c>
      <c r="H2028" s="8">
        <v>78470</v>
      </c>
      <c r="I2028" s="8">
        <v>25556.94442</v>
      </c>
      <c r="J2028" s="8">
        <v>95083.032609999995</v>
      </c>
      <c r="K2028" s="8">
        <v>85551.824940000006</v>
      </c>
      <c r="L2028" s="8">
        <v>104972.44190000001</v>
      </c>
      <c r="M2028" s="9" t="str">
        <f>IF(A2028="",M2029,A2028)</f>
        <v>Italy</v>
      </c>
      <c r="N2028" s="3" t="str">
        <f t="shared" si="63"/>
        <v>Nov-2020</v>
      </c>
    </row>
    <row r="2029" spans="1:14" x14ac:dyDescent="0.3">
      <c r="A2029" s="3" t="s">
        <v>176</v>
      </c>
      <c r="B2029" s="3" t="s">
        <v>177</v>
      </c>
      <c r="C2029" s="8">
        <v>2020</v>
      </c>
      <c r="D2029" s="8">
        <v>12</v>
      </c>
      <c r="E2029" s="3" t="str">
        <f t="shared" si="62"/>
        <v>December</v>
      </c>
      <c r="F2029" s="3" t="s">
        <v>13</v>
      </c>
      <c r="G2029" s="8">
        <v>60819.08481</v>
      </c>
      <c r="H2029" s="8">
        <v>74895</v>
      </c>
      <c r="I2029" s="8">
        <v>14074.33186</v>
      </c>
      <c r="J2029" s="8">
        <v>109157.3645</v>
      </c>
      <c r="K2029" s="8">
        <v>99374.192800000004</v>
      </c>
      <c r="L2029" s="8">
        <v>119476.5027</v>
      </c>
      <c r="M2029" s="9" t="str">
        <f>IF(A2029="",M2030,A2029)</f>
        <v>Italy</v>
      </c>
      <c r="N2029" s="3" t="str">
        <f t="shared" si="63"/>
        <v>Dec-2020</v>
      </c>
    </row>
    <row r="2030" spans="1:14" x14ac:dyDescent="0.3">
      <c r="A2030" s="3" t="s">
        <v>176</v>
      </c>
      <c r="B2030" s="3" t="s">
        <v>177</v>
      </c>
      <c r="C2030" s="8">
        <v>2021</v>
      </c>
      <c r="D2030" s="8">
        <v>1</v>
      </c>
      <c r="E2030" s="3" t="str">
        <f t="shared" si="62"/>
        <v>January</v>
      </c>
      <c r="F2030" s="3" t="s">
        <v>13</v>
      </c>
      <c r="G2030" s="8">
        <v>60747.411059999999</v>
      </c>
      <c r="H2030" s="8">
        <v>74550</v>
      </c>
      <c r="I2030" s="8">
        <v>13795.33894</v>
      </c>
      <c r="J2030" s="8">
        <v>122952.7034</v>
      </c>
      <c r="K2030" s="8">
        <v>112768.6453</v>
      </c>
      <c r="L2030" s="8">
        <v>133931.7164</v>
      </c>
      <c r="M2030" s="9" t="str">
        <f>IF(A2030="",M2031,A2030)</f>
        <v>Italy</v>
      </c>
      <c r="N2030" s="3" t="str">
        <f t="shared" si="63"/>
        <v>Jan-2021</v>
      </c>
    </row>
    <row r="2031" spans="1:14" x14ac:dyDescent="0.3">
      <c r="A2031" s="3" t="s">
        <v>176</v>
      </c>
      <c r="B2031" s="3" t="s">
        <v>177</v>
      </c>
      <c r="C2031" s="8">
        <v>2021</v>
      </c>
      <c r="D2031" s="8">
        <v>2</v>
      </c>
      <c r="E2031" s="3" t="str">
        <f t="shared" si="62"/>
        <v>February</v>
      </c>
      <c r="F2031" s="3" t="s">
        <v>13</v>
      </c>
      <c r="G2031" s="8">
        <v>58187.212160000003</v>
      </c>
      <c r="H2031" s="8">
        <v>59389</v>
      </c>
      <c r="I2031" s="8">
        <v>1194.5378410000001</v>
      </c>
      <c r="J2031" s="8">
        <v>124147.2412</v>
      </c>
      <c r="K2031" s="8">
        <v>113303.96339999999</v>
      </c>
      <c r="L2031" s="8">
        <v>135595.52970000001</v>
      </c>
      <c r="M2031" s="9" t="str">
        <f>IF(A2031="",M2032,A2031)</f>
        <v>Italy</v>
      </c>
      <c r="N2031" s="3" t="str">
        <f t="shared" si="63"/>
        <v>Feb-2021</v>
      </c>
    </row>
    <row r="2032" spans="1:14" x14ac:dyDescent="0.3">
      <c r="A2032" s="3" t="s">
        <v>176</v>
      </c>
      <c r="B2032" s="3" t="s">
        <v>177</v>
      </c>
      <c r="C2032" s="8">
        <v>2021</v>
      </c>
      <c r="D2032" s="8">
        <v>3</v>
      </c>
      <c r="E2032" s="3" t="str">
        <f t="shared" si="62"/>
        <v>March</v>
      </c>
      <c r="F2032" s="3" t="s">
        <v>13</v>
      </c>
      <c r="G2032" s="8">
        <v>56179.112650000003</v>
      </c>
      <c r="H2032" s="8">
        <v>68507</v>
      </c>
      <c r="I2032" s="8">
        <v>12320.637350000001</v>
      </c>
      <c r="J2032" s="8">
        <v>136467.8786</v>
      </c>
      <c r="K2032" s="8">
        <v>125439.7129</v>
      </c>
      <c r="L2032" s="8">
        <v>148185.19829999999</v>
      </c>
      <c r="M2032" s="9" t="str">
        <f>IF(A2032="",M2033,A2032)</f>
        <v>Italy</v>
      </c>
      <c r="N2032" s="3" t="str">
        <f t="shared" si="63"/>
        <v>Mar-2021</v>
      </c>
    </row>
    <row r="2033" spans="1:14" x14ac:dyDescent="0.3">
      <c r="A2033" s="3" t="s">
        <v>176</v>
      </c>
      <c r="B2033" s="3" t="s">
        <v>177</v>
      </c>
      <c r="C2033" s="8">
        <v>2021</v>
      </c>
      <c r="D2033" s="8">
        <v>4</v>
      </c>
      <c r="E2033" s="3" t="str">
        <f t="shared" si="62"/>
        <v>April</v>
      </c>
      <c r="F2033" s="3" t="s">
        <v>13</v>
      </c>
      <c r="G2033" s="8">
        <v>51606.39372</v>
      </c>
      <c r="H2033" s="8">
        <v>63434</v>
      </c>
      <c r="I2033" s="8">
        <v>11820.35628</v>
      </c>
      <c r="J2033" s="8">
        <v>148288.23490000001</v>
      </c>
      <c r="K2033" s="8">
        <v>136307.71590000001</v>
      </c>
      <c r="L2033" s="8">
        <v>160438.39360000001</v>
      </c>
      <c r="M2033" s="9" t="str">
        <f>IF(A2033="",M2034,A2033)</f>
        <v>Italy</v>
      </c>
      <c r="N2033" s="3" t="str">
        <f t="shared" si="63"/>
        <v>Apr-2021</v>
      </c>
    </row>
    <row r="2034" spans="1:14" x14ac:dyDescent="0.3">
      <c r="A2034" s="3" t="s">
        <v>176</v>
      </c>
      <c r="B2034" s="3" t="s">
        <v>177</v>
      </c>
      <c r="C2034" s="8">
        <v>2021</v>
      </c>
      <c r="D2034" s="8">
        <v>5</v>
      </c>
      <c r="E2034" s="3" t="str">
        <f t="shared" si="62"/>
        <v>May</v>
      </c>
      <c r="F2034" s="3" t="s">
        <v>13</v>
      </c>
      <c r="G2034" s="8">
        <v>49425.912490000002</v>
      </c>
      <c r="H2034" s="8">
        <v>54802</v>
      </c>
      <c r="I2034" s="8">
        <v>5368.8375079999996</v>
      </c>
      <c r="J2034" s="8">
        <v>153657.0724</v>
      </c>
      <c r="K2034" s="8">
        <v>141413.128</v>
      </c>
      <c r="L2034" s="8">
        <v>166208.79689999999</v>
      </c>
      <c r="M2034" s="9" t="str">
        <f>IF(A2034="",M2035,A2034)</f>
        <v>Italy</v>
      </c>
      <c r="N2034" s="3" t="str">
        <f t="shared" si="63"/>
        <v>May-2021</v>
      </c>
    </row>
    <row r="2035" spans="1:14" x14ac:dyDescent="0.3">
      <c r="A2035" s="3" t="s">
        <v>176</v>
      </c>
      <c r="B2035" s="3" t="s">
        <v>177</v>
      </c>
      <c r="C2035" s="8">
        <v>2021</v>
      </c>
      <c r="D2035" s="8">
        <v>6</v>
      </c>
      <c r="E2035" s="3" t="str">
        <f t="shared" si="62"/>
        <v>June</v>
      </c>
      <c r="F2035" s="3" t="s">
        <v>13</v>
      </c>
      <c r="G2035" s="8">
        <v>48369.290330000003</v>
      </c>
      <c r="H2035" s="8">
        <v>52201</v>
      </c>
      <c r="I2035" s="8">
        <v>3824.459672</v>
      </c>
      <c r="J2035" s="8">
        <v>157481.53210000001</v>
      </c>
      <c r="K2035" s="8">
        <v>144902.02359999999</v>
      </c>
      <c r="L2035" s="8">
        <v>171487.51850000001</v>
      </c>
      <c r="M2035" s="9" t="str">
        <f>IF(A2035="",M2036,A2035)</f>
        <v>Italy</v>
      </c>
      <c r="N2035" s="3" t="str">
        <f t="shared" si="63"/>
        <v>Jun-2021</v>
      </c>
    </row>
    <row r="2036" spans="1:14" x14ac:dyDescent="0.3">
      <c r="A2036" s="3" t="s">
        <v>176</v>
      </c>
      <c r="B2036" s="3" t="s">
        <v>177</v>
      </c>
      <c r="C2036" s="8">
        <v>2021</v>
      </c>
      <c r="D2036" s="8">
        <v>7</v>
      </c>
      <c r="E2036" s="3" t="str">
        <f t="shared" si="62"/>
        <v>July</v>
      </c>
      <c r="F2036" s="3" t="s">
        <v>13</v>
      </c>
      <c r="G2036" s="8">
        <v>50415.242810000003</v>
      </c>
      <c r="H2036" s="8">
        <v>53668</v>
      </c>
      <c r="I2036" s="8">
        <v>3245.5071929999999</v>
      </c>
      <c r="J2036" s="8">
        <v>160727.0393</v>
      </c>
      <c r="K2036" s="8">
        <v>147459.7015</v>
      </c>
      <c r="L2036" s="8">
        <v>174527.8444</v>
      </c>
      <c r="M2036" s="9" t="str">
        <f>IF(A2036="",M2037,A2036)</f>
        <v>Italy</v>
      </c>
      <c r="N2036" s="3" t="str">
        <f t="shared" si="63"/>
        <v>Jul-2021</v>
      </c>
    </row>
    <row r="2037" spans="1:14" x14ac:dyDescent="0.3">
      <c r="A2037" s="3" t="s">
        <v>176</v>
      </c>
      <c r="B2037" s="3" t="s">
        <v>177</v>
      </c>
      <c r="C2037" s="8">
        <v>2021</v>
      </c>
      <c r="D2037" s="8">
        <v>8</v>
      </c>
      <c r="E2037" s="3" t="str">
        <f t="shared" si="62"/>
        <v>August</v>
      </c>
      <c r="F2037" s="3" t="s">
        <v>13</v>
      </c>
      <c r="G2037" s="8">
        <v>49582.650560000002</v>
      </c>
      <c r="H2037" s="8">
        <v>56594</v>
      </c>
      <c r="I2037" s="8">
        <v>7004.0994410000003</v>
      </c>
      <c r="J2037" s="8">
        <v>167731.13870000001</v>
      </c>
      <c r="K2037" s="8">
        <v>153945.91560000001</v>
      </c>
      <c r="L2037" s="8">
        <v>181827.77849999999</v>
      </c>
      <c r="M2037" s="9" t="str">
        <f>IF(A2037="",M2038,A2037)</f>
        <v>Italy</v>
      </c>
      <c r="N2037" s="3" t="str">
        <f t="shared" si="63"/>
        <v>Aug-2021</v>
      </c>
    </row>
    <row r="2038" spans="1:14" x14ac:dyDescent="0.3">
      <c r="A2038" s="3" t="s">
        <v>176</v>
      </c>
      <c r="B2038" s="3" t="s">
        <v>177</v>
      </c>
      <c r="C2038" s="8">
        <v>2021</v>
      </c>
      <c r="D2038" s="8">
        <v>9</v>
      </c>
      <c r="E2038" s="3" t="str">
        <f t="shared" si="62"/>
        <v>September</v>
      </c>
      <c r="F2038" s="3" t="s">
        <v>13</v>
      </c>
      <c r="G2038" s="8">
        <v>46861.982309999999</v>
      </c>
      <c r="H2038" s="8">
        <v>51456</v>
      </c>
      <c r="I2038" s="8">
        <v>4586.7676940000001</v>
      </c>
      <c r="J2038" s="8">
        <v>172317.90640000001</v>
      </c>
      <c r="K2038" s="8">
        <v>158636.94589999999</v>
      </c>
      <c r="L2038" s="8">
        <v>186817.27929999999</v>
      </c>
      <c r="M2038" s="9" t="str">
        <f>IF(A2038="",M2039,A2038)</f>
        <v>Italy</v>
      </c>
      <c r="N2038" s="3" t="str">
        <f t="shared" si="63"/>
        <v>Sep-2021</v>
      </c>
    </row>
    <row r="2039" spans="1:14" x14ac:dyDescent="0.3">
      <c r="A2039" s="3" t="s">
        <v>176</v>
      </c>
      <c r="B2039" s="3" t="s">
        <v>177</v>
      </c>
      <c r="C2039" s="8">
        <v>2021</v>
      </c>
      <c r="D2039" s="8">
        <v>10</v>
      </c>
      <c r="E2039" s="3" t="str">
        <f t="shared" si="62"/>
        <v>October</v>
      </c>
      <c r="F2039" s="3" t="s">
        <v>13</v>
      </c>
      <c r="G2039" s="8">
        <v>49318.901859999998</v>
      </c>
      <c r="H2039" s="8">
        <v>54463</v>
      </c>
      <c r="I2039" s="8">
        <v>5136.8481380000003</v>
      </c>
      <c r="J2039" s="8">
        <v>177454.75450000001</v>
      </c>
      <c r="K2039" s="8">
        <v>163614.61670000001</v>
      </c>
      <c r="L2039" s="8">
        <v>191936.91810000001</v>
      </c>
      <c r="M2039" s="9" t="str">
        <f>IF(A2039="",M2040,A2039)</f>
        <v>Italy</v>
      </c>
      <c r="N2039" s="3" t="str">
        <f t="shared" si="63"/>
        <v>Oct-2021</v>
      </c>
    </row>
    <row r="2040" spans="1:14" x14ac:dyDescent="0.3">
      <c r="A2040" s="3" t="s">
        <v>176</v>
      </c>
      <c r="B2040" s="3" t="s">
        <v>177</v>
      </c>
      <c r="C2040" s="8">
        <v>2021</v>
      </c>
      <c r="D2040" s="8">
        <v>11</v>
      </c>
      <c r="E2040" s="3" t="str">
        <f t="shared" si="62"/>
        <v>November</v>
      </c>
      <c r="F2040" s="3" t="s">
        <v>13</v>
      </c>
      <c r="G2040" s="8">
        <v>52604.130879999997</v>
      </c>
      <c r="H2040" s="8">
        <v>54870</v>
      </c>
      <c r="I2040" s="8">
        <v>2258.6191199999998</v>
      </c>
      <c r="J2040" s="8">
        <v>179713.3737</v>
      </c>
      <c r="K2040" s="8">
        <v>165764.03080000001</v>
      </c>
      <c r="L2040" s="8">
        <v>195317.99460000001</v>
      </c>
      <c r="M2040" s="9" t="str">
        <f>IF(A2040="",M2041,A2040)</f>
        <v>Italy</v>
      </c>
      <c r="N2040" s="3" t="str">
        <f t="shared" si="63"/>
        <v>Nov-2021</v>
      </c>
    </row>
    <row r="2041" spans="1:14" x14ac:dyDescent="0.3">
      <c r="A2041" s="3" t="s">
        <v>176</v>
      </c>
      <c r="B2041" s="3" t="s">
        <v>177</v>
      </c>
      <c r="C2041" s="8">
        <v>2021</v>
      </c>
      <c r="D2041" s="8">
        <v>12</v>
      </c>
      <c r="E2041" s="3" t="str">
        <f t="shared" si="62"/>
        <v>December</v>
      </c>
      <c r="F2041" s="3" t="s">
        <v>13</v>
      </c>
      <c r="G2041" s="8">
        <v>60542.903689999999</v>
      </c>
      <c r="H2041" s="8">
        <v>65101</v>
      </c>
      <c r="I2041" s="8">
        <v>4550.8463080000001</v>
      </c>
      <c r="J2041" s="8">
        <v>184264.22</v>
      </c>
      <c r="K2041" s="8">
        <v>168849.0349</v>
      </c>
      <c r="L2041" s="8">
        <v>199966.7421</v>
      </c>
      <c r="M2041" s="9" t="str">
        <f>IF(A2041="",M2042,A2041)</f>
        <v>Italy</v>
      </c>
      <c r="N2041" s="3" t="str">
        <f t="shared" si="63"/>
        <v>Dec-2021</v>
      </c>
    </row>
    <row r="2042" spans="1:14" x14ac:dyDescent="0.3">
      <c r="A2042" s="3" t="s">
        <v>178</v>
      </c>
      <c r="B2042" s="3" t="s">
        <v>179</v>
      </c>
      <c r="C2042" s="8">
        <v>2020</v>
      </c>
      <c r="D2042" s="8">
        <v>1</v>
      </c>
      <c r="E2042" s="3" t="str">
        <f t="shared" si="62"/>
        <v>January</v>
      </c>
      <c r="F2042" s="3" t="s">
        <v>13</v>
      </c>
      <c r="G2042" s="8">
        <v>1615.6022680000001</v>
      </c>
      <c r="H2042" s="8">
        <v>1596</v>
      </c>
      <c r="I2042" s="8">
        <v>-39.935601290000001</v>
      </c>
      <c r="J2042" s="8">
        <v>-39.935601290000001</v>
      </c>
      <c r="K2042" s="8">
        <v>-100.4876976</v>
      </c>
      <c r="L2042" s="8">
        <v>18.05603176</v>
      </c>
      <c r="M2042" s="9" t="str">
        <f>IF(A2042="",M2043,A2042)</f>
        <v>Jamaica</v>
      </c>
      <c r="N2042" s="3" t="str">
        <f t="shared" si="63"/>
        <v>Jan-2020</v>
      </c>
    </row>
    <row r="2043" spans="1:14" x14ac:dyDescent="0.3">
      <c r="A2043" s="3" t="s">
        <v>178</v>
      </c>
      <c r="B2043" s="3" t="s">
        <v>179</v>
      </c>
      <c r="C2043" s="8">
        <v>2020</v>
      </c>
      <c r="D2043" s="8">
        <v>2</v>
      </c>
      <c r="E2043" s="3" t="str">
        <f t="shared" si="62"/>
        <v>February</v>
      </c>
      <c r="F2043" s="3" t="s">
        <v>13</v>
      </c>
      <c r="G2043" s="8">
        <v>1629.0203349999999</v>
      </c>
      <c r="H2043" s="8">
        <v>1453</v>
      </c>
      <c r="I2043" s="8">
        <v>-196.35366819999999</v>
      </c>
      <c r="J2043" s="8">
        <v>-236.28926949999999</v>
      </c>
      <c r="K2043" s="8">
        <v>-327.21718989999999</v>
      </c>
      <c r="L2043" s="8">
        <v>-145.55389460000001</v>
      </c>
      <c r="M2043" s="9" t="str">
        <f>IF(A2043="",M2044,A2043)</f>
        <v>Jamaica</v>
      </c>
      <c r="N2043" s="3" t="str">
        <f t="shared" si="63"/>
        <v>Feb-2020</v>
      </c>
    </row>
    <row r="2044" spans="1:14" x14ac:dyDescent="0.3">
      <c r="A2044" s="3" t="s">
        <v>178</v>
      </c>
      <c r="B2044" s="3" t="s">
        <v>179</v>
      </c>
      <c r="C2044" s="8">
        <v>2020</v>
      </c>
      <c r="D2044" s="8">
        <v>3</v>
      </c>
      <c r="E2044" s="3" t="str">
        <f t="shared" si="62"/>
        <v>March</v>
      </c>
      <c r="F2044" s="3" t="s">
        <v>13</v>
      </c>
      <c r="G2044" s="8">
        <v>1609.3403450000001</v>
      </c>
      <c r="H2044" s="8">
        <v>1525</v>
      </c>
      <c r="I2044" s="8">
        <v>-104.67367849999999</v>
      </c>
      <c r="J2044" s="8">
        <v>-340.96294799999998</v>
      </c>
      <c r="K2044" s="8">
        <v>-453.52155269999997</v>
      </c>
      <c r="L2044" s="8">
        <v>-226.36096699999999</v>
      </c>
      <c r="M2044" s="9" t="str">
        <f>IF(A2044="",M2045,A2044)</f>
        <v>Jamaica</v>
      </c>
      <c r="N2044" s="3" t="str">
        <f t="shared" si="63"/>
        <v>Mar-2020</v>
      </c>
    </row>
    <row r="2045" spans="1:14" x14ac:dyDescent="0.3">
      <c r="A2045" s="3" t="s">
        <v>178</v>
      </c>
      <c r="B2045" s="3" t="s">
        <v>179</v>
      </c>
      <c r="C2045" s="8">
        <v>2020</v>
      </c>
      <c r="D2045" s="8">
        <v>4</v>
      </c>
      <c r="E2045" s="3" t="str">
        <f t="shared" si="62"/>
        <v>April</v>
      </c>
      <c r="F2045" s="3" t="s">
        <v>13</v>
      </c>
      <c r="G2045" s="8">
        <v>1556.8483209999999</v>
      </c>
      <c r="H2045" s="8">
        <v>1479</v>
      </c>
      <c r="I2045" s="8">
        <v>-98.181654809999998</v>
      </c>
      <c r="J2045" s="8">
        <v>-439.14460279999997</v>
      </c>
      <c r="K2045" s="8">
        <v>-569.94868489999999</v>
      </c>
      <c r="L2045" s="8">
        <v>-298.05278529999998</v>
      </c>
      <c r="M2045" s="9" t="str">
        <f>IF(A2045="",M2046,A2045)</f>
        <v>Jamaica</v>
      </c>
      <c r="N2045" s="3" t="str">
        <f t="shared" si="63"/>
        <v>Apr-2020</v>
      </c>
    </row>
    <row r="2046" spans="1:14" x14ac:dyDescent="0.3">
      <c r="A2046" s="3" t="s">
        <v>178</v>
      </c>
      <c r="B2046" s="3" t="s">
        <v>179</v>
      </c>
      <c r="C2046" s="8">
        <v>2020</v>
      </c>
      <c r="D2046" s="8">
        <v>5</v>
      </c>
      <c r="E2046" s="3" t="str">
        <f t="shared" si="62"/>
        <v>May</v>
      </c>
      <c r="F2046" s="3" t="s">
        <v>13</v>
      </c>
      <c r="G2046" s="8">
        <v>1543.724005</v>
      </c>
      <c r="H2046" s="8">
        <v>1462</v>
      </c>
      <c r="I2046" s="8">
        <v>-102.0573385</v>
      </c>
      <c r="J2046" s="8">
        <v>-541.20194130000004</v>
      </c>
      <c r="K2046" s="8">
        <v>-690.23628980000001</v>
      </c>
      <c r="L2046" s="8">
        <v>-385.72017770000002</v>
      </c>
      <c r="M2046" s="9" t="str">
        <f>IF(A2046="",M2047,A2046)</f>
        <v>Jamaica</v>
      </c>
      <c r="N2046" s="3" t="str">
        <f t="shared" si="63"/>
        <v>May-2020</v>
      </c>
    </row>
    <row r="2047" spans="1:14" x14ac:dyDescent="0.3">
      <c r="A2047" s="3" t="s">
        <v>178</v>
      </c>
      <c r="B2047" s="3" t="s">
        <v>179</v>
      </c>
      <c r="C2047" s="8">
        <v>2020</v>
      </c>
      <c r="D2047" s="8">
        <v>6</v>
      </c>
      <c r="E2047" s="3" t="str">
        <f t="shared" si="62"/>
        <v>June</v>
      </c>
      <c r="F2047" s="3" t="s">
        <v>13</v>
      </c>
      <c r="G2047" s="8">
        <v>1562.7894550000001</v>
      </c>
      <c r="H2047" s="8">
        <v>1503</v>
      </c>
      <c r="I2047" s="8">
        <v>-80.122788720000003</v>
      </c>
      <c r="J2047" s="8">
        <v>-621.32473000000005</v>
      </c>
      <c r="K2047" s="8">
        <v>-794.13028220000001</v>
      </c>
      <c r="L2047" s="8">
        <v>-442.1157048</v>
      </c>
      <c r="M2047" s="9" t="str">
        <f>IF(A2047="",M2048,A2047)</f>
        <v>Jamaica</v>
      </c>
      <c r="N2047" s="3" t="str">
        <f t="shared" si="63"/>
        <v>Jun-2020</v>
      </c>
    </row>
    <row r="2048" spans="1:14" x14ac:dyDescent="0.3">
      <c r="A2048" s="3" t="s">
        <v>178</v>
      </c>
      <c r="B2048" s="3" t="s">
        <v>179</v>
      </c>
      <c r="C2048" s="8">
        <v>2020</v>
      </c>
      <c r="D2048" s="8">
        <v>7</v>
      </c>
      <c r="E2048" s="3" t="str">
        <f t="shared" si="62"/>
        <v>July</v>
      </c>
      <c r="F2048" s="3" t="s">
        <v>13</v>
      </c>
      <c r="G2048" s="8">
        <v>1583.9329379999999</v>
      </c>
      <c r="H2048" s="8">
        <v>1551</v>
      </c>
      <c r="I2048" s="8">
        <v>-53.266271760000002</v>
      </c>
      <c r="J2048" s="8">
        <v>-674.59100179999996</v>
      </c>
      <c r="K2048" s="8">
        <v>-858.88001799999995</v>
      </c>
      <c r="L2048" s="8">
        <v>-485.92665219999998</v>
      </c>
      <c r="M2048" s="9" t="str">
        <f>IF(A2048="",M2049,A2048)</f>
        <v>Jamaica</v>
      </c>
      <c r="N2048" s="3" t="str">
        <f t="shared" si="63"/>
        <v>Jul-2020</v>
      </c>
    </row>
    <row r="2049" spans="1:14" x14ac:dyDescent="0.3">
      <c r="A2049" s="3" t="s">
        <v>178</v>
      </c>
      <c r="B2049" s="3" t="s">
        <v>179</v>
      </c>
      <c r="C2049" s="8">
        <v>2020</v>
      </c>
      <c r="D2049" s="8">
        <v>8</v>
      </c>
      <c r="E2049" s="3" t="str">
        <f t="shared" si="62"/>
        <v>August</v>
      </c>
      <c r="F2049" s="3" t="s">
        <v>13</v>
      </c>
      <c r="G2049" s="8">
        <v>1559.587687</v>
      </c>
      <c r="H2049" s="8">
        <v>1672</v>
      </c>
      <c r="I2049" s="8">
        <v>92.0789793</v>
      </c>
      <c r="J2049" s="8">
        <v>-582.51202249999994</v>
      </c>
      <c r="K2049" s="8">
        <v>-778.61218829999996</v>
      </c>
      <c r="L2049" s="8">
        <v>-383.90711299999998</v>
      </c>
      <c r="M2049" s="9" t="str">
        <f>IF(A2049="",M2050,A2049)</f>
        <v>Jamaica</v>
      </c>
      <c r="N2049" s="3" t="str">
        <f t="shared" si="63"/>
        <v>Aug-2020</v>
      </c>
    </row>
    <row r="2050" spans="1:14" x14ac:dyDescent="0.3">
      <c r="A2050" s="3" t="s">
        <v>178</v>
      </c>
      <c r="B2050" s="3" t="s">
        <v>179</v>
      </c>
      <c r="C2050" s="8">
        <v>2020</v>
      </c>
      <c r="D2050" s="8">
        <v>9</v>
      </c>
      <c r="E2050" s="3" t="str">
        <f t="shared" ref="E2050:E2113" si="64">TEXT(DATE(C2050,D2050,1),"MMMM")</f>
        <v>September</v>
      </c>
      <c r="F2050" s="3" t="s">
        <v>13</v>
      </c>
      <c r="G2050" s="8">
        <v>1535.4143039999999</v>
      </c>
      <c r="H2050" s="8">
        <v>1685</v>
      </c>
      <c r="I2050" s="8">
        <v>129.25236229999999</v>
      </c>
      <c r="J2050" s="8">
        <v>-453.25966019999998</v>
      </c>
      <c r="K2050" s="8">
        <v>-659.46276</v>
      </c>
      <c r="L2050" s="8">
        <v>-241.96722270000001</v>
      </c>
      <c r="M2050" s="9" t="str">
        <f>IF(A2050="",M2051,A2050)</f>
        <v>Jamaica</v>
      </c>
      <c r="N2050" s="3" t="str">
        <f t="shared" ref="N2050:N2113" si="65">TEXT(DATE(C2050,D2050,1),"MMM-YYYY")</f>
        <v>Sep-2020</v>
      </c>
    </row>
    <row r="2051" spans="1:14" x14ac:dyDescent="0.3">
      <c r="A2051" s="3" t="s">
        <v>178</v>
      </c>
      <c r="B2051" s="3" t="s">
        <v>179</v>
      </c>
      <c r="C2051" s="8">
        <v>2020</v>
      </c>
      <c r="D2051" s="8">
        <v>10</v>
      </c>
      <c r="E2051" s="3" t="str">
        <f t="shared" si="64"/>
        <v>October</v>
      </c>
      <c r="F2051" s="3" t="s">
        <v>13</v>
      </c>
      <c r="G2051" s="8">
        <v>1535.18614</v>
      </c>
      <c r="H2051" s="8">
        <v>1659</v>
      </c>
      <c r="I2051" s="8">
        <v>103.48052680000001</v>
      </c>
      <c r="J2051" s="8">
        <v>-349.7791335</v>
      </c>
      <c r="K2051" s="8">
        <v>-571.90099580000003</v>
      </c>
      <c r="L2051" s="8">
        <v>-115.35363</v>
      </c>
      <c r="M2051" s="9" t="str">
        <f>IF(A2051="",M2052,A2051)</f>
        <v>Jamaica</v>
      </c>
      <c r="N2051" s="3" t="str">
        <f t="shared" si="65"/>
        <v>Oct-2020</v>
      </c>
    </row>
    <row r="2052" spans="1:14" x14ac:dyDescent="0.3">
      <c r="A2052" s="3" t="s">
        <v>178</v>
      </c>
      <c r="B2052" s="3" t="s">
        <v>179</v>
      </c>
      <c r="C2052" s="8">
        <v>2020</v>
      </c>
      <c r="D2052" s="8">
        <v>11</v>
      </c>
      <c r="E2052" s="3" t="str">
        <f t="shared" si="64"/>
        <v>November</v>
      </c>
      <c r="F2052" s="3" t="s">
        <v>13</v>
      </c>
      <c r="G2052" s="8">
        <v>1569.5044350000001</v>
      </c>
      <c r="H2052" s="8">
        <v>1628</v>
      </c>
      <c r="I2052" s="8">
        <v>38.162231839999997</v>
      </c>
      <c r="J2052" s="8">
        <v>-311.61690160000001</v>
      </c>
      <c r="K2052" s="8">
        <v>-535.81239970000001</v>
      </c>
      <c r="L2052" s="8">
        <v>-79.229080179999997</v>
      </c>
      <c r="M2052" s="9" t="str">
        <f>IF(A2052="",M2053,A2052)</f>
        <v>Jamaica</v>
      </c>
      <c r="N2052" s="3" t="str">
        <f t="shared" si="65"/>
        <v>Nov-2020</v>
      </c>
    </row>
    <row r="2053" spans="1:14" x14ac:dyDescent="0.3">
      <c r="A2053" s="3" t="s">
        <v>178</v>
      </c>
      <c r="B2053" s="3" t="s">
        <v>179</v>
      </c>
      <c r="C2053" s="8">
        <v>2020</v>
      </c>
      <c r="D2053" s="8">
        <v>12</v>
      </c>
      <c r="E2053" s="3" t="str">
        <f t="shared" si="64"/>
        <v>December</v>
      </c>
      <c r="F2053" s="3" t="s">
        <v>13</v>
      </c>
      <c r="G2053" s="8">
        <v>1632.0640760000001</v>
      </c>
      <c r="H2053" s="8">
        <v>1765</v>
      </c>
      <c r="I2053" s="8">
        <v>112.6025909</v>
      </c>
      <c r="J2053" s="8">
        <v>-199.01431070000001</v>
      </c>
      <c r="K2053" s="8">
        <v>-423.07843209999999</v>
      </c>
      <c r="L2053" s="8">
        <v>35.084316690000001</v>
      </c>
      <c r="M2053" s="9" t="str">
        <f>IF(A2053="",M2054,A2053)</f>
        <v>Jamaica</v>
      </c>
      <c r="N2053" s="3" t="str">
        <f t="shared" si="65"/>
        <v>Dec-2020</v>
      </c>
    </row>
    <row r="2054" spans="1:14" x14ac:dyDescent="0.3">
      <c r="A2054" s="3" t="s">
        <v>178</v>
      </c>
      <c r="B2054" s="3" t="s">
        <v>179</v>
      </c>
      <c r="C2054" s="8">
        <v>2021</v>
      </c>
      <c r="D2054" s="8">
        <v>1</v>
      </c>
      <c r="E2054" s="3" t="str">
        <f t="shared" si="64"/>
        <v>January</v>
      </c>
      <c r="F2054" s="3" t="s">
        <v>13</v>
      </c>
      <c r="G2054" s="8">
        <v>1636.437541</v>
      </c>
      <c r="H2054" s="8">
        <v>1704</v>
      </c>
      <c r="I2054" s="8">
        <v>45.47912607</v>
      </c>
      <c r="J2054" s="8">
        <v>-153.5351847</v>
      </c>
      <c r="K2054" s="8">
        <v>-390.46705880000002</v>
      </c>
      <c r="L2054" s="8">
        <v>100.59667210000001</v>
      </c>
      <c r="M2054" s="9" t="str">
        <f>IF(A2054="",M2055,A2054)</f>
        <v>Jamaica</v>
      </c>
      <c r="N2054" s="3" t="str">
        <f t="shared" si="65"/>
        <v>Jan-2021</v>
      </c>
    </row>
    <row r="2055" spans="1:14" x14ac:dyDescent="0.3">
      <c r="A2055" s="3" t="s">
        <v>178</v>
      </c>
      <c r="B2055" s="3" t="s">
        <v>179</v>
      </c>
      <c r="C2055" s="8">
        <v>2021</v>
      </c>
      <c r="D2055" s="8">
        <v>2</v>
      </c>
      <c r="E2055" s="3" t="str">
        <f t="shared" si="64"/>
        <v>February</v>
      </c>
      <c r="F2055" s="3" t="s">
        <v>13</v>
      </c>
      <c r="G2055" s="8">
        <v>1650.6046570000001</v>
      </c>
      <c r="H2055" s="8">
        <v>1806</v>
      </c>
      <c r="I2055" s="8">
        <v>133.3120098</v>
      </c>
      <c r="J2055" s="8">
        <v>-20.223174820000001</v>
      </c>
      <c r="K2055" s="8">
        <v>-286.87402250000002</v>
      </c>
      <c r="L2055" s="8">
        <v>250.4726962</v>
      </c>
      <c r="M2055" s="9" t="str">
        <f>IF(A2055="",M2056,A2055)</f>
        <v>Jamaica</v>
      </c>
      <c r="N2055" s="3" t="str">
        <f t="shared" si="65"/>
        <v>Feb-2021</v>
      </c>
    </row>
    <row r="2056" spans="1:14" x14ac:dyDescent="0.3">
      <c r="A2056" s="3" t="s">
        <v>178</v>
      </c>
      <c r="B2056" s="3" t="s">
        <v>179</v>
      </c>
      <c r="C2056" s="8">
        <v>2021</v>
      </c>
      <c r="D2056" s="8">
        <v>3</v>
      </c>
      <c r="E2056" s="3" t="str">
        <f t="shared" si="64"/>
        <v>March</v>
      </c>
      <c r="F2056" s="3" t="s">
        <v>13</v>
      </c>
      <c r="G2056" s="8">
        <v>1627.921726</v>
      </c>
      <c r="H2056" s="8">
        <v>2435</v>
      </c>
      <c r="I2056" s="8">
        <v>784.99494100000004</v>
      </c>
      <c r="J2056" s="8">
        <v>764.77176610000004</v>
      </c>
      <c r="K2056" s="8">
        <v>493.11214610000002</v>
      </c>
      <c r="L2056" s="8">
        <v>1038.6493740000001</v>
      </c>
      <c r="M2056" s="9" t="str">
        <f>IF(A2056="",M2057,A2056)</f>
        <v>Jamaica</v>
      </c>
      <c r="N2056" s="3" t="str">
        <f t="shared" si="65"/>
        <v>Mar-2021</v>
      </c>
    </row>
    <row r="2057" spans="1:14" x14ac:dyDescent="0.3">
      <c r="A2057" s="3" t="s">
        <v>178</v>
      </c>
      <c r="B2057" s="3" t="s">
        <v>179</v>
      </c>
      <c r="C2057" s="8">
        <v>2021</v>
      </c>
      <c r="D2057" s="8">
        <v>4</v>
      </c>
      <c r="E2057" s="3" t="str">
        <f t="shared" si="64"/>
        <v>April</v>
      </c>
      <c r="F2057" s="3" t="s">
        <v>13</v>
      </c>
      <c r="G2057" s="8">
        <v>1578.614174</v>
      </c>
      <c r="H2057" s="8">
        <v>1892</v>
      </c>
      <c r="I2057" s="8">
        <v>291.30249250000003</v>
      </c>
      <c r="J2057" s="8">
        <v>1056.074259</v>
      </c>
      <c r="K2057" s="8">
        <v>770.41186900000002</v>
      </c>
      <c r="L2057" s="8">
        <v>1334.5740599999999</v>
      </c>
      <c r="M2057" s="9" t="str">
        <f>IF(A2057="",M2058,A2057)</f>
        <v>Jamaica</v>
      </c>
      <c r="N2057" s="3" t="str">
        <f t="shared" si="65"/>
        <v>Apr-2021</v>
      </c>
    </row>
    <row r="2058" spans="1:14" x14ac:dyDescent="0.3">
      <c r="A2058" s="3" t="s">
        <v>178</v>
      </c>
      <c r="B2058" s="3" t="s">
        <v>179</v>
      </c>
      <c r="C2058" s="8">
        <v>2021</v>
      </c>
      <c r="D2058" s="8">
        <v>5</v>
      </c>
      <c r="E2058" s="3" t="str">
        <f t="shared" si="64"/>
        <v>May</v>
      </c>
      <c r="F2058" s="3" t="s">
        <v>13</v>
      </c>
      <c r="G2058" s="8">
        <v>1559.8507139999999</v>
      </c>
      <c r="H2058" s="8">
        <v>1713</v>
      </c>
      <c r="I2058" s="8">
        <v>131.06595300000001</v>
      </c>
      <c r="J2058" s="8">
        <v>1187.140212</v>
      </c>
      <c r="K2058" s="8">
        <v>891.17614890000004</v>
      </c>
      <c r="L2058" s="8">
        <v>1468.382044</v>
      </c>
      <c r="M2058" s="9" t="str">
        <f>IF(A2058="",M2059,A2058)</f>
        <v>Jamaica</v>
      </c>
      <c r="N2058" s="3" t="str">
        <f t="shared" si="65"/>
        <v>May-2021</v>
      </c>
    </row>
    <row r="2059" spans="1:14" x14ac:dyDescent="0.3">
      <c r="A2059" s="3" t="s">
        <v>178</v>
      </c>
      <c r="B2059" s="3" t="s">
        <v>179</v>
      </c>
      <c r="C2059" s="8">
        <v>2021</v>
      </c>
      <c r="D2059" s="8">
        <v>6</v>
      </c>
      <c r="E2059" s="3" t="str">
        <f t="shared" si="64"/>
        <v>June</v>
      </c>
      <c r="F2059" s="3" t="s">
        <v>13</v>
      </c>
      <c r="G2059" s="8">
        <v>1579.5143230000001</v>
      </c>
      <c r="H2059" s="8">
        <v>1539</v>
      </c>
      <c r="I2059" s="8">
        <v>-62.59765617</v>
      </c>
      <c r="J2059" s="8">
        <v>1124.542555</v>
      </c>
      <c r="K2059" s="8">
        <v>813.04936540000006</v>
      </c>
      <c r="L2059" s="8">
        <v>1417.7814530000001</v>
      </c>
      <c r="M2059" s="9" t="str">
        <f>IF(A2059="",M2060,A2059)</f>
        <v>Jamaica</v>
      </c>
      <c r="N2059" s="3" t="str">
        <f t="shared" si="65"/>
        <v>Jun-2021</v>
      </c>
    </row>
    <row r="2060" spans="1:14" x14ac:dyDescent="0.3">
      <c r="A2060" s="3" t="s">
        <v>178</v>
      </c>
      <c r="B2060" s="3" t="s">
        <v>179</v>
      </c>
      <c r="C2060" s="8">
        <v>2021</v>
      </c>
      <c r="D2060" s="8">
        <v>7</v>
      </c>
      <c r="E2060" s="3" t="str">
        <f t="shared" si="64"/>
        <v>July</v>
      </c>
      <c r="F2060" s="3" t="s">
        <v>13</v>
      </c>
      <c r="G2060" s="8">
        <v>1599.50739</v>
      </c>
      <c r="H2060" s="8">
        <v>1601</v>
      </c>
      <c r="I2060" s="8">
        <v>-20.590723149999999</v>
      </c>
      <c r="J2060" s="8">
        <v>1103.951832</v>
      </c>
      <c r="K2060" s="8">
        <v>784.42815289999999</v>
      </c>
      <c r="L2060" s="8">
        <v>1411.4306120000001</v>
      </c>
      <c r="M2060" s="9" t="str">
        <f>IF(A2060="",M2061,A2060)</f>
        <v>Jamaica</v>
      </c>
      <c r="N2060" s="3" t="str">
        <f t="shared" si="65"/>
        <v>Jul-2021</v>
      </c>
    </row>
    <row r="2061" spans="1:14" x14ac:dyDescent="0.3">
      <c r="A2061" s="3" t="s">
        <v>178</v>
      </c>
      <c r="B2061" s="3" t="s">
        <v>179</v>
      </c>
      <c r="C2061" s="8">
        <v>2021</v>
      </c>
      <c r="D2061" s="8">
        <v>8</v>
      </c>
      <c r="E2061" s="3" t="str">
        <f t="shared" si="64"/>
        <v>August</v>
      </c>
      <c r="F2061" s="3" t="s">
        <v>13</v>
      </c>
      <c r="G2061" s="8">
        <v>1576.4122629999999</v>
      </c>
      <c r="H2061" s="8">
        <v>2986</v>
      </c>
      <c r="I2061" s="8">
        <v>1387.5044029999999</v>
      </c>
      <c r="J2061" s="8">
        <v>2491.456236</v>
      </c>
      <c r="K2061" s="8">
        <v>2171.2689009999999</v>
      </c>
      <c r="L2061" s="8">
        <v>2806.074235</v>
      </c>
      <c r="M2061" s="9" t="str">
        <f>IF(A2061="",M2062,A2061)</f>
        <v>Jamaica</v>
      </c>
      <c r="N2061" s="3" t="str">
        <f t="shared" si="65"/>
        <v>Aug-2021</v>
      </c>
    </row>
    <row r="2062" spans="1:14" x14ac:dyDescent="0.3">
      <c r="A2062" s="3" t="s">
        <v>178</v>
      </c>
      <c r="B2062" s="3" t="s">
        <v>179</v>
      </c>
      <c r="C2062" s="8">
        <v>2021</v>
      </c>
      <c r="D2062" s="8">
        <v>9</v>
      </c>
      <c r="E2062" s="3" t="str">
        <f t="shared" si="64"/>
        <v>September</v>
      </c>
      <c r="F2062" s="3" t="s">
        <v>13</v>
      </c>
      <c r="G2062" s="8">
        <v>1554.2223349999999</v>
      </c>
      <c r="H2062" s="8">
        <v>3583</v>
      </c>
      <c r="I2062" s="8">
        <v>2006.6943309999999</v>
      </c>
      <c r="J2062" s="8">
        <v>4498.1505669999997</v>
      </c>
      <c r="K2062" s="8">
        <v>4155.9715699999997</v>
      </c>
      <c r="L2062" s="8">
        <v>4823.6848849999997</v>
      </c>
      <c r="M2062" s="9" t="str">
        <f>IF(A2062="",M2063,A2062)</f>
        <v>Jamaica</v>
      </c>
      <c r="N2062" s="3" t="str">
        <f t="shared" si="65"/>
        <v>Sep-2021</v>
      </c>
    </row>
    <row r="2063" spans="1:14" x14ac:dyDescent="0.3">
      <c r="A2063" s="3" t="s">
        <v>178</v>
      </c>
      <c r="B2063" s="3" t="s">
        <v>179</v>
      </c>
      <c r="C2063" s="8">
        <v>2021</v>
      </c>
      <c r="D2063" s="8">
        <v>10</v>
      </c>
      <c r="E2063" s="3" t="str">
        <f t="shared" si="64"/>
        <v>October</v>
      </c>
      <c r="F2063" s="3" t="s">
        <v>13</v>
      </c>
      <c r="G2063" s="8">
        <v>1550.8147389999999</v>
      </c>
      <c r="H2063" s="8">
        <v>2028</v>
      </c>
      <c r="I2063" s="8">
        <v>455.10192799999999</v>
      </c>
      <c r="J2063" s="8">
        <v>4953.2524949999997</v>
      </c>
      <c r="K2063" s="8">
        <v>4594.9919069999996</v>
      </c>
      <c r="L2063" s="8">
        <v>5290.1341650000004</v>
      </c>
      <c r="M2063" s="9" t="str">
        <f>IF(A2063="",M2064,A2063)</f>
        <v>Jamaica</v>
      </c>
      <c r="N2063" s="3" t="str">
        <f t="shared" si="65"/>
        <v>Oct-2021</v>
      </c>
    </row>
    <row r="2064" spans="1:14" x14ac:dyDescent="0.3">
      <c r="A2064" s="3" t="s">
        <v>178</v>
      </c>
      <c r="B2064" s="3" t="s">
        <v>179</v>
      </c>
      <c r="C2064" s="8">
        <v>2021</v>
      </c>
      <c r="D2064" s="8">
        <v>11</v>
      </c>
      <c r="E2064" s="3" t="str">
        <f t="shared" si="64"/>
        <v>November</v>
      </c>
      <c r="F2064" s="3" t="s">
        <v>13</v>
      </c>
      <c r="G2064" s="8">
        <v>1586.828215</v>
      </c>
      <c r="H2064" s="8">
        <v>1556</v>
      </c>
      <c r="I2064" s="8">
        <v>-52.911548240000002</v>
      </c>
      <c r="J2064" s="8">
        <v>4900.3409469999997</v>
      </c>
      <c r="K2064" s="8">
        <v>4548.0254340000001</v>
      </c>
      <c r="L2064" s="8">
        <v>5253.5238920000002</v>
      </c>
      <c r="M2064" s="9" t="str">
        <f>IF(A2064="",M2065,A2064)</f>
        <v>Jamaica</v>
      </c>
      <c r="N2064" s="3" t="str">
        <f t="shared" si="65"/>
        <v>Nov-2021</v>
      </c>
    </row>
    <row r="2065" spans="1:14" x14ac:dyDescent="0.3">
      <c r="A2065" s="3" t="s">
        <v>178</v>
      </c>
      <c r="B2065" s="3" t="s">
        <v>179</v>
      </c>
      <c r="C2065" s="8">
        <v>2021</v>
      </c>
      <c r="D2065" s="8">
        <v>12</v>
      </c>
      <c r="E2065" s="3" t="str">
        <f t="shared" si="64"/>
        <v>December</v>
      </c>
      <c r="F2065" s="3" t="s">
        <v>8</v>
      </c>
      <c r="G2065" s="8">
        <v>1655.360588</v>
      </c>
      <c r="H2065" s="8">
        <v>1928.1420000000001</v>
      </c>
      <c r="I2065" s="8">
        <v>250.6980786</v>
      </c>
      <c r="J2065" s="8">
        <v>5151.039025</v>
      </c>
      <c r="K2065" s="8">
        <v>4528.8421660000004</v>
      </c>
      <c r="L2065" s="8">
        <v>5849.0139179999996</v>
      </c>
      <c r="M2065" s="9" t="str">
        <f>IF(A2065="",M2066,A2065)</f>
        <v>Jamaica</v>
      </c>
      <c r="N2065" s="3" t="str">
        <f t="shared" si="65"/>
        <v>Dec-2021</v>
      </c>
    </row>
    <row r="2066" spans="1:14" x14ac:dyDescent="0.3">
      <c r="A2066" s="3" t="s">
        <v>180</v>
      </c>
      <c r="B2066" s="3" t="s">
        <v>181</v>
      </c>
      <c r="C2066" s="8">
        <v>2020</v>
      </c>
      <c r="D2066" s="8">
        <v>1</v>
      </c>
      <c r="E2066" s="3" t="str">
        <f t="shared" si="64"/>
        <v>January</v>
      </c>
      <c r="F2066" s="3" t="s">
        <v>13</v>
      </c>
      <c r="G2066" s="8">
        <v>2964.755901</v>
      </c>
      <c r="H2066" s="8">
        <v>3597</v>
      </c>
      <c r="I2066" s="8">
        <v>632.05821400000002</v>
      </c>
      <c r="J2066" s="8">
        <v>632.05821400000002</v>
      </c>
      <c r="K2066" s="8">
        <v>446.45210530000003</v>
      </c>
      <c r="L2066" s="8">
        <v>813.14314139999999</v>
      </c>
      <c r="M2066" s="9" t="str">
        <f>IF(A2066="",M2067,A2066)</f>
        <v>Jordan</v>
      </c>
      <c r="N2066" s="3" t="str">
        <f t="shared" si="65"/>
        <v>Jan-2020</v>
      </c>
    </row>
    <row r="2067" spans="1:14" x14ac:dyDescent="0.3">
      <c r="A2067" s="3" t="s">
        <v>180</v>
      </c>
      <c r="B2067" s="3" t="s">
        <v>181</v>
      </c>
      <c r="C2067" s="8">
        <v>2020</v>
      </c>
      <c r="D2067" s="8">
        <v>2</v>
      </c>
      <c r="E2067" s="3" t="str">
        <f t="shared" si="64"/>
        <v>February</v>
      </c>
      <c r="F2067" s="3" t="s">
        <v>13</v>
      </c>
      <c r="G2067" s="8">
        <v>2842.3304469999998</v>
      </c>
      <c r="H2067" s="8">
        <v>2777</v>
      </c>
      <c r="I2067" s="8">
        <v>-65.516331539999996</v>
      </c>
      <c r="J2067" s="8">
        <v>566.54188250000004</v>
      </c>
      <c r="K2067" s="8">
        <v>285.69696729999998</v>
      </c>
      <c r="L2067" s="8">
        <v>833.89437859999998</v>
      </c>
      <c r="M2067" s="9" t="str">
        <f>IF(A2067="",M2068,A2067)</f>
        <v>Jordan</v>
      </c>
      <c r="N2067" s="3" t="str">
        <f t="shared" si="65"/>
        <v>Feb-2020</v>
      </c>
    </row>
    <row r="2068" spans="1:14" x14ac:dyDescent="0.3">
      <c r="A2068" s="3" t="s">
        <v>180</v>
      </c>
      <c r="B2068" s="3" t="s">
        <v>181</v>
      </c>
      <c r="C2068" s="8">
        <v>2020</v>
      </c>
      <c r="D2068" s="8">
        <v>3</v>
      </c>
      <c r="E2068" s="3" t="str">
        <f t="shared" si="64"/>
        <v>March</v>
      </c>
      <c r="F2068" s="3" t="s">
        <v>13</v>
      </c>
      <c r="G2068" s="8">
        <v>2695.4955</v>
      </c>
      <c r="H2068" s="8">
        <v>2772</v>
      </c>
      <c r="I2068" s="8">
        <v>76.318614800000006</v>
      </c>
      <c r="J2068" s="8">
        <v>642.86049730000002</v>
      </c>
      <c r="K2068" s="8">
        <v>292.07784709999999</v>
      </c>
      <c r="L2068" s="8">
        <v>979.3635716</v>
      </c>
      <c r="M2068" s="9" t="str">
        <f>IF(A2068="",M2069,A2068)</f>
        <v>Jordan</v>
      </c>
      <c r="N2068" s="3" t="str">
        <f t="shared" si="65"/>
        <v>Mar-2020</v>
      </c>
    </row>
    <row r="2069" spans="1:14" x14ac:dyDescent="0.3">
      <c r="A2069" s="3" t="s">
        <v>180</v>
      </c>
      <c r="B2069" s="3" t="s">
        <v>181</v>
      </c>
      <c r="C2069" s="8">
        <v>2020</v>
      </c>
      <c r="D2069" s="8">
        <v>4</v>
      </c>
      <c r="E2069" s="3" t="str">
        <f t="shared" si="64"/>
        <v>April</v>
      </c>
      <c r="F2069" s="3" t="s">
        <v>13</v>
      </c>
      <c r="G2069" s="8">
        <v>2540.201677</v>
      </c>
      <c r="H2069" s="8">
        <v>2324</v>
      </c>
      <c r="I2069" s="8">
        <v>-216.38756169999999</v>
      </c>
      <c r="J2069" s="8">
        <v>426.47293550000001</v>
      </c>
      <c r="K2069" s="8">
        <v>34.520547290000003</v>
      </c>
      <c r="L2069" s="8">
        <v>789.85032980000005</v>
      </c>
      <c r="M2069" s="9" t="str">
        <f>IF(A2069="",M2070,A2069)</f>
        <v>Jordan</v>
      </c>
      <c r="N2069" s="3" t="str">
        <f t="shared" si="65"/>
        <v>Apr-2020</v>
      </c>
    </row>
    <row r="2070" spans="1:14" x14ac:dyDescent="0.3">
      <c r="A2070" s="3" t="s">
        <v>180</v>
      </c>
      <c r="B2070" s="3" t="s">
        <v>181</v>
      </c>
      <c r="C2070" s="8">
        <v>2020</v>
      </c>
      <c r="D2070" s="8">
        <v>5</v>
      </c>
      <c r="E2070" s="3" t="str">
        <f t="shared" si="64"/>
        <v>May</v>
      </c>
      <c r="F2070" s="3" t="s">
        <v>13</v>
      </c>
      <c r="G2070" s="8">
        <v>2441.0238410000002</v>
      </c>
      <c r="H2070" s="8">
        <v>2620</v>
      </c>
      <c r="I2070" s="8">
        <v>178.7902742</v>
      </c>
      <c r="J2070" s="8">
        <v>605.26320980000003</v>
      </c>
      <c r="K2070" s="8">
        <v>162.4431984</v>
      </c>
      <c r="L2070" s="8">
        <v>1014.812529</v>
      </c>
      <c r="M2070" s="9" t="str">
        <f>IF(A2070="",M2071,A2070)</f>
        <v>Jordan</v>
      </c>
      <c r="N2070" s="3" t="str">
        <f t="shared" si="65"/>
        <v>May-2020</v>
      </c>
    </row>
    <row r="2071" spans="1:14" x14ac:dyDescent="0.3">
      <c r="A2071" s="3" t="s">
        <v>180</v>
      </c>
      <c r="B2071" s="3" t="s">
        <v>181</v>
      </c>
      <c r="C2071" s="8">
        <v>2020</v>
      </c>
      <c r="D2071" s="8">
        <v>6</v>
      </c>
      <c r="E2071" s="3" t="str">
        <f t="shared" si="64"/>
        <v>June</v>
      </c>
      <c r="F2071" s="3" t="s">
        <v>13</v>
      </c>
      <c r="G2071" s="8">
        <v>2393.3745239999998</v>
      </c>
      <c r="H2071" s="8">
        <v>2306</v>
      </c>
      <c r="I2071" s="8">
        <v>-87.560408519999996</v>
      </c>
      <c r="J2071" s="8">
        <v>517.70280130000003</v>
      </c>
      <c r="K2071" s="8">
        <v>46.979865760000003</v>
      </c>
      <c r="L2071" s="8">
        <v>968.28111279999996</v>
      </c>
      <c r="M2071" s="9" t="str">
        <f>IF(A2071="",M2072,A2071)</f>
        <v>Jordan</v>
      </c>
      <c r="N2071" s="3" t="str">
        <f t="shared" si="65"/>
        <v>Jun-2020</v>
      </c>
    </row>
    <row r="2072" spans="1:14" x14ac:dyDescent="0.3">
      <c r="A2072" s="3" t="s">
        <v>180</v>
      </c>
      <c r="B2072" s="3" t="s">
        <v>181</v>
      </c>
      <c r="C2072" s="8">
        <v>2020</v>
      </c>
      <c r="D2072" s="8">
        <v>7</v>
      </c>
      <c r="E2072" s="3" t="str">
        <f t="shared" si="64"/>
        <v>July</v>
      </c>
      <c r="F2072" s="3" t="s">
        <v>13</v>
      </c>
      <c r="G2072" s="8">
        <v>2423.6753319999998</v>
      </c>
      <c r="H2072" s="8">
        <v>2356</v>
      </c>
      <c r="I2072" s="8">
        <v>-67.861216450000001</v>
      </c>
      <c r="J2072" s="8">
        <v>449.84158480000002</v>
      </c>
      <c r="K2072" s="8">
        <v>-51.16993506</v>
      </c>
      <c r="L2072" s="8">
        <v>918.56229519999999</v>
      </c>
      <c r="M2072" s="9" t="str">
        <f>IF(A2072="",M2073,A2072)</f>
        <v>Jordan</v>
      </c>
      <c r="N2072" s="3" t="str">
        <f t="shared" si="65"/>
        <v>Jul-2020</v>
      </c>
    </row>
    <row r="2073" spans="1:14" x14ac:dyDescent="0.3">
      <c r="A2073" s="3" t="s">
        <v>180</v>
      </c>
      <c r="B2073" s="3" t="s">
        <v>181</v>
      </c>
      <c r="C2073" s="8">
        <v>2020</v>
      </c>
      <c r="D2073" s="8">
        <v>8</v>
      </c>
      <c r="E2073" s="3" t="str">
        <f t="shared" si="64"/>
        <v>August</v>
      </c>
      <c r="F2073" s="3" t="s">
        <v>13</v>
      </c>
      <c r="G2073" s="8">
        <v>2476.0226379999999</v>
      </c>
      <c r="H2073" s="8">
        <v>2455</v>
      </c>
      <c r="I2073" s="8">
        <v>-21.208522609999999</v>
      </c>
      <c r="J2073" s="8">
        <v>428.63306219999998</v>
      </c>
      <c r="K2073" s="8">
        <v>-95.21832259</v>
      </c>
      <c r="L2073" s="8">
        <v>936.7041299</v>
      </c>
      <c r="M2073" s="9" t="str">
        <f>IF(A2073="",M2074,A2073)</f>
        <v>Jordan</v>
      </c>
      <c r="N2073" s="3" t="str">
        <f t="shared" si="65"/>
        <v>Aug-2020</v>
      </c>
    </row>
    <row r="2074" spans="1:14" x14ac:dyDescent="0.3">
      <c r="A2074" s="3" t="s">
        <v>180</v>
      </c>
      <c r="B2074" s="3" t="s">
        <v>181</v>
      </c>
      <c r="C2074" s="8">
        <v>2020</v>
      </c>
      <c r="D2074" s="8">
        <v>9</v>
      </c>
      <c r="E2074" s="3" t="str">
        <f t="shared" si="64"/>
        <v>September</v>
      </c>
      <c r="F2074" s="3" t="s">
        <v>13</v>
      </c>
      <c r="G2074" s="8">
        <v>2538.8088029999999</v>
      </c>
      <c r="H2074" s="8">
        <v>2554</v>
      </c>
      <c r="I2074" s="8">
        <v>15.00531247</v>
      </c>
      <c r="J2074" s="8">
        <v>443.63837469999999</v>
      </c>
      <c r="K2074" s="8">
        <v>-82.504106230000005</v>
      </c>
      <c r="L2074" s="8">
        <v>954.23329820000004</v>
      </c>
      <c r="M2074" s="9" t="str">
        <f>IF(A2074="",M2075,A2074)</f>
        <v>Jordan</v>
      </c>
      <c r="N2074" s="3" t="str">
        <f t="shared" si="65"/>
        <v>Sep-2020</v>
      </c>
    </row>
    <row r="2075" spans="1:14" x14ac:dyDescent="0.3">
      <c r="A2075" s="3" t="s">
        <v>180</v>
      </c>
      <c r="B2075" s="3" t="s">
        <v>181</v>
      </c>
      <c r="C2075" s="8">
        <v>2020</v>
      </c>
      <c r="D2075" s="8">
        <v>10</v>
      </c>
      <c r="E2075" s="3" t="str">
        <f t="shared" si="64"/>
        <v>October</v>
      </c>
      <c r="F2075" s="3" t="s">
        <v>13</v>
      </c>
      <c r="G2075" s="8">
        <v>2688.592893</v>
      </c>
      <c r="H2075" s="8">
        <v>3807</v>
      </c>
      <c r="I2075" s="8">
        <v>1118.2212219999999</v>
      </c>
      <c r="J2075" s="8">
        <v>1561.8595969999999</v>
      </c>
      <c r="K2075" s="8">
        <v>1016.942047</v>
      </c>
      <c r="L2075" s="8">
        <v>2114.7815230000001</v>
      </c>
      <c r="M2075" s="9" t="str">
        <f>IF(A2075="",M2076,A2075)</f>
        <v>Jordan</v>
      </c>
      <c r="N2075" s="3" t="str">
        <f t="shared" si="65"/>
        <v>Oct-2020</v>
      </c>
    </row>
    <row r="2076" spans="1:14" x14ac:dyDescent="0.3">
      <c r="A2076" s="3" t="s">
        <v>180</v>
      </c>
      <c r="B2076" s="3" t="s">
        <v>181</v>
      </c>
      <c r="C2076" s="8">
        <v>2020</v>
      </c>
      <c r="D2076" s="8">
        <v>11</v>
      </c>
      <c r="E2076" s="3" t="str">
        <f t="shared" si="64"/>
        <v>November</v>
      </c>
      <c r="F2076" s="3" t="s">
        <v>13</v>
      </c>
      <c r="G2076" s="8">
        <v>2866.914229</v>
      </c>
      <c r="H2076" s="8">
        <v>5531</v>
      </c>
      <c r="I2076" s="8">
        <v>2663.899887</v>
      </c>
      <c r="J2076" s="8">
        <v>4225.7594840000002</v>
      </c>
      <c r="K2076" s="8">
        <v>3632.9203309999998</v>
      </c>
      <c r="L2076" s="8">
        <v>4807.865307</v>
      </c>
      <c r="M2076" s="9" t="str">
        <f>IF(A2076="",M2077,A2076)</f>
        <v>Jordan</v>
      </c>
      <c r="N2076" s="3" t="str">
        <f t="shared" si="65"/>
        <v>Nov-2020</v>
      </c>
    </row>
    <row r="2077" spans="1:14" x14ac:dyDescent="0.3">
      <c r="A2077" s="3" t="s">
        <v>180</v>
      </c>
      <c r="B2077" s="3" t="s">
        <v>181</v>
      </c>
      <c r="C2077" s="8">
        <v>2020</v>
      </c>
      <c r="D2077" s="8">
        <v>12</v>
      </c>
      <c r="E2077" s="3" t="str">
        <f t="shared" si="64"/>
        <v>December</v>
      </c>
      <c r="F2077" s="3" t="s">
        <v>13</v>
      </c>
      <c r="G2077" s="8">
        <v>2994.124417</v>
      </c>
      <c r="H2077" s="8">
        <v>3780</v>
      </c>
      <c r="I2077" s="8">
        <v>785.68969830000003</v>
      </c>
      <c r="J2077" s="8">
        <v>5011.4491820000003</v>
      </c>
      <c r="K2077" s="8">
        <v>4360.0507550000002</v>
      </c>
      <c r="L2077" s="8">
        <v>5683.11859</v>
      </c>
      <c r="M2077" s="9" t="str">
        <f>IF(A2077="",M2078,A2077)</f>
        <v>Jordan</v>
      </c>
      <c r="N2077" s="3" t="str">
        <f t="shared" si="65"/>
        <v>Dec-2020</v>
      </c>
    </row>
    <row r="2078" spans="1:14" x14ac:dyDescent="0.3">
      <c r="A2078" s="3" t="s">
        <v>180</v>
      </c>
      <c r="B2078" s="3" t="s">
        <v>181</v>
      </c>
      <c r="C2078" s="8">
        <v>2021</v>
      </c>
      <c r="D2078" s="8">
        <v>1</v>
      </c>
      <c r="E2078" s="3" t="str">
        <f t="shared" si="64"/>
        <v>January</v>
      </c>
      <c r="F2078" s="3" t="s">
        <v>13</v>
      </c>
      <c r="G2078" s="8">
        <v>2987.315971</v>
      </c>
      <c r="H2078" s="8">
        <v>3551</v>
      </c>
      <c r="I2078" s="8">
        <v>563.68402909999998</v>
      </c>
      <c r="J2078" s="8">
        <v>5575.1332110000003</v>
      </c>
      <c r="K2078" s="8">
        <v>4914.76505</v>
      </c>
      <c r="L2078" s="8">
        <v>6268.1818569999996</v>
      </c>
      <c r="M2078" s="9" t="str">
        <f>IF(A2078="",M2079,A2078)</f>
        <v>Jordan</v>
      </c>
      <c r="N2078" s="3" t="str">
        <f t="shared" si="65"/>
        <v>Jan-2021</v>
      </c>
    </row>
    <row r="2079" spans="1:14" x14ac:dyDescent="0.3">
      <c r="A2079" s="3" t="s">
        <v>180</v>
      </c>
      <c r="B2079" s="3" t="s">
        <v>181</v>
      </c>
      <c r="C2079" s="8">
        <v>2021</v>
      </c>
      <c r="D2079" s="8">
        <v>2</v>
      </c>
      <c r="E2079" s="3" t="str">
        <f t="shared" si="64"/>
        <v>February</v>
      </c>
      <c r="F2079" s="3" t="s">
        <v>13</v>
      </c>
      <c r="G2079" s="8">
        <v>2881.7757470000001</v>
      </c>
      <c r="H2079" s="8">
        <v>3167</v>
      </c>
      <c r="I2079" s="8">
        <v>285.22425270000002</v>
      </c>
      <c r="J2079" s="8">
        <v>5860.3574639999997</v>
      </c>
      <c r="K2079" s="8">
        <v>5095.3235359999999</v>
      </c>
      <c r="L2079" s="8">
        <v>6604.4440100000002</v>
      </c>
      <c r="M2079" s="9" t="str">
        <f>IF(A2079="",M2080,A2079)</f>
        <v>Jordan</v>
      </c>
      <c r="N2079" s="3" t="str">
        <f t="shared" si="65"/>
        <v>Feb-2021</v>
      </c>
    </row>
    <row r="2080" spans="1:14" x14ac:dyDescent="0.3">
      <c r="A2080" s="3" t="s">
        <v>180</v>
      </c>
      <c r="B2080" s="3" t="s">
        <v>181</v>
      </c>
      <c r="C2080" s="8">
        <v>2021</v>
      </c>
      <c r="D2080" s="8">
        <v>3</v>
      </c>
      <c r="E2080" s="3" t="str">
        <f t="shared" si="64"/>
        <v>March</v>
      </c>
      <c r="F2080" s="3" t="s">
        <v>13</v>
      </c>
      <c r="G2080" s="8">
        <v>2712.3107439999999</v>
      </c>
      <c r="H2080" s="8">
        <v>6114</v>
      </c>
      <c r="I2080" s="8">
        <v>3401.6892560000001</v>
      </c>
      <c r="J2080" s="8">
        <v>9262.0467200000003</v>
      </c>
      <c r="K2080" s="8">
        <v>8462.3046699999995</v>
      </c>
      <c r="L2080" s="8">
        <v>9994.9178580000007</v>
      </c>
      <c r="M2080" s="9" t="str">
        <f>IF(A2080="",M2081,A2080)</f>
        <v>Jordan</v>
      </c>
      <c r="N2080" s="3" t="str">
        <f t="shared" si="65"/>
        <v>Mar-2021</v>
      </c>
    </row>
    <row r="2081" spans="1:14" x14ac:dyDescent="0.3">
      <c r="A2081" s="3" t="s">
        <v>180</v>
      </c>
      <c r="B2081" s="3" t="s">
        <v>181</v>
      </c>
      <c r="C2081" s="8">
        <v>2021</v>
      </c>
      <c r="D2081" s="8">
        <v>4</v>
      </c>
      <c r="E2081" s="3" t="str">
        <f t="shared" si="64"/>
        <v>April</v>
      </c>
      <c r="F2081" s="3" t="s">
        <v>13</v>
      </c>
      <c r="G2081" s="8">
        <v>2570.882188</v>
      </c>
      <c r="H2081" s="8">
        <v>5228</v>
      </c>
      <c r="I2081" s="8">
        <v>2657.117812</v>
      </c>
      <c r="J2081" s="8">
        <v>11919.16453</v>
      </c>
      <c r="K2081" s="8">
        <v>11120.126410000001</v>
      </c>
      <c r="L2081" s="8">
        <v>12667.606110000001</v>
      </c>
      <c r="M2081" s="9" t="str">
        <f>IF(A2081="",M2082,A2081)</f>
        <v>Jordan</v>
      </c>
      <c r="N2081" s="3" t="str">
        <f t="shared" si="65"/>
        <v>Apr-2021</v>
      </c>
    </row>
    <row r="2082" spans="1:14" x14ac:dyDescent="0.3">
      <c r="A2082" s="3" t="s">
        <v>180</v>
      </c>
      <c r="B2082" s="3" t="s">
        <v>181</v>
      </c>
      <c r="C2082" s="8">
        <v>2021</v>
      </c>
      <c r="D2082" s="8">
        <v>5</v>
      </c>
      <c r="E2082" s="3" t="str">
        <f t="shared" si="64"/>
        <v>May</v>
      </c>
      <c r="F2082" s="3" t="s">
        <v>13</v>
      </c>
      <c r="G2082" s="8">
        <v>2472.8079080000002</v>
      </c>
      <c r="H2082" s="8">
        <v>3490</v>
      </c>
      <c r="I2082" s="8">
        <v>1017.192092</v>
      </c>
      <c r="J2082" s="8">
        <v>12936.35662</v>
      </c>
      <c r="K2082" s="8">
        <v>12103.819820000001</v>
      </c>
      <c r="L2082" s="8">
        <v>13752.894850000001</v>
      </c>
      <c r="M2082" s="9" t="str">
        <f>IF(A2082="",M2083,A2082)</f>
        <v>Jordan</v>
      </c>
      <c r="N2082" s="3" t="str">
        <f t="shared" si="65"/>
        <v>May-2021</v>
      </c>
    </row>
    <row r="2083" spans="1:14" x14ac:dyDescent="0.3">
      <c r="A2083" s="3" t="s">
        <v>180</v>
      </c>
      <c r="B2083" s="3" t="s">
        <v>181</v>
      </c>
      <c r="C2083" s="8">
        <v>2021</v>
      </c>
      <c r="D2083" s="8">
        <v>6</v>
      </c>
      <c r="E2083" s="3" t="str">
        <f t="shared" si="64"/>
        <v>June</v>
      </c>
      <c r="F2083" s="3" t="s">
        <v>13</v>
      </c>
      <c r="G2083" s="8">
        <v>2420.0368920000001</v>
      </c>
      <c r="H2083" s="8">
        <v>2801</v>
      </c>
      <c r="I2083" s="8">
        <v>380.96310770000002</v>
      </c>
      <c r="J2083" s="8">
        <v>13317.319729999999</v>
      </c>
      <c r="K2083" s="8">
        <v>12422.567520000001</v>
      </c>
      <c r="L2083" s="8">
        <v>14110.1564</v>
      </c>
      <c r="M2083" s="9" t="str">
        <f>IF(A2083="",M2084,A2083)</f>
        <v>Jordan</v>
      </c>
      <c r="N2083" s="3" t="str">
        <f t="shared" si="65"/>
        <v>Jun-2021</v>
      </c>
    </row>
    <row r="2084" spans="1:14" x14ac:dyDescent="0.3">
      <c r="A2084" s="3" t="s">
        <v>180</v>
      </c>
      <c r="B2084" s="3" t="s">
        <v>181</v>
      </c>
      <c r="C2084" s="8">
        <v>2021</v>
      </c>
      <c r="D2084" s="8">
        <v>7</v>
      </c>
      <c r="E2084" s="3" t="str">
        <f t="shared" si="64"/>
        <v>July</v>
      </c>
      <c r="F2084" s="3" t="s">
        <v>13</v>
      </c>
      <c r="G2084" s="8">
        <v>2451.6137440000002</v>
      </c>
      <c r="H2084" s="8">
        <v>2938</v>
      </c>
      <c r="I2084" s="8">
        <v>486.38625580000001</v>
      </c>
      <c r="J2084" s="8">
        <v>13803.70599</v>
      </c>
      <c r="K2084" s="8">
        <v>12943.178680000001</v>
      </c>
      <c r="L2084" s="8">
        <v>14645.86161</v>
      </c>
      <c r="M2084" s="9" t="str">
        <f>IF(A2084="",M2085,A2084)</f>
        <v>Jordan</v>
      </c>
      <c r="N2084" s="3" t="str">
        <f t="shared" si="65"/>
        <v>Jul-2021</v>
      </c>
    </row>
    <row r="2085" spans="1:14" x14ac:dyDescent="0.3">
      <c r="A2085" s="3" t="s">
        <v>180</v>
      </c>
      <c r="B2085" s="3" t="s">
        <v>181</v>
      </c>
      <c r="C2085" s="8">
        <v>2021</v>
      </c>
      <c r="D2085" s="8">
        <v>8</v>
      </c>
      <c r="E2085" s="3" t="str">
        <f t="shared" si="64"/>
        <v>August</v>
      </c>
      <c r="F2085" s="3" t="s">
        <v>13</v>
      </c>
      <c r="G2085" s="8">
        <v>2503.3494019999998</v>
      </c>
      <c r="H2085" s="8">
        <v>3092</v>
      </c>
      <c r="I2085" s="8">
        <v>588.65059770000005</v>
      </c>
      <c r="J2085" s="8">
        <v>14392.356589999999</v>
      </c>
      <c r="K2085" s="8">
        <v>13460.24048</v>
      </c>
      <c r="L2085" s="8">
        <v>15232.96236</v>
      </c>
      <c r="M2085" s="9" t="str">
        <f>IF(A2085="",M2086,A2085)</f>
        <v>Jordan</v>
      </c>
      <c r="N2085" s="3" t="str">
        <f t="shared" si="65"/>
        <v>Aug-2021</v>
      </c>
    </row>
    <row r="2086" spans="1:14" x14ac:dyDescent="0.3">
      <c r="A2086" s="3" t="s">
        <v>180</v>
      </c>
      <c r="B2086" s="3" t="s">
        <v>181</v>
      </c>
      <c r="C2086" s="8">
        <v>2021</v>
      </c>
      <c r="D2086" s="8">
        <v>9</v>
      </c>
      <c r="E2086" s="3" t="str">
        <f t="shared" si="64"/>
        <v>September</v>
      </c>
      <c r="F2086" s="3" t="s">
        <v>13</v>
      </c>
      <c r="G2086" s="8">
        <v>2580.0372520000001</v>
      </c>
      <c r="H2086" s="8">
        <v>2693</v>
      </c>
      <c r="I2086" s="8">
        <v>112.9627483</v>
      </c>
      <c r="J2086" s="8">
        <v>14505.31933</v>
      </c>
      <c r="K2086" s="8">
        <v>13546.253259999999</v>
      </c>
      <c r="L2086" s="8">
        <v>15392.43384</v>
      </c>
      <c r="M2086" s="9" t="str">
        <f>IF(A2086="",M2087,A2086)</f>
        <v>Jordan</v>
      </c>
      <c r="N2086" s="3" t="str">
        <f t="shared" si="65"/>
        <v>Sep-2021</v>
      </c>
    </row>
    <row r="2087" spans="1:14" x14ac:dyDescent="0.3">
      <c r="A2087" s="3" t="s">
        <v>180</v>
      </c>
      <c r="B2087" s="3" t="s">
        <v>181</v>
      </c>
      <c r="C2087" s="8">
        <v>2021</v>
      </c>
      <c r="D2087" s="8">
        <v>10</v>
      </c>
      <c r="E2087" s="3" t="str">
        <f t="shared" si="64"/>
        <v>October</v>
      </c>
      <c r="F2087" s="3" t="s">
        <v>13</v>
      </c>
      <c r="G2087" s="8">
        <v>2713.4113619999998</v>
      </c>
      <c r="H2087" s="8">
        <v>2910</v>
      </c>
      <c r="I2087" s="8">
        <v>196.5886385</v>
      </c>
      <c r="J2087" s="8">
        <v>14701.90797</v>
      </c>
      <c r="K2087" s="8">
        <v>13689.72141</v>
      </c>
      <c r="L2087" s="8">
        <v>15654.398230000001</v>
      </c>
      <c r="M2087" s="9" t="str">
        <f>IF(A2087="",M2088,A2087)</f>
        <v>Jordan</v>
      </c>
      <c r="N2087" s="3" t="str">
        <f t="shared" si="65"/>
        <v>Oct-2021</v>
      </c>
    </row>
    <row r="2088" spans="1:14" x14ac:dyDescent="0.3">
      <c r="A2088" s="3" t="s">
        <v>180</v>
      </c>
      <c r="B2088" s="3" t="s">
        <v>181</v>
      </c>
      <c r="C2088" s="8">
        <v>2021</v>
      </c>
      <c r="D2088" s="8">
        <v>11</v>
      </c>
      <c r="E2088" s="3" t="str">
        <f t="shared" si="64"/>
        <v>November</v>
      </c>
      <c r="F2088" s="3" t="s">
        <v>13</v>
      </c>
      <c r="G2088" s="8">
        <v>2913.8295720000001</v>
      </c>
      <c r="H2088" s="8">
        <v>3490</v>
      </c>
      <c r="I2088" s="8">
        <v>576.17042800000002</v>
      </c>
      <c r="J2088" s="8">
        <v>15278.0784</v>
      </c>
      <c r="K2088" s="8">
        <v>14306.8249</v>
      </c>
      <c r="L2088" s="8">
        <v>16262.20376</v>
      </c>
      <c r="M2088" s="9" t="str">
        <f>IF(A2088="",M2089,A2088)</f>
        <v>Jordan</v>
      </c>
      <c r="N2088" s="3" t="str">
        <f t="shared" si="65"/>
        <v>Nov-2021</v>
      </c>
    </row>
    <row r="2089" spans="1:14" x14ac:dyDescent="0.3">
      <c r="A2089" s="3" t="s">
        <v>180</v>
      </c>
      <c r="B2089" s="3" t="s">
        <v>181</v>
      </c>
      <c r="C2089" s="8">
        <v>2021</v>
      </c>
      <c r="D2089" s="8">
        <v>12</v>
      </c>
      <c r="E2089" s="3" t="str">
        <f t="shared" si="64"/>
        <v>December</v>
      </c>
      <c r="F2089" s="3" t="s">
        <v>13</v>
      </c>
      <c r="G2089" s="8">
        <v>3032.2243060000001</v>
      </c>
      <c r="H2089" s="8">
        <v>4387</v>
      </c>
      <c r="I2089" s="8">
        <v>1354.7756939999999</v>
      </c>
      <c r="J2089" s="8">
        <v>16632.854090000001</v>
      </c>
      <c r="K2089" s="8">
        <v>15595.690699999999</v>
      </c>
      <c r="L2089" s="8">
        <v>17686.6482</v>
      </c>
      <c r="M2089" s="9" t="str">
        <f>IF(A2089="",M2090,A2089)</f>
        <v>Jordan</v>
      </c>
      <c r="N2089" s="3" t="str">
        <f t="shared" si="65"/>
        <v>Dec-2021</v>
      </c>
    </row>
    <row r="2090" spans="1:14" x14ac:dyDescent="0.3">
      <c r="A2090" s="3" t="s">
        <v>182</v>
      </c>
      <c r="B2090" s="3" t="s">
        <v>183</v>
      </c>
      <c r="C2090" s="8">
        <v>2020</v>
      </c>
      <c r="D2090" s="8">
        <v>1</v>
      </c>
      <c r="E2090" s="3" t="str">
        <f t="shared" si="64"/>
        <v>January</v>
      </c>
      <c r="F2090" s="3" t="s">
        <v>13</v>
      </c>
      <c r="G2090" s="8">
        <v>133479.07389999999</v>
      </c>
      <c r="H2090" s="8">
        <v>132622</v>
      </c>
      <c r="I2090" s="8">
        <v>-865.15722040000003</v>
      </c>
      <c r="J2090" s="8">
        <v>-865.15722040000003</v>
      </c>
      <c r="K2090" s="8">
        <v>-3813.2086359999998</v>
      </c>
      <c r="L2090" s="8">
        <v>2064.9150079999999</v>
      </c>
      <c r="M2090" s="9" t="str">
        <f>IF(A2090="",M2091,A2090)</f>
        <v>Japan</v>
      </c>
      <c r="N2090" s="3" t="str">
        <f t="shared" si="65"/>
        <v>Jan-2020</v>
      </c>
    </row>
    <row r="2091" spans="1:14" x14ac:dyDescent="0.3">
      <c r="A2091" s="3" t="s">
        <v>182</v>
      </c>
      <c r="B2091" s="3" t="s">
        <v>183</v>
      </c>
      <c r="C2091" s="8">
        <v>2020</v>
      </c>
      <c r="D2091" s="8">
        <v>2</v>
      </c>
      <c r="E2091" s="3" t="str">
        <f t="shared" si="64"/>
        <v>February</v>
      </c>
      <c r="F2091" s="3" t="s">
        <v>13</v>
      </c>
      <c r="G2091" s="8">
        <v>123312.6446</v>
      </c>
      <c r="H2091" s="8">
        <v>117010</v>
      </c>
      <c r="I2091" s="8">
        <v>-6310.7279660000004</v>
      </c>
      <c r="J2091" s="8">
        <v>-7175.8851869999999</v>
      </c>
      <c r="K2091" s="8">
        <v>-12010.48957</v>
      </c>
      <c r="L2091" s="8">
        <v>-2383.8612889999999</v>
      </c>
      <c r="M2091" s="9" t="str">
        <f>IF(A2091="",M2092,A2091)</f>
        <v>Japan</v>
      </c>
      <c r="N2091" s="3" t="str">
        <f t="shared" si="65"/>
        <v>Feb-2020</v>
      </c>
    </row>
    <row r="2092" spans="1:14" x14ac:dyDescent="0.3">
      <c r="A2092" s="3" t="s">
        <v>182</v>
      </c>
      <c r="B2092" s="3" t="s">
        <v>183</v>
      </c>
      <c r="C2092" s="8">
        <v>2020</v>
      </c>
      <c r="D2092" s="8">
        <v>3</v>
      </c>
      <c r="E2092" s="3" t="str">
        <f t="shared" si="64"/>
        <v>March</v>
      </c>
      <c r="F2092" s="3" t="s">
        <v>13</v>
      </c>
      <c r="G2092" s="8">
        <v>122963.1149</v>
      </c>
      <c r="H2092" s="8">
        <v>119161</v>
      </c>
      <c r="I2092" s="8">
        <v>-3810.1981970000002</v>
      </c>
      <c r="J2092" s="8">
        <v>-10986.08338</v>
      </c>
      <c r="K2092" s="8">
        <v>-16693.994869999999</v>
      </c>
      <c r="L2092" s="8">
        <v>-4727.3744269999997</v>
      </c>
      <c r="M2092" s="9" t="str">
        <f>IF(A2092="",M2093,A2092)</f>
        <v>Japan</v>
      </c>
      <c r="N2092" s="3" t="str">
        <f t="shared" si="65"/>
        <v>Mar-2020</v>
      </c>
    </row>
    <row r="2093" spans="1:14" x14ac:dyDescent="0.3">
      <c r="A2093" s="3" t="s">
        <v>182</v>
      </c>
      <c r="B2093" s="3" t="s">
        <v>183</v>
      </c>
      <c r="C2093" s="8">
        <v>2020</v>
      </c>
      <c r="D2093" s="8">
        <v>4</v>
      </c>
      <c r="E2093" s="3" t="str">
        <f t="shared" si="64"/>
        <v>April</v>
      </c>
      <c r="F2093" s="3" t="s">
        <v>13</v>
      </c>
      <c r="G2093" s="8">
        <v>114263.0468</v>
      </c>
      <c r="H2093" s="8">
        <v>113362</v>
      </c>
      <c r="I2093" s="8">
        <v>-909.13012800000001</v>
      </c>
      <c r="J2093" s="8">
        <v>-11895.21351</v>
      </c>
      <c r="K2093" s="8">
        <v>-18831.06033</v>
      </c>
      <c r="L2093" s="8">
        <v>-4855.220883</v>
      </c>
      <c r="M2093" s="9" t="str">
        <f>IF(A2093="",M2094,A2093)</f>
        <v>Japan</v>
      </c>
      <c r="N2093" s="3" t="str">
        <f t="shared" si="65"/>
        <v>Apr-2020</v>
      </c>
    </row>
    <row r="2094" spans="1:14" x14ac:dyDescent="0.3">
      <c r="A2094" s="3" t="s">
        <v>182</v>
      </c>
      <c r="B2094" s="3" t="s">
        <v>183</v>
      </c>
      <c r="C2094" s="8">
        <v>2020</v>
      </c>
      <c r="D2094" s="8">
        <v>5</v>
      </c>
      <c r="E2094" s="3" t="str">
        <f t="shared" si="64"/>
        <v>May</v>
      </c>
      <c r="F2094" s="3" t="s">
        <v>13</v>
      </c>
      <c r="G2094" s="8">
        <v>110549.2671</v>
      </c>
      <c r="H2094" s="8">
        <v>108380</v>
      </c>
      <c r="I2094" s="8">
        <v>-2177.3503879999998</v>
      </c>
      <c r="J2094" s="8">
        <v>-14072.563899999999</v>
      </c>
      <c r="K2094" s="8">
        <v>-21673.9584</v>
      </c>
      <c r="L2094" s="8">
        <v>-6364.217791</v>
      </c>
      <c r="M2094" s="9" t="str">
        <f>IF(A2094="",M2095,A2094)</f>
        <v>Japan</v>
      </c>
      <c r="N2094" s="3" t="str">
        <f t="shared" si="65"/>
        <v>May-2020</v>
      </c>
    </row>
    <row r="2095" spans="1:14" x14ac:dyDescent="0.3">
      <c r="A2095" s="3" t="s">
        <v>182</v>
      </c>
      <c r="B2095" s="3" t="s">
        <v>183</v>
      </c>
      <c r="C2095" s="8">
        <v>2020</v>
      </c>
      <c r="D2095" s="8">
        <v>6</v>
      </c>
      <c r="E2095" s="3" t="str">
        <f t="shared" si="64"/>
        <v>June</v>
      </c>
      <c r="F2095" s="3" t="s">
        <v>13</v>
      </c>
      <c r="G2095" s="8">
        <v>103232.613</v>
      </c>
      <c r="H2095" s="8">
        <v>100423</v>
      </c>
      <c r="I2095" s="8">
        <v>-2817.6963479999999</v>
      </c>
      <c r="J2095" s="8">
        <v>-16890.260249999999</v>
      </c>
      <c r="K2095" s="8">
        <v>-25182.185409999998</v>
      </c>
      <c r="L2095" s="8">
        <v>-8810.5831799999996</v>
      </c>
      <c r="M2095" s="9" t="str">
        <f>IF(A2095="",M2096,A2095)</f>
        <v>Japan</v>
      </c>
      <c r="N2095" s="3" t="str">
        <f t="shared" si="65"/>
        <v>Jun-2020</v>
      </c>
    </row>
    <row r="2096" spans="1:14" x14ac:dyDescent="0.3">
      <c r="A2096" s="3" t="s">
        <v>182</v>
      </c>
      <c r="B2096" s="3" t="s">
        <v>183</v>
      </c>
      <c r="C2096" s="8">
        <v>2020</v>
      </c>
      <c r="D2096" s="8">
        <v>7</v>
      </c>
      <c r="E2096" s="3" t="str">
        <f t="shared" si="64"/>
        <v>July</v>
      </c>
      <c r="F2096" s="3" t="s">
        <v>13</v>
      </c>
      <c r="G2096" s="8">
        <v>107935.6663</v>
      </c>
      <c r="H2096" s="8">
        <v>104849</v>
      </c>
      <c r="I2096" s="8">
        <v>-3094.749683</v>
      </c>
      <c r="J2096" s="8">
        <v>-19985.00993</v>
      </c>
      <c r="K2096" s="8">
        <v>-28906.272379999999</v>
      </c>
      <c r="L2096" s="8">
        <v>-10933.12803</v>
      </c>
      <c r="M2096" s="9" t="str">
        <f>IF(A2096="",M2097,A2096)</f>
        <v>Japan</v>
      </c>
      <c r="N2096" s="3" t="str">
        <f t="shared" si="65"/>
        <v>Jul-2020</v>
      </c>
    </row>
    <row r="2097" spans="1:14" x14ac:dyDescent="0.3">
      <c r="A2097" s="3" t="s">
        <v>182</v>
      </c>
      <c r="B2097" s="3" t="s">
        <v>183</v>
      </c>
      <c r="C2097" s="8">
        <v>2020</v>
      </c>
      <c r="D2097" s="8">
        <v>8</v>
      </c>
      <c r="E2097" s="3" t="str">
        <f t="shared" si="64"/>
        <v>August</v>
      </c>
      <c r="F2097" s="3" t="s">
        <v>13</v>
      </c>
      <c r="G2097" s="8">
        <v>110153.6908</v>
      </c>
      <c r="H2097" s="8">
        <v>111591</v>
      </c>
      <c r="I2097" s="8">
        <v>1429.2258220000001</v>
      </c>
      <c r="J2097" s="8">
        <v>-18555.784110000001</v>
      </c>
      <c r="K2097" s="8">
        <v>-28281.444159999999</v>
      </c>
      <c r="L2097" s="8">
        <v>-9488.6393790000002</v>
      </c>
      <c r="M2097" s="9" t="str">
        <f>IF(A2097="",M2098,A2097)</f>
        <v>Japan</v>
      </c>
      <c r="N2097" s="3" t="str">
        <f t="shared" si="65"/>
        <v>Aug-2020</v>
      </c>
    </row>
    <row r="2098" spans="1:14" x14ac:dyDescent="0.3">
      <c r="A2098" s="3" t="s">
        <v>182</v>
      </c>
      <c r="B2098" s="3" t="s">
        <v>183</v>
      </c>
      <c r="C2098" s="8">
        <v>2020</v>
      </c>
      <c r="D2098" s="8">
        <v>9</v>
      </c>
      <c r="E2098" s="3" t="str">
        <f t="shared" si="64"/>
        <v>September</v>
      </c>
      <c r="F2098" s="3" t="s">
        <v>13</v>
      </c>
      <c r="G2098" s="8">
        <v>108176.2715</v>
      </c>
      <c r="H2098" s="8">
        <v>107468</v>
      </c>
      <c r="I2098" s="8">
        <v>-716.35480559999996</v>
      </c>
      <c r="J2098" s="8">
        <v>-19272.138910000001</v>
      </c>
      <c r="K2098" s="8">
        <v>-28964.64097</v>
      </c>
      <c r="L2098" s="8">
        <v>-9809.3395610000007</v>
      </c>
      <c r="M2098" s="9" t="str">
        <f>IF(A2098="",M2099,A2098)</f>
        <v>Japan</v>
      </c>
      <c r="N2098" s="3" t="str">
        <f t="shared" si="65"/>
        <v>Sep-2020</v>
      </c>
    </row>
    <row r="2099" spans="1:14" x14ac:dyDescent="0.3">
      <c r="A2099" s="3" t="s">
        <v>182</v>
      </c>
      <c r="B2099" s="3" t="s">
        <v>183</v>
      </c>
      <c r="C2099" s="8">
        <v>2020</v>
      </c>
      <c r="D2099" s="8">
        <v>10</v>
      </c>
      <c r="E2099" s="3" t="str">
        <f t="shared" si="64"/>
        <v>October</v>
      </c>
      <c r="F2099" s="3" t="s">
        <v>13</v>
      </c>
      <c r="G2099" s="8">
        <v>115930.6854</v>
      </c>
      <c r="H2099" s="8">
        <v>118038</v>
      </c>
      <c r="I2099" s="8">
        <v>2099.2312230000002</v>
      </c>
      <c r="J2099" s="8">
        <v>-17172.90769</v>
      </c>
      <c r="K2099" s="8">
        <v>-26773.7179</v>
      </c>
      <c r="L2099" s="8">
        <v>-7012.7125210000004</v>
      </c>
      <c r="M2099" s="9" t="str">
        <f>IF(A2099="",M2100,A2099)</f>
        <v>Japan</v>
      </c>
      <c r="N2099" s="3" t="str">
        <f t="shared" si="65"/>
        <v>Oct-2020</v>
      </c>
    </row>
    <row r="2100" spans="1:14" x14ac:dyDescent="0.3">
      <c r="A2100" s="3" t="s">
        <v>182</v>
      </c>
      <c r="B2100" s="3" t="s">
        <v>183</v>
      </c>
      <c r="C2100" s="8">
        <v>2020</v>
      </c>
      <c r="D2100" s="8">
        <v>11</v>
      </c>
      <c r="E2100" s="3" t="str">
        <f t="shared" si="64"/>
        <v>November</v>
      </c>
      <c r="F2100" s="3" t="s">
        <v>13</v>
      </c>
      <c r="G2100" s="8">
        <v>120847.8676</v>
      </c>
      <c r="H2100" s="8">
        <v>118455</v>
      </c>
      <c r="I2100" s="8">
        <v>-2400.9509290000001</v>
      </c>
      <c r="J2100" s="8">
        <v>-19573.858619999999</v>
      </c>
      <c r="K2100" s="8">
        <v>-30408.154480000001</v>
      </c>
      <c r="L2100" s="8">
        <v>-8736.3222700000006</v>
      </c>
      <c r="M2100" s="9" t="str">
        <f>IF(A2100="",M2101,A2100)</f>
        <v>Japan</v>
      </c>
      <c r="N2100" s="3" t="str">
        <f t="shared" si="65"/>
        <v>Nov-2020</v>
      </c>
    </row>
    <row r="2101" spans="1:14" x14ac:dyDescent="0.3">
      <c r="A2101" s="3" t="s">
        <v>182</v>
      </c>
      <c r="B2101" s="3" t="s">
        <v>183</v>
      </c>
      <c r="C2101" s="8">
        <v>2020</v>
      </c>
      <c r="D2101" s="8">
        <v>12</v>
      </c>
      <c r="E2101" s="3" t="str">
        <f t="shared" si="64"/>
        <v>December</v>
      </c>
      <c r="F2101" s="3" t="s">
        <v>13</v>
      </c>
      <c r="G2101" s="8">
        <v>135524.21539999999</v>
      </c>
      <c r="H2101" s="8">
        <v>133185</v>
      </c>
      <c r="I2101" s="8">
        <v>-2347.2987699999999</v>
      </c>
      <c r="J2101" s="8">
        <v>-21921.15739</v>
      </c>
      <c r="K2101" s="8">
        <v>-33422.094570000001</v>
      </c>
      <c r="L2101" s="8">
        <v>-9953.8619130000006</v>
      </c>
      <c r="M2101" s="9" t="str">
        <f>IF(A2101="",M2102,A2101)</f>
        <v>Japan</v>
      </c>
      <c r="N2101" s="3" t="str">
        <f t="shared" si="65"/>
        <v>Dec-2020</v>
      </c>
    </row>
    <row r="2102" spans="1:14" x14ac:dyDescent="0.3">
      <c r="A2102" s="3" t="s">
        <v>182</v>
      </c>
      <c r="B2102" s="3" t="s">
        <v>183</v>
      </c>
      <c r="C2102" s="8">
        <v>2021</v>
      </c>
      <c r="D2102" s="8">
        <v>1</v>
      </c>
      <c r="E2102" s="3" t="str">
        <f t="shared" si="64"/>
        <v>January</v>
      </c>
      <c r="F2102" s="3" t="s">
        <v>13</v>
      </c>
      <c r="G2102" s="8">
        <v>135792.21650000001</v>
      </c>
      <c r="H2102" s="8">
        <v>140844</v>
      </c>
      <c r="I2102" s="8">
        <v>5043.7835370000003</v>
      </c>
      <c r="J2102" s="8">
        <v>-16877.37385</v>
      </c>
      <c r="K2102" s="8">
        <v>-28590.37558</v>
      </c>
      <c r="L2102" s="8">
        <v>-4589.749092</v>
      </c>
      <c r="M2102" s="9" t="str">
        <f>IF(A2102="",M2103,A2102)</f>
        <v>Japan</v>
      </c>
      <c r="N2102" s="3" t="str">
        <f t="shared" si="65"/>
        <v>Jan-2021</v>
      </c>
    </row>
    <row r="2103" spans="1:14" x14ac:dyDescent="0.3">
      <c r="A2103" s="3" t="s">
        <v>182</v>
      </c>
      <c r="B2103" s="3" t="s">
        <v>183</v>
      </c>
      <c r="C2103" s="8">
        <v>2021</v>
      </c>
      <c r="D2103" s="8">
        <v>2</v>
      </c>
      <c r="E2103" s="3" t="str">
        <f t="shared" si="64"/>
        <v>February</v>
      </c>
      <c r="F2103" s="3" t="s">
        <v>13</v>
      </c>
      <c r="G2103" s="8">
        <v>125494.03690000001</v>
      </c>
      <c r="H2103" s="8">
        <v>118984</v>
      </c>
      <c r="I2103" s="8">
        <v>-6518.0369369999999</v>
      </c>
      <c r="J2103" s="8">
        <v>-23395.410790000002</v>
      </c>
      <c r="K2103" s="8">
        <v>-36335.707009999998</v>
      </c>
      <c r="L2103" s="8">
        <v>-10346.845139999999</v>
      </c>
      <c r="M2103" s="9" t="str">
        <f>IF(A2103="",M2104,A2103)</f>
        <v>Japan</v>
      </c>
      <c r="N2103" s="3" t="str">
        <f t="shared" si="65"/>
        <v>Feb-2021</v>
      </c>
    </row>
    <row r="2104" spans="1:14" x14ac:dyDescent="0.3">
      <c r="A2104" s="3" t="s">
        <v>182</v>
      </c>
      <c r="B2104" s="3" t="s">
        <v>183</v>
      </c>
      <c r="C2104" s="8">
        <v>2021</v>
      </c>
      <c r="D2104" s="8">
        <v>3</v>
      </c>
      <c r="E2104" s="3" t="str">
        <f t="shared" si="64"/>
        <v>March</v>
      </c>
      <c r="F2104" s="3" t="s">
        <v>13</v>
      </c>
      <c r="G2104" s="8">
        <v>125230.01059999999</v>
      </c>
      <c r="H2104" s="8">
        <v>123579</v>
      </c>
      <c r="I2104" s="8">
        <v>-1659.0106270000001</v>
      </c>
      <c r="J2104" s="8">
        <v>-25054.421419999999</v>
      </c>
      <c r="K2104" s="8">
        <v>-38211.254800000002</v>
      </c>
      <c r="L2104" s="8">
        <v>-11554.58598</v>
      </c>
      <c r="M2104" s="9" t="str">
        <f>IF(A2104="",M2105,A2104)</f>
        <v>Japan</v>
      </c>
      <c r="N2104" s="3" t="str">
        <f t="shared" si="65"/>
        <v>Mar-2021</v>
      </c>
    </row>
    <row r="2105" spans="1:14" x14ac:dyDescent="0.3">
      <c r="A2105" s="3" t="s">
        <v>182</v>
      </c>
      <c r="B2105" s="3" t="s">
        <v>183</v>
      </c>
      <c r="C2105" s="8">
        <v>2021</v>
      </c>
      <c r="D2105" s="8">
        <v>4</v>
      </c>
      <c r="E2105" s="3" t="str">
        <f t="shared" si="64"/>
        <v>April</v>
      </c>
      <c r="F2105" s="3" t="s">
        <v>13</v>
      </c>
      <c r="G2105" s="8">
        <v>116074.6</v>
      </c>
      <c r="H2105" s="8">
        <v>118169</v>
      </c>
      <c r="I2105" s="8">
        <v>2086.3999509999999</v>
      </c>
      <c r="J2105" s="8">
        <v>-22968.02147</v>
      </c>
      <c r="K2105" s="8">
        <v>-36645.858489999999</v>
      </c>
      <c r="L2105" s="8">
        <v>-8681.0330119999999</v>
      </c>
      <c r="M2105" s="9" t="str">
        <f>IF(A2105="",M2106,A2105)</f>
        <v>Japan</v>
      </c>
      <c r="N2105" s="3" t="str">
        <f t="shared" si="65"/>
        <v>Apr-2021</v>
      </c>
    </row>
    <row r="2106" spans="1:14" x14ac:dyDescent="0.3">
      <c r="A2106" s="3" t="s">
        <v>182</v>
      </c>
      <c r="B2106" s="3" t="s">
        <v>183</v>
      </c>
      <c r="C2106" s="8">
        <v>2021</v>
      </c>
      <c r="D2106" s="8">
        <v>5</v>
      </c>
      <c r="E2106" s="3" t="str">
        <f t="shared" si="64"/>
        <v>May</v>
      </c>
      <c r="F2106" s="3" t="s">
        <v>13</v>
      </c>
      <c r="G2106" s="8">
        <v>112452.3305</v>
      </c>
      <c r="H2106" s="8">
        <v>118634</v>
      </c>
      <c r="I2106" s="8">
        <v>6173.6694600000001</v>
      </c>
      <c r="J2106" s="8">
        <v>-16794.352009999999</v>
      </c>
      <c r="K2106" s="8">
        <v>-30752.762180000002</v>
      </c>
      <c r="L2106" s="8">
        <v>-1999.5097390000001</v>
      </c>
      <c r="M2106" s="9" t="str">
        <f>IF(A2106="",M2107,A2106)</f>
        <v>Japan</v>
      </c>
      <c r="N2106" s="3" t="str">
        <f t="shared" si="65"/>
        <v>May-2021</v>
      </c>
    </row>
    <row r="2107" spans="1:14" x14ac:dyDescent="0.3">
      <c r="A2107" s="3" t="s">
        <v>182</v>
      </c>
      <c r="B2107" s="3" t="s">
        <v>183</v>
      </c>
      <c r="C2107" s="8">
        <v>2021</v>
      </c>
      <c r="D2107" s="8">
        <v>6</v>
      </c>
      <c r="E2107" s="3" t="str">
        <f t="shared" si="64"/>
        <v>June</v>
      </c>
      <c r="F2107" s="3" t="s">
        <v>13</v>
      </c>
      <c r="G2107" s="8">
        <v>104951.90609999999</v>
      </c>
      <c r="H2107" s="8">
        <v>108734</v>
      </c>
      <c r="I2107" s="8">
        <v>3774.0938679999999</v>
      </c>
      <c r="J2107" s="8">
        <v>-13020.25814</v>
      </c>
      <c r="K2107" s="8">
        <v>-26869.619770000001</v>
      </c>
      <c r="L2107" s="8">
        <v>2604.082351</v>
      </c>
      <c r="M2107" s="9" t="str">
        <f>IF(A2107="",M2108,A2107)</f>
        <v>Japan</v>
      </c>
      <c r="N2107" s="3" t="str">
        <f t="shared" si="65"/>
        <v>Jun-2021</v>
      </c>
    </row>
    <row r="2108" spans="1:14" x14ac:dyDescent="0.3">
      <c r="A2108" s="3" t="s">
        <v>182</v>
      </c>
      <c r="B2108" s="3" t="s">
        <v>183</v>
      </c>
      <c r="C2108" s="8">
        <v>2021</v>
      </c>
      <c r="D2108" s="8">
        <v>7</v>
      </c>
      <c r="E2108" s="3" t="str">
        <f t="shared" si="64"/>
        <v>July</v>
      </c>
      <c r="F2108" s="3" t="s">
        <v>13</v>
      </c>
      <c r="G2108" s="8">
        <v>109676.9339</v>
      </c>
      <c r="H2108" s="8">
        <v>112222</v>
      </c>
      <c r="I2108" s="8">
        <v>2537.066143</v>
      </c>
      <c r="J2108" s="8">
        <v>-10483.191999999999</v>
      </c>
      <c r="K2108" s="8">
        <v>-24968.384409999999</v>
      </c>
      <c r="L2108" s="8">
        <v>4889.7186330000004</v>
      </c>
      <c r="M2108" s="9" t="str">
        <f>IF(A2108="",M2109,A2108)</f>
        <v>Japan</v>
      </c>
      <c r="N2108" s="3" t="str">
        <f t="shared" si="65"/>
        <v>Jul-2021</v>
      </c>
    </row>
    <row r="2109" spans="1:14" x14ac:dyDescent="0.3">
      <c r="A2109" s="3" t="s">
        <v>182</v>
      </c>
      <c r="B2109" s="3" t="s">
        <v>183</v>
      </c>
      <c r="C2109" s="8">
        <v>2021</v>
      </c>
      <c r="D2109" s="8">
        <v>8</v>
      </c>
      <c r="E2109" s="3" t="str">
        <f t="shared" si="64"/>
        <v>August</v>
      </c>
      <c r="F2109" s="3" t="s">
        <v>13</v>
      </c>
      <c r="G2109" s="8">
        <v>112037.77220000001</v>
      </c>
      <c r="H2109" s="8">
        <v>117804</v>
      </c>
      <c r="I2109" s="8">
        <v>5758.2277949999998</v>
      </c>
      <c r="J2109" s="8">
        <v>-4724.9642000000003</v>
      </c>
      <c r="K2109" s="8">
        <v>-19239.95234</v>
      </c>
      <c r="L2109" s="8">
        <v>10921.28009</v>
      </c>
      <c r="M2109" s="9" t="str">
        <f>IF(A2109="",M2110,A2109)</f>
        <v>Japan</v>
      </c>
      <c r="N2109" s="3" t="str">
        <f t="shared" si="65"/>
        <v>Aug-2021</v>
      </c>
    </row>
    <row r="2110" spans="1:14" x14ac:dyDescent="0.3">
      <c r="A2110" s="3" t="s">
        <v>182</v>
      </c>
      <c r="B2110" s="3" t="s">
        <v>183</v>
      </c>
      <c r="C2110" s="8">
        <v>2021</v>
      </c>
      <c r="D2110" s="8">
        <v>9</v>
      </c>
      <c r="E2110" s="3" t="str">
        <f t="shared" si="64"/>
        <v>September</v>
      </c>
      <c r="F2110" s="3" t="s">
        <v>13</v>
      </c>
      <c r="G2110" s="8">
        <v>109921.0433</v>
      </c>
      <c r="H2110" s="8">
        <v>115706</v>
      </c>
      <c r="I2110" s="8">
        <v>5776.9567230000002</v>
      </c>
      <c r="J2110" s="8">
        <v>1051.9925229999999</v>
      </c>
      <c r="K2110" s="8">
        <v>-14247.402899999999</v>
      </c>
      <c r="L2110" s="8">
        <v>17620.86879</v>
      </c>
      <c r="M2110" s="9" t="str">
        <f>IF(A2110="",M2111,A2110)</f>
        <v>Japan</v>
      </c>
      <c r="N2110" s="3" t="str">
        <f t="shared" si="65"/>
        <v>Sep-2021</v>
      </c>
    </row>
    <row r="2111" spans="1:14" x14ac:dyDescent="0.3">
      <c r="A2111" s="3" t="s">
        <v>182</v>
      </c>
      <c r="B2111" s="3" t="s">
        <v>183</v>
      </c>
      <c r="C2111" s="8">
        <v>2021</v>
      </c>
      <c r="D2111" s="8">
        <v>10</v>
      </c>
      <c r="E2111" s="3" t="str">
        <f t="shared" si="64"/>
        <v>October</v>
      </c>
      <c r="F2111" s="3" t="s">
        <v>13</v>
      </c>
      <c r="G2111" s="8">
        <v>117824.36199999999</v>
      </c>
      <c r="H2111" s="8">
        <v>120781</v>
      </c>
      <c r="I2111" s="8">
        <v>2948.637999</v>
      </c>
      <c r="J2111" s="8">
        <v>4000.6305219999999</v>
      </c>
      <c r="K2111" s="8">
        <v>-11677.936669999999</v>
      </c>
      <c r="L2111" s="8">
        <v>21108.181420000001</v>
      </c>
      <c r="M2111" s="9" t="str">
        <f>IF(A2111="",M2112,A2111)</f>
        <v>Japan</v>
      </c>
      <c r="N2111" s="3" t="str">
        <f t="shared" si="65"/>
        <v>Oct-2021</v>
      </c>
    </row>
    <row r="2112" spans="1:14" x14ac:dyDescent="0.3">
      <c r="A2112" s="3" t="s">
        <v>182</v>
      </c>
      <c r="B2112" s="3" t="s">
        <v>183</v>
      </c>
      <c r="C2112" s="8">
        <v>2021</v>
      </c>
      <c r="D2112" s="8">
        <v>11</v>
      </c>
      <c r="E2112" s="3" t="str">
        <f t="shared" si="64"/>
        <v>November</v>
      </c>
      <c r="F2112" s="3" t="s">
        <v>13</v>
      </c>
      <c r="G2112" s="8">
        <v>122778.39509999999</v>
      </c>
      <c r="H2112" s="8">
        <v>122806</v>
      </c>
      <c r="I2112" s="8">
        <v>19.604859579999999</v>
      </c>
      <c r="J2112" s="8">
        <v>4020.235381</v>
      </c>
      <c r="K2112" s="8">
        <v>-12600.003860000001</v>
      </c>
      <c r="L2112" s="8">
        <v>21164.57504</v>
      </c>
      <c r="M2112" s="9" t="str">
        <f>IF(A2112="",M2113,A2112)</f>
        <v>Japan</v>
      </c>
      <c r="N2112" s="3" t="str">
        <f t="shared" si="65"/>
        <v>Nov-2021</v>
      </c>
    </row>
    <row r="2113" spans="1:14" x14ac:dyDescent="0.3">
      <c r="A2113" s="3" t="s">
        <v>182</v>
      </c>
      <c r="B2113" s="3" t="s">
        <v>183</v>
      </c>
      <c r="C2113" s="8">
        <v>2021</v>
      </c>
      <c r="D2113" s="8">
        <v>12</v>
      </c>
      <c r="E2113" s="3" t="str">
        <f t="shared" si="64"/>
        <v>December</v>
      </c>
      <c r="F2113" s="3" t="s">
        <v>13</v>
      </c>
      <c r="G2113" s="8">
        <v>137841.99720000001</v>
      </c>
      <c r="H2113" s="8">
        <v>134026</v>
      </c>
      <c r="I2113" s="8">
        <v>-3823.9971529999998</v>
      </c>
      <c r="J2113" s="8">
        <v>196.23822870000001</v>
      </c>
      <c r="K2113" s="8">
        <v>-17060.813180000001</v>
      </c>
      <c r="L2113" s="8">
        <v>17466.425660000001</v>
      </c>
      <c r="M2113" s="9" t="str">
        <f>IF(A2113="",M2114,A2113)</f>
        <v>Japan</v>
      </c>
      <c r="N2113" s="3" t="str">
        <f t="shared" si="65"/>
        <v>Dec-2021</v>
      </c>
    </row>
    <row r="2114" spans="1:14" x14ac:dyDescent="0.3">
      <c r="A2114" s="3" t="s">
        <v>184</v>
      </c>
      <c r="B2114" s="3" t="s">
        <v>185</v>
      </c>
      <c r="C2114" s="8">
        <v>2020</v>
      </c>
      <c r="D2114" s="8">
        <v>1</v>
      </c>
      <c r="E2114" s="3" t="str">
        <f t="shared" ref="E2114:E2177" si="66">TEXT(DATE(C2114,D2114,1),"MMMM")</f>
        <v>January</v>
      </c>
      <c r="F2114" s="3" t="s">
        <v>13</v>
      </c>
      <c r="G2114" s="8">
        <v>10947.45095</v>
      </c>
      <c r="H2114" s="8">
        <v>11867</v>
      </c>
      <c r="I2114" s="8">
        <v>917.79904720000002</v>
      </c>
      <c r="J2114" s="8">
        <v>917.79904720000002</v>
      </c>
      <c r="K2114" s="8">
        <v>554.24700399999995</v>
      </c>
      <c r="L2114" s="8">
        <v>1284.372552</v>
      </c>
      <c r="M2114" s="9" t="str">
        <f>IF(A2114="",M2115,A2114)</f>
        <v>Kazakhstan</v>
      </c>
      <c r="N2114" s="3" t="str">
        <f t="shared" ref="N2114:N2177" si="67">TEXT(DATE(C2114,D2114,1),"MMM-YYYY")</f>
        <v>Jan-2020</v>
      </c>
    </row>
    <row r="2115" spans="1:14" x14ac:dyDescent="0.3">
      <c r="A2115" s="3" t="s">
        <v>184</v>
      </c>
      <c r="B2115" s="3" t="s">
        <v>185</v>
      </c>
      <c r="C2115" s="8">
        <v>2020</v>
      </c>
      <c r="D2115" s="8">
        <v>2</v>
      </c>
      <c r="E2115" s="3" t="str">
        <f t="shared" si="66"/>
        <v>February</v>
      </c>
      <c r="F2115" s="3" t="s">
        <v>13</v>
      </c>
      <c r="G2115" s="8">
        <v>10946.577670000001</v>
      </c>
      <c r="H2115" s="8">
        <v>10842</v>
      </c>
      <c r="I2115" s="8">
        <v>-106.32766789999999</v>
      </c>
      <c r="J2115" s="8">
        <v>811.47137929999997</v>
      </c>
      <c r="K2115" s="8">
        <v>312.945784</v>
      </c>
      <c r="L2115" s="8">
        <v>1350.662695</v>
      </c>
      <c r="M2115" s="9" t="str">
        <f>IF(A2115="",M2116,A2115)</f>
        <v>Kazakhstan</v>
      </c>
      <c r="N2115" s="3" t="str">
        <f t="shared" si="67"/>
        <v>Feb-2020</v>
      </c>
    </row>
    <row r="2116" spans="1:14" x14ac:dyDescent="0.3">
      <c r="A2116" s="3" t="s">
        <v>184</v>
      </c>
      <c r="B2116" s="3" t="s">
        <v>185</v>
      </c>
      <c r="C2116" s="8">
        <v>2020</v>
      </c>
      <c r="D2116" s="8">
        <v>3</v>
      </c>
      <c r="E2116" s="3" t="str">
        <f t="shared" si="66"/>
        <v>March</v>
      </c>
      <c r="F2116" s="3" t="s">
        <v>13</v>
      </c>
      <c r="G2116" s="8">
        <v>10949.36807</v>
      </c>
      <c r="H2116" s="8">
        <v>8511</v>
      </c>
      <c r="I2116" s="8">
        <v>-2440.1180730000001</v>
      </c>
      <c r="J2116" s="8">
        <v>-1628.646694</v>
      </c>
      <c r="K2116" s="8">
        <v>-2264.6532710000001</v>
      </c>
      <c r="L2116" s="8">
        <v>-967.95517989999996</v>
      </c>
      <c r="M2116" s="9" t="str">
        <f>IF(A2116="",M2117,A2116)</f>
        <v>Kazakhstan</v>
      </c>
      <c r="N2116" s="3" t="str">
        <f t="shared" si="67"/>
        <v>Mar-2020</v>
      </c>
    </row>
    <row r="2117" spans="1:14" x14ac:dyDescent="0.3">
      <c r="A2117" s="3" t="s">
        <v>184</v>
      </c>
      <c r="B2117" s="3" t="s">
        <v>185</v>
      </c>
      <c r="C2117" s="8">
        <v>2020</v>
      </c>
      <c r="D2117" s="8">
        <v>4</v>
      </c>
      <c r="E2117" s="3" t="str">
        <f t="shared" si="66"/>
        <v>April</v>
      </c>
      <c r="F2117" s="3" t="s">
        <v>13</v>
      </c>
      <c r="G2117" s="8">
        <v>10942.58857</v>
      </c>
      <c r="H2117" s="8">
        <v>4441</v>
      </c>
      <c r="I2117" s="8">
        <v>-6503.3385719999997</v>
      </c>
      <c r="J2117" s="8">
        <v>-8131.9852650000003</v>
      </c>
      <c r="K2117" s="8">
        <v>-8893.3903460000001</v>
      </c>
      <c r="L2117" s="8">
        <v>-7351.5328790000003</v>
      </c>
      <c r="M2117" s="9" t="str">
        <f>IF(A2117="",M2118,A2117)</f>
        <v>Kazakhstan</v>
      </c>
      <c r="N2117" s="3" t="str">
        <f t="shared" si="67"/>
        <v>Apr-2020</v>
      </c>
    </row>
    <row r="2118" spans="1:14" x14ac:dyDescent="0.3">
      <c r="A2118" s="3" t="s">
        <v>184</v>
      </c>
      <c r="B2118" s="3" t="s">
        <v>185</v>
      </c>
      <c r="C2118" s="8">
        <v>2020</v>
      </c>
      <c r="D2118" s="8">
        <v>5</v>
      </c>
      <c r="E2118" s="3" t="str">
        <f t="shared" si="66"/>
        <v>May</v>
      </c>
      <c r="F2118" s="3" t="s">
        <v>13</v>
      </c>
      <c r="G2118" s="8">
        <v>10947.657359999999</v>
      </c>
      <c r="H2118" s="8">
        <v>14358</v>
      </c>
      <c r="I2118" s="8">
        <v>3408.5926370000002</v>
      </c>
      <c r="J2118" s="8">
        <v>-4723.3926279999996</v>
      </c>
      <c r="K2118" s="8">
        <v>-5582.5450149999997</v>
      </c>
      <c r="L2118" s="8">
        <v>-3826.9679580000002</v>
      </c>
      <c r="M2118" s="9" t="str">
        <f>IF(A2118="",M2119,A2118)</f>
        <v>Kazakhstan</v>
      </c>
      <c r="N2118" s="3" t="str">
        <f t="shared" si="67"/>
        <v>May-2020</v>
      </c>
    </row>
    <row r="2119" spans="1:14" x14ac:dyDescent="0.3">
      <c r="A2119" s="3" t="s">
        <v>184</v>
      </c>
      <c r="B2119" s="3" t="s">
        <v>185</v>
      </c>
      <c r="C2119" s="8">
        <v>2020</v>
      </c>
      <c r="D2119" s="8">
        <v>6</v>
      </c>
      <c r="E2119" s="3" t="str">
        <f t="shared" si="66"/>
        <v>June</v>
      </c>
      <c r="F2119" s="3" t="s">
        <v>13</v>
      </c>
      <c r="G2119" s="8">
        <v>10952.16798</v>
      </c>
      <c r="H2119" s="8">
        <v>14949</v>
      </c>
      <c r="I2119" s="8">
        <v>3995.0820210000002</v>
      </c>
      <c r="J2119" s="8">
        <v>-728.31060679999996</v>
      </c>
      <c r="K2119" s="8">
        <v>-1647.100625</v>
      </c>
      <c r="L2119" s="8">
        <v>237.6847033</v>
      </c>
      <c r="M2119" s="9" t="str">
        <f>IF(A2119="",M2120,A2119)</f>
        <v>Kazakhstan</v>
      </c>
      <c r="N2119" s="3" t="str">
        <f t="shared" si="67"/>
        <v>Jun-2020</v>
      </c>
    </row>
    <row r="2120" spans="1:14" x14ac:dyDescent="0.3">
      <c r="A2120" s="3" t="s">
        <v>184</v>
      </c>
      <c r="B2120" s="3" t="s">
        <v>185</v>
      </c>
      <c r="C2120" s="8">
        <v>2020</v>
      </c>
      <c r="D2120" s="8">
        <v>7</v>
      </c>
      <c r="E2120" s="3" t="str">
        <f t="shared" si="66"/>
        <v>July</v>
      </c>
      <c r="F2120" s="3" t="s">
        <v>13</v>
      </c>
      <c r="G2120" s="8">
        <v>10954.735790000001</v>
      </c>
      <c r="H2120" s="8">
        <v>28178</v>
      </c>
      <c r="I2120" s="8">
        <v>17221.514210000001</v>
      </c>
      <c r="J2120" s="8">
        <v>16493.203600000001</v>
      </c>
      <c r="K2120" s="8">
        <v>15441.53456</v>
      </c>
      <c r="L2120" s="8">
        <v>17532.231629999998</v>
      </c>
      <c r="M2120" s="9" t="str">
        <f>IF(A2120="",M2121,A2120)</f>
        <v>Kazakhstan</v>
      </c>
      <c r="N2120" s="3" t="str">
        <f t="shared" si="67"/>
        <v>Jul-2020</v>
      </c>
    </row>
    <row r="2121" spans="1:14" x14ac:dyDescent="0.3">
      <c r="A2121" s="3" t="s">
        <v>184</v>
      </c>
      <c r="B2121" s="3" t="s">
        <v>185</v>
      </c>
      <c r="C2121" s="8">
        <v>2020</v>
      </c>
      <c r="D2121" s="8">
        <v>8</v>
      </c>
      <c r="E2121" s="3" t="str">
        <f t="shared" si="66"/>
        <v>August</v>
      </c>
      <c r="F2121" s="3" t="s">
        <v>13</v>
      </c>
      <c r="G2121" s="8">
        <v>10939.48164</v>
      </c>
      <c r="H2121" s="8">
        <v>17835</v>
      </c>
      <c r="I2121" s="8">
        <v>6893.7683580000003</v>
      </c>
      <c r="J2121" s="8">
        <v>23386.971959999999</v>
      </c>
      <c r="K2121" s="8">
        <v>22271.465090000002</v>
      </c>
      <c r="L2121" s="8">
        <v>24487.781630000001</v>
      </c>
      <c r="M2121" s="9" t="str">
        <f>IF(A2121="",M2122,A2121)</f>
        <v>Kazakhstan</v>
      </c>
      <c r="N2121" s="3" t="str">
        <f t="shared" si="67"/>
        <v>Aug-2020</v>
      </c>
    </row>
    <row r="2122" spans="1:14" x14ac:dyDescent="0.3">
      <c r="A2122" s="3" t="s">
        <v>184</v>
      </c>
      <c r="B2122" s="3" t="s">
        <v>185</v>
      </c>
      <c r="C2122" s="8">
        <v>2020</v>
      </c>
      <c r="D2122" s="8">
        <v>9</v>
      </c>
      <c r="E2122" s="3" t="str">
        <f t="shared" si="66"/>
        <v>September</v>
      </c>
      <c r="F2122" s="3" t="s">
        <v>13</v>
      </c>
      <c r="G2122" s="8">
        <v>10947.54595</v>
      </c>
      <c r="H2122" s="8">
        <v>13672</v>
      </c>
      <c r="I2122" s="8">
        <v>2722.7040510000002</v>
      </c>
      <c r="J2122" s="8">
        <v>26109.676009999999</v>
      </c>
      <c r="K2122" s="8">
        <v>24910.282469999998</v>
      </c>
      <c r="L2122" s="8">
        <v>27282.289570000001</v>
      </c>
      <c r="M2122" s="9" t="str">
        <f>IF(A2122="",M2123,A2122)</f>
        <v>Kazakhstan</v>
      </c>
      <c r="N2122" s="3" t="str">
        <f t="shared" si="67"/>
        <v>Sep-2020</v>
      </c>
    </row>
    <row r="2123" spans="1:14" x14ac:dyDescent="0.3">
      <c r="A2123" s="3" t="s">
        <v>184</v>
      </c>
      <c r="B2123" s="3" t="s">
        <v>185</v>
      </c>
      <c r="C2123" s="8">
        <v>2020</v>
      </c>
      <c r="D2123" s="8">
        <v>10</v>
      </c>
      <c r="E2123" s="3" t="str">
        <f t="shared" si="66"/>
        <v>October</v>
      </c>
      <c r="F2123" s="3" t="s">
        <v>13</v>
      </c>
      <c r="G2123" s="8">
        <v>10953.91329</v>
      </c>
      <c r="H2123" s="8">
        <v>12489</v>
      </c>
      <c r="I2123" s="8">
        <v>1533.336712</v>
      </c>
      <c r="J2123" s="8">
        <v>27643.012719999999</v>
      </c>
      <c r="K2123" s="8">
        <v>26319.295849999999</v>
      </c>
      <c r="L2123" s="8">
        <v>28973.034220000001</v>
      </c>
      <c r="M2123" s="9" t="str">
        <f>IF(A2123="",M2124,A2123)</f>
        <v>Kazakhstan</v>
      </c>
      <c r="N2123" s="3" t="str">
        <f t="shared" si="67"/>
        <v>Oct-2020</v>
      </c>
    </row>
    <row r="2124" spans="1:14" x14ac:dyDescent="0.3">
      <c r="A2124" s="3" t="s">
        <v>184</v>
      </c>
      <c r="B2124" s="3" t="s">
        <v>185</v>
      </c>
      <c r="C2124" s="8">
        <v>2020</v>
      </c>
      <c r="D2124" s="8">
        <v>11</v>
      </c>
      <c r="E2124" s="3" t="str">
        <f t="shared" si="66"/>
        <v>November</v>
      </c>
      <c r="F2124" s="3" t="s">
        <v>13</v>
      </c>
      <c r="G2124" s="8">
        <v>10941.98</v>
      </c>
      <c r="H2124" s="8">
        <v>12388</v>
      </c>
      <c r="I2124" s="8">
        <v>1444.269996</v>
      </c>
      <c r="J2124" s="8">
        <v>29087.282719999999</v>
      </c>
      <c r="K2124" s="8">
        <v>27655.164529999998</v>
      </c>
      <c r="L2124" s="8">
        <v>30472.883320000001</v>
      </c>
      <c r="M2124" s="9" t="str">
        <f>IF(A2124="",M2125,A2124)</f>
        <v>Kazakhstan</v>
      </c>
      <c r="N2124" s="3" t="str">
        <f t="shared" si="67"/>
        <v>Nov-2020</v>
      </c>
    </row>
    <row r="2125" spans="1:14" x14ac:dyDescent="0.3">
      <c r="A2125" s="3" t="s">
        <v>184</v>
      </c>
      <c r="B2125" s="3" t="s">
        <v>185</v>
      </c>
      <c r="C2125" s="8">
        <v>2020</v>
      </c>
      <c r="D2125" s="8">
        <v>12</v>
      </c>
      <c r="E2125" s="3" t="str">
        <f t="shared" si="66"/>
        <v>December</v>
      </c>
      <c r="F2125" s="3" t="s">
        <v>13</v>
      </c>
      <c r="G2125" s="8">
        <v>10950.103709999999</v>
      </c>
      <c r="H2125" s="8">
        <v>13083</v>
      </c>
      <c r="I2125" s="8">
        <v>2131.1462889999998</v>
      </c>
      <c r="J2125" s="8">
        <v>31218.42901</v>
      </c>
      <c r="K2125" s="8">
        <v>29731.985410000001</v>
      </c>
      <c r="L2125" s="8">
        <v>32654.497889999999</v>
      </c>
      <c r="M2125" s="9" t="str">
        <f>IF(A2125="",M2126,A2125)</f>
        <v>Kazakhstan</v>
      </c>
      <c r="N2125" s="3" t="str">
        <f t="shared" si="67"/>
        <v>Dec-2020</v>
      </c>
    </row>
    <row r="2126" spans="1:14" x14ac:dyDescent="0.3">
      <c r="A2126" s="3" t="s">
        <v>184</v>
      </c>
      <c r="B2126" s="3" t="s">
        <v>185</v>
      </c>
      <c r="C2126" s="8">
        <v>2021</v>
      </c>
      <c r="D2126" s="8">
        <v>1</v>
      </c>
      <c r="E2126" s="3" t="str">
        <f t="shared" si="66"/>
        <v>January</v>
      </c>
      <c r="F2126" s="3" t="s">
        <v>13</v>
      </c>
      <c r="G2126" s="8">
        <v>10943.59323</v>
      </c>
      <c r="H2126" s="8">
        <v>12478</v>
      </c>
      <c r="I2126" s="8">
        <v>1534.156772</v>
      </c>
      <c r="J2126" s="8">
        <v>32752.585780000001</v>
      </c>
      <c r="K2126" s="8">
        <v>31210.04206</v>
      </c>
      <c r="L2126" s="8">
        <v>34316.103219999997</v>
      </c>
      <c r="M2126" s="9" t="str">
        <f>IF(A2126="",M2127,A2126)</f>
        <v>Kazakhstan</v>
      </c>
      <c r="N2126" s="3" t="str">
        <f t="shared" si="67"/>
        <v>Jan-2021</v>
      </c>
    </row>
    <row r="2127" spans="1:14" x14ac:dyDescent="0.3">
      <c r="A2127" s="3" t="s">
        <v>184</v>
      </c>
      <c r="B2127" s="3" t="s">
        <v>185</v>
      </c>
      <c r="C2127" s="8">
        <v>2021</v>
      </c>
      <c r="D2127" s="8">
        <v>2</v>
      </c>
      <c r="E2127" s="3" t="str">
        <f t="shared" si="66"/>
        <v>February</v>
      </c>
      <c r="F2127" s="3" t="s">
        <v>13</v>
      </c>
      <c r="G2127" s="8">
        <v>10936.229869999999</v>
      </c>
      <c r="H2127" s="8">
        <v>11186</v>
      </c>
      <c r="I2127" s="8">
        <v>249.52013249999999</v>
      </c>
      <c r="J2127" s="8">
        <v>33002.105909999998</v>
      </c>
      <c r="K2127" s="8">
        <v>31337.039290000001</v>
      </c>
      <c r="L2127" s="8">
        <v>34663.790569999997</v>
      </c>
      <c r="M2127" s="9" t="str">
        <f>IF(A2127="",M2128,A2127)</f>
        <v>Kazakhstan</v>
      </c>
      <c r="N2127" s="3" t="str">
        <f t="shared" si="67"/>
        <v>Feb-2021</v>
      </c>
    </row>
    <row r="2128" spans="1:14" x14ac:dyDescent="0.3">
      <c r="A2128" s="3" t="s">
        <v>184</v>
      </c>
      <c r="B2128" s="3" t="s">
        <v>185</v>
      </c>
      <c r="C2128" s="8">
        <v>2021</v>
      </c>
      <c r="D2128" s="8">
        <v>3</v>
      </c>
      <c r="E2128" s="3" t="str">
        <f t="shared" si="66"/>
        <v>March</v>
      </c>
      <c r="F2128" s="3" t="s">
        <v>13</v>
      </c>
      <c r="G2128" s="8">
        <v>10944.285260000001</v>
      </c>
      <c r="H2128" s="8">
        <v>12476</v>
      </c>
      <c r="I2128" s="8">
        <v>1531.464743</v>
      </c>
      <c r="J2128" s="8">
        <v>34533.570650000001</v>
      </c>
      <c r="K2128" s="8">
        <v>32757.040280000001</v>
      </c>
      <c r="L2128" s="8">
        <v>36258.6757</v>
      </c>
      <c r="M2128" s="9" t="str">
        <f>IF(A2128="",M2129,A2128)</f>
        <v>Kazakhstan</v>
      </c>
      <c r="N2128" s="3" t="str">
        <f t="shared" si="67"/>
        <v>Mar-2021</v>
      </c>
    </row>
    <row r="2129" spans="1:14" x14ac:dyDescent="0.3">
      <c r="A2129" s="3" t="s">
        <v>184</v>
      </c>
      <c r="B2129" s="3" t="s">
        <v>185</v>
      </c>
      <c r="C2129" s="8">
        <v>2021</v>
      </c>
      <c r="D2129" s="8">
        <v>4</v>
      </c>
      <c r="E2129" s="3" t="str">
        <f t="shared" si="66"/>
        <v>April</v>
      </c>
      <c r="F2129" s="3" t="s">
        <v>13</v>
      </c>
      <c r="G2129" s="8">
        <v>10946.563599999999</v>
      </c>
      <c r="H2129" s="8">
        <v>13317</v>
      </c>
      <c r="I2129" s="8">
        <v>2370.1863990000002</v>
      </c>
      <c r="J2129" s="8">
        <v>36903.75705</v>
      </c>
      <c r="K2129" s="8">
        <v>35081.993369999997</v>
      </c>
      <c r="L2129" s="8">
        <v>38751.85714</v>
      </c>
      <c r="M2129" s="9" t="str">
        <f>IF(A2129="",M2130,A2129)</f>
        <v>Kazakhstan</v>
      </c>
      <c r="N2129" s="3" t="str">
        <f t="shared" si="67"/>
        <v>Apr-2021</v>
      </c>
    </row>
    <row r="2130" spans="1:14" x14ac:dyDescent="0.3">
      <c r="A2130" s="3" t="s">
        <v>184</v>
      </c>
      <c r="B2130" s="3" t="s">
        <v>185</v>
      </c>
      <c r="C2130" s="8">
        <v>2021</v>
      </c>
      <c r="D2130" s="8">
        <v>5</v>
      </c>
      <c r="E2130" s="3" t="str">
        <f t="shared" si="66"/>
        <v>May</v>
      </c>
      <c r="F2130" s="3" t="s">
        <v>13</v>
      </c>
      <c r="G2130" s="8">
        <v>10932.390810000001</v>
      </c>
      <c r="H2130" s="8">
        <v>14202</v>
      </c>
      <c r="I2130" s="8">
        <v>3269.3591879999999</v>
      </c>
      <c r="J2130" s="8">
        <v>40173.116240000003</v>
      </c>
      <c r="K2130" s="8">
        <v>38358.33311</v>
      </c>
      <c r="L2130" s="8">
        <v>42034.251479999999</v>
      </c>
      <c r="M2130" s="9" t="str">
        <f>IF(A2130="",M2131,A2130)</f>
        <v>Kazakhstan</v>
      </c>
      <c r="N2130" s="3" t="str">
        <f t="shared" si="67"/>
        <v>May-2021</v>
      </c>
    </row>
    <row r="2131" spans="1:14" x14ac:dyDescent="0.3">
      <c r="A2131" s="3" t="s">
        <v>184</v>
      </c>
      <c r="B2131" s="3" t="s">
        <v>185</v>
      </c>
      <c r="C2131" s="8">
        <v>2021</v>
      </c>
      <c r="D2131" s="8">
        <v>6</v>
      </c>
      <c r="E2131" s="3" t="str">
        <f t="shared" si="66"/>
        <v>June</v>
      </c>
      <c r="F2131" s="3" t="s">
        <v>13</v>
      </c>
      <c r="G2131" s="8">
        <v>10943.664580000001</v>
      </c>
      <c r="H2131" s="8">
        <v>12904</v>
      </c>
      <c r="I2131" s="8">
        <v>1960.0854179999999</v>
      </c>
      <c r="J2131" s="8">
        <v>42133.201659999999</v>
      </c>
      <c r="K2131" s="8">
        <v>40208.565759999998</v>
      </c>
      <c r="L2131" s="8">
        <v>44087.319620000002</v>
      </c>
      <c r="M2131" s="9" t="str">
        <f>IF(A2131="",M2132,A2131)</f>
        <v>Kazakhstan</v>
      </c>
      <c r="N2131" s="3" t="str">
        <f t="shared" si="67"/>
        <v>Jun-2021</v>
      </c>
    </row>
    <row r="2132" spans="1:14" x14ac:dyDescent="0.3">
      <c r="A2132" s="3" t="s">
        <v>184</v>
      </c>
      <c r="B2132" s="3" t="s">
        <v>185</v>
      </c>
      <c r="C2132" s="8">
        <v>2021</v>
      </c>
      <c r="D2132" s="8">
        <v>7</v>
      </c>
      <c r="E2132" s="3" t="str">
        <f t="shared" si="66"/>
        <v>July</v>
      </c>
      <c r="F2132" s="3" t="s">
        <v>13</v>
      </c>
      <c r="G2132" s="8">
        <v>10941.3181</v>
      </c>
      <c r="H2132" s="8">
        <v>16700</v>
      </c>
      <c r="I2132" s="8">
        <v>5758.4319020000003</v>
      </c>
      <c r="J2132" s="8">
        <v>47891.633560000002</v>
      </c>
      <c r="K2132" s="8">
        <v>45800.26874</v>
      </c>
      <c r="L2132" s="8">
        <v>49890.941169999998</v>
      </c>
      <c r="M2132" s="9" t="str">
        <f>IF(A2132="",M2133,A2132)</f>
        <v>Kazakhstan</v>
      </c>
      <c r="N2132" s="3" t="str">
        <f t="shared" si="67"/>
        <v>Jul-2021</v>
      </c>
    </row>
    <row r="2133" spans="1:14" x14ac:dyDescent="0.3">
      <c r="A2133" s="3" t="s">
        <v>184</v>
      </c>
      <c r="B2133" s="3" t="s">
        <v>185</v>
      </c>
      <c r="C2133" s="8">
        <v>2021</v>
      </c>
      <c r="D2133" s="8">
        <v>8</v>
      </c>
      <c r="E2133" s="3" t="str">
        <f t="shared" si="66"/>
        <v>August</v>
      </c>
      <c r="F2133" s="3" t="s">
        <v>13</v>
      </c>
      <c r="G2133" s="8">
        <v>10943.463830000001</v>
      </c>
      <c r="H2133" s="8">
        <v>24342</v>
      </c>
      <c r="I2133" s="8">
        <v>13398.286169999999</v>
      </c>
      <c r="J2133" s="8">
        <v>61289.919739999998</v>
      </c>
      <c r="K2133" s="8">
        <v>59182.472040000001</v>
      </c>
      <c r="L2133" s="8">
        <v>63387.067190000002</v>
      </c>
      <c r="M2133" s="9" t="str">
        <f>IF(A2133="",M2134,A2133)</f>
        <v>Kazakhstan</v>
      </c>
      <c r="N2133" s="3" t="str">
        <f t="shared" si="67"/>
        <v>Aug-2021</v>
      </c>
    </row>
    <row r="2134" spans="1:14" x14ac:dyDescent="0.3">
      <c r="A2134" s="3" t="s">
        <v>184</v>
      </c>
      <c r="B2134" s="3" t="s">
        <v>185</v>
      </c>
      <c r="C2134" s="8">
        <v>2021</v>
      </c>
      <c r="D2134" s="8">
        <v>9</v>
      </c>
      <c r="E2134" s="3" t="str">
        <f t="shared" si="66"/>
        <v>September</v>
      </c>
      <c r="F2134" s="3" t="s">
        <v>13</v>
      </c>
      <c r="G2134" s="8">
        <v>10932.51268</v>
      </c>
      <c r="H2134" s="8">
        <v>19975</v>
      </c>
      <c r="I2134" s="8">
        <v>9042.2373239999997</v>
      </c>
      <c r="J2134" s="8">
        <v>70332.157059999998</v>
      </c>
      <c r="K2134" s="8">
        <v>68234.031000000003</v>
      </c>
      <c r="L2134" s="8">
        <v>72553.687900000004</v>
      </c>
      <c r="M2134" s="9" t="str">
        <f>IF(A2134="",M2135,A2134)</f>
        <v>Kazakhstan</v>
      </c>
      <c r="N2134" s="3" t="str">
        <f t="shared" si="67"/>
        <v>Sep-2021</v>
      </c>
    </row>
    <row r="2135" spans="1:14" x14ac:dyDescent="0.3">
      <c r="A2135" s="3" t="s">
        <v>184</v>
      </c>
      <c r="B2135" s="3" t="s">
        <v>185</v>
      </c>
      <c r="C2135" s="8">
        <v>2021</v>
      </c>
      <c r="D2135" s="8">
        <v>10</v>
      </c>
      <c r="E2135" s="3" t="str">
        <f t="shared" si="66"/>
        <v>October</v>
      </c>
      <c r="F2135" s="3" t="s">
        <v>13</v>
      </c>
      <c r="G2135" s="8">
        <v>10946.98004</v>
      </c>
      <c r="H2135" s="8">
        <v>16002</v>
      </c>
      <c r="I2135" s="8">
        <v>5054.7699629999997</v>
      </c>
      <c r="J2135" s="8">
        <v>75386.927020000003</v>
      </c>
      <c r="K2135" s="8">
        <v>73134.112380000006</v>
      </c>
      <c r="L2135" s="8">
        <v>77768.358420000004</v>
      </c>
      <c r="M2135" s="9" t="str">
        <f>IF(A2135="",M2136,A2135)</f>
        <v>Kazakhstan</v>
      </c>
      <c r="N2135" s="3" t="str">
        <f t="shared" si="67"/>
        <v>Oct-2021</v>
      </c>
    </row>
    <row r="2136" spans="1:14" x14ac:dyDescent="0.3">
      <c r="A2136" s="3" t="s">
        <v>184</v>
      </c>
      <c r="B2136" s="3" t="s">
        <v>185</v>
      </c>
      <c r="C2136" s="8">
        <v>2021</v>
      </c>
      <c r="D2136" s="8">
        <v>11</v>
      </c>
      <c r="E2136" s="3" t="str">
        <f t="shared" si="66"/>
        <v>November</v>
      </c>
      <c r="F2136" s="3" t="s">
        <v>13</v>
      </c>
      <c r="G2136" s="8">
        <v>10952.419190000001</v>
      </c>
      <c r="H2136" s="8">
        <v>15862</v>
      </c>
      <c r="I2136" s="8">
        <v>4909.3308070000003</v>
      </c>
      <c r="J2136" s="8">
        <v>80296.257830000002</v>
      </c>
      <c r="K2136" s="8">
        <v>77982.248980000004</v>
      </c>
      <c r="L2136" s="8">
        <v>82767.201109999995</v>
      </c>
      <c r="M2136" s="9" t="str">
        <f>IF(A2136="",M2137,A2136)</f>
        <v>Kazakhstan</v>
      </c>
      <c r="N2136" s="3" t="str">
        <f t="shared" si="67"/>
        <v>Nov-2021</v>
      </c>
    </row>
    <row r="2137" spans="1:14" x14ac:dyDescent="0.3">
      <c r="A2137" s="3" t="s">
        <v>184</v>
      </c>
      <c r="B2137" s="3" t="s">
        <v>185</v>
      </c>
      <c r="C2137" s="8">
        <v>2021</v>
      </c>
      <c r="D2137" s="8">
        <v>12</v>
      </c>
      <c r="E2137" s="3" t="str">
        <f t="shared" si="66"/>
        <v>December</v>
      </c>
      <c r="F2137" s="3" t="s">
        <v>13</v>
      </c>
      <c r="G2137" s="8">
        <v>10940.327730000001</v>
      </c>
      <c r="H2137" s="8">
        <v>13913</v>
      </c>
      <c r="I2137" s="8">
        <v>2972.4222679999998</v>
      </c>
      <c r="J2137" s="8">
        <v>83268.680099999998</v>
      </c>
      <c r="K2137" s="8">
        <v>80958.004839999994</v>
      </c>
      <c r="L2137" s="8">
        <v>85852.390249999997</v>
      </c>
      <c r="M2137" s="9" t="str">
        <f>IF(A2137="",M2138,A2137)</f>
        <v>Kazakhstan</v>
      </c>
      <c r="N2137" s="3" t="str">
        <f t="shared" si="67"/>
        <v>Dec-2021</v>
      </c>
    </row>
    <row r="2138" spans="1:14" x14ac:dyDescent="0.3">
      <c r="A2138" s="3" t="s">
        <v>186</v>
      </c>
      <c r="B2138" s="3" t="s">
        <v>187</v>
      </c>
      <c r="C2138" s="8">
        <v>2020</v>
      </c>
      <c r="D2138" s="8">
        <v>1</v>
      </c>
      <c r="E2138" s="3" t="str">
        <f t="shared" si="66"/>
        <v>January</v>
      </c>
      <c r="F2138" s="3" t="s">
        <v>8</v>
      </c>
      <c r="G2138" s="8">
        <v>24586.276689999999</v>
      </c>
      <c r="H2138" s="8">
        <v>25444.777999999998</v>
      </c>
      <c r="I2138" s="8">
        <v>858.501307</v>
      </c>
      <c r="J2138" s="8">
        <v>858.501307</v>
      </c>
      <c r="K2138" s="8">
        <v>-5059.2215189999997</v>
      </c>
      <c r="L2138" s="8">
        <v>7996.8740459999999</v>
      </c>
      <c r="M2138" s="9" t="str">
        <f>IF(A2138="",M2139,A2138)</f>
        <v>Kenya</v>
      </c>
      <c r="N2138" s="3" t="str">
        <f t="shared" si="67"/>
        <v>Jan-2020</v>
      </c>
    </row>
    <row r="2139" spans="1:14" x14ac:dyDescent="0.3">
      <c r="A2139" s="3" t="s">
        <v>186</v>
      </c>
      <c r="B2139" s="3" t="s">
        <v>187</v>
      </c>
      <c r="C2139" s="8">
        <v>2020</v>
      </c>
      <c r="D2139" s="8">
        <v>2</v>
      </c>
      <c r="E2139" s="3" t="str">
        <f t="shared" si="66"/>
        <v>February</v>
      </c>
      <c r="F2139" s="3" t="s">
        <v>8</v>
      </c>
      <c r="G2139" s="8">
        <v>24644.441800000001</v>
      </c>
      <c r="H2139" s="8">
        <v>24825.866000000002</v>
      </c>
      <c r="I2139" s="8">
        <v>181.42419820000001</v>
      </c>
      <c r="J2139" s="8">
        <v>1039.9255049999999</v>
      </c>
      <c r="K2139" s="8">
        <v>-7335.4754220000004</v>
      </c>
      <c r="L2139" s="8">
        <v>11088.717549999999</v>
      </c>
      <c r="M2139" s="9" t="str">
        <f>IF(A2139="",M2140,A2139)</f>
        <v>Kenya</v>
      </c>
      <c r="N2139" s="3" t="str">
        <f t="shared" si="67"/>
        <v>Feb-2020</v>
      </c>
    </row>
    <row r="2140" spans="1:14" x14ac:dyDescent="0.3">
      <c r="A2140" s="3" t="s">
        <v>186</v>
      </c>
      <c r="B2140" s="3" t="s">
        <v>187</v>
      </c>
      <c r="C2140" s="8">
        <v>2020</v>
      </c>
      <c r="D2140" s="8">
        <v>3</v>
      </c>
      <c r="E2140" s="3" t="str">
        <f t="shared" si="66"/>
        <v>March</v>
      </c>
      <c r="F2140" s="3" t="s">
        <v>8</v>
      </c>
      <c r="G2140" s="8">
        <v>24463.41275</v>
      </c>
      <c r="H2140" s="8">
        <v>23266.94</v>
      </c>
      <c r="I2140" s="8">
        <v>-1196.4727539999999</v>
      </c>
      <c r="J2140" s="8">
        <v>-156.54724859999999</v>
      </c>
      <c r="K2140" s="8">
        <v>-10582.917670000001</v>
      </c>
      <c r="L2140" s="8">
        <v>11945.588320000001</v>
      </c>
      <c r="M2140" s="9" t="str">
        <f>IF(A2140="",M2141,A2140)</f>
        <v>Kenya</v>
      </c>
      <c r="N2140" s="3" t="str">
        <f t="shared" si="67"/>
        <v>Mar-2020</v>
      </c>
    </row>
    <row r="2141" spans="1:14" x14ac:dyDescent="0.3">
      <c r="A2141" s="3" t="s">
        <v>186</v>
      </c>
      <c r="B2141" s="3" t="s">
        <v>187</v>
      </c>
      <c r="C2141" s="8">
        <v>2020</v>
      </c>
      <c r="D2141" s="8">
        <v>4</v>
      </c>
      <c r="E2141" s="3" t="str">
        <f t="shared" si="66"/>
        <v>April</v>
      </c>
      <c r="F2141" s="3" t="s">
        <v>8</v>
      </c>
      <c r="G2141" s="8">
        <v>24707.9123</v>
      </c>
      <c r="H2141" s="8">
        <v>22364.25</v>
      </c>
      <c r="I2141" s="8">
        <v>-2343.6623030000001</v>
      </c>
      <c r="J2141" s="8">
        <v>-2500.2095519999998</v>
      </c>
      <c r="K2141" s="8">
        <v>-14114.16352</v>
      </c>
      <c r="L2141" s="8">
        <v>11239.66094</v>
      </c>
      <c r="M2141" s="9" t="str">
        <f>IF(A2141="",M2142,A2141)</f>
        <v>Kenya</v>
      </c>
      <c r="N2141" s="3" t="str">
        <f t="shared" si="67"/>
        <v>Apr-2020</v>
      </c>
    </row>
    <row r="2142" spans="1:14" x14ac:dyDescent="0.3">
      <c r="A2142" s="3" t="s">
        <v>186</v>
      </c>
      <c r="B2142" s="3" t="s">
        <v>187</v>
      </c>
      <c r="C2142" s="8">
        <v>2020</v>
      </c>
      <c r="D2142" s="8">
        <v>5</v>
      </c>
      <c r="E2142" s="3" t="str">
        <f t="shared" si="66"/>
        <v>May</v>
      </c>
      <c r="F2142" s="3" t="s">
        <v>8</v>
      </c>
      <c r="G2142" s="8">
        <v>24694.39099</v>
      </c>
      <c r="H2142" s="8">
        <v>23677.05</v>
      </c>
      <c r="I2142" s="8">
        <v>-1017.34099</v>
      </c>
      <c r="J2142" s="8">
        <v>-3517.550542</v>
      </c>
      <c r="K2142" s="8">
        <v>-17549.95206</v>
      </c>
      <c r="L2142" s="8">
        <v>11221.2258</v>
      </c>
      <c r="M2142" s="9" t="str">
        <f>IF(A2142="",M2143,A2142)</f>
        <v>Kenya</v>
      </c>
      <c r="N2142" s="3" t="str">
        <f t="shared" si="67"/>
        <v>May-2020</v>
      </c>
    </row>
    <row r="2143" spans="1:14" x14ac:dyDescent="0.3">
      <c r="A2143" s="3" t="s">
        <v>186</v>
      </c>
      <c r="B2143" s="3" t="s">
        <v>187</v>
      </c>
      <c r="C2143" s="8">
        <v>2020</v>
      </c>
      <c r="D2143" s="8">
        <v>6</v>
      </c>
      <c r="E2143" s="3" t="str">
        <f t="shared" si="66"/>
        <v>June</v>
      </c>
      <c r="F2143" s="3" t="s">
        <v>8</v>
      </c>
      <c r="G2143" s="8">
        <v>24811.790499999999</v>
      </c>
      <c r="H2143" s="8">
        <v>25369.131000000001</v>
      </c>
      <c r="I2143" s="8">
        <v>557.34049600000003</v>
      </c>
      <c r="J2143" s="8">
        <v>-2960.2100460000001</v>
      </c>
      <c r="K2143" s="8">
        <v>-17240.978950000001</v>
      </c>
      <c r="L2143" s="8">
        <v>13060.010490000001</v>
      </c>
      <c r="M2143" s="9" t="str">
        <f>IF(A2143="",M2144,A2143)</f>
        <v>Kenya</v>
      </c>
      <c r="N2143" s="3" t="str">
        <f t="shared" si="67"/>
        <v>Jun-2020</v>
      </c>
    </row>
    <row r="2144" spans="1:14" x14ac:dyDescent="0.3">
      <c r="A2144" s="3" t="s">
        <v>186</v>
      </c>
      <c r="B2144" s="3" t="s">
        <v>187</v>
      </c>
      <c r="C2144" s="8">
        <v>2020</v>
      </c>
      <c r="D2144" s="8">
        <v>7</v>
      </c>
      <c r="E2144" s="3" t="str">
        <f t="shared" si="66"/>
        <v>July</v>
      </c>
      <c r="F2144" s="3" t="s">
        <v>8</v>
      </c>
      <c r="G2144" s="8">
        <v>24891.389279999999</v>
      </c>
      <c r="H2144" s="8">
        <v>27153.132000000001</v>
      </c>
      <c r="I2144" s="8">
        <v>2261.742722</v>
      </c>
      <c r="J2144" s="8">
        <v>-698.46732420000001</v>
      </c>
      <c r="K2144" s="8">
        <v>-16125.10687</v>
      </c>
      <c r="L2144" s="8">
        <v>17416.89445</v>
      </c>
      <c r="M2144" s="9" t="str">
        <f>IF(A2144="",M2145,A2144)</f>
        <v>Kenya</v>
      </c>
      <c r="N2144" s="3" t="str">
        <f t="shared" si="67"/>
        <v>Jul-2020</v>
      </c>
    </row>
    <row r="2145" spans="1:14" x14ac:dyDescent="0.3">
      <c r="A2145" s="3" t="s">
        <v>186</v>
      </c>
      <c r="B2145" s="3" t="s">
        <v>187</v>
      </c>
      <c r="C2145" s="8">
        <v>2020</v>
      </c>
      <c r="D2145" s="8">
        <v>8</v>
      </c>
      <c r="E2145" s="3" t="str">
        <f t="shared" si="66"/>
        <v>August</v>
      </c>
      <c r="F2145" s="3" t="s">
        <v>8</v>
      </c>
      <c r="G2145" s="8">
        <v>24877.545900000001</v>
      </c>
      <c r="H2145" s="8">
        <v>27440.359</v>
      </c>
      <c r="I2145" s="8">
        <v>2562.8131050000002</v>
      </c>
      <c r="J2145" s="8">
        <v>1864.345781</v>
      </c>
      <c r="K2145" s="8">
        <v>-15176.08345</v>
      </c>
      <c r="L2145" s="8">
        <v>21672.058010000001</v>
      </c>
      <c r="M2145" s="9" t="str">
        <f>IF(A2145="",M2146,A2145)</f>
        <v>Kenya</v>
      </c>
      <c r="N2145" s="3" t="str">
        <f t="shared" si="67"/>
        <v>Aug-2020</v>
      </c>
    </row>
    <row r="2146" spans="1:14" x14ac:dyDescent="0.3">
      <c r="A2146" s="3" t="s">
        <v>186</v>
      </c>
      <c r="B2146" s="3" t="s">
        <v>187</v>
      </c>
      <c r="C2146" s="8">
        <v>2020</v>
      </c>
      <c r="D2146" s="8">
        <v>9</v>
      </c>
      <c r="E2146" s="3" t="str">
        <f t="shared" si="66"/>
        <v>September</v>
      </c>
      <c r="F2146" s="3" t="s">
        <v>8</v>
      </c>
      <c r="G2146" s="8">
        <v>24741.40265</v>
      </c>
      <c r="H2146" s="8">
        <v>26129.562000000002</v>
      </c>
      <c r="I2146" s="8">
        <v>1388.159345</v>
      </c>
      <c r="J2146" s="8">
        <v>3252.505126</v>
      </c>
      <c r="K2146" s="8">
        <v>-15577.88508</v>
      </c>
      <c r="L2146" s="8">
        <v>24496.708460000002</v>
      </c>
      <c r="M2146" s="9" t="str">
        <f>IF(A2146="",M2147,A2146)</f>
        <v>Kenya</v>
      </c>
      <c r="N2146" s="3" t="str">
        <f t="shared" si="67"/>
        <v>Sep-2020</v>
      </c>
    </row>
    <row r="2147" spans="1:14" x14ac:dyDescent="0.3">
      <c r="A2147" s="3" t="s">
        <v>186</v>
      </c>
      <c r="B2147" s="3" t="s">
        <v>187</v>
      </c>
      <c r="C2147" s="8">
        <v>2020</v>
      </c>
      <c r="D2147" s="8">
        <v>10</v>
      </c>
      <c r="E2147" s="3" t="str">
        <f t="shared" si="66"/>
        <v>October</v>
      </c>
      <c r="F2147" s="3" t="s">
        <v>8</v>
      </c>
      <c r="G2147" s="8">
        <v>24569.983830000001</v>
      </c>
      <c r="H2147" s="8">
        <v>25941.739000000001</v>
      </c>
      <c r="I2147" s="8">
        <v>1371.7551679999999</v>
      </c>
      <c r="J2147" s="8">
        <v>4624.2602939999997</v>
      </c>
      <c r="K2147" s="8">
        <v>-15576.053819999999</v>
      </c>
      <c r="L2147" s="8">
        <v>26573.792030000001</v>
      </c>
      <c r="M2147" s="9" t="str">
        <f>IF(A2147="",M2148,A2147)</f>
        <v>Kenya</v>
      </c>
      <c r="N2147" s="3" t="str">
        <f t="shared" si="67"/>
        <v>Oct-2020</v>
      </c>
    </row>
    <row r="2148" spans="1:14" x14ac:dyDescent="0.3">
      <c r="A2148" s="3" t="s">
        <v>186</v>
      </c>
      <c r="B2148" s="3" t="s">
        <v>187</v>
      </c>
      <c r="C2148" s="8">
        <v>2020</v>
      </c>
      <c r="D2148" s="8">
        <v>11</v>
      </c>
      <c r="E2148" s="3" t="str">
        <f t="shared" si="66"/>
        <v>November</v>
      </c>
      <c r="F2148" s="3" t="s">
        <v>8</v>
      </c>
      <c r="G2148" s="8">
        <v>24660.679</v>
      </c>
      <c r="H2148" s="8">
        <v>26915.616999999998</v>
      </c>
      <c r="I2148" s="8">
        <v>2254.9379960000001</v>
      </c>
      <c r="J2148" s="8">
        <v>6879.1982900000003</v>
      </c>
      <c r="K2148" s="8">
        <v>-14233.776889999999</v>
      </c>
      <c r="L2148" s="8">
        <v>29143.501100000001</v>
      </c>
      <c r="M2148" s="9" t="str">
        <f>IF(A2148="",M2149,A2148)</f>
        <v>Kenya</v>
      </c>
      <c r="N2148" s="3" t="str">
        <f t="shared" si="67"/>
        <v>Nov-2020</v>
      </c>
    </row>
    <row r="2149" spans="1:14" x14ac:dyDescent="0.3">
      <c r="A2149" s="3" t="s">
        <v>186</v>
      </c>
      <c r="B2149" s="3" t="s">
        <v>187</v>
      </c>
      <c r="C2149" s="8">
        <v>2020</v>
      </c>
      <c r="D2149" s="8">
        <v>12</v>
      </c>
      <c r="E2149" s="3" t="str">
        <f t="shared" si="66"/>
        <v>December</v>
      </c>
      <c r="F2149" s="3" t="s">
        <v>8</v>
      </c>
      <c r="G2149" s="8">
        <v>24602.921109999999</v>
      </c>
      <c r="H2149" s="8">
        <v>25680.626</v>
      </c>
      <c r="I2149" s="8">
        <v>1077.7048850000001</v>
      </c>
      <c r="J2149" s="8">
        <v>7956.9031750000004</v>
      </c>
      <c r="K2149" s="8">
        <v>-15005.85615</v>
      </c>
      <c r="L2149" s="8">
        <v>32893.490960000003</v>
      </c>
      <c r="M2149" s="9" t="str">
        <f>IF(A2149="",M2150,A2149)</f>
        <v>Kenya</v>
      </c>
      <c r="N2149" s="3" t="str">
        <f t="shared" si="67"/>
        <v>Dec-2020</v>
      </c>
    </row>
    <row r="2150" spans="1:14" x14ac:dyDescent="0.3">
      <c r="A2150" s="3" t="s">
        <v>186</v>
      </c>
      <c r="B2150" s="3" t="s">
        <v>187</v>
      </c>
      <c r="C2150" s="8">
        <v>2021</v>
      </c>
      <c r="D2150" s="8">
        <v>1</v>
      </c>
      <c r="E2150" s="3" t="str">
        <f t="shared" si="66"/>
        <v>January</v>
      </c>
      <c r="F2150" s="3" t="s">
        <v>8</v>
      </c>
      <c r="G2150" s="8">
        <v>24824.516670000001</v>
      </c>
      <c r="H2150" s="8">
        <v>25447.405999999999</v>
      </c>
      <c r="I2150" s="8">
        <v>622.88932629999999</v>
      </c>
      <c r="J2150" s="8">
        <v>8579.7925020000002</v>
      </c>
      <c r="K2150" s="8">
        <v>-14106.710139999999</v>
      </c>
      <c r="L2150" s="8">
        <v>34945.18449</v>
      </c>
      <c r="M2150" s="9" t="str">
        <f>IF(A2150="",M2151,A2150)</f>
        <v>Kenya</v>
      </c>
      <c r="N2150" s="3" t="str">
        <f t="shared" si="67"/>
        <v>Jan-2021</v>
      </c>
    </row>
    <row r="2151" spans="1:14" x14ac:dyDescent="0.3">
      <c r="A2151" s="3" t="s">
        <v>186</v>
      </c>
      <c r="B2151" s="3" t="s">
        <v>187</v>
      </c>
      <c r="C2151" s="8">
        <v>2021</v>
      </c>
      <c r="D2151" s="8">
        <v>2</v>
      </c>
      <c r="E2151" s="3" t="str">
        <f t="shared" si="66"/>
        <v>February</v>
      </c>
      <c r="F2151" s="3" t="s">
        <v>8</v>
      </c>
      <c r="G2151" s="8">
        <v>24877.22941</v>
      </c>
      <c r="H2151" s="8">
        <v>25907.133000000002</v>
      </c>
      <c r="I2151" s="8">
        <v>1029.9035879999999</v>
      </c>
      <c r="J2151" s="8">
        <v>9609.6960899999995</v>
      </c>
      <c r="K2151" s="8">
        <v>-15117.25605</v>
      </c>
      <c r="L2151" s="8">
        <v>37683.450279999997</v>
      </c>
      <c r="M2151" s="9" t="str">
        <f>IF(A2151="",M2152,A2151)</f>
        <v>Kenya</v>
      </c>
      <c r="N2151" s="3" t="str">
        <f t="shared" si="67"/>
        <v>Feb-2021</v>
      </c>
    </row>
    <row r="2152" spans="1:14" x14ac:dyDescent="0.3">
      <c r="A2152" s="3" t="s">
        <v>186</v>
      </c>
      <c r="B2152" s="3" t="s">
        <v>187</v>
      </c>
      <c r="C2152" s="8">
        <v>2021</v>
      </c>
      <c r="D2152" s="8">
        <v>3</v>
      </c>
      <c r="E2152" s="3" t="str">
        <f t="shared" si="66"/>
        <v>March</v>
      </c>
      <c r="F2152" s="3" t="s">
        <v>8</v>
      </c>
      <c r="G2152" s="8">
        <v>24689.715950000002</v>
      </c>
      <c r="H2152" s="8">
        <v>27677.488000000001</v>
      </c>
      <c r="I2152" s="8">
        <v>2987.7720519999998</v>
      </c>
      <c r="J2152" s="8">
        <v>12597.468140000001</v>
      </c>
      <c r="K2152" s="8">
        <v>-12041.273810000001</v>
      </c>
      <c r="L2152" s="8">
        <v>40155.688880000002</v>
      </c>
      <c r="M2152" s="9" t="str">
        <f>IF(A2152="",M2153,A2152)</f>
        <v>Kenya</v>
      </c>
      <c r="N2152" s="3" t="str">
        <f t="shared" si="67"/>
        <v>Mar-2021</v>
      </c>
    </row>
    <row r="2153" spans="1:14" x14ac:dyDescent="0.3">
      <c r="A2153" s="3" t="s">
        <v>186</v>
      </c>
      <c r="B2153" s="3" t="s">
        <v>187</v>
      </c>
      <c r="C2153" s="8">
        <v>2021</v>
      </c>
      <c r="D2153" s="8">
        <v>4</v>
      </c>
      <c r="E2153" s="3" t="str">
        <f t="shared" si="66"/>
        <v>April</v>
      </c>
      <c r="F2153" s="3" t="s">
        <v>8</v>
      </c>
      <c r="G2153" s="8">
        <v>24940.606210000002</v>
      </c>
      <c r="H2153" s="8">
        <v>28004.07</v>
      </c>
      <c r="I2153" s="8">
        <v>3063.4637899999998</v>
      </c>
      <c r="J2153" s="8">
        <v>15660.931930000001</v>
      </c>
      <c r="K2153" s="8">
        <v>-10458.29207</v>
      </c>
      <c r="L2153" s="8">
        <v>45415.280749999998</v>
      </c>
      <c r="M2153" s="9" t="str">
        <f>IF(A2153="",M2154,A2153)</f>
        <v>Kenya</v>
      </c>
      <c r="N2153" s="3" t="str">
        <f t="shared" si="67"/>
        <v>Apr-2021</v>
      </c>
    </row>
    <row r="2154" spans="1:14" x14ac:dyDescent="0.3">
      <c r="A2154" s="3" t="s">
        <v>186</v>
      </c>
      <c r="B2154" s="3" t="s">
        <v>187</v>
      </c>
      <c r="C2154" s="8">
        <v>2021</v>
      </c>
      <c r="D2154" s="8">
        <v>5</v>
      </c>
      <c r="E2154" s="3" t="str">
        <f t="shared" si="66"/>
        <v>May</v>
      </c>
      <c r="F2154" s="3" t="s">
        <v>8</v>
      </c>
      <c r="G2154" s="8">
        <v>24931.27492</v>
      </c>
      <c r="H2154" s="8">
        <v>26523.424999999999</v>
      </c>
      <c r="I2154" s="8">
        <v>1592.150077</v>
      </c>
      <c r="J2154" s="8">
        <v>17253.082009999998</v>
      </c>
      <c r="K2154" s="8">
        <v>-10494.94256</v>
      </c>
      <c r="L2154" s="8">
        <v>48108.489710000002</v>
      </c>
      <c r="M2154" s="9" t="str">
        <f>IF(A2154="",M2155,A2154)</f>
        <v>Kenya</v>
      </c>
      <c r="N2154" s="3" t="str">
        <f t="shared" si="67"/>
        <v>May-2021</v>
      </c>
    </row>
    <row r="2155" spans="1:14" x14ac:dyDescent="0.3">
      <c r="A2155" s="3" t="s">
        <v>186</v>
      </c>
      <c r="B2155" s="3" t="s">
        <v>187</v>
      </c>
      <c r="C2155" s="8">
        <v>2021</v>
      </c>
      <c r="D2155" s="8">
        <v>6</v>
      </c>
      <c r="E2155" s="3" t="str">
        <f t="shared" si="66"/>
        <v>June</v>
      </c>
      <c r="F2155" s="3" t="s">
        <v>8</v>
      </c>
      <c r="G2155" s="8">
        <v>25045.317350000001</v>
      </c>
      <c r="H2155" s="8">
        <v>26601.835999999999</v>
      </c>
      <c r="I2155" s="8">
        <v>1556.5186510000001</v>
      </c>
      <c r="J2155" s="8">
        <v>18809.60066</v>
      </c>
      <c r="K2155" s="8">
        <v>-10516.548129999999</v>
      </c>
      <c r="L2155" s="8">
        <v>50914.480909999998</v>
      </c>
      <c r="M2155" s="9" t="str">
        <f>IF(A2155="",M2156,A2155)</f>
        <v>Kenya</v>
      </c>
      <c r="N2155" s="3" t="str">
        <f t="shared" si="67"/>
        <v>Jun-2021</v>
      </c>
    </row>
    <row r="2156" spans="1:14" x14ac:dyDescent="0.3">
      <c r="A2156" s="3" t="s">
        <v>186</v>
      </c>
      <c r="B2156" s="3" t="s">
        <v>187</v>
      </c>
      <c r="C2156" s="8">
        <v>2021</v>
      </c>
      <c r="D2156" s="8">
        <v>7</v>
      </c>
      <c r="E2156" s="3" t="str">
        <f t="shared" si="66"/>
        <v>July</v>
      </c>
      <c r="F2156" s="3" t="s">
        <v>8</v>
      </c>
      <c r="G2156" s="8">
        <v>25118.2399</v>
      </c>
      <c r="H2156" s="8">
        <v>26440.103999999999</v>
      </c>
      <c r="I2156" s="8">
        <v>1321.8641029999999</v>
      </c>
      <c r="J2156" s="8">
        <v>20131.464759999999</v>
      </c>
      <c r="K2156" s="8">
        <v>-8826.6226029999998</v>
      </c>
      <c r="L2156" s="8">
        <v>51788.716289999997</v>
      </c>
      <c r="M2156" s="9" t="str">
        <f>IF(A2156="",M2157,A2156)</f>
        <v>Kenya</v>
      </c>
      <c r="N2156" s="3" t="str">
        <f t="shared" si="67"/>
        <v>Jul-2021</v>
      </c>
    </row>
    <row r="2157" spans="1:14" x14ac:dyDescent="0.3">
      <c r="A2157" s="3" t="s">
        <v>186</v>
      </c>
      <c r="B2157" s="3" t="s">
        <v>187</v>
      </c>
      <c r="C2157" s="8">
        <v>2021</v>
      </c>
      <c r="D2157" s="8">
        <v>8</v>
      </c>
      <c r="E2157" s="3" t="str">
        <f t="shared" si="66"/>
        <v>August</v>
      </c>
      <c r="F2157" s="3" t="s">
        <v>8</v>
      </c>
      <c r="G2157" s="8">
        <v>25106.404129999999</v>
      </c>
      <c r="H2157" s="8">
        <v>29658.413</v>
      </c>
      <c r="I2157" s="8">
        <v>4552.0088669999996</v>
      </c>
      <c r="J2157" s="8">
        <v>24683.47363</v>
      </c>
      <c r="K2157" s="8">
        <v>-6416.6324880000002</v>
      </c>
      <c r="L2157" s="8">
        <v>59701.71153</v>
      </c>
      <c r="M2157" s="9" t="str">
        <f>IF(A2157="",M2158,A2157)</f>
        <v>Kenya</v>
      </c>
      <c r="N2157" s="3" t="str">
        <f t="shared" si="67"/>
        <v>Aug-2021</v>
      </c>
    </row>
    <row r="2158" spans="1:14" x14ac:dyDescent="0.3">
      <c r="A2158" s="3" t="s">
        <v>186</v>
      </c>
      <c r="B2158" s="3" t="s">
        <v>187</v>
      </c>
      <c r="C2158" s="8">
        <v>2021</v>
      </c>
      <c r="D2158" s="8">
        <v>9</v>
      </c>
      <c r="E2158" s="3" t="str">
        <f t="shared" si="66"/>
        <v>September</v>
      </c>
      <c r="F2158" s="3" t="s">
        <v>8</v>
      </c>
      <c r="G2158" s="8">
        <v>24972.19987</v>
      </c>
      <c r="H2158" s="8">
        <v>26628.989000000001</v>
      </c>
      <c r="I2158" s="8">
        <v>1656.7891320000001</v>
      </c>
      <c r="J2158" s="8">
        <v>26340.262760000001</v>
      </c>
      <c r="K2158" s="8">
        <v>-3481.1950879999999</v>
      </c>
      <c r="L2158" s="8">
        <v>60675.185490000003</v>
      </c>
      <c r="M2158" s="9" t="str">
        <f>IF(A2158="",M2159,A2158)</f>
        <v>Kenya</v>
      </c>
      <c r="N2158" s="3" t="str">
        <f t="shared" si="67"/>
        <v>Sep-2021</v>
      </c>
    </row>
    <row r="2159" spans="1:14" x14ac:dyDescent="0.3">
      <c r="A2159" s="3" t="s">
        <v>186</v>
      </c>
      <c r="B2159" s="3" t="s">
        <v>187</v>
      </c>
      <c r="C2159" s="8">
        <v>2021</v>
      </c>
      <c r="D2159" s="8">
        <v>10</v>
      </c>
      <c r="E2159" s="3" t="str">
        <f t="shared" si="66"/>
        <v>October</v>
      </c>
      <c r="F2159" s="3" t="s">
        <v>8</v>
      </c>
      <c r="G2159" s="8">
        <v>24801.492249999999</v>
      </c>
      <c r="H2159" s="8">
        <v>24948.5</v>
      </c>
      <c r="I2159" s="8">
        <v>147.00775440000001</v>
      </c>
      <c r="J2159" s="8">
        <v>26487.270519999998</v>
      </c>
      <c r="K2159" s="8">
        <v>-4357.1497239999999</v>
      </c>
      <c r="L2159" s="8">
        <v>62510.788829999998</v>
      </c>
      <c r="M2159" s="9" t="str">
        <f>IF(A2159="",M2160,A2159)</f>
        <v>Kenya</v>
      </c>
      <c r="N2159" s="3" t="str">
        <f t="shared" si="67"/>
        <v>Oct-2021</v>
      </c>
    </row>
    <row r="2160" spans="1:14" x14ac:dyDescent="0.3">
      <c r="A2160" s="3" t="s">
        <v>186</v>
      </c>
      <c r="B2160" s="3" t="s">
        <v>187</v>
      </c>
      <c r="C2160" s="8">
        <v>2021</v>
      </c>
      <c r="D2160" s="8">
        <v>11</v>
      </c>
      <c r="E2160" s="3" t="str">
        <f t="shared" si="66"/>
        <v>November</v>
      </c>
      <c r="F2160" s="3" t="s">
        <v>8</v>
      </c>
      <c r="G2160" s="8">
        <v>24889.4539</v>
      </c>
      <c r="H2160" s="8">
        <v>24993.526999999998</v>
      </c>
      <c r="I2160" s="8">
        <v>104.0730987</v>
      </c>
      <c r="J2160" s="8">
        <v>26591.34361</v>
      </c>
      <c r="K2160" s="8">
        <v>-5384.4938709999997</v>
      </c>
      <c r="L2160" s="8">
        <v>60101.67239</v>
      </c>
      <c r="M2160" s="9" t="str">
        <f>IF(A2160="",M2161,A2160)</f>
        <v>Kenya</v>
      </c>
      <c r="N2160" s="3" t="str">
        <f t="shared" si="67"/>
        <v>Nov-2021</v>
      </c>
    </row>
    <row r="2161" spans="1:14" x14ac:dyDescent="0.3">
      <c r="A2161" s="3" t="s">
        <v>186</v>
      </c>
      <c r="B2161" s="3" t="s">
        <v>187</v>
      </c>
      <c r="C2161" s="8">
        <v>2021</v>
      </c>
      <c r="D2161" s="8">
        <v>12</v>
      </c>
      <c r="E2161" s="3" t="str">
        <f t="shared" si="66"/>
        <v>December</v>
      </c>
      <c r="F2161" s="3" t="s">
        <v>8</v>
      </c>
      <c r="G2161" s="8">
        <v>24835.460520000001</v>
      </c>
      <c r="H2161" s="8">
        <v>26320.746999999999</v>
      </c>
      <c r="I2161" s="8">
        <v>1485.286484</v>
      </c>
      <c r="J2161" s="8">
        <v>28076.630099999998</v>
      </c>
      <c r="K2161" s="8">
        <v>-4903.6371879999997</v>
      </c>
      <c r="L2161" s="8">
        <v>62476.89316</v>
      </c>
      <c r="M2161" s="9" t="str">
        <f>IF(A2161="",M2162,A2161)</f>
        <v>Kenya</v>
      </c>
      <c r="N2161" s="3" t="str">
        <f t="shared" si="67"/>
        <v>Dec-2021</v>
      </c>
    </row>
    <row r="2162" spans="1:14" x14ac:dyDescent="0.3">
      <c r="A2162" s="3" t="s">
        <v>188</v>
      </c>
      <c r="B2162" s="3" t="s">
        <v>189</v>
      </c>
      <c r="C2162" s="8">
        <v>2020</v>
      </c>
      <c r="D2162" s="8">
        <v>1</v>
      </c>
      <c r="E2162" s="3" t="str">
        <f t="shared" si="66"/>
        <v>January</v>
      </c>
      <c r="F2162" s="3" t="s">
        <v>13</v>
      </c>
      <c r="G2162" s="8">
        <v>2979.8714620000001</v>
      </c>
      <c r="H2162" s="8">
        <v>3082</v>
      </c>
      <c r="I2162" s="8">
        <v>101.9618713</v>
      </c>
      <c r="J2162" s="8">
        <v>101.9618713</v>
      </c>
      <c r="K2162" s="8">
        <v>8.6124398200000005</v>
      </c>
      <c r="L2162" s="8">
        <v>196.05189419999999</v>
      </c>
      <c r="M2162" s="9" t="str">
        <f>IF(A2162="",M2163,A2162)</f>
        <v>Kyrgyzstan</v>
      </c>
      <c r="N2162" s="3" t="str">
        <f t="shared" si="67"/>
        <v>Jan-2020</v>
      </c>
    </row>
    <row r="2163" spans="1:14" x14ac:dyDescent="0.3">
      <c r="A2163" s="3" t="s">
        <v>188</v>
      </c>
      <c r="B2163" s="3" t="s">
        <v>189</v>
      </c>
      <c r="C2163" s="8">
        <v>2020</v>
      </c>
      <c r="D2163" s="8">
        <v>2</v>
      </c>
      <c r="E2163" s="3" t="str">
        <f t="shared" si="66"/>
        <v>February</v>
      </c>
      <c r="F2163" s="3" t="s">
        <v>13</v>
      </c>
      <c r="G2163" s="8">
        <v>2587.9858370000002</v>
      </c>
      <c r="H2163" s="8">
        <v>2900</v>
      </c>
      <c r="I2163" s="8">
        <v>311.84749679999999</v>
      </c>
      <c r="J2163" s="8">
        <v>413.80936809999997</v>
      </c>
      <c r="K2163" s="8">
        <v>266.30497889999998</v>
      </c>
      <c r="L2163" s="8">
        <v>561.76838969999994</v>
      </c>
      <c r="M2163" s="9" t="str">
        <f>IF(A2163="",M2164,A2163)</f>
        <v>Kyrgyzstan</v>
      </c>
      <c r="N2163" s="3" t="str">
        <f t="shared" si="67"/>
        <v>Feb-2020</v>
      </c>
    </row>
    <row r="2164" spans="1:14" x14ac:dyDescent="0.3">
      <c r="A2164" s="3" t="s">
        <v>188</v>
      </c>
      <c r="B2164" s="3" t="s">
        <v>189</v>
      </c>
      <c r="C2164" s="8">
        <v>2020</v>
      </c>
      <c r="D2164" s="8">
        <v>3</v>
      </c>
      <c r="E2164" s="3" t="str">
        <f t="shared" si="66"/>
        <v>March</v>
      </c>
      <c r="F2164" s="3" t="s">
        <v>13</v>
      </c>
      <c r="G2164" s="8">
        <v>2688.1360239999999</v>
      </c>
      <c r="H2164" s="8">
        <v>2390</v>
      </c>
      <c r="I2164" s="8">
        <v>-298.30269079999999</v>
      </c>
      <c r="J2164" s="8">
        <v>115.50667730000001</v>
      </c>
      <c r="K2164" s="8">
        <v>-73.695996949999994</v>
      </c>
      <c r="L2164" s="8">
        <v>304.48175090000001</v>
      </c>
      <c r="M2164" s="9" t="str">
        <f>IF(A2164="",M2165,A2164)</f>
        <v>Kyrgyzstan</v>
      </c>
      <c r="N2164" s="3" t="str">
        <f t="shared" si="67"/>
        <v>Mar-2020</v>
      </c>
    </row>
    <row r="2165" spans="1:14" x14ac:dyDescent="0.3">
      <c r="A2165" s="3" t="s">
        <v>188</v>
      </c>
      <c r="B2165" s="3" t="s">
        <v>189</v>
      </c>
      <c r="C2165" s="8">
        <v>2020</v>
      </c>
      <c r="D2165" s="8">
        <v>4</v>
      </c>
      <c r="E2165" s="3" t="str">
        <f t="shared" si="66"/>
        <v>April</v>
      </c>
      <c r="F2165" s="3" t="s">
        <v>13</v>
      </c>
      <c r="G2165" s="8">
        <v>2661.9332220000001</v>
      </c>
      <c r="H2165" s="8">
        <v>1263</v>
      </c>
      <c r="I2165" s="8">
        <v>-1399.0998890000001</v>
      </c>
      <c r="J2165" s="8">
        <v>-1283.5932110000001</v>
      </c>
      <c r="K2165" s="8">
        <v>-1507.0583799999999</v>
      </c>
      <c r="L2165" s="8">
        <v>-1076.33979</v>
      </c>
      <c r="M2165" s="9" t="str">
        <f>IF(A2165="",M2166,A2165)</f>
        <v>Kyrgyzstan</v>
      </c>
      <c r="N2165" s="3" t="str">
        <f t="shared" si="67"/>
        <v>Apr-2020</v>
      </c>
    </row>
    <row r="2166" spans="1:14" x14ac:dyDescent="0.3">
      <c r="A2166" s="3" t="s">
        <v>188</v>
      </c>
      <c r="B2166" s="3" t="s">
        <v>189</v>
      </c>
      <c r="C2166" s="8">
        <v>2020</v>
      </c>
      <c r="D2166" s="8">
        <v>5</v>
      </c>
      <c r="E2166" s="3" t="str">
        <f t="shared" si="66"/>
        <v>May</v>
      </c>
      <c r="F2166" s="3" t="s">
        <v>13</v>
      </c>
      <c r="G2166" s="8">
        <v>2715.8350329999998</v>
      </c>
      <c r="H2166" s="8">
        <v>2919</v>
      </c>
      <c r="I2166" s="8">
        <v>202.99829990000001</v>
      </c>
      <c r="J2166" s="8">
        <v>-1080.5949109999999</v>
      </c>
      <c r="K2166" s="8">
        <v>-1328.1490940000001</v>
      </c>
      <c r="L2166" s="8">
        <v>-840.71342719999996</v>
      </c>
      <c r="M2166" s="9" t="str">
        <f>IF(A2166="",M2167,A2166)</f>
        <v>Kyrgyzstan</v>
      </c>
      <c r="N2166" s="3" t="str">
        <f t="shared" si="67"/>
        <v>May-2020</v>
      </c>
    </row>
    <row r="2167" spans="1:14" x14ac:dyDescent="0.3">
      <c r="A2167" s="3" t="s">
        <v>188</v>
      </c>
      <c r="B2167" s="3" t="s">
        <v>189</v>
      </c>
      <c r="C2167" s="8">
        <v>2020</v>
      </c>
      <c r="D2167" s="8">
        <v>6</v>
      </c>
      <c r="E2167" s="3" t="str">
        <f t="shared" si="66"/>
        <v>June</v>
      </c>
      <c r="F2167" s="3" t="s">
        <v>13</v>
      </c>
      <c r="G2167" s="8">
        <v>2599.650247</v>
      </c>
      <c r="H2167" s="8">
        <v>3559</v>
      </c>
      <c r="I2167" s="8">
        <v>959.18308649999994</v>
      </c>
      <c r="J2167" s="8">
        <v>-121.4118249</v>
      </c>
      <c r="K2167" s="8">
        <v>-383.72706670000002</v>
      </c>
      <c r="L2167" s="8">
        <v>127.6768411</v>
      </c>
      <c r="M2167" s="9" t="str">
        <f>IF(A2167="",M2168,A2167)</f>
        <v>Kyrgyzstan</v>
      </c>
      <c r="N2167" s="3" t="str">
        <f t="shared" si="67"/>
        <v>Jun-2020</v>
      </c>
    </row>
    <row r="2168" spans="1:14" x14ac:dyDescent="0.3">
      <c r="A2168" s="3" t="s">
        <v>188</v>
      </c>
      <c r="B2168" s="3" t="s">
        <v>189</v>
      </c>
      <c r="C2168" s="8">
        <v>2020</v>
      </c>
      <c r="D2168" s="8">
        <v>7</v>
      </c>
      <c r="E2168" s="3" t="str">
        <f t="shared" si="66"/>
        <v>July</v>
      </c>
      <c r="F2168" s="3" t="s">
        <v>13</v>
      </c>
      <c r="G2168" s="8">
        <v>2812.5004939999999</v>
      </c>
      <c r="H2168" s="8">
        <v>4045</v>
      </c>
      <c r="I2168" s="8">
        <v>1232.33284</v>
      </c>
      <c r="J2168" s="8">
        <v>1110.9210149999999</v>
      </c>
      <c r="K2168" s="8">
        <v>826.72472619999996</v>
      </c>
      <c r="L2168" s="8">
        <v>1391.0948000000001</v>
      </c>
      <c r="M2168" s="9" t="str">
        <f>IF(A2168="",M2169,A2168)</f>
        <v>Kyrgyzstan</v>
      </c>
      <c r="N2168" s="3" t="str">
        <f t="shared" si="67"/>
        <v>Jul-2020</v>
      </c>
    </row>
    <row r="2169" spans="1:14" x14ac:dyDescent="0.3">
      <c r="A2169" s="3" t="s">
        <v>188</v>
      </c>
      <c r="B2169" s="3" t="s">
        <v>189</v>
      </c>
      <c r="C2169" s="8">
        <v>2020</v>
      </c>
      <c r="D2169" s="8">
        <v>8</v>
      </c>
      <c r="E2169" s="3" t="str">
        <f t="shared" si="66"/>
        <v>August</v>
      </c>
      <c r="F2169" s="3" t="s">
        <v>13</v>
      </c>
      <c r="G2169" s="8">
        <v>2603.1861039999999</v>
      </c>
      <c r="H2169" s="8">
        <v>4572</v>
      </c>
      <c r="I2169" s="8">
        <v>1968.6472289999999</v>
      </c>
      <c r="J2169" s="8">
        <v>3079.568244</v>
      </c>
      <c r="K2169" s="8">
        <v>2769.474314</v>
      </c>
      <c r="L2169" s="8">
        <v>3387.4601539999999</v>
      </c>
      <c r="M2169" s="9" t="str">
        <f>IF(A2169="",M2170,A2169)</f>
        <v>Kyrgyzstan</v>
      </c>
      <c r="N2169" s="3" t="str">
        <f t="shared" si="67"/>
        <v>Aug-2020</v>
      </c>
    </row>
    <row r="2170" spans="1:14" x14ac:dyDescent="0.3">
      <c r="A2170" s="3" t="s">
        <v>188</v>
      </c>
      <c r="B2170" s="3" t="s">
        <v>189</v>
      </c>
      <c r="C2170" s="8">
        <v>2020</v>
      </c>
      <c r="D2170" s="8">
        <v>9</v>
      </c>
      <c r="E2170" s="3" t="str">
        <f t="shared" si="66"/>
        <v>September</v>
      </c>
      <c r="F2170" s="3" t="s">
        <v>13</v>
      </c>
      <c r="G2170" s="8">
        <v>2505.6887190000002</v>
      </c>
      <c r="H2170" s="8">
        <v>3411</v>
      </c>
      <c r="I2170" s="8">
        <v>905.14461429999994</v>
      </c>
      <c r="J2170" s="8">
        <v>3984.7128579999999</v>
      </c>
      <c r="K2170" s="8">
        <v>3661.5830799999999</v>
      </c>
      <c r="L2170" s="8">
        <v>4339.950237</v>
      </c>
      <c r="M2170" s="9" t="str">
        <f>IF(A2170="",M2171,A2170)</f>
        <v>Kyrgyzstan</v>
      </c>
      <c r="N2170" s="3" t="str">
        <f t="shared" si="67"/>
        <v>Sep-2020</v>
      </c>
    </row>
    <row r="2171" spans="1:14" x14ac:dyDescent="0.3">
      <c r="A2171" s="3" t="s">
        <v>188</v>
      </c>
      <c r="B2171" s="3" t="s">
        <v>189</v>
      </c>
      <c r="C2171" s="8">
        <v>2020</v>
      </c>
      <c r="D2171" s="8">
        <v>10</v>
      </c>
      <c r="E2171" s="3" t="str">
        <f t="shared" si="66"/>
        <v>October</v>
      </c>
      <c r="F2171" s="3" t="s">
        <v>13</v>
      </c>
      <c r="G2171" s="8">
        <v>2702.5991060000001</v>
      </c>
      <c r="H2171" s="8">
        <v>3423</v>
      </c>
      <c r="I2171" s="8">
        <v>720.23422700000003</v>
      </c>
      <c r="J2171" s="8">
        <v>4704.9470849999998</v>
      </c>
      <c r="K2171" s="8">
        <v>4339.9238930000001</v>
      </c>
      <c r="L2171" s="8">
        <v>5062.8499629999997</v>
      </c>
      <c r="M2171" s="9" t="str">
        <f>IF(A2171="",M2172,A2171)</f>
        <v>Kyrgyzstan</v>
      </c>
      <c r="N2171" s="3" t="str">
        <f t="shared" si="67"/>
        <v>Oct-2020</v>
      </c>
    </row>
    <row r="2172" spans="1:14" x14ac:dyDescent="0.3">
      <c r="A2172" s="3" t="s">
        <v>188</v>
      </c>
      <c r="B2172" s="3" t="s">
        <v>189</v>
      </c>
      <c r="C2172" s="8">
        <v>2020</v>
      </c>
      <c r="D2172" s="8">
        <v>11</v>
      </c>
      <c r="E2172" s="3" t="str">
        <f t="shared" si="66"/>
        <v>November</v>
      </c>
      <c r="F2172" s="3" t="s">
        <v>13</v>
      </c>
      <c r="G2172" s="8">
        <v>2745.7460179999998</v>
      </c>
      <c r="H2172" s="8">
        <v>4154</v>
      </c>
      <c r="I2172" s="8">
        <v>1408.087315</v>
      </c>
      <c r="J2172" s="8">
        <v>6113.0344009999999</v>
      </c>
      <c r="K2172" s="8">
        <v>5737.7885189999997</v>
      </c>
      <c r="L2172" s="8">
        <v>6480.9621729999999</v>
      </c>
      <c r="M2172" s="9" t="str">
        <f>IF(A2172="",M2173,A2172)</f>
        <v>Kyrgyzstan</v>
      </c>
      <c r="N2172" s="3" t="str">
        <f t="shared" si="67"/>
        <v>Nov-2020</v>
      </c>
    </row>
    <row r="2173" spans="1:14" x14ac:dyDescent="0.3">
      <c r="A2173" s="3" t="s">
        <v>188</v>
      </c>
      <c r="B2173" s="3" t="s">
        <v>189</v>
      </c>
      <c r="C2173" s="8">
        <v>2020</v>
      </c>
      <c r="D2173" s="8">
        <v>12</v>
      </c>
      <c r="E2173" s="3" t="str">
        <f t="shared" si="66"/>
        <v>December</v>
      </c>
      <c r="F2173" s="3" t="s">
        <v>13</v>
      </c>
      <c r="G2173" s="8">
        <v>2951.0592419999998</v>
      </c>
      <c r="H2173" s="8">
        <v>4259</v>
      </c>
      <c r="I2173" s="8">
        <v>1307.774091</v>
      </c>
      <c r="J2173" s="8">
        <v>7420.8084920000001</v>
      </c>
      <c r="K2173" s="8">
        <v>7036.9365889999999</v>
      </c>
      <c r="L2173" s="8">
        <v>7807.156027</v>
      </c>
      <c r="M2173" s="9" t="str">
        <f>IF(A2173="",M2174,A2173)</f>
        <v>Kyrgyzstan</v>
      </c>
      <c r="N2173" s="3" t="str">
        <f t="shared" si="67"/>
        <v>Dec-2020</v>
      </c>
    </row>
    <row r="2174" spans="1:14" x14ac:dyDescent="0.3">
      <c r="A2174" s="3" t="s">
        <v>188</v>
      </c>
      <c r="B2174" s="3" t="s">
        <v>189</v>
      </c>
      <c r="C2174" s="8">
        <v>2021</v>
      </c>
      <c r="D2174" s="8">
        <v>1</v>
      </c>
      <c r="E2174" s="3" t="str">
        <f t="shared" si="66"/>
        <v>January</v>
      </c>
      <c r="F2174" s="3" t="s">
        <v>13</v>
      </c>
      <c r="G2174" s="8">
        <v>2946.9559380000001</v>
      </c>
      <c r="H2174" s="8">
        <v>2988</v>
      </c>
      <c r="I2174" s="8">
        <v>37.127395669999999</v>
      </c>
      <c r="J2174" s="8">
        <v>7457.9358869999996</v>
      </c>
      <c r="K2174" s="8">
        <v>7044.7939759999999</v>
      </c>
      <c r="L2174" s="8">
        <v>7844.6891459999997</v>
      </c>
      <c r="M2174" s="9" t="str">
        <f>IF(A2174="",M2175,A2174)</f>
        <v>Kyrgyzstan</v>
      </c>
      <c r="N2174" s="3" t="str">
        <f t="shared" si="67"/>
        <v>Jan-2021</v>
      </c>
    </row>
    <row r="2175" spans="1:14" x14ac:dyDescent="0.3">
      <c r="A2175" s="3" t="s">
        <v>188</v>
      </c>
      <c r="B2175" s="3" t="s">
        <v>189</v>
      </c>
      <c r="C2175" s="8">
        <v>2021</v>
      </c>
      <c r="D2175" s="8">
        <v>2</v>
      </c>
      <c r="E2175" s="3" t="str">
        <f t="shared" si="66"/>
        <v>February</v>
      </c>
      <c r="F2175" s="3" t="s">
        <v>13</v>
      </c>
      <c r="G2175" s="8">
        <v>2560.0737279999998</v>
      </c>
      <c r="H2175" s="8">
        <v>2621</v>
      </c>
      <c r="I2175" s="8">
        <v>57.009605180000001</v>
      </c>
      <c r="J2175" s="8">
        <v>7514.9454919999998</v>
      </c>
      <c r="K2175" s="8">
        <v>7080.5943289999996</v>
      </c>
      <c r="L2175" s="8">
        <v>7915.4103089999999</v>
      </c>
      <c r="M2175" s="9" t="str">
        <f>IF(A2175="",M2176,A2175)</f>
        <v>Kyrgyzstan</v>
      </c>
      <c r="N2175" s="3" t="str">
        <f t="shared" si="67"/>
        <v>Feb-2021</v>
      </c>
    </row>
    <row r="2176" spans="1:14" x14ac:dyDescent="0.3">
      <c r="A2176" s="3" t="s">
        <v>188</v>
      </c>
      <c r="B2176" s="3" t="s">
        <v>189</v>
      </c>
      <c r="C2176" s="8">
        <v>2021</v>
      </c>
      <c r="D2176" s="8">
        <v>3</v>
      </c>
      <c r="E2176" s="3" t="str">
        <f t="shared" si="66"/>
        <v>March</v>
      </c>
      <c r="F2176" s="3" t="s">
        <v>13</v>
      </c>
      <c r="G2176" s="8">
        <v>2660.085908</v>
      </c>
      <c r="H2176" s="8">
        <v>3137</v>
      </c>
      <c r="I2176" s="8">
        <v>472.9974249</v>
      </c>
      <c r="J2176" s="8">
        <v>7987.9429170000003</v>
      </c>
      <c r="K2176" s="8">
        <v>7527.9161979999999</v>
      </c>
      <c r="L2176" s="8">
        <v>8416.4956729999994</v>
      </c>
      <c r="M2176" s="9" t="str">
        <f>IF(A2176="",M2177,A2176)</f>
        <v>Kyrgyzstan</v>
      </c>
      <c r="N2176" s="3" t="str">
        <f t="shared" si="67"/>
        <v>Mar-2021</v>
      </c>
    </row>
    <row r="2177" spans="1:14" x14ac:dyDescent="0.3">
      <c r="A2177" s="3" t="s">
        <v>188</v>
      </c>
      <c r="B2177" s="3" t="s">
        <v>189</v>
      </c>
      <c r="C2177" s="8">
        <v>2021</v>
      </c>
      <c r="D2177" s="8">
        <v>4</v>
      </c>
      <c r="E2177" s="3" t="str">
        <f t="shared" si="66"/>
        <v>April</v>
      </c>
      <c r="F2177" s="3" t="s">
        <v>13</v>
      </c>
      <c r="G2177" s="8">
        <v>2632.7072739999999</v>
      </c>
      <c r="H2177" s="8">
        <v>3024</v>
      </c>
      <c r="I2177" s="8">
        <v>387.37605969999998</v>
      </c>
      <c r="J2177" s="8">
        <v>8375.3189770000008</v>
      </c>
      <c r="K2177" s="8">
        <v>7907.5974809999998</v>
      </c>
      <c r="L2177" s="8">
        <v>8847.5383070000007</v>
      </c>
      <c r="M2177" s="9" t="str">
        <f>IF(A2177="",M2178,A2177)</f>
        <v>Kyrgyzstan</v>
      </c>
      <c r="N2177" s="3" t="str">
        <f t="shared" si="67"/>
        <v>Apr-2021</v>
      </c>
    </row>
    <row r="2178" spans="1:14" x14ac:dyDescent="0.3">
      <c r="A2178" s="3" t="s">
        <v>188</v>
      </c>
      <c r="B2178" s="3" t="s">
        <v>189</v>
      </c>
      <c r="C2178" s="8">
        <v>2021</v>
      </c>
      <c r="D2178" s="8">
        <v>5</v>
      </c>
      <c r="E2178" s="3" t="str">
        <f t="shared" ref="E2178:E2241" si="68">TEXT(DATE(C2178,D2178,1),"MMMM")</f>
        <v>May</v>
      </c>
      <c r="F2178" s="3" t="s">
        <v>13</v>
      </c>
      <c r="G2178" s="8">
        <v>2687.5846329999999</v>
      </c>
      <c r="H2178" s="8">
        <v>2868</v>
      </c>
      <c r="I2178" s="8">
        <v>176.49870079999999</v>
      </c>
      <c r="J2178" s="8">
        <v>8551.8176779999994</v>
      </c>
      <c r="K2178" s="8">
        <v>8076.852065</v>
      </c>
      <c r="L2178" s="8">
        <v>9044.2599320000008</v>
      </c>
      <c r="M2178" s="9" t="str">
        <f>IF(A2178="",M2179,A2178)</f>
        <v>Kyrgyzstan</v>
      </c>
      <c r="N2178" s="3" t="str">
        <f t="shared" ref="N2178:N2241" si="69">TEXT(DATE(C2178,D2178,1),"MMM-YYYY")</f>
        <v>May-2021</v>
      </c>
    </row>
    <row r="2179" spans="1:14" x14ac:dyDescent="0.3">
      <c r="A2179" s="3" t="s">
        <v>188</v>
      </c>
      <c r="B2179" s="3" t="s">
        <v>189</v>
      </c>
      <c r="C2179" s="8">
        <v>2021</v>
      </c>
      <c r="D2179" s="8">
        <v>6</v>
      </c>
      <c r="E2179" s="3" t="str">
        <f t="shared" si="68"/>
        <v>June</v>
      </c>
      <c r="F2179" s="3" t="s">
        <v>13</v>
      </c>
      <c r="G2179" s="8">
        <v>2574.5338550000001</v>
      </c>
      <c r="H2179" s="8">
        <v>3375</v>
      </c>
      <c r="I2179" s="8">
        <v>796.54947860000004</v>
      </c>
      <c r="J2179" s="8">
        <v>9348.3671560000003</v>
      </c>
      <c r="K2179" s="8">
        <v>8848.1253039999992</v>
      </c>
      <c r="L2179" s="8">
        <v>9834.3667029999997</v>
      </c>
      <c r="M2179" s="9" t="str">
        <f>IF(A2179="",M2180,A2179)</f>
        <v>Kyrgyzstan</v>
      </c>
      <c r="N2179" s="3" t="str">
        <f t="shared" si="69"/>
        <v>Jun-2021</v>
      </c>
    </row>
    <row r="2180" spans="1:14" x14ac:dyDescent="0.3">
      <c r="A2180" s="3" t="s">
        <v>188</v>
      </c>
      <c r="B2180" s="3" t="s">
        <v>189</v>
      </c>
      <c r="C2180" s="8">
        <v>2021</v>
      </c>
      <c r="D2180" s="8">
        <v>7</v>
      </c>
      <c r="E2180" s="3" t="str">
        <f t="shared" si="68"/>
        <v>July</v>
      </c>
      <c r="F2180" s="3" t="s">
        <v>13</v>
      </c>
      <c r="G2180" s="8">
        <v>2781.8655690000001</v>
      </c>
      <c r="H2180" s="8">
        <v>3835</v>
      </c>
      <c r="I2180" s="8">
        <v>1049.217764</v>
      </c>
      <c r="J2180" s="8">
        <v>10397.584919999999</v>
      </c>
      <c r="K2180" s="8">
        <v>9857.9034370000008</v>
      </c>
      <c r="L2180" s="8">
        <v>10916.786990000001</v>
      </c>
      <c r="M2180" s="9" t="str">
        <f>IF(A2180="",M2181,A2180)</f>
        <v>Kyrgyzstan</v>
      </c>
      <c r="N2180" s="3" t="str">
        <f t="shared" si="69"/>
        <v>Jul-2021</v>
      </c>
    </row>
    <row r="2181" spans="1:14" x14ac:dyDescent="0.3">
      <c r="A2181" s="3" t="s">
        <v>188</v>
      </c>
      <c r="B2181" s="3" t="s">
        <v>189</v>
      </c>
      <c r="C2181" s="8">
        <v>2021</v>
      </c>
      <c r="D2181" s="8">
        <v>8</v>
      </c>
      <c r="E2181" s="3" t="str">
        <f t="shared" si="68"/>
        <v>August</v>
      </c>
      <c r="F2181" s="3" t="s">
        <v>13</v>
      </c>
      <c r="G2181" s="8">
        <v>2577.6635059999999</v>
      </c>
      <c r="H2181" s="8">
        <v>3810</v>
      </c>
      <c r="I2181" s="8">
        <v>1228.4198280000001</v>
      </c>
      <c r="J2181" s="8">
        <v>11626.00475</v>
      </c>
      <c r="K2181" s="8">
        <v>11071.934639999999</v>
      </c>
      <c r="L2181" s="8">
        <v>12165.14861</v>
      </c>
      <c r="M2181" s="9" t="str">
        <f>IF(A2181="",M2182,A2181)</f>
        <v>Kyrgyzstan</v>
      </c>
      <c r="N2181" s="3" t="str">
        <f t="shared" si="69"/>
        <v>Aug-2021</v>
      </c>
    </row>
    <row r="2182" spans="1:14" x14ac:dyDescent="0.3">
      <c r="A2182" s="3" t="s">
        <v>188</v>
      </c>
      <c r="B2182" s="3" t="s">
        <v>189</v>
      </c>
      <c r="C2182" s="8">
        <v>2021</v>
      </c>
      <c r="D2182" s="8">
        <v>9</v>
      </c>
      <c r="E2182" s="3" t="str">
        <f t="shared" si="68"/>
        <v>September</v>
      </c>
      <c r="F2182" s="3" t="s">
        <v>13</v>
      </c>
      <c r="G2182" s="8">
        <v>2484.812136</v>
      </c>
      <c r="H2182" s="8">
        <v>3307</v>
      </c>
      <c r="I2182" s="8">
        <v>818.27119770000002</v>
      </c>
      <c r="J2182" s="8">
        <v>12444.275949999999</v>
      </c>
      <c r="K2182" s="8">
        <v>11918.658390000001</v>
      </c>
      <c r="L2182" s="8">
        <v>12991.12455</v>
      </c>
      <c r="M2182" s="9" t="str">
        <f>IF(A2182="",M2183,A2182)</f>
        <v>Kyrgyzstan</v>
      </c>
      <c r="N2182" s="3" t="str">
        <f t="shared" si="69"/>
        <v>Sep-2021</v>
      </c>
    </row>
    <row r="2183" spans="1:14" x14ac:dyDescent="0.3">
      <c r="A2183" s="3" t="s">
        <v>188</v>
      </c>
      <c r="B2183" s="3" t="s">
        <v>189</v>
      </c>
      <c r="C2183" s="8">
        <v>2021</v>
      </c>
      <c r="D2183" s="8">
        <v>10</v>
      </c>
      <c r="E2183" s="3" t="str">
        <f t="shared" si="68"/>
        <v>October</v>
      </c>
      <c r="F2183" s="3" t="s">
        <v>13</v>
      </c>
      <c r="G2183" s="8">
        <v>2674.4381039999998</v>
      </c>
      <c r="H2183" s="8">
        <v>3257</v>
      </c>
      <c r="I2183" s="8">
        <v>578.64522920000002</v>
      </c>
      <c r="J2183" s="8">
        <v>13022.921179999999</v>
      </c>
      <c r="K2183" s="8">
        <v>12464.29211</v>
      </c>
      <c r="L2183" s="8">
        <v>13582.17994</v>
      </c>
      <c r="M2183" s="9" t="str">
        <f>IF(A2183="",M2184,A2183)</f>
        <v>Kyrgyzstan</v>
      </c>
      <c r="N2183" s="3" t="str">
        <f t="shared" si="69"/>
        <v>Oct-2021</v>
      </c>
    </row>
    <row r="2184" spans="1:14" x14ac:dyDescent="0.3">
      <c r="A2184" s="3" t="s">
        <v>188</v>
      </c>
      <c r="B2184" s="3" t="s">
        <v>189</v>
      </c>
      <c r="C2184" s="8">
        <v>2021</v>
      </c>
      <c r="D2184" s="8">
        <v>11</v>
      </c>
      <c r="E2184" s="3" t="str">
        <f t="shared" si="68"/>
        <v>November</v>
      </c>
      <c r="F2184" s="3" t="s">
        <v>13</v>
      </c>
      <c r="G2184" s="8">
        <v>2715.9871859999998</v>
      </c>
      <c r="H2184" s="8">
        <v>3381</v>
      </c>
      <c r="I2184" s="8">
        <v>661.09614759999999</v>
      </c>
      <c r="J2184" s="8">
        <v>13684.017320000001</v>
      </c>
      <c r="K2184" s="8">
        <v>13091.65609</v>
      </c>
      <c r="L2184" s="8">
        <v>14266.119769999999</v>
      </c>
      <c r="M2184" s="9" t="str">
        <f>IF(A2184="",M2185,A2184)</f>
        <v>Kyrgyzstan</v>
      </c>
      <c r="N2184" s="3" t="str">
        <f t="shared" si="69"/>
        <v>Nov-2021</v>
      </c>
    </row>
    <row r="2185" spans="1:14" x14ac:dyDescent="0.3">
      <c r="A2185" s="3" t="s">
        <v>188</v>
      </c>
      <c r="B2185" s="3" t="s">
        <v>189</v>
      </c>
      <c r="C2185" s="8">
        <v>2021</v>
      </c>
      <c r="D2185" s="8">
        <v>12</v>
      </c>
      <c r="E2185" s="3" t="str">
        <f t="shared" si="68"/>
        <v>December</v>
      </c>
      <c r="F2185" s="3" t="s">
        <v>13</v>
      </c>
      <c r="G2185" s="8">
        <v>2922.137467</v>
      </c>
      <c r="H2185" s="8">
        <v>3590</v>
      </c>
      <c r="I2185" s="8">
        <v>663.94586660000004</v>
      </c>
      <c r="J2185" s="8">
        <v>14347.96319</v>
      </c>
      <c r="K2185" s="8">
        <v>13774.89206</v>
      </c>
      <c r="L2185" s="8">
        <v>14919.07453</v>
      </c>
      <c r="M2185" s="9" t="str">
        <f>IF(A2185="",M2186,A2185)</f>
        <v>Kyrgyzstan</v>
      </c>
      <c r="N2185" s="3" t="str">
        <f t="shared" si="69"/>
        <v>Dec-2021</v>
      </c>
    </row>
    <row r="2186" spans="1:14" x14ac:dyDescent="0.3">
      <c r="A2186" s="3" t="s">
        <v>190</v>
      </c>
      <c r="B2186" s="3" t="s">
        <v>191</v>
      </c>
      <c r="C2186" s="8">
        <v>2020</v>
      </c>
      <c r="D2186" s="8">
        <v>1</v>
      </c>
      <c r="E2186" s="3" t="str">
        <f t="shared" si="68"/>
        <v>January</v>
      </c>
      <c r="F2186" s="3" t="s">
        <v>8</v>
      </c>
      <c r="G2186" s="8">
        <v>8212.3892199999991</v>
      </c>
      <c r="H2186" s="8">
        <v>8465.4629999999997</v>
      </c>
      <c r="I2186" s="8">
        <v>253.07377990000001</v>
      </c>
      <c r="J2186" s="8">
        <v>253.07377990000001</v>
      </c>
      <c r="K2186" s="8">
        <v>-1844.6814300000001</v>
      </c>
      <c r="L2186" s="8">
        <v>2760.8830160000002</v>
      </c>
      <c r="M2186" s="9" t="str">
        <f>IF(A2186="",M2187,A2186)</f>
        <v>Cambodia</v>
      </c>
      <c r="N2186" s="3" t="str">
        <f t="shared" si="69"/>
        <v>Jan-2020</v>
      </c>
    </row>
    <row r="2187" spans="1:14" x14ac:dyDescent="0.3">
      <c r="A2187" s="3" t="s">
        <v>190</v>
      </c>
      <c r="B2187" s="3" t="s">
        <v>191</v>
      </c>
      <c r="C2187" s="8">
        <v>2020</v>
      </c>
      <c r="D2187" s="8">
        <v>2</v>
      </c>
      <c r="E2187" s="3" t="str">
        <f t="shared" si="68"/>
        <v>February</v>
      </c>
      <c r="F2187" s="3" t="s">
        <v>8</v>
      </c>
      <c r="G2187" s="8">
        <v>8211.8386140000002</v>
      </c>
      <c r="H2187" s="8">
        <v>8364.6959999999999</v>
      </c>
      <c r="I2187" s="8">
        <v>152.85738610000001</v>
      </c>
      <c r="J2187" s="8">
        <v>405.93116600000002</v>
      </c>
      <c r="K2187" s="8">
        <v>-2584.7085529999999</v>
      </c>
      <c r="L2187" s="8">
        <v>4009.3134449999998</v>
      </c>
      <c r="M2187" s="9" t="str">
        <f>IF(A2187="",M2188,A2187)</f>
        <v>Cambodia</v>
      </c>
      <c r="N2187" s="3" t="str">
        <f t="shared" si="69"/>
        <v>Feb-2020</v>
      </c>
    </row>
    <row r="2188" spans="1:14" x14ac:dyDescent="0.3">
      <c r="A2188" s="3" t="s">
        <v>190</v>
      </c>
      <c r="B2188" s="3" t="s">
        <v>191</v>
      </c>
      <c r="C2188" s="8">
        <v>2020</v>
      </c>
      <c r="D2188" s="8">
        <v>3</v>
      </c>
      <c r="E2188" s="3" t="str">
        <f t="shared" si="68"/>
        <v>March</v>
      </c>
      <c r="F2188" s="3" t="s">
        <v>8</v>
      </c>
      <c r="G2188" s="8">
        <v>8120.7019389999996</v>
      </c>
      <c r="H2188" s="8">
        <v>7865.6360000000004</v>
      </c>
      <c r="I2188" s="8">
        <v>-255.06593860000001</v>
      </c>
      <c r="J2188" s="8">
        <v>150.86522740000001</v>
      </c>
      <c r="K2188" s="8">
        <v>-3560.7454560000001</v>
      </c>
      <c r="L2188" s="8">
        <v>4683.3021660000004</v>
      </c>
      <c r="M2188" s="9" t="str">
        <f>IF(A2188="",M2189,A2188)</f>
        <v>Cambodia</v>
      </c>
      <c r="N2188" s="3" t="str">
        <f t="shared" si="69"/>
        <v>Mar-2020</v>
      </c>
    </row>
    <row r="2189" spans="1:14" x14ac:dyDescent="0.3">
      <c r="A2189" s="3" t="s">
        <v>190</v>
      </c>
      <c r="B2189" s="3" t="s">
        <v>191</v>
      </c>
      <c r="C2189" s="8">
        <v>2020</v>
      </c>
      <c r="D2189" s="8">
        <v>4</v>
      </c>
      <c r="E2189" s="3" t="str">
        <f t="shared" si="68"/>
        <v>April</v>
      </c>
      <c r="F2189" s="3" t="s">
        <v>8</v>
      </c>
      <c r="G2189" s="8">
        <v>8104.9644840000001</v>
      </c>
      <c r="H2189" s="8">
        <v>7623.5919999999996</v>
      </c>
      <c r="I2189" s="8">
        <v>-481.37248360000001</v>
      </c>
      <c r="J2189" s="8">
        <v>-330.50725619999997</v>
      </c>
      <c r="K2189" s="8">
        <v>-4720.9189999999999</v>
      </c>
      <c r="L2189" s="8">
        <v>4637.7641919999996</v>
      </c>
      <c r="M2189" s="9" t="str">
        <f>IF(A2189="",M2190,A2189)</f>
        <v>Cambodia</v>
      </c>
      <c r="N2189" s="3" t="str">
        <f t="shared" si="69"/>
        <v>Apr-2020</v>
      </c>
    </row>
    <row r="2190" spans="1:14" x14ac:dyDescent="0.3">
      <c r="A2190" s="3" t="s">
        <v>190</v>
      </c>
      <c r="B2190" s="3" t="s">
        <v>191</v>
      </c>
      <c r="C2190" s="8">
        <v>2020</v>
      </c>
      <c r="D2190" s="8">
        <v>5</v>
      </c>
      <c r="E2190" s="3" t="str">
        <f t="shared" si="68"/>
        <v>May</v>
      </c>
      <c r="F2190" s="3" t="s">
        <v>8</v>
      </c>
      <c r="G2190" s="8">
        <v>8086.7482650000002</v>
      </c>
      <c r="H2190" s="8">
        <v>7923.9139999999998</v>
      </c>
      <c r="I2190" s="8">
        <v>-162.83426499999999</v>
      </c>
      <c r="J2190" s="8">
        <v>-493.34152130000001</v>
      </c>
      <c r="K2190" s="8">
        <v>-5469.6818130000001</v>
      </c>
      <c r="L2190" s="8">
        <v>4934.3902239999998</v>
      </c>
      <c r="M2190" s="9" t="str">
        <f>IF(A2190="",M2191,A2190)</f>
        <v>Cambodia</v>
      </c>
      <c r="N2190" s="3" t="str">
        <f t="shared" si="69"/>
        <v>May-2020</v>
      </c>
    </row>
    <row r="2191" spans="1:14" x14ac:dyDescent="0.3">
      <c r="A2191" s="3" t="s">
        <v>190</v>
      </c>
      <c r="B2191" s="3" t="s">
        <v>191</v>
      </c>
      <c r="C2191" s="8">
        <v>2020</v>
      </c>
      <c r="D2191" s="8">
        <v>6</v>
      </c>
      <c r="E2191" s="3" t="str">
        <f t="shared" si="68"/>
        <v>June</v>
      </c>
      <c r="F2191" s="3" t="s">
        <v>8</v>
      </c>
      <c r="G2191" s="8">
        <v>8156.1572999999999</v>
      </c>
      <c r="H2191" s="8">
        <v>8246.7559999999994</v>
      </c>
      <c r="I2191" s="8">
        <v>90.598700359999995</v>
      </c>
      <c r="J2191" s="8">
        <v>-402.74282090000003</v>
      </c>
      <c r="K2191" s="8">
        <v>-5889.6099599999998</v>
      </c>
      <c r="L2191" s="8">
        <v>5670.2219679999998</v>
      </c>
      <c r="M2191" s="9" t="str">
        <f>IF(A2191="",M2192,A2191)</f>
        <v>Cambodia</v>
      </c>
      <c r="N2191" s="3" t="str">
        <f t="shared" si="69"/>
        <v>Jun-2020</v>
      </c>
    </row>
    <row r="2192" spans="1:14" x14ac:dyDescent="0.3">
      <c r="A2192" s="3" t="s">
        <v>190</v>
      </c>
      <c r="B2192" s="3" t="s">
        <v>191</v>
      </c>
      <c r="C2192" s="8">
        <v>2020</v>
      </c>
      <c r="D2192" s="8">
        <v>7</v>
      </c>
      <c r="E2192" s="3" t="str">
        <f t="shared" si="68"/>
        <v>July</v>
      </c>
      <c r="F2192" s="3" t="s">
        <v>8</v>
      </c>
      <c r="G2192" s="8">
        <v>8171.6999960000003</v>
      </c>
      <c r="H2192" s="8">
        <v>8349.8279999999995</v>
      </c>
      <c r="I2192" s="8">
        <v>178.12800369999999</v>
      </c>
      <c r="J2192" s="8">
        <v>-224.6148172</v>
      </c>
      <c r="K2192" s="8">
        <v>-6193.2372489999998</v>
      </c>
      <c r="L2192" s="8">
        <v>5796.9968170000002</v>
      </c>
      <c r="M2192" s="9" t="str">
        <f>IF(A2192="",M2193,A2192)</f>
        <v>Cambodia</v>
      </c>
      <c r="N2192" s="3" t="str">
        <f t="shared" si="69"/>
        <v>Jul-2020</v>
      </c>
    </row>
    <row r="2193" spans="1:14" x14ac:dyDescent="0.3">
      <c r="A2193" s="3" t="s">
        <v>190</v>
      </c>
      <c r="B2193" s="3" t="s">
        <v>191</v>
      </c>
      <c r="C2193" s="8">
        <v>2020</v>
      </c>
      <c r="D2193" s="8">
        <v>8</v>
      </c>
      <c r="E2193" s="3" t="str">
        <f t="shared" si="68"/>
        <v>August</v>
      </c>
      <c r="F2193" s="3" t="s">
        <v>8</v>
      </c>
      <c r="G2193" s="8">
        <v>8188.9598999999998</v>
      </c>
      <c r="H2193" s="8">
        <v>8388.3809999999994</v>
      </c>
      <c r="I2193" s="8">
        <v>199.42110020000001</v>
      </c>
      <c r="J2193" s="8">
        <v>-25.19371701</v>
      </c>
      <c r="K2193" s="8">
        <v>-6468.7200890000004</v>
      </c>
      <c r="L2193" s="8">
        <v>6590.0248760000004</v>
      </c>
      <c r="M2193" s="9" t="str">
        <f>IF(A2193="",M2194,A2193)</f>
        <v>Cambodia</v>
      </c>
      <c r="N2193" s="3" t="str">
        <f t="shared" si="69"/>
        <v>Aug-2020</v>
      </c>
    </row>
    <row r="2194" spans="1:14" x14ac:dyDescent="0.3">
      <c r="A2194" s="3" t="s">
        <v>190</v>
      </c>
      <c r="B2194" s="3" t="s">
        <v>191</v>
      </c>
      <c r="C2194" s="8">
        <v>2020</v>
      </c>
      <c r="D2194" s="8">
        <v>9</v>
      </c>
      <c r="E2194" s="3" t="str">
        <f t="shared" si="68"/>
        <v>September</v>
      </c>
      <c r="F2194" s="3" t="s">
        <v>8</v>
      </c>
      <c r="G2194" s="8">
        <v>8185.6042159999997</v>
      </c>
      <c r="H2194" s="8">
        <v>8226.277</v>
      </c>
      <c r="I2194" s="8">
        <v>40.672783819999999</v>
      </c>
      <c r="J2194" s="8">
        <v>15.4790668</v>
      </c>
      <c r="K2194" s="8">
        <v>-6662.6234359999999</v>
      </c>
      <c r="L2194" s="8">
        <v>7371.3751549999997</v>
      </c>
      <c r="M2194" s="9" t="str">
        <f>IF(A2194="",M2195,A2194)</f>
        <v>Cambodia</v>
      </c>
      <c r="N2194" s="3" t="str">
        <f t="shared" si="69"/>
        <v>Sep-2020</v>
      </c>
    </row>
    <row r="2195" spans="1:14" x14ac:dyDescent="0.3">
      <c r="A2195" s="3" t="s">
        <v>190</v>
      </c>
      <c r="B2195" s="3" t="s">
        <v>191</v>
      </c>
      <c r="C2195" s="8">
        <v>2020</v>
      </c>
      <c r="D2195" s="8">
        <v>10</v>
      </c>
      <c r="E2195" s="3" t="str">
        <f t="shared" si="68"/>
        <v>October</v>
      </c>
      <c r="F2195" s="3" t="s">
        <v>8</v>
      </c>
      <c r="G2195" s="8">
        <v>8285.3480830000008</v>
      </c>
      <c r="H2195" s="8">
        <v>8118.67</v>
      </c>
      <c r="I2195" s="8">
        <v>-166.6780832</v>
      </c>
      <c r="J2195" s="8">
        <v>-151.1990164</v>
      </c>
      <c r="K2195" s="8">
        <v>-7111.6708790000002</v>
      </c>
      <c r="L2195" s="8">
        <v>7652.9112910000003</v>
      </c>
      <c r="M2195" s="9" t="str">
        <f>IF(A2195="",M2196,A2195)</f>
        <v>Cambodia</v>
      </c>
      <c r="N2195" s="3" t="str">
        <f t="shared" si="69"/>
        <v>Oct-2020</v>
      </c>
    </row>
    <row r="2196" spans="1:14" x14ac:dyDescent="0.3">
      <c r="A2196" s="3" t="s">
        <v>190</v>
      </c>
      <c r="B2196" s="3" t="s">
        <v>191</v>
      </c>
      <c r="C2196" s="8">
        <v>2020</v>
      </c>
      <c r="D2196" s="8">
        <v>11</v>
      </c>
      <c r="E2196" s="3" t="str">
        <f t="shared" si="68"/>
        <v>November</v>
      </c>
      <c r="F2196" s="3" t="s">
        <v>8</v>
      </c>
      <c r="G2196" s="8">
        <v>8233.9420449999998</v>
      </c>
      <c r="H2196" s="8">
        <v>8115.1260000000002</v>
      </c>
      <c r="I2196" s="8">
        <v>-118.8160445</v>
      </c>
      <c r="J2196" s="8">
        <v>-270.01506089999998</v>
      </c>
      <c r="K2196" s="8">
        <v>-7484.2600970000003</v>
      </c>
      <c r="L2196" s="8">
        <v>7998.006453</v>
      </c>
      <c r="M2196" s="9" t="str">
        <f>IF(A2196="",M2197,A2196)</f>
        <v>Cambodia</v>
      </c>
      <c r="N2196" s="3" t="str">
        <f t="shared" si="69"/>
        <v>Nov-2020</v>
      </c>
    </row>
    <row r="2197" spans="1:14" x14ac:dyDescent="0.3">
      <c r="A2197" s="3" t="s">
        <v>190</v>
      </c>
      <c r="B2197" s="3" t="s">
        <v>191</v>
      </c>
      <c r="C2197" s="8">
        <v>2020</v>
      </c>
      <c r="D2197" s="8">
        <v>12</v>
      </c>
      <c r="E2197" s="3" t="str">
        <f t="shared" si="68"/>
        <v>December</v>
      </c>
      <c r="F2197" s="3" t="s">
        <v>8</v>
      </c>
      <c r="G2197" s="8">
        <v>8287.837673</v>
      </c>
      <c r="H2197" s="8">
        <v>8119.5060000000003</v>
      </c>
      <c r="I2197" s="8">
        <v>-168.3316729</v>
      </c>
      <c r="J2197" s="8">
        <v>-438.3467339</v>
      </c>
      <c r="K2197" s="8">
        <v>-8067.8419089999998</v>
      </c>
      <c r="L2197" s="8">
        <v>7649.955672</v>
      </c>
      <c r="M2197" s="9" t="str">
        <f>IF(A2197="",M2198,A2197)</f>
        <v>Cambodia</v>
      </c>
      <c r="N2197" s="3" t="str">
        <f t="shared" si="69"/>
        <v>Dec-2020</v>
      </c>
    </row>
    <row r="2198" spans="1:14" x14ac:dyDescent="0.3">
      <c r="A2198" s="3" t="s">
        <v>190</v>
      </c>
      <c r="B2198" s="3" t="s">
        <v>191</v>
      </c>
      <c r="C2198" s="8">
        <v>2021</v>
      </c>
      <c r="D2198" s="8">
        <v>1</v>
      </c>
      <c r="E2198" s="3" t="str">
        <f t="shared" si="68"/>
        <v>January</v>
      </c>
      <c r="F2198" s="3" t="s">
        <v>8</v>
      </c>
      <c r="G2198" s="8">
        <v>8347.2281980000007</v>
      </c>
      <c r="H2198" s="8">
        <v>8497.9169999999995</v>
      </c>
      <c r="I2198" s="8">
        <v>150.68880179999999</v>
      </c>
      <c r="J2198" s="8">
        <v>-287.65793200000002</v>
      </c>
      <c r="K2198" s="8">
        <v>-8225.3447759999999</v>
      </c>
      <c r="L2198" s="8">
        <v>8001.285938</v>
      </c>
      <c r="M2198" s="9" t="str">
        <f>IF(A2198="",M2199,A2198)</f>
        <v>Cambodia</v>
      </c>
      <c r="N2198" s="3" t="str">
        <f t="shared" si="69"/>
        <v>Jan-2021</v>
      </c>
    </row>
    <row r="2199" spans="1:14" x14ac:dyDescent="0.3">
      <c r="A2199" s="3" t="s">
        <v>190</v>
      </c>
      <c r="B2199" s="3" t="s">
        <v>191</v>
      </c>
      <c r="C2199" s="8">
        <v>2021</v>
      </c>
      <c r="D2199" s="8">
        <v>2</v>
      </c>
      <c r="E2199" s="3" t="str">
        <f t="shared" si="68"/>
        <v>February</v>
      </c>
      <c r="F2199" s="3" t="s">
        <v>8</v>
      </c>
      <c r="G2199" s="8">
        <v>8344.4587850000007</v>
      </c>
      <c r="H2199" s="8">
        <v>8426.6679999999997</v>
      </c>
      <c r="I2199" s="8">
        <v>82.209215450000002</v>
      </c>
      <c r="J2199" s="8">
        <v>-205.44871660000001</v>
      </c>
      <c r="K2199" s="8">
        <v>-8387.6564170000001</v>
      </c>
      <c r="L2199" s="8">
        <v>8482.7014720000006</v>
      </c>
      <c r="M2199" s="9" t="str">
        <f>IF(A2199="",M2200,A2199)</f>
        <v>Cambodia</v>
      </c>
      <c r="N2199" s="3" t="str">
        <f t="shared" si="69"/>
        <v>Feb-2021</v>
      </c>
    </row>
    <row r="2200" spans="1:14" x14ac:dyDescent="0.3">
      <c r="A2200" s="3" t="s">
        <v>190</v>
      </c>
      <c r="B2200" s="3" t="s">
        <v>191</v>
      </c>
      <c r="C2200" s="8">
        <v>2021</v>
      </c>
      <c r="D2200" s="8">
        <v>3</v>
      </c>
      <c r="E2200" s="3" t="str">
        <f t="shared" si="68"/>
        <v>March</v>
      </c>
      <c r="F2200" s="3" t="s">
        <v>8</v>
      </c>
      <c r="G2200" s="8">
        <v>8249.5053960000005</v>
      </c>
      <c r="H2200" s="8">
        <v>8529.9959999999992</v>
      </c>
      <c r="I2200" s="8">
        <v>280.49060379999997</v>
      </c>
      <c r="J2200" s="8">
        <v>75.041887209999999</v>
      </c>
      <c r="K2200" s="8">
        <v>-8244.0433510000003</v>
      </c>
      <c r="L2200" s="8">
        <v>9530.9572790000002</v>
      </c>
      <c r="M2200" s="9" t="str">
        <f>IF(A2200="",M2201,A2200)</f>
        <v>Cambodia</v>
      </c>
      <c r="N2200" s="3" t="str">
        <f t="shared" si="69"/>
        <v>Mar-2021</v>
      </c>
    </row>
    <row r="2201" spans="1:14" x14ac:dyDescent="0.3">
      <c r="A2201" s="3" t="s">
        <v>190</v>
      </c>
      <c r="B2201" s="3" t="s">
        <v>191</v>
      </c>
      <c r="C2201" s="8">
        <v>2021</v>
      </c>
      <c r="D2201" s="8">
        <v>4</v>
      </c>
      <c r="E2201" s="3" t="str">
        <f t="shared" si="68"/>
        <v>April</v>
      </c>
      <c r="F2201" s="3" t="s">
        <v>8</v>
      </c>
      <c r="G2201" s="8">
        <v>8231.8765920000005</v>
      </c>
      <c r="H2201" s="8">
        <v>8670.1830000000009</v>
      </c>
      <c r="I2201" s="8">
        <v>438.30640790000001</v>
      </c>
      <c r="J2201" s="8">
        <v>513.34829509999997</v>
      </c>
      <c r="K2201" s="8">
        <v>-8418.7872119999993</v>
      </c>
      <c r="L2201" s="8">
        <v>10374.007949999999</v>
      </c>
      <c r="M2201" s="9" t="str">
        <f>IF(A2201="",M2202,A2201)</f>
        <v>Cambodia</v>
      </c>
      <c r="N2201" s="3" t="str">
        <f t="shared" si="69"/>
        <v>Apr-2021</v>
      </c>
    </row>
    <row r="2202" spans="1:14" x14ac:dyDescent="0.3">
      <c r="A2202" s="3" t="s">
        <v>190</v>
      </c>
      <c r="B2202" s="3" t="s">
        <v>191</v>
      </c>
      <c r="C2202" s="8">
        <v>2021</v>
      </c>
      <c r="D2202" s="8">
        <v>5</v>
      </c>
      <c r="E2202" s="3" t="str">
        <f t="shared" si="68"/>
        <v>May</v>
      </c>
      <c r="F2202" s="3" t="s">
        <v>8</v>
      </c>
      <c r="G2202" s="8">
        <v>8216.4423910000005</v>
      </c>
      <c r="H2202" s="8">
        <v>8796.5169999999998</v>
      </c>
      <c r="I2202" s="8">
        <v>580.07460939999999</v>
      </c>
      <c r="J2202" s="8">
        <v>1093.4229049999999</v>
      </c>
      <c r="K2202" s="8">
        <v>-7909.6595649999999</v>
      </c>
      <c r="L2202" s="8">
        <v>11347.322889999999</v>
      </c>
      <c r="M2202" s="9" t="str">
        <f>IF(A2202="",M2203,A2202)</f>
        <v>Cambodia</v>
      </c>
      <c r="N2202" s="3" t="str">
        <f t="shared" si="69"/>
        <v>May-2021</v>
      </c>
    </row>
    <row r="2203" spans="1:14" x14ac:dyDescent="0.3">
      <c r="A2203" s="3" t="s">
        <v>190</v>
      </c>
      <c r="B2203" s="3" t="s">
        <v>191</v>
      </c>
      <c r="C2203" s="8">
        <v>2021</v>
      </c>
      <c r="D2203" s="8">
        <v>6</v>
      </c>
      <c r="E2203" s="3" t="str">
        <f t="shared" si="68"/>
        <v>June</v>
      </c>
      <c r="F2203" s="3" t="s">
        <v>8</v>
      </c>
      <c r="G2203" s="8">
        <v>8284.8673689999996</v>
      </c>
      <c r="H2203" s="8">
        <v>9382.1689999999999</v>
      </c>
      <c r="I2203" s="8">
        <v>1097.301631</v>
      </c>
      <c r="J2203" s="8">
        <v>2190.7245360000002</v>
      </c>
      <c r="K2203" s="8">
        <v>-7267.9504539999998</v>
      </c>
      <c r="L2203" s="8">
        <v>12884.552170000001</v>
      </c>
      <c r="M2203" s="9" t="str">
        <f>IF(A2203="",M2204,A2203)</f>
        <v>Cambodia</v>
      </c>
      <c r="N2203" s="3" t="str">
        <f t="shared" si="69"/>
        <v>Jun-2021</v>
      </c>
    </row>
    <row r="2204" spans="1:14" x14ac:dyDescent="0.3">
      <c r="A2204" s="3" t="s">
        <v>190</v>
      </c>
      <c r="B2204" s="3" t="s">
        <v>191</v>
      </c>
      <c r="C2204" s="8">
        <v>2021</v>
      </c>
      <c r="D2204" s="8">
        <v>7</v>
      </c>
      <c r="E2204" s="3" t="str">
        <f t="shared" si="68"/>
        <v>July</v>
      </c>
      <c r="F2204" s="3" t="s">
        <v>8</v>
      </c>
      <c r="G2204" s="8">
        <v>8305.6345089999995</v>
      </c>
      <c r="H2204" s="8">
        <v>10101.206</v>
      </c>
      <c r="I2204" s="8">
        <v>1795.5714909999999</v>
      </c>
      <c r="J2204" s="8">
        <v>3986.296026</v>
      </c>
      <c r="K2204" s="8">
        <v>-5908.3594279999998</v>
      </c>
      <c r="L2204" s="8">
        <v>14978.476930000001</v>
      </c>
      <c r="M2204" s="9" t="str">
        <f>IF(A2204="",M2205,A2204)</f>
        <v>Cambodia</v>
      </c>
      <c r="N2204" s="3" t="str">
        <f t="shared" si="69"/>
        <v>Jul-2021</v>
      </c>
    </row>
    <row r="2205" spans="1:14" x14ac:dyDescent="0.3">
      <c r="A2205" s="3" t="s">
        <v>190</v>
      </c>
      <c r="B2205" s="3" t="s">
        <v>191</v>
      </c>
      <c r="C2205" s="8">
        <v>2021</v>
      </c>
      <c r="D2205" s="8">
        <v>8</v>
      </c>
      <c r="E2205" s="3" t="str">
        <f t="shared" si="68"/>
        <v>August</v>
      </c>
      <c r="F2205" s="3" t="s">
        <v>8</v>
      </c>
      <c r="G2205" s="8">
        <v>8317.0447230000009</v>
      </c>
      <c r="H2205" s="8">
        <v>9700.4920000000002</v>
      </c>
      <c r="I2205" s="8">
        <v>1383.447277</v>
      </c>
      <c r="J2205" s="8">
        <v>5369.7433030000002</v>
      </c>
      <c r="K2205" s="8">
        <v>-4776.3569719999996</v>
      </c>
      <c r="L2205" s="8">
        <v>16427.024010000001</v>
      </c>
      <c r="M2205" s="9" t="str">
        <f>IF(A2205="",M2206,A2205)</f>
        <v>Cambodia</v>
      </c>
      <c r="N2205" s="3" t="str">
        <f t="shared" si="69"/>
        <v>Aug-2021</v>
      </c>
    </row>
    <row r="2206" spans="1:14" x14ac:dyDescent="0.3">
      <c r="A2206" s="3" t="s">
        <v>190</v>
      </c>
      <c r="B2206" s="3" t="s">
        <v>191</v>
      </c>
      <c r="C2206" s="8">
        <v>2021</v>
      </c>
      <c r="D2206" s="8">
        <v>9</v>
      </c>
      <c r="E2206" s="3" t="str">
        <f t="shared" si="68"/>
        <v>September</v>
      </c>
      <c r="F2206" s="3" t="s">
        <v>8</v>
      </c>
      <c r="G2206" s="8">
        <v>8316.8853080000008</v>
      </c>
      <c r="H2206" s="8">
        <v>9757.1910000000007</v>
      </c>
      <c r="I2206" s="8">
        <v>1440.3056919999999</v>
      </c>
      <c r="J2206" s="8">
        <v>6810.0489950000001</v>
      </c>
      <c r="K2206" s="8">
        <v>-3953.404845</v>
      </c>
      <c r="L2206" s="8">
        <v>18222.838329999999</v>
      </c>
      <c r="M2206" s="9" t="str">
        <f>IF(A2206="",M2207,A2206)</f>
        <v>Cambodia</v>
      </c>
      <c r="N2206" s="3" t="str">
        <f t="shared" si="69"/>
        <v>Sep-2021</v>
      </c>
    </row>
    <row r="2207" spans="1:14" x14ac:dyDescent="0.3">
      <c r="A2207" s="3" t="s">
        <v>190</v>
      </c>
      <c r="B2207" s="3" t="s">
        <v>191</v>
      </c>
      <c r="C2207" s="8">
        <v>2021</v>
      </c>
      <c r="D2207" s="8">
        <v>10</v>
      </c>
      <c r="E2207" s="3" t="str">
        <f t="shared" si="68"/>
        <v>October</v>
      </c>
      <c r="F2207" s="3" t="s">
        <v>8</v>
      </c>
      <c r="G2207" s="8">
        <v>8418.183196</v>
      </c>
      <c r="H2207" s="8">
        <v>9555.6110000000008</v>
      </c>
      <c r="I2207" s="8">
        <v>1137.4278039999999</v>
      </c>
      <c r="J2207" s="8">
        <v>7947.476799</v>
      </c>
      <c r="K2207" s="8">
        <v>-2909.4492679999998</v>
      </c>
      <c r="L2207" s="8">
        <v>20468.969590000001</v>
      </c>
      <c r="M2207" s="9" t="str">
        <f>IF(A2207="",M2208,A2207)</f>
        <v>Cambodia</v>
      </c>
      <c r="N2207" s="3" t="str">
        <f t="shared" si="69"/>
        <v>Oct-2021</v>
      </c>
    </row>
    <row r="2208" spans="1:14" x14ac:dyDescent="0.3">
      <c r="A2208" s="3" t="s">
        <v>190</v>
      </c>
      <c r="B2208" s="3" t="s">
        <v>191</v>
      </c>
      <c r="C2208" s="8">
        <v>2021</v>
      </c>
      <c r="D2208" s="8">
        <v>11</v>
      </c>
      <c r="E2208" s="3" t="str">
        <f t="shared" si="68"/>
        <v>November</v>
      </c>
      <c r="F2208" s="3" t="s">
        <v>8</v>
      </c>
      <c r="G2208" s="8">
        <v>8364.6961709999996</v>
      </c>
      <c r="H2208" s="8">
        <v>8964.8799999999992</v>
      </c>
      <c r="I2208" s="8">
        <v>600.18382919999999</v>
      </c>
      <c r="J2208" s="8">
        <v>8547.660629</v>
      </c>
      <c r="K2208" s="8">
        <v>-2446.8457800000001</v>
      </c>
      <c r="L2208" s="8">
        <v>20887.735410000001</v>
      </c>
      <c r="M2208" s="9" t="str">
        <f>IF(A2208="",M2209,A2208)</f>
        <v>Cambodia</v>
      </c>
      <c r="N2208" s="3" t="str">
        <f t="shared" si="69"/>
        <v>Nov-2021</v>
      </c>
    </row>
    <row r="2209" spans="1:14" x14ac:dyDescent="0.3">
      <c r="A2209" s="3" t="s">
        <v>190</v>
      </c>
      <c r="B2209" s="3" t="s">
        <v>191</v>
      </c>
      <c r="C2209" s="8">
        <v>2021</v>
      </c>
      <c r="D2209" s="8">
        <v>12</v>
      </c>
      <c r="E2209" s="3" t="str">
        <f t="shared" si="68"/>
        <v>December</v>
      </c>
      <c r="F2209" s="3" t="s">
        <v>8</v>
      </c>
      <c r="G2209" s="8">
        <v>8429.1910499999994</v>
      </c>
      <c r="H2209" s="8">
        <v>8987.4030000000002</v>
      </c>
      <c r="I2209" s="8">
        <v>558.21195</v>
      </c>
      <c r="J2209" s="8">
        <v>9105.8725790000008</v>
      </c>
      <c r="K2209" s="8">
        <v>-2475.4229439999999</v>
      </c>
      <c r="L2209" s="8">
        <v>21749.833790000001</v>
      </c>
      <c r="M2209" s="9" t="str">
        <f>IF(A2209="",M2210,A2209)</f>
        <v>Cambodia</v>
      </c>
      <c r="N2209" s="3" t="str">
        <f t="shared" si="69"/>
        <v>Dec-2021</v>
      </c>
    </row>
    <row r="2210" spans="1:14" x14ac:dyDescent="0.3">
      <c r="A2210" s="3" t="s">
        <v>192</v>
      </c>
      <c r="B2210" s="3" t="s">
        <v>193</v>
      </c>
      <c r="C2210" s="8">
        <v>2020</v>
      </c>
      <c r="D2210" s="8">
        <v>1</v>
      </c>
      <c r="E2210" s="3" t="str">
        <f t="shared" si="68"/>
        <v>January</v>
      </c>
      <c r="F2210" s="3" t="s">
        <v>8</v>
      </c>
      <c r="G2210" s="8">
        <v>109.3510953</v>
      </c>
      <c r="H2210" s="8">
        <v>108.453</v>
      </c>
      <c r="I2210" s="8">
        <v>-0.89809531300000001</v>
      </c>
      <c r="J2210" s="8">
        <v>-0.89809531300000001</v>
      </c>
      <c r="K2210" s="8">
        <v>-33.298720080000002</v>
      </c>
      <c r="L2210" s="8">
        <v>40.562908180000001</v>
      </c>
      <c r="M2210" s="9" t="str">
        <f>IF(A2210="",M2211,A2210)</f>
        <v>Kiribati</v>
      </c>
      <c r="N2210" s="3" t="str">
        <f t="shared" si="69"/>
        <v>Jan-2020</v>
      </c>
    </row>
    <row r="2211" spans="1:14" x14ac:dyDescent="0.3">
      <c r="A2211" s="3" t="s">
        <v>192</v>
      </c>
      <c r="B2211" s="3" t="s">
        <v>193</v>
      </c>
      <c r="C2211" s="8">
        <v>2020</v>
      </c>
      <c r="D2211" s="8">
        <v>2</v>
      </c>
      <c r="E2211" s="3" t="str">
        <f t="shared" si="68"/>
        <v>February</v>
      </c>
      <c r="F2211" s="3" t="s">
        <v>8</v>
      </c>
      <c r="G2211" s="8">
        <v>109.6306082</v>
      </c>
      <c r="H2211" s="8">
        <v>106.232</v>
      </c>
      <c r="I2211" s="8">
        <v>-3.39860819</v>
      </c>
      <c r="J2211" s="8">
        <v>-4.2967035029999998</v>
      </c>
      <c r="K2211" s="8">
        <v>-53.032647040000001</v>
      </c>
      <c r="L2211" s="8">
        <v>50.01540275</v>
      </c>
      <c r="M2211" s="9" t="str">
        <f>IF(A2211="",M2212,A2211)</f>
        <v>Kiribati</v>
      </c>
      <c r="N2211" s="3" t="str">
        <f t="shared" si="69"/>
        <v>Feb-2020</v>
      </c>
    </row>
    <row r="2212" spans="1:14" x14ac:dyDescent="0.3">
      <c r="A2212" s="3" t="s">
        <v>192</v>
      </c>
      <c r="B2212" s="3" t="s">
        <v>193</v>
      </c>
      <c r="C2212" s="8">
        <v>2020</v>
      </c>
      <c r="D2212" s="8">
        <v>3</v>
      </c>
      <c r="E2212" s="3" t="str">
        <f t="shared" si="68"/>
        <v>March</v>
      </c>
      <c r="F2212" s="3" t="s">
        <v>8</v>
      </c>
      <c r="G2212" s="8">
        <v>109.35700420000001</v>
      </c>
      <c r="H2212" s="8">
        <v>109.252</v>
      </c>
      <c r="I2212" s="8">
        <v>-0.105004216</v>
      </c>
      <c r="J2212" s="8">
        <v>-4.4017077200000001</v>
      </c>
      <c r="K2212" s="8">
        <v>-67.979100489999993</v>
      </c>
      <c r="L2212" s="8">
        <v>60.749994950000001</v>
      </c>
      <c r="M2212" s="9" t="str">
        <f>IF(A2212="",M2213,A2212)</f>
        <v>Kiribati</v>
      </c>
      <c r="N2212" s="3" t="str">
        <f t="shared" si="69"/>
        <v>Mar-2020</v>
      </c>
    </row>
    <row r="2213" spans="1:14" x14ac:dyDescent="0.3">
      <c r="A2213" s="3" t="s">
        <v>192</v>
      </c>
      <c r="B2213" s="3" t="s">
        <v>193</v>
      </c>
      <c r="C2213" s="8">
        <v>2020</v>
      </c>
      <c r="D2213" s="8">
        <v>4</v>
      </c>
      <c r="E2213" s="3" t="str">
        <f t="shared" si="68"/>
        <v>April</v>
      </c>
      <c r="F2213" s="3" t="s">
        <v>8</v>
      </c>
      <c r="G2213" s="8">
        <v>109.26640159999999</v>
      </c>
      <c r="H2213" s="8">
        <v>108.779</v>
      </c>
      <c r="I2213" s="8">
        <v>-0.48740156899999998</v>
      </c>
      <c r="J2213" s="8">
        <v>-4.8891092880000002</v>
      </c>
      <c r="K2213" s="8">
        <v>-76.197365210000001</v>
      </c>
      <c r="L2213" s="8">
        <v>73.254286629999996</v>
      </c>
      <c r="M2213" s="9" t="str">
        <f>IF(A2213="",M2214,A2213)</f>
        <v>Kiribati</v>
      </c>
      <c r="N2213" s="3" t="str">
        <f t="shared" si="69"/>
        <v>Apr-2020</v>
      </c>
    </row>
    <row r="2214" spans="1:14" x14ac:dyDescent="0.3">
      <c r="A2214" s="3" t="s">
        <v>192</v>
      </c>
      <c r="B2214" s="3" t="s">
        <v>193</v>
      </c>
      <c r="C2214" s="8">
        <v>2020</v>
      </c>
      <c r="D2214" s="8">
        <v>5</v>
      </c>
      <c r="E2214" s="3" t="str">
        <f t="shared" si="68"/>
        <v>May</v>
      </c>
      <c r="F2214" s="3" t="s">
        <v>8</v>
      </c>
      <c r="G2214" s="8">
        <v>109.2960326</v>
      </c>
      <c r="H2214" s="8">
        <v>115.70699999999999</v>
      </c>
      <c r="I2214" s="8">
        <v>6.4109674160000001</v>
      </c>
      <c r="J2214" s="8">
        <v>1.5218581280000001</v>
      </c>
      <c r="K2214" s="8">
        <v>-81.133711329999997</v>
      </c>
      <c r="L2214" s="8">
        <v>92.958880590000007</v>
      </c>
      <c r="M2214" s="9" t="str">
        <f>IF(A2214="",M2215,A2214)</f>
        <v>Kiribati</v>
      </c>
      <c r="N2214" s="3" t="str">
        <f t="shared" si="69"/>
        <v>May-2020</v>
      </c>
    </row>
    <row r="2215" spans="1:14" x14ac:dyDescent="0.3">
      <c r="A2215" s="3" t="s">
        <v>192</v>
      </c>
      <c r="B2215" s="3" t="s">
        <v>193</v>
      </c>
      <c r="C2215" s="8">
        <v>2020</v>
      </c>
      <c r="D2215" s="8">
        <v>6</v>
      </c>
      <c r="E2215" s="3" t="str">
        <f t="shared" si="68"/>
        <v>June</v>
      </c>
      <c r="F2215" s="3" t="s">
        <v>8</v>
      </c>
      <c r="G2215" s="8">
        <v>109.4639909</v>
      </c>
      <c r="H2215" s="8">
        <v>116.593</v>
      </c>
      <c r="I2215" s="8">
        <v>7.1290091220000003</v>
      </c>
      <c r="J2215" s="8">
        <v>8.6508672489999991</v>
      </c>
      <c r="K2215" s="8">
        <v>-82.090425800000006</v>
      </c>
      <c r="L2215" s="8">
        <v>105.3484905</v>
      </c>
      <c r="M2215" s="9" t="str">
        <f>IF(A2215="",M2216,A2215)</f>
        <v>Kiribati</v>
      </c>
      <c r="N2215" s="3" t="str">
        <f t="shared" si="69"/>
        <v>Jun-2020</v>
      </c>
    </row>
    <row r="2216" spans="1:14" x14ac:dyDescent="0.3">
      <c r="A2216" s="3" t="s">
        <v>192</v>
      </c>
      <c r="B2216" s="3" t="s">
        <v>193</v>
      </c>
      <c r="C2216" s="8">
        <v>2020</v>
      </c>
      <c r="D2216" s="8">
        <v>7</v>
      </c>
      <c r="E2216" s="3" t="str">
        <f t="shared" si="68"/>
        <v>July</v>
      </c>
      <c r="F2216" s="3" t="s">
        <v>8</v>
      </c>
      <c r="G2216" s="8">
        <v>109.63497719999999</v>
      </c>
      <c r="H2216" s="8">
        <v>116.307</v>
      </c>
      <c r="I2216" s="8">
        <v>6.6720228319999997</v>
      </c>
      <c r="J2216" s="8">
        <v>15.322890080000001</v>
      </c>
      <c r="K2216" s="8">
        <v>-84.532216009999999</v>
      </c>
      <c r="L2216" s="8">
        <v>116.8039445</v>
      </c>
      <c r="M2216" s="9" t="str">
        <f>IF(A2216="",M2217,A2216)</f>
        <v>Kiribati</v>
      </c>
      <c r="N2216" s="3" t="str">
        <f t="shared" si="69"/>
        <v>Jul-2020</v>
      </c>
    </row>
    <row r="2217" spans="1:14" x14ac:dyDescent="0.3">
      <c r="A2217" s="3" t="s">
        <v>192</v>
      </c>
      <c r="B2217" s="3" t="s">
        <v>193</v>
      </c>
      <c r="C2217" s="8">
        <v>2020</v>
      </c>
      <c r="D2217" s="8">
        <v>8</v>
      </c>
      <c r="E2217" s="3" t="str">
        <f t="shared" si="68"/>
        <v>August</v>
      </c>
      <c r="F2217" s="3" t="s">
        <v>8</v>
      </c>
      <c r="G2217" s="8">
        <v>109.63483890000001</v>
      </c>
      <c r="H2217" s="8">
        <v>116.129</v>
      </c>
      <c r="I2217" s="8">
        <v>6.4941610809999997</v>
      </c>
      <c r="J2217" s="8">
        <v>21.817051159999998</v>
      </c>
      <c r="K2217" s="8">
        <v>-86.167335280000003</v>
      </c>
      <c r="L2217" s="8">
        <v>134.1335498</v>
      </c>
      <c r="M2217" s="9" t="str">
        <f>IF(A2217="",M2218,A2217)</f>
        <v>Kiribati</v>
      </c>
      <c r="N2217" s="3" t="str">
        <f t="shared" si="69"/>
        <v>Aug-2020</v>
      </c>
    </row>
    <row r="2218" spans="1:14" x14ac:dyDescent="0.3">
      <c r="A2218" s="3" t="s">
        <v>192</v>
      </c>
      <c r="B2218" s="3" t="s">
        <v>193</v>
      </c>
      <c r="C2218" s="8">
        <v>2020</v>
      </c>
      <c r="D2218" s="8">
        <v>9</v>
      </c>
      <c r="E2218" s="3" t="str">
        <f t="shared" si="68"/>
        <v>September</v>
      </c>
      <c r="F2218" s="3" t="s">
        <v>8</v>
      </c>
      <c r="G2218" s="8">
        <v>109.65797000000001</v>
      </c>
      <c r="H2218" s="8">
        <v>113.761</v>
      </c>
      <c r="I2218" s="8">
        <v>4.1030299790000004</v>
      </c>
      <c r="J2218" s="8">
        <v>25.920081140000001</v>
      </c>
      <c r="K2218" s="8">
        <v>-87.407448810000005</v>
      </c>
      <c r="L2218" s="8">
        <v>140.53790699999999</v>
      </c>
      <c r="M2218" s="9" t="str">
        <f>IF(A2218="",M2219,A2218)</f>
        <v>Kiribati</v>
      </c>
      <c r="N2218" s="3" t="str">
        <f t="shared" si="69"/>
        <v>Sep-2020</v>
      </c>
    </row>
    <row r="2219" spans="1:14" x14ac:dyDescent="0.3">
      <c r="A2219" s="3" t="s">
        <v>192</v>
      </c>
      <c r="B2219" s="3" t="s">
        <v>193</v>
      </c>
      <c r="C2219" s="8">
        <v>2020</v>
      </c>
      <c r="D2219" s="8">
        <v>10</v>
      </c>
      <c r="E2219" s="3" t="str">
        <f t="shared" si="68"/>
        <v>October</v>
      </c>
      <c r="F2219" s="3" t="s">
        <v>8</v>
      </c>
      <c r="G2219" s="8">
        <v>109.6101262</v>
      </c>
      <c r="H2219" s="8">
        <v>113.277</v>
      </c>
      <c r="I2219" s="8">
        <v>3.6668737990000002</v>
      </c>
      <c r="J2219" s="8">
        <v>29.586954939999998</v>
      </c>
      <c r="K2219" s="8">
        <v>-87.250375120000001</v>
      </c>
      <c r="L2219" s="8">
        <v>150.85118929999999</v>
      </c>
      <c r="M2219" s="9" t="str">
        <f>IF(A2219="",M2220,A2219)</f>
        <v>Kiribati</v>
      </c>
      <c r="N2219" s="3" t="str">
        <f t="shared" si="69"/>
        <v>Oct-2020</v>
      </c>
    </row>
    <row r="2220" spans="1:14" x14ac:dyDescent="0.3">
      <c r="A2220" s="3" t="s">
        <v>192</v>
      </c>
      <c r="B2220" s="3" t="s">
        <v>193</v>
      </c>
      <c r="C2220" s="8">
        <v>2020</v>
      </c>
      <c r="D2220" s="8">
        <v>11</v>
      </c>
      <c r="E2220" s="3" t="str">
        <f t="shared" si="68"/>
        <v>November</v>
      </c>
      <c r="F2220" s="3" t="s">
        <v>8</v>
      </c>
      <c r="G2220" s="8">
        <v>109.55034360000001</v>
      </c>
      <c r="H2220" s="8">
        <v>112.79900000000001</v>
      </c>
      <c r="I2220" s="8">
        <v>3.248656414</v>
      </c>
      <c r="J2220" s="8">
        <v>32.835611350000001</v>
      </c>
      <c r="K2220" s="8">
        <v>-97.226783429999998</v>
      </c>
      <c r="L2220" s="8">
        <v>159.92867810000001</v>
      </c>
      <c r="M2220" s="9" t="str">
        <f>IF(A2220="",M2221,A2220)</f>
        <v>Kiribati</v>
      </c>
      <c r="N2220" s="3" t="str">
        <f t="shared" si="69"/>
        <v>Nov-2020</v>
      </c>
    </row>
    <row r="2221" spans="1:14" x14ac:dyDescent="0.3">
      <c r="A2221" s="3" t="s">
        <v>192</v>
      </c>
      <c r="B2221" s="3" t="s">
        <v>193</v>
      </c>
      <c r="C2221" s="8">
        <v>2020</v>
      </c>
      <c r="D2221" s="8">
        <v>12</v>
      </c>
      <c r="E2221" s="3" t="str">
        <f t="shared" si="68"/>
        <v>December</v>
      </c>
      <c r="F2221" s="3" t="s">
        <v>8</v>
      </c>
      <c r="G2221" s="8">
        <v>109.48708499999999</v>
      </c>
      <c r="H2221" s="8">
        <v>112.334</v>
      </c>
      <c r="I2221" s="8">
        <v>2.8469149809999998</v>
      </c>
      <c r="J2221" s="8">
        <v>35.682526330000002</v>
      </c>
      <c r="K2221" s="8">
        <v>-99.289203560000004</v>
      </c>
      <c r="L2221" s="8">
        <v>174.8912052</v>
      </c>
      <c r="M2221" s="9" t="str">
        <f>IF(A2221="",M2222,A2221)</f>
        <v>Kiribati</v>
      </c>
      <c r="N2221" s="3" t="str">
        <f t="shared" si="69"/>
        <v>Dec-2020</v>
      </c>
    </row>
    <row r="2222" spans="1:14" x14ac:dyDescent="0.3">
      <c r="A2222" s="3" t="s">
        <v>192</v>
      </c>
      <c r="B2222" s="3" t="s">
        <v>193</v>
      </c>
      <c r="C2222" s="8">
        <v>2021</v>
      </c>
      <c r="D2222" s="8">
        <v>1</v>
      </c>
      <c r="E2222" s="3" t="str">
        <f t="shared" si="68"/>
        <v>January</v>
      </c>
      <c r="F2222" s="3" t="s">
        <v>8</v>
      </c>
      <c r="G2222" s="8">
        <v>111.0699312</v>
      </c>
      <c r="H2222" s="8">
        <v>116.176</v>
      </c>
      <c r="I2222" s="8">
        <v>5.106068799</v>
      </c>
      <c r="J2222" s="8">
        <v>40.788595129999997</v>
      </c>
      <c r="K2222" s="8">
        <v>-102.6489007</v>
      </c>
      <c r="L2222" s="8">
        <v>186.66444329999999</v>
      </c>
      <c r="M2222" s="9" t="str">
        <f>IF(A2222="",M2223,A2222)</f>
        <v>Kiribati</v>
      </c>
      <c r="N2222" s="3" t="str">
        <f t="shared" si="69"/>
        <v>Jan-2021</v>
      </c>
    </row>
    <row r="2223" spans="1:14" x14ac:dyDescent="0.3">
      <c r="A2223" s="3" t="s">
        <v>192</v>
      </c>
      <c r="B2223" s="3" t="s">
        <v>193</v>
      </c>
      <c r="C2223" s="8">
        <v>2021</v>
      </c>
      <c r="D2223" s="8">
        <v>2</v>
      </c>
      <c r="E2223" s="3" t="str">
        <f t="shared" si="68"/>
        <v>February</v>
      </c>
      <c r="F2223" s="3" t="s">
        <v>8</v>
      </c>
      <c r="G2223" s="8">
        <v>111.1310196</v>
      </c>
      <c r="H2223" s="8">
        <v>119.684</v>
      </c>
      <c r="I2223" s="8">
        <v>8.5529804370000004</v>
      </c>
      <c r="J2223" s="8">
        <v>49.341575570000003</v>
      </c>
      <c r="K2223" s="8">
        <v>-96.077688589999994</v>
      </c>
      <c r="L2223" s="8">
        <v>198.97926939999999</v>
      </c>
      <c r="M2223" s="9" t="str">
        <f>IF(A2223="",M2224,A2223)</f>
        <v>Kiribati</v>
      </c>
      <c r="N2223" s="3" t="str">
        <f t="shared" si="69"/>
        <v>Feb-2021</v>
      </c>
    </row>
    <row r="2224" spans="1:14" x14ac:dyDescent="0.3">
      <c r="A2224" s="3" t="s">
        <v>192</v>
      </c>
      <c r="B2224" s="3" t="s">
        <v>193</v>
      </c>
      <c r="C2224" s="8">
        <v>2021</v>
      </c>
      <c r="D2224" s="8">
        <v>3</v>
      </c>
      <c r="E2224" s="3" t="str">
        <f t="shared" si="68"/>
        <v>March</v>
      </c>
      <c r="F2224" s="3" t="s">
        <v>8</v>
      </c>
      <c r="G2224" s="8">
        <v>110.9543742</v>
      </c>
      <c r="H2224" s="8">
        <v>117.521</v>
      </c>
      <c r="I2224" s="8">
        <v>6.5666258209999997</v>
      </c>
      <c r="J2224" s="8">
        <v>55.908201390000002</v>
      </c>
      <c r="K2224" s="8">
        <v>-94.245569349999997</v>
      </c>
      <c r="L2224" s="8">
        <v>206.8598561</v>
      </c>
      <c r="M2224" s="9" t="str">
        <f>IF(A2224="",M2225,A2224)</f>
        <v>Kiribati</v>
      </c>
      <c r="N2224" s="3" t="str">
        <f t="shared" si="69"/>
        <v>Mar-2021</v>
      </c>
    </row>
    <row r="2225" spans="1:14" x14ac:dyDescent="0.3">
      <c r="A2225" s="3" t="s">
        <v>192</v>
      </c>
      <c r="B2225" s="3" t="s">
        <v>193</v>
      </c>
      <c r="C2225" s="8">
        <v>2021</v>
      </c>
      <c r="D2225" s="8">
        <v>4</v>
      </c>
      <c r="E2225" s="3" t="str">
        <f t="shared" si="68"/>
        <v>April</v>
      </c>
      <c r="F2225" s="3" t="s">
        <v>8</v>
      </c>
      <c r="G2225" s="8">
        <v>110.92759770000001</v>
      </c>
      <c r="H2225" s="8">
        <v>119.68300000000001</v>
      </c>
      <c r="I2225" s="8">
        <v>8.7554022840000005</v>
      </c>
      <c r="J2225" s="8">
        <v>64.663603679999994</v>
      </c>
      <c r="K2225" s="8">
        <v>-86.966254620000001</v>
      </c>
      <c r="L2225" s="8">
        <v>225.89884319999999</v>
      </c>
      <c r="M2225" s="9" t="str">
        <f>IF(A2225="",M2226,A2225)</f>
        <v>Kiribati</v>
      </c>
      <c r="N2225" s="3" t="str">
        <f t="shared" si="69"/>
        <v>Apr-2021</v>
      </c>
    </row>
    <row r="2226" spans="1:14" x14ac:dyDescent="0.3">
      <c r="A2226" s="3" t="s">
        <v>192</v>
      </c>
      <c r="B2226" s="3" t="s">
        <v>193</v>
      </c>
      <c r="C2226" s="8">
        <v>2021</v>
      </c>
      <c r="D2226" s="8">
        <v>5</v>
      </c>
      <c r="E2226" s="3" t="str">
        <f t="shared" si="68"/>
        <v>May</v>
      </c>
      <c r="F2226" s="3" t="s">
        <v>8</v>
      </c>
      <c r="G2226" s="8">
        <v>110.897628</v>
      </c>
      <c r="H2226" s="8">
        <v>122.39400000000001</v>
      </c>
      <c r="I2226" s="8">
        <v>11.496371999999999</v>
      </c>
      <c r="J2226" s="8">
        <v>76.159975680000002</v>
      </c>
      <c r="K2226" s="8">
        <v>-78.917181249999999</v>
      </c>
      <c r="L2226" s="8">
        <v>237.74204119999999</v>
      </c>
      <c r="M2226" s="9" t="str">
        <f>IF(A2226="",M2227,A2226)</f>
        <v>Kiribati</v>
      </c>
      <c r="N2226" s="3" t="str">
        <f t="shared" si="69"/>
        <v>May-2021</v>
      </c>
    </row>
    <row r="2227" spans="1:14" x14ac:dyDescent="0.3">
      <c r="A2227" s="3" t="s">
        <v>192</v>
      </c>
      <c r="B2227" s="3" t="s">
        <v>193</v>
      </c>
      <c r="C2227" s="8">
        <v>2021</v>
      </c>
      <c r="D2227" s="8">
        <v>6</v>
      </c>
      <c r="E2227" s="3" t="str">
        <f t="shared" si="68"/>
        <v>June</v>
      </c>
      <c r="F2227" s="3" t="s">
        <v>8</v>
      </c>
      <c r="G2227" s="8">
        <v>111.1234252</v>
      </c>
      <c r="H2227" s="8">
        <v>123.399</v>
      </c>
      <c r="I2227" s="8">
        <v>12.27557485</v>
      </c>
      <c r="J2227" s="8">
        <v>88.43555053</v>
      </c>
      <c r="K2227" s="8">
        <v>-74.651275670000004</v>
      </c>
      <c r="L2227" s="8">
        <v>260.03468479999998</v>
      </c>
      <c r="M2227" s="9" t="str">
        <f>IF(A2227="",M2228,A2227)</f>
        <v>Kiribati</v>
      </c>
      <c r="N2227" s="3" t="str">
        <f t="shared" si="69"/>
        <v>Jun-2021</v>
      </c>
    </row>
    <row r="2228" spans="1:14" x14ac:dyDescent="0.3">
      <c r="A2228" s="3" t="s">
        <v>192</v>
      </c>
      <c r="B2228" s="3" t="s">
        <v>193</v>
      </c>
      <c r="C2228" s="8">
        <v>2021</v>
      </c>
      <c r="D2228" s="8">
        <v>7</v>
      </c>
      <c r="E2228" s="3" t="str">
        <f t="shared" si="68"/>
        <v>July</v>
      </c>
      <c r="F2228" s="3" t="s">
        <v>8</v>
      </c>
      <c r="G2228" s="8">
        <v>111.2347925</v>
      </c>
      <c r="H2228" s="8">
        <v>126.996</v>
      </c>
      <c r="I2228" s="8">
        <v>15.76120751</v>
      </c>
      <c r="J2228" s="8">
        <v>104.196758</v>
      </c>
      <c r="K2228" s="8">
        <v>-63.557450670000001</v>
      </c>
      <c r="L2228" s="8">
        <v>279.16338459999997</v>
      </c>
      <c r="M2228" s="9" t="str">
        <f>IF(A2228="",M2229,A2228)</f>
        <v>Kiribati</v>
      </c>
      <c r="N2228" s="3" t="str">
        <f t="shared" si="69"/>
        <v>Jul-2021</v>
      </c>
    </row>
    <row r="2229" spans="1:14" x14ac:dyDescent="0.3">
      <c r="A2229" s="3" t="s">
        <v>192</v>
      </c>
      <c r="B2229" s="3" t="s">
        <v>193</v>
      </c>
      <c r="C2229" s="8">
        <v>2021</v>
      </c>
      <c r="D2229" s="8">
        <v>8</v>
      </c>
      <c r="E2229" s="3" t="str">
        <f t="shared" si="68"/>
        <v>August</v>
      </c>
      <c r="F2229" s="3" t="s">
        <v>8</v>
      </c>
      <c r="G2229" s="8">
        <v>111.2097124</v>
      </c>
      <c r="H2229" s="8">
        <v>123.34</v>
      </c>
      <c r="I2229" s="8">
        <v>12.13028763</v>
      </c>
      <c r="J2229" s="8">
        <v>116.3270457</v>
      </c>
      <c r="K2229" s="8">
        <v>-55.3857936</v>
      </c>
      <c r="L2229" s="8">
        <v>296.76468979999999</v>
      </c>
      <c r="M2229" s="9" t="str">
        <f>IF(A2229="",M2230,A2229)</f>
        <v>Kiribati</v>
      </c>
      <c r="N2229" s="3" t="str">
        <f t="shared" si="69"/>
        <v>Aug-2021</v>
      </c>
    </row>
    <row r="2230" spans="1:14" x14ac:dyDescent="0.3">
      <c r="A2230" s="3" t="s">
        <v>192</v>
      </c>
      <c r="B2230" s="3" t="s">
        <v>193</v>
      </c>
      <c r="C2230" s="8">
        <v>2021</v>
      </c>
      <c r="D2230" s="8">
        <v>9</v>
      </c>
      <c r="E2230" s="3" t="str">
        <f t="shared" si="68"/>
        <v>September</v>
      </c>
      <c r="F2230" s="3" t="s">
        <v>8</v>
      </c>
      <c r="G2230" s="8">
        <v>111.23676570000001</v>
      </c>
      <c r="H2230" s="8">
        <v>124.455</v>
      </c>
      <c r="I2230" s="8">
        <v>13.21823429</v>
      </c>
      <c r="J2230" s="8">
        <v>129.54527999999999</v>
      </c>
      <c r="K2230" s="8">
        <v>-44.869341310000003</v>
      </c>
      <c r="L2230" s="8">
        <v>319.74022409999998</v>
      </c>
      <c r="M2230" s="9" t="str">
        <f>IF(A2230="",M2231,A2230)</f>
        <v>Kiribati</v>
      </c>
      <c r="N2230" s="3" t="str">
        <f t="shared" si="69"/>
        <v>Sep-2021</v>
      </c>
    </row>
    <row r="2231" spans="1:14" x14ac:dyDescent="0.3">
      <c r="A2231" s="3" t="s">
        <v>192</v>
      </c>
      <c r="B2231" s="3" t="s">
        <v>193</v>
      </c>
      <c r="C2231" s="8">
        <v>2021</v>
      </c>
      <c r="D2231" s="8">
        <v>10</v>
      </c>
      <c r="E2231" s="3" t="str">
        <f t="shared" si="68"/>
        <v>October</v>
      </c>
      <c r="F2231" s="3" t="s">
        <v>8</v>
      </c>
      <c r="G2231" s="8">
        <v>111.18530509999999</v>
      </c>
      <c r="H2231" s="8">
        <v>121.533</v>
      </c>
      <c r="I2231" s="8">
        <v>10.347694860000001</v>
      </c>
      <c r="J2231" s="8">
        <v>139.89297479999999</v>
      </c>
      <c r="K2231" s="8">
        <v>-43.595823930000002</v>
      </c>
      <c r="L2231" s="8">
        <v>334.35834199999999</v>
      </c>
      <c r="M2231" s="9" t="str">
        <f>IF(A2231="",M2232,A2231)</f>
        <v>Kiribati</v>
      </c>
      <c r="N2231" s="3" t="str">
        <f t="shared" si="69"/>
        <v>Oct-2021</v>
      </c>
    </row>
    <row r="2232" spans="1:14" x14ac:dyDescent="0.3">
      <c r="A2232" s="3" t="s">
        <v>192</v>
      </c>
      <c r="B2232" s="3" t="s">
        <v>193</v>
      </c>
      <c r="C2232" s="8">
        <v>2021</v>
      </c>
      <c r="D2232" s="8">
        <v>11</v>
      </c>
      <c r="E2232" s="3" t="str">
        <f t="shared" si="68"/>
        <v>November</v>
      </c>
      <c r="F2232" s="3" t="s">
        <v>8</v>
      </c>
      <c r="G2232" s="8">
        <v>111.1357465</v>
      </c>
      <c r="H2232" s="8">
        <v>121.512</v>
      </c>
      <c r="I2232" s="8">
        <v>10.376253480000001</v>
      </c>
      <c r="J2232" s="8">
        <v>150.26922830000001</v>
      </c>
      <c r="K2232" s="8">
        <v>-36.302170220000001</v>
      </c>
      <c r="L2232" s="8">
        <v>348.82469320000001</v>
      </c>
      <c r="M2232" s="9" t="str">
        <f>IF(A2232="",M2233,A2232)</f>
        <v>Kiribati</v>
      </c>
      <c r="N2232" s="3" t="str">
        <f t="shared" si="69"/>
        <v>Nov-2021</v>
      </c>
    </row>
    <row r="2233" spans="1:14" x14ac:dyDescent="0.3">
      <c r="A2233" s="3" t="s">
        <v>192</v>
      </c>
      <c r="B2233" s="3" t="s">
        <v>193</v>
      </c>
      <c r="C2233" s="8">
        <v>2021</v>
      </c>
      <c r="D2233" s="8">
        <v>12</v>
      </c>
      <c r="E2233" s="3" t="str">
        <f t="shared" si="68"/>
        <v>December</v>
      </c>
      <c r="F2233" s="3" t="s">
        <v>8</v>
      </c>
      <c r="G2233" s="8">
        <v>111.1187211</v>
      </c>
      <c r="H2233" s="8">
        <v>122.154</v>
      </c>
      <c r="I2233" s="8">
        <v>11.035278890000001</v>
      </c>
      <c r="J2233" s="8">
        <v>161.30450719999999</v>
      </c>
      <c r="K2233" s="8">
        <v>-29.837425379999999</v>
      </c>
      <c r="L2233" s="8">
        <v>364.07572740000001</v>
      </c>
      <c r="M2233" s="9" t="str">
        <f>IF(A2233="",M2234,A2233)</f>
        <v>Kiribati</v>
      </c>
      <c r="N2233" s="3" t="str">
        <f t="shared" si="69"/>
        <v>Dec-2021</v>
      </c>
    </row>
    <row r="2234" spans="1:14" x14ac:dyDescent="0.3">
      <c r="A2234" s="3" t="s">
        <v>194</v>
      </c>
      <c r="B2234" s="3" t="s">
        <v>195</v>
      </c>
      <c r="C2234" s="8">
        <v>2020</v>
      </c>
      <c r="D2234" s="8">
        <v>1</v>
      </c>
      <c r="E2234" s="3" t="str">
        <f t="shared" si="68"/>
        <v>January</v>
      </c>
      <c r="F2234" s="3" t="s">
        <v>13</v>
      </c>
      <c r="G2234" s="8">
        <v>33.706899030000002</v>
      </c>
      <c r="H2234" s="8">
        <v>32</v>
      </c>
      <c r="I2234" s="8">
        <v>-1.706899035</v>
      </c>
      <c r="J2234" s="8">
        <v>-1.706899035</v>
      </c>
      <c r="K2234" s="8">
        <v>-5.7704740680000004</v>
      </c>
      <c r="L2234" s="8">
        <v>2.1997066830000001</v>
      </c>
      <c r="M2234" s="9" t="str">
        <f>IF(A2234="",M2235,A2234)</f>
        <v>Saint Kitts and Nevis</v>
      </c>
      <c r="N2234" s="3" t="str">
        <f t="shared" si="69"/>
        <v>Jan-2020</v>
      </c>
    </row>
    <row r="2235" spans="1:14" x14ac:dyDescent="0.3">
      <c r="A2235" s="3" t="s">
        <v>194</v>
      </c>
      <c r="B2235" s="3" t="s">
        <v>195</v>
      </c>
      <c r="C2235" s="8">
        <v>2020</v>
      </c>
      <c r="D2235" s="8">
        <v>2</v>
      </c>
      <c r="E2235" s="3" t="str">
        <f t="shared" si="68"/>
        <v>February</v>
      </c>
      <c r="F2235" s="3" t="s">
        <v>13</v>
      </c>
      <c r="G2235" s="8">
        <v>33.661001589999998</v>
      </c>
      <c r="H2235" s="8">
        <v>34</v>
      </c>
      <c r="I2235" s="8">
        <v>0.33899841200000003</v>
      </c>
      <c r="J2235" s="8">
        <v>-1.3679006229999999</v>
      </c>
      <c r="K2235" s="8">
        <v>-7.288937486</v>
      </c>
      <c r="L2235" s="8">
        <v>3.9544482689999998</v>
      </c>
      <c r="M2235" s="9" t="str">
        <f>IF(A2235="",M2236,A2235)</f>
        <v>Saint Kitts and Nevis</v>
      </c>
      <c r="N2235" s="3" t="str">
        <f t="shared" si="69"/>
        <v>Feb-2020</v>
      </c>
    </row>
    <row r="2236" spans="1:14" x14ac:dyDescent="0.3">
      <c r="A2236" s="3" t="s">
        <v>194</v>
      </c>
      <c r="B2236" s="3" t="s">
        <v>195</v>
      </c>
      <c r="C2236" s="8">
        <v>2020</v>
      </c>
      <c r="D2236" s="8">
        <v>3</v>
      </c>
      <c r="E2236" s="3" t="str">
        <f t="shared" si="68"/>
        <v>March</v>
      </c>
      <c r="F2236" s="3" t="s">
        <v>13</v>
      </c>
      <c r="G2236" s="8">
        <v>33.619672280000003</v>
      </c>
      <c r="H2236" s="8">
        <v>38</v>
      </c>
      <c r="I2236" s="8">
        <v>4.3803277209999996</v>
      </c>
      <c r="J2236" s="8">
        <v>3.0124270979999999</v>
      </c>
      <c r="K2236" s="8">
        <v>-4.1421101169999996</v>
      </c>
      <c r="L2236" s="8">
        <v>10.06781645</v>
      </c>
      <c r="M2236" s="9" t="str">
        <f>IF(A2236="",M2237,A2236)</f>
        <v>Saint Kitts and Nevis</v>
      </c>
      <c r="N2236" s="3" t="str">
        <f t="shared" si="69"/>
        <v>Mar-2020</v>
      </c>
    </row>
    <row r="2237" spans="1:14" x14ac:dyDescent="0.3">
      <c r="A2237" s="3" t="s">
        <v>194</v>
      </c>
      <c r="B2237" s="3" t="s">
        <v>195</v>
      </c>
      <c r="C2237" s="8">
        <v>2020</v>
      </c>
      <c r="D2237" s="8">
        <v>4</v>
      </c>
      <c r="E2237" s="3" t="str">
        <f t="shared" si="68"/>
        <v>April</v>
      </c>
      <c r="F2237" s="3" t="s">
        <v>13</v>
      </c>
      <c r="G2237" s="8">
        <v>33.593115220000001</v>
      </c>
      <c r="H2237" s="8">
        <v>30</v>
      </c>
      <c r="I2237" s="8">
        <v>-3.5931152169999998</v>
      </c>
      <c r="J2237" s="8">
        <v>-0.58068811899999995</v>
      </c>
      <c r="K2237" s="8">
        <v>-8.7663758210000005</v>
      </c>
      <c r="L2237" s="8">
        <v>8.2826282290000002</v>
      </c>
      <c r="M2237" s="9" t="str">
        <f>IF(A2237="",M2238,A2237)</f>
        <v>Saint Kitts and Nevis</v>
      </c>
      <c r="N2237" s="3" t="str">
        <f t="shared" si="69"/>
        <v>Apr-2020</v>
      </c>
    </row>
    <row r="2238" spans="1:14" x14ac:dyDescent="0.3">
      <c r="A2238" s="3" t="s">
        <v>194</v>
      </c>
      <c r="B2238" s="3" t="s">
        <v>195</v>
      </c>
      <c r="C2238" s="8">
        <v>2020</v>
      </c>
      <c r="D2238" s="8">
        <v>5</v>
      </c>
      <c r="E2238" s="3" t="str">
        <f t="shared" si="68"/>
        <v>May</v>
      </c>
      <c r="F2238" s="3" t="s">
        <v>13</v>
      </c>
      <c r="G2238" s="8">
        <v>33.447065090000002</v>
      </c>
      <c r="H2238" s="8">
        <v>39</v>
      </c>
      <c r="I2238" s="8">
        <v>5.5529349139999997</v>
      </c>
      <c r="J2238" s="8">
        <v>4.9722467960000003</v>
      </c>
      <c r="K2238" s="8">
        <v>-3.9446710149999999</v>
      </c>
      <c r="L2238" s="8">
        <v>14.643182120000001</v>
      </c>
      <c r="M2238" s="9" t="str">
        <f>IF(A2238="",M2239,A2238)</f>
        <v>Saint Kitts and Nevis</v>
      </c>
      <c r="N2238" s="3" t="str">
        <f t="shared" si="69"/>
        <v>May-2020</v>
      </c>
    </row>
    <row r="2239" spans="1:14" x14ac:dyDescent="0.3">
      <c r="A2239" s="3" t="s">
        <v>194</v>
      </c>
      <c r="B2239" s="3" t="s">
        <v>195</v>
      </c>
      <c r="C2239" s="8">
        <v>2020</v>
      </c>
      <c r="D2239" s="8">
        <v>6</v>
      </c>
      <c r="E2239" s="3" t="str">
        <f t="shared" si="68"/>
        <v>June</v>
      </c>
      <c r="F2239" s="3" t="s">
        <v>13</v>
      </c>
      <c r="G2239" s="8">
        <v>33.271309510000002</v>
      </c>
      <c r="H2239" s="8">
        <v>41</v>
      </c>
      <c r="I2239" s="8">
        <v>7.7286904859999996</v>
      </c>
      <c r="J2239" s="8">
        <v>12.70093728</v>
      </c>
      <c r="K2239" s="8">
        <v>2.9302469229999999</v>
      </c>
      <c r="L2239" s="8">
        <v>22.898334200000001</v>
      </c>
      <c r="M2239" s="9" t="str">
        <f>IF(A2239="",M2240,A2239)</f>
        <v>Saint Kitts and Nevis</v>
      </c>
      <c r="N2239" s="3" t="str">
        <f t="shared" si="69"/>
        <v>Jun-2020</v>
      </c>
    </row>
    <row r="2240" spans="1:14" x14ac:dyDescent="0.3">
      <c r="A2240" s="3" t="s">
        <v>194</v>
      </c>
      <c r="B2240" s="3" t="s">
        <v>195</v>
      </c>
      <c r="C2240" s="8">
        <v>2020</v>
      </c>
      <c r="D2240" s="8">
        <v>7</v>
      </c>
      <c r="E2240" s="3" t="str">
        <f t="shared" si="68"/>
        <v>July</v>
      </c>
      <c r="F2240" s="3" t="s">
        <v>13</v>
      </c>
      <c r="G2240" s="8">
        <v>33.248906300000002</v>
      </c>
      <c r="H2240" s="8">
        <v>42</v>
      </c>
      <c r="I2240" s="8">
        <v>8.7510936959999999</v>
      </c>
      <c r="J2240" s="8">
        <v>21.45203098</v>
      </c>
      <c r="K2240" s="8">
        <v>10.459108820000001</v>
      </c>
      <c r="L2240" s="8">
        <v>32.702773579999999</v>
      </c>
      <c r="M2240" s="9" t="str">
        <f>IF(A2240="",M2241,A2240)</f>
        <v>Saint Kitts and Nevis</v>
      </c>
      <c r="N2240" s="3" t="str">
        <f t="shared" si="69"/>
        <v>Jul-2020</v>
      </c>
    </row>
    <row r="2241" spans="1:14" x14ac:dyDescent="0.3">
      <c r="A2241" s="3" t="s">
        <v>194</v>
      </c>
      <c r="B2241" s="3" t="s">
        <v>195</v>
      </c>
      <c r="C2241" s="8">
        <v>2020</v>
      </c>
      <c r="D2241" s="8">
        <v>8</v>
      </c>
      <c r="E2241" s="3" t="str">
        <f t="shared" si="68"/>
        <v>August</v>
      </c>
      <c r="F2241" s="3" t="s">
        <v>13</v>
      </c>
      <c r="G2241" s="8">
        <v>33.040151999999999</v>
      </c>
      <c r="H2241" s="8">
        <v>31</v>
      </c>
      <c r="I2241" s="8">
        <v>-2.040152</v>
      </c>
      <c r="J2241" s="8">
        <v>19.411878980000001</v>
      </c>
      <c r="K2241" s="8">
        <v>7.4988274869999998</v>
      </c>
      <c r="L2241" s="8">
        <v>32.064011110000003</v>
      </c>
      <c r="M2241" s="9" t="str">
        <f>IF(A2241="",M2242,A2241)</f>
        <v>Saint Kitts and Nevis</v>
      </c>
      <c r="N2241" s="3" t="str">
        <f t="shared" si="69"/>
        <v>Aug-2020</v>
      </c>
    </row>
    <row r="2242" spans="1:14" x14ac:dyDescent="0.3">
      <c r="A2242" s="3" t="s">
        <v>194</v>
      </c>
      <c r="B2242" s="3" t="s">
        <v>195</v>
      </c>
      <c r="C2242" s="8">
        <v>2020</v>
      </c>
      <c r="D2242" s="8">
        <v>9</v>
      </c>
      <c r="E2242" s="3" t="str">
        <f t="shared" ref="E2242:E2305" si="70">TEXT(DATE(C2242,D2242,1),"MMMM")</f>
        <v>September</v>
      </c>
      <c r="F2242" s="3" t="s">
        <v>13</v>
      </c>
      <c r="G2242" s="8">
        <v>33.061035879999999</v>
      </c>
      <c r="H2242" s="8">
        <v>32</v>
      </c>
      <c r="I2242" s="8">
        <v>-1.0610358820000001</v>
      </c>
      <c r="J2242" s="8">
        <v>18.350843099999999</v>
      </c>
      <c r="K2242" s="8">
        <v>5.2062641100000002</v>
      </c>
      <c r="L2242" s="8">
        <v>32.285216159999997</v>
      </c>
      <c r="M2242" s="9" t="str">
        <f>IF(A2242="",M2243,A2242)</f>
        <v>Saint Kitts and Nevis</v>
      </c>
      <c r="N2242" s="3" t="str">
        <f t="shared" ref="N2242:N2305" si="71">TEXT(DATE(C2242,D2242,1),"MMM-YYYY")</f>
        <v>Sep-2020</v>
      </c>
    </row>
    <row r="2243" spans="1:14" x14ac:dyDescent="0.3">
      <c r="A2243" s="3" t="s">
        <v>194</v>
      </c>
      <c r="B2243" s="3" t="s">
        <v>195</v>
      </c>
      <c r="C2243" s="8">
        <v>2020</v>
      </c>
      <c r="D2243" s="8">
        <v>10</v>
      </c>
      <c r="E2243" s="3" t="str">
        <f t="shared" si="70"/>
        <v>October</v>
      </c>
      <c r="F2243" s="3" t="s">
        <v>13</v>
      </c>
      <c r="G2243" s="8">
        <v>33.036219109999998</v>
      </c>
      <c r="H2243" s="8">
        <v>36</v>
      </c>
      <c r="I2243" s="8">
        <v>2.963780893</v>
      </c>
      <c r="J2243" s="8">
        <v>21.314623990000001</v>
      </c>
      <c r="K2243" s="8">
        <v>7.9537261419999998</v>
      </c>
      <c r="L2243" s="8">
        <v>35.954810139999999</v>
      </c>
      <c r="M2243" s="9" t="str">
        <f>IF(A2243="",M2244,A2243)</f>
        <v>Saint Kitts and Nevis</v>
      </c>
      <c r="N2243" s="3" t="str">
        <f t="shared" si="71"/>
        <v>Oct-2020</v>
      </c>
    </row>
    <row r="2244" spans="1:14" x14ac:dyDescent="0.3">
      <c r="A2244" s="3" t="s">
        <v>194</v>
      </c>
      <c r="B2244" s="3" t="s">
        <v>195</v>
      </c>
      <c r="C2244" s="8">
        <v>2020</v>
      </c>
      <c r="D2244" s="8">
        <v>11</v>
      </c>
      <c r="E2244" s="3" t="str">
        <f t="shared" si="70"/>
        <v>November</v>
      </c>
      <c r="F2244" s="3" t="s">
        <v>13</v>
      </c>
      <c r="G2244" s="8">
        <v>32.91626669</v>
      </c>
      <c r="H2244" s="8">
        <v>29</v>
      </c>
      <c r="I2244" s="8">
        <v>-3.9162666860000002</v>
      </c>
      <c r="J2244" s="8">
        <v>17.398357300000001</v>
      </c>
      <c r="K2244" s="8">
        <v>3.13380196</v>
      </c>
      <c r="L2244" s="8">
        <v>32.648671849999999</v>
      </c>
      <c r="M2244" s="9" t="str">
        <f>IF(A2244="",M2245,A2244)</f>
        <v>Saint Kitts and Nevis</v>
      </c>
      <c r="N2244" s="3" t="str">
        <f t="shared" si="71"/>
        <v>Nov-2020</v>
      </c>
    </row>
    <row r="2245" spans="1:14" x14ac:dyDescent="0.3">
      <c r="A2245" s="3" t="s">
        <v>194</v>
      </c>
      <c r="B2245" s="3" t="s">
        <v>195</v>
      </c>
      <c r="C2245" s="8">
        <v>2020</v>
      </c>
      <c r="D2245" s="8">
        <v>12</v>
      </c>
      <c r="E2245" s="3" t="str">
        <f t="shared" si="70"/>
        <v>December</v>
      </c>
      <c r="F2245" s="3" t="s">
        <v>13</v>
      </c>
      <c r="G2245" s="8">
        <v>32.750968270000001</v>
      </c>
      <c r="H2245" s="8">
        <v>34</v>
      </c>
      <c r="I2245" s="8">
        <v>1.249031725</v>
      </c>
      <c r="J2245" s="8">
        <v>18.647389029999999</v>
      </c>
      <c r="K2245" s="8">
        <v>3.0457331160000001</v>
      </c>
      <c r="L2245" s="8">
        <v>35.188502700000001</v>
      </c>
      <c r="M2245" s="9" t="str">
        <f>IF(A2245="",M2246,A2245)</f>
        <v>Saint Kitts and Nevis</v>
      </c>
      <c r="N2245" s="3" t="str">
        <f t="shared" si="71"/>
        <v>Dec-2020</v>
      </c>
    </row>
    <row r="2246" spans="1:14" x14ac:dyDescent="0.3">
      <c r="A2246" s="3" t="s">
        <v>194</v>
      </c>
      <c r="B2246" s="3" t="s">
        <v>195</v>
      </c>
      <c r="C2246" s="8">
        <v>2021</v>
      </c>
      <c r="D2246" s="8">
        <v>1</v>
      </c>
      <c r="E2246" s="3" t="str">
        <f t="shared" si="70"/>
        <v>January</v>
      </c>
      <c r="F2246" s="3" t="s">
        <v>13</v>
      </c>
      <c r="G2246" s="8">
        <v>32.741778949999997</v>
      </c>
      <c r="H2246" s="8">
        <v>56</v>
      </c>
      <c r="I2246" s="8">
        <v>23.25822105</v>
      </c>
      <c r="J2246" s="8">
        <v>41.905610080000002</v>
      </c>
      <c r="K2246" s="8">
        <v>25.367628289999999</v>
      </c>
      <c r="L2246" s="8">
        <v>58.910290639999999</v>
      </c>
      <c r="M2246" s="9" t="str">
        <f>IF(A2246="",M2247,A2246)</f>
        <v>Saint Kitts and Nevis</v>
      </c>
      <c r="N2246" s="3" t="str">
        <f t="shared" si="71"/>
        <v>Jan-2021</v>
      </c>
    </row>
    <row r="2247" spans="1:14" x14ac:dyDescent="0.3">
      <c r="A2247" s="3" t="s">
        <v>194</v>
      </c>
      <c r="B2247" s="3" t="s">
        <v>195</v>
      </c>
      <c r="C2247" s="8">
        <v>2021</v>
      </c>
      <c r="D2247" s="8">
        <v>2</v>
      </c>
      <c r="E2247" s="3" t="str">
        <f t="shared" si="70"/>
        <v>February</v>
      </c>
      <c r="F2247" s="3" t="s">
        <v>13</v>
      </c>
      <c r="G2247" s="8">
        <v>32.560149719999998</v>
      </c>
      <c r="H2247" s="8">
        <v>30</v>
      </c>
      <c r="I2247" s="8">
        <v>-2.5601497150000001</v>
      </c>
      <c r="J2247" s="8">
        <v>39.345460359999997</v>
      </c>
      <c r="K2247" s="8">
        <v>21.258012369999999</v>
      </c>
      <c r="L2247" s="8">
        <v>57.400889620000001</v>
      </c>
      <c r="M2247" s="9" t="str">
        <f>IF(A2247="",M2248,A2247)</f>
        <v>Saint Kitts and Nevis</v>
      </c>
      <c r="N2247" s="3" t="str">
        <f t="shared" si="71"/>
        <v>Feb-2021</v>
      </c>
    </row>
    <row r="2248" spans="1:14" x14ac:dyDescent="0.3">
      <c r="A2248" s="3" t="s">
        <v>194</v>
      </c>
      <c r="B2248" s="3" t="s">
        <v>195</v>
      </c>
      <c r="C2248" s="8">
        <v>2021</v>
      </c>
      <c r="D2248" s="8">
        <v>3</v>
      </c>
      <c r="E2248" s="3" t="str">
        <f t="shared" si="70"/>
        <v>March</v>
      </c>
      <c r="F2248" s="3" t="s">
        <v>13</v>
      </c>
      <c r="G2248" s="8">
        <v>32.526947909999997</v>
      </c>
      <c r="H2248" s="8">
        <v>30</v>
      </c>
      <c r="I2248" s="8">
        <v>-2.5269479100000001</v>
      </c>
      <c r="J2248" s="8">
        <v>36.81851245</v>
      </c>
      <c r="K2248" s="8">
        <v>17.628036720000001</v>
      </c>
      <c r="L2248" s="8">
        <v>55.09548461</v>
      </c>
      <c r="M2248" s="9" t="str">
        <f>IF(A2248="",M2249,A2248)</f>
        <v>Saint Kitts and Nevis</v>
      </c>
      <c r="N2248" s="3" t="str">
        <f t="shared" si="71"/>
        <v>Mar-2021</v>
      </c>
    </row>
    <row r="2249" spans="1:14" x14ac:dyDescent="0.3">
      <c r="A2249" s="3" t="s">
        <v>194</v>
      </c>
      <c r="B2249" s="3" t="s">
        <v>195</v>
      </c>
      <c r="C2249" s="8">
        <v>2021</v>
      </c>
      <c r="D2249" s="8">
        <v>4</v>
      </c>
      <c r="E2249" s="3" t="str">
        <f t="shared" si="70"/>
        <v>April</v>
      </c>
      <c r="F2249" s="3" t="s">
        <v>13</v>
      </c>
      <c r="G2249" s="8">
        <v>32.459581669999999</v>
      </c>
      <c r="H2249" s="8">
        <v>31</v>
      </c>
      <c r="I2249" s="8">
        <v>-1.459581673</v>
      </c>
      <c r="J2249" s="8">
        <v>35.358930780000001</v>
      </c>
      <c r="K2249" s="8">
        <v>16.359102400000001</v>
      </c>
      <c r="L2249" s="8">
        <v>54.653328909999999</v>
      </c>
      <c r="M2249" s="9" t="str">
        <f>IF(A2249="",M2250,A2249)</f>
        <v>Saint Kitts and Nevis</v>
      </c>
      <c r="N2249" s="3" t="str">
        <f t="shared" si="71"/>
        <v>Apr-2021</v>
      </c>
    </row>
    <row r="2250" spans="1:14" x14ac:dyDescent="0.3">
      <c r="A2250" s="3" t="s">
        <v>194</v>
      </c>
      <c r="B2250" s="3" t="s">
        <v>195</v>
      </c>
      <c r="C2250" s="8">
        <v>2021</v>
      </c>
      <c r="D2250" s="8">
        <v>5</v>
      </c>
      <c r="E2250" s="3" t="str">
        <f t="shared" si="70"/>
        <v>May</v>
      </c>
      <c r="F2250" s="3" t="s">
        <v>13</v>
      </c>
      <c r="G2250" s="8">
        <v>32.179891089999998</v>
      </c>
      <c r="H2250" s="8">
        <v>32</v>
      </c>
      <c r="I2250" s="8">
        <v>-0.179891094</v>
      </c>
      <c r="J2250" s="8">
        <v>35.179039680000002</v>
      </c>
      <c r="K2250" s="8">
        <v>15.394816970000001</v>
      </c>
      <c r="L2250" s="8">
        <v>55.283271599999999</v>
      </c>
      <c r="M2250" s="9" t="str">
        <f>IF(A2250="",M2251,A2250)</f>
        <v>Saint Kitts and Nevis</v>
      </c>
      <c r="N2250" s="3" t="str">
        <f t="shared" si="71"/>
        <v>May-2021</v>
      </c>
    </row>
    <row r="2251" spans="1:14" x14ac:dyDescent="0.3">
      <c r="A2251" s="3" t="s">
        <v>194</v>
      </c>
      <c r="B2251" s="3" t="s">
        <v>195</v>
      </c>
      <c r="C2251" s="8">
        <v>2021</v>
      </c>
      <c r="D2251" s="8">
        <v>6</v>
      </c>
      <c r="E2251" s="3" t="str">
        <f t="shared" si="70"/>
        <v>June</v>
      </c>
      <c r="F2251" s="3" t="s">
        <v>13</v>
      </c>
      <c r="G2251" s="8">
        <v>32.118669949999997</v>
      </c>
      <c r="H2251" s="8">
        <v>36</v>
      </c>
      <c r="I2251" s="8">
        <v>3.8813300509999999</v>
      </c>
      <c r="J2251" s="8">
        <v>39.060369739999999</v>
      </c>
      <c r="K2251" s="8">
        <v>17.66512693</v>
      </c>
      <c r="L2251" s="8">
        <v>59.443998219999997</v>
      </c>
      <c r="M2251" s="9" t="str">
        <f>IF(A2251="",M2252,A2251)</f>
        <v>Saint Kitts and Nevis</v>
      </c>
      <c r="N2251" s="3" t="str">
        <f t="shared" si="71"/>
        <v>Jun-2021</v>
      </c>
    </row>
    <row r="2252" spans="1:14" x14ac:dyDescent="0.3">
      <c r="A2252" s="3" t="s">
        <v>194</v>
      </c>
      <c r="B2252" s="3" t="s">
        <v>195</v>
      </c>
      <c r="C2252" s="8">
        <v>2021</v>
      </c>
      <c r="D2252" s="8">
        <v>7</v>
      </c>
      <c r="E2252" s="3" t="str">
        <f t="shared" si="70"/>
        <v>July</v>
      </c>
      <c r="F2252" s="3" t="s">
        <v>13</v>
      </c>
      <c r="G2252" s="8">
        <v>31.9938626</v>
      </c>
      <c r="H2252" s="8">
        <v>36</v>
      </c>
      <c r="I2252" s="8">
        <v>4.0061374030000003</v>
      </c>
      <c r="J2252" s="8">
        <v>43.066507139999999</v>
      </c>
      <c r="K2252" s="8">
        <v>22.176762870000001</v>
      </c>
      <c r="L2252" s="8">
        <v>64.769196379999997</v>
      </c>
      <c r="M2252" s="9" t="str">
        <f>IF(A2252="",M2253,A2252)</f>
        <v>Saint Kitts and Nevis</v>
      </c>
      <c r="N2252" s="3" t="str">
        <f t="shared" si="71"/>
        <v>Jul-2021</v>
      </c>
    </row>
    <row r="2253" spans="1:14" x14ac:dyDescent="0.3">
      <c r="A2253" s="3" t="s">
        <v>194</v>
      </c>
      <c r="B2253" s="3" t="s">
        <v>195</v>
      </c>
      <c r="C2253" s="8">
        <v>2021</v>
      </c>
      <c r="D2253" s="8">
        <v>8</v>
      </c>
      <c r="E2253" s="3" t="str">
        <f t="shared" si="70"/>
        <v>August</v>
      </c>
      <c r="F2253" s="3" t="s">
        <v>13</v>
      </c>
      <c r="G2253" s="8">
        <v>31.815113289999999</v>
      </c>
      <c r="H2253" s="8">
        <v>47</v>
      </c>
      <c r="I2253" s="8">
        <v>15.184886710000001</v>
      </c>
      <c r="J2253" s="8">
        <v>58.251393849999999</v>
      </c>
      <c r="K2253" s="8">
        <v>36.430533130000001</v>
      </c>
      <c r="L2253" s="8">
        <v>79.869376750000001</v>
      </c>
      <c r="M2253" s="9" t="str">
        <f>IF(A2253="",M2254,A2253)</f>
        <v>Saint Kitts and Nevis</v>
      </c>
      <c r="N2253" s="3" t="str">
        <f t="shared" si="71"/>
        <v>Aug-2021</v>
      </c>
    </row>
    <row r="2254" spans="1:14" x14ac:dyDescent="0.3">
      <c r="A2254" s="3" t="s">
        <v>194</v>
      </c>
      <c r="B2254" s="3" t="s">
        <v>195</v>
      </c>
      <c r="C2254" s="8">
        <v>2021</v>
      </c>
      <c r="D2254" s="8">
        <v>9</v>
      </c>
      <c r="E2254" s="3" t="str">
        <f t="shared" si="70"/>
        <v>September</v>
      </c>
      <c r="F2254" s="3" t="s">
        <v>13</v>
      </c>
      <c r="G2254" s="8">
        <v>31.987894180000001</v>
      </c>
      <c r="H2254" s="8">
        <v>66</v>
      </c>
      <c r="I2254" s="8">
        <v>34.012105820000002</v>
      </c>
      <c r="J2254" s="8">
        <v>92.263499670000002</v>
      </c>
      <c r="K2254" s="8">
        <v>69.146248459999995</v>
      </c>
      <c r="L2254" s="8">
        <v>114.86072780000001</v>
      </c>
      <c r="M2254" s="9" t="str">
        <f>IF(A2254="",M2255,A2254)</f>
        <v>Saint Kitts and Nevis</v>
      </c>
      <c r="N2254" s="3" t="str">
        <f t="shared" si="71"/>
        <v>Sep-2021</v>
      </c>
    </row>
    <row r="2255" spans="1:14" x14ac:dyDescent="0.3">
      <c r="A2255" s="3" t="s">
        <v>194</v>
      </c>
      <c r="B2255" s="3" t="s">
        <v>195</v>
      </c>
      <c r="C2255" s="8">
        <v>2021</v>
      </c>
      <c r="D2255" s="8">
        <v>10</v>
      </c>
      <c r="E2255" s="3" t="str">
        <f t="shared" si="70"/>
        <v>October</v>
      </c>
      <c r="F2255" s="3" t="s">
        <v>13</v>
      </c>
      <c r="G2255" s="8">
        <v>31.89059456</v>
      </c>
      <c r="H2255" s="8">
        <v>57</v>
      </c>
      <c r="I2255" s="8">
        <v>25.10940544</v>
      </c>
      <c r="J2255" s="8">
        <v>117.3729051</v>
      </c>
      <c r="K2255" s="8">
        <v>92.990932560000005</v>
      </c>
      <c r="L2255" s="8">
        <v>141.06151869999999</v>
      </c>
      <c r="M2255" s="9" t="str">
        <f>IF(A2255="",M2256,A2255)</f>
        <v>Saint Kitts and Nevis</v>
      </c>
      <c r="N2255" s="3" t="str">
        <f t="shared" si="71"/>
        <v>Oct-2021</v>
      </c>
    </row>
    <row r="2256" spans="1:14" x14ac:dyDescent="0.3">
      <c r="A2256" s="3" t="s">
        <v>194</v>
      </c>
      <c r="B2256" s="3" t="s">
        <v>195</v>
      </c>
      <c r="C2256" s="8">
        <v>2021</v>
      </c>
      <c r="D2256" s="8">
        <v>11</v>
      </c>
      <c r="E2256" s="3" t="str">
        <f t="shared" si="70"/>
        <v>November</v>
      </c>
      <c r="F2256" s="3" t="s">
        <v>13</v>
      </c>
      <c r="G2256" s="8">
        <v>32.044388779999998</v>
      </c>
      <c r="H2256" s="8">
        <v>43</v>
      </c>
      <c r="I2256" s="8">
        <v>10.95561122</v>
      </c>
      <c r="J2256" s="8">
        <v>128.32851629999999</v>
      </c>
      <c r="K2256" s="8">
        <v>102.93967809999999</v>
      </c>
      <c r="L2256" s="8">
        <v>151.89863679999999</v>
      </c>
      <c r="M2256" s="9" t="str">
        <f>IF(A2256="",M2257,A2256)</f>
        <v>Saint Kitts and Nevis</v>
      </c>
      <c r="N2256" s="3" t="str">
        <f t="shared" si="71"/>
        <v>Nov-2021</v>
      </c>
    </row>
    <row r="2257" spans="1:14" x14ac:dyDescent="0.3">
      <c r="A2257" s="3" t="s">
        <v>194</v>
      </c>
      <c r="B2257" s="3" t="s">
        <v>195</v>
      </c>
      <c r="C2257" s="8">
        <v>2021</v>
      </c>
      <c r="D2257" s="8">
        <v>12</v>
      </c>
      <c r="E2257" s="3" t="str">
        <f t="shared" si="70"/>
        <v>December</v>
      </c>
      <c r="F2257" s="3" t="s">
        <v>13</v>
      </c>
      <c r="G2257" s="8">
        <v>31.691067530000002</v>
      </c>
      <c r="H2257" s="8">
        <v>42</v>
      </c>
      <c r="I2257" s="8">
        <v>10.30893247</v>
      </c>
      <c r="J2257" s="8">
        <v>138.63744879999999</v>
      </c>
      <c r="K2257" s="8">
        <v>113.4721248</v>
      </c>
      <c r="L2257" s="8">
        <v>163.85423460000001</v>
      </c>
      <c r="M2257" s="9" t="str">
        <f>IF(A2257="",M2258,A2257)</f>
        <v>Saint Kitts and Nevis</v>
      </c>
      <c r="N2257" s="3" t="str">
        <f t="shared" si="71"/>
        <v>Dec-2021</v>
      </c>
    </row>
    <row r="2258" spans="1:14" x14ac:dyDescent="0.3">
      <c r="A2258" s="3" t="s">
        <v>196</v>
      </c>
      <c r="B2258" s="3" t="s">
        <v>197</v>
      </c>
      <c r="C2258" s="8">
        <v>2020</v>
      </c>
      <c r="D2258" s="8">
        <v>1</v>
      </c>
      <c r="E2258" s="3" t="str">
        <f t="shared" si="70"/>
        <v>January</v>
      </c>
      <c r="F2258" s="3" t="s">
        <v>13</v>
      </c>
      <c r="G2258" s="8">
        <v>26706.4732</v>
      </c>
      <c r="H2258" s="8">
        <v>28407</v>
      </c>
      <c r="I2258" s="8">
        <v>1690.610136</v>
      </c>
      <c r="J2258" s="8">
        <v>1690.610136</v>
      </c>
      <c r="K2258" s="8">
        <v>863.64386590000004</v>
      </c>
      <c r="L2258" s="8">
        <v>2451.890101</v>
      </c>
      <c r="M2258" s="9" t="str">
        <f>IF(A2258="",M2259,A2258)</f>
        <v>Republic of Korea</v>
      </c>
      <c r="N2258" s="3" t="str">
        <f t="shared" si="71"/>
        <v>Jan-2020</v>
      </c>
    </row>
    <row r="2259" spans="1:14" x14ac:dyDescent="0.3">
      <c r="A2259" s="3" t="s">
        <v>196</v>
      </c>
      <c r="B2259" s="3" t="s">
        <v>197</v>
      </c>
      <c r="C2259" s="8">
        <v>2020</v>
      </c>
      <c r="D2259" s="8">
        <v>2</v>
      </c>
      <c r="E2259" s="3" t="str">
        <f t="shared" si="70"/>
        <v>February</v>
      </c>
      <c r="F2259" s="3" t="s">
        <v>13</v>
      </c>
      <c r="G2259" s="8">
        <v>26416.495350000001</v>
      </c>
      <c r="H2259" s="8">
        <v>25553</v>
      </c>
      <c r="I2259" s="8">
        <v>-873.41201779999994</v>
      </c>
      <c r="J2259" s="8">
        <v>817.19811770000001</v>
      </c>
      <c r="K2259" s="8">
        <v>-397.20236749999998</v>
      </c>
      <c r="L2259" s="8">
        <v>2009.2236539999999</v>
      </c>
      <c r="M2259" s="9" t="str">
        <f>IF(A2259="",M2260,A2259)</f>
        <v>Republic of Korea</v>
      </c>
      <c r="N2259" s="3" t="str">
        <f t="shared" si="71"/>
        <v>Feb-2020</v>
      </c>
    </row>
    <row r="2260" spans="1:14" x14ac:dyDescent="0.3">
      <c r="A2260" s="3" t="s">
        <v>196</v>
      </c>
      <c r="B2260" s="3" t="s">
        <v>197</v>
      </c>
      <c r="C2260" s="8">
        <v>2020</v>
      </c>
      <c r="D2260" s="8">
        <v>3</v>
      </c>
      <c r="E2260" s="3" t="str">
        <f t="shared" si="70"/>
        <v>March</v>
      </c>
      <c r="F2260" s="3" t="s">
        <v>13</v>
      </c>
      <c r="G2260" s="8">
        <v>26011.504799999999</v>
      </c>
      <c r="H2260" s="8">
        <v>25913</v>
      </c>
      <c r="I2260" s="8">
        <v>-108.42146200000001</v>
      </c>
      <c r="J2260" s="8">
        <v>708.77665569999999</v>
      </c>
      <c r="K2260" s="8">
        <v>-765.10449170000004</v>
      </c>
      <c r="L2260" s="8">
        <v>2288.4402129999999</v>
      </c>
      <c r="M2260" s="9" t="str">
        <f>IF(A2260="",M2261,A2260)</f>
        <v>Republic of Korea</v>
      </c>
      <c r="N2260" s="3" t="str">
        <f t="shared" si="71"/>
        <v>Mar-2020</v>
      </c>
    </row>
    <row r="2261" spans="1:14" x14ac:dyDescent="0.3">
      <c r="A2261" s="3" t="s">
        <v>196</v>
      </c>
      <c r="B2261" s="3" t="s">
        <v>197</v>
      </c>
      <c r="C2261" s="8">
        <v>2020</v>
      </c>
      <c r="D2261" s="8">
        <v>4</v>
      </c>
      <c r="E2261" s="3" t="str">
        <f t="shared" si="70"/>
        <v>April</v>
      </c>
      <c r="F2261" s="3" t="s">
        <v>13</v>
      </c>
      <c r="G2261" s="8">
        <v>25312.481909999999</v>
      </c>
      <c r="H2261" s="8">
        <v>24650</v>
      </c>
      <c r="I2261" s="8">
        <v>-672.39857170000005</v>
      </c>
      <c r="J2261" s="8">
        <v>36.37808399</v>
      </c>
      <c r="K2261" s="8">
        <v>-1781.901877</v>
      </c>
      <c r="L2261" s="8">
        <v>1987.9773</v>
      </c>
      <c r="M2261" s="9" t="str">
        <f>IF(A2261="",M2262,A2261)</f>
        <v>Republic of Korea</v>
      </c>
      <c r="N2261" s="3" t="str">
        <f t="shared" si="71"/>
        <v>Apr-2020</v>
      </c>
    </row>
    <row r="2262" spans="1:14" x14ac:dyDescent="0.3">
      <c r="A2262" s="3" t="s">
        <v>196</v>
      </c>
      <c r="B2262" s="3" t="s">
        <v>197</v>
      </c>
      <c r="C2262" s="8">
        <v>2020</v>
      </c>
      <c r="D2262" s="8">
        <v>5</v>
      </c>
      <c r="E2262" s="3" t="str">
        <f t="shared" si="70"/>
        <v>May</v>
      </c>
      <c r="F2262" s="3" t="s">
        <v>13</v>
      </c>
      <c r="G2262" s="8">
        <v>24573.11534</v>
      </c>
      <c r="H2262" s="8">
        <v>24416</v>
      </c>
      <c r="I2262" s="8">
        <v>-167.03200559999999</v>
      </c>
      <c r="J2262" s="8">
        <v>-130.65392159999999</v>
      </c>
      <c r="K2262" s="8">
        <v>-2045.341666</v>
      </c>
      <c r="L2262" s="8">
        <v>2025.9392889999999</v>
      </c>
      <c r="M2262" s="9" t="str">
        <f>IF(A2262="",M2263,A2262)</f>
        <v>Republic of Korea</v>
      </c>
      <c r="N2262" s="3" t="str">
        <f t="shared" si="71"/>
        <v>May-2020</v>
      </c>
    </row>
    <row r="2263" spans="1:14" x14ac:dyDescent="0.3">
      <c r="A2263" s="3" t="s">
        <v>196</v>
      </c>
      <c r="B2263" s="3" t="s">
        <v>197</v>
      </c>
      <c r="C2263" s="8">
        <v>2020</v>
      </c>
      <c r="D2263" s="8">
        <v>6</v>
      </c>
      <c r="E2263" s="3" t="str">
        <f t="shared" si="70"/>
        <v>June</v>
      </c>
      <c r="F2263" s="3" t="s">
        <v>13</v>
      </c>
      <c r="G2263" s="8">
        <v>23901.945350000002</v>
      </c>
      <c r="H2263" s="8">
        <v>23600</v>
      </c>
      <c r="I2263" s="8">
        <v>-311.8620191</v>
      </c>
      <c r="J2263" s="8">
        <v>-442.51594069999999</v>
      </c>
      <c r="K2263" s="8">
        <v>-2647.2301160000002</v>
      </c>
      <c r="L2263" s="8">
        <v>1806.312627</v>
      </c>
      <c r="M2263" s="9" t="str">
        <f>IF(A2263="",M2264,A2263)</f>
        <v>Republic of Korea</v>
      </c>
      <c r="N2263" s="3" t="str">
        <f t="shared" si="71"/>
        <v>Jun-2020</v>
      </c>
    </row>
    <row r="2264" spans="1:14" x14ac:dyDescent="0.3">
      <c r="A2264" s="3" t="s">
        <v>196</v>
      </c>
      <c r="B2264" s="3" t="s">
        <v>197</v>
      </c>
      <c r="C2264" s="8">
        <v>2020</v>
      </c>
      <c r="D2264" s="8">
        <v>7</v>
      </c>
      <c r="E2264" s="3" t="str">
        <f t="shared" si="70"/>
        <v>July</v>
      </c>
      <c r="F2264" s="3" t="s">
        <v>13</v>
      </c>
      <c r="G2264" s="8">
        <v>23741.520810000002</v>
      </c>
      <c r="H2264" s="8">
        <v>23975</v>
      </c>
      <c r="I2264" s="8">
        <v>223.5625211</v>
      </c>
      <c r="J2264" s="8">
        <v>-218.95341959999999</v>
      </c>
      <c r="K2264" s="8">
        <v>-2531.8588920000002</v>
      </c>
      <c r="L2264" s="8">
        <v>2227.457308</v>
      </c>
      <c r="M2264" s="9" t="str">
        <f>IF(A2264="",M2265,A2264)</f>
        <v>Republic of Korea</v>
      </c>
      <c r="N2264" s="3" t="str">
        <f t="shared" si="71"/>
        <v>Jul-2020</v>
      </c>
    </row>
    <row r="2265" spans="1:14" x14ac:dyDescent="0.3">
      <c r="A2265" s="3" t="s">
        <v>196</v>
      </c>
      <c r="B2265" s="3" t="s">
        <v>197</v>
      </c>
      <c r="C2265" s="8">
        <v>2020</v>
      </c>
      <c r="D2265" s="8">
        <v>8</v>
      </c>
      <c r="E2265" s="3" t="str">
        <f t="shared" si="70"/>
        <v>August</v>
      </c>
      <c r="F2265" s="3" t="s">
        <v>13</v>
      </c>
      <c r="G2265" s="8">
        <v>23906.793730000001</v>
      </c>
      <c r="H2265" s="8">
        <v>25255</v>
      </c>
      <c r="I2265" s="8">
        <v>1338.289606</v>
      </c>
      <c r="J2265" s="8">
        <v>1119.3361870000001</v>
      </c>
      <c r="K2265" s="8">
        <v>-1299.1698590000001</v>
      </c>
      <c r="L2265" s="8">
        <v>3781.5685020000001</v>
      </c>
      <c r="M2265" s="9" t="str">
        <f>IF(A2265="",M2266,A2265)</f>
        <v>Republic of Korea</v>
      </c>
      <c r="N2265" s="3" t="str">
        <f t="shared" si="71"/>
        <v>Aug-2020</v>
      </c>
    </row>
    <row r="2266" spans="1:14" x14ac:dyDescent="0.3">
      <c r="A2266" s="3" t="s">
        <v>196</v>
      </c>
      <c r="B2266" s="3" t="s">
        <v>197</v>
      </c>
      <c r="C2266" s="8">
        <v>2020</v>
      </c>
      <c r="D2266" s="8">
        <v>9</v>
      </c>
      <c r="E2266" s="3" t="str">
        <f t="shared" si="70"/>
        <v>September</v>
      </c>
      <c r="F2266" s="3" t="s">
        <v>13</v>
      </c>
      <c r="G2266" s="8">
        <v>24318.401839999999</v>
      </c>
      <c r="H2266" s="8">
        <v>24416</v>
      </c>
      <c r="I2266" s="8">
        <v>87.68149244</v>
      </c>
      <c r="J2266" s="8">
        <v>1207.017679</v>
      </c>
      <c r="K2266" s="8">
        <v>-1385.8175100000001</v>
      </c>
      <c r="L2266" s="8">
        <v>3807.695604</v>
      </c>
      <c r="M2266" s="9" t="str">
        <f>IF(A2266="",M2267,A2266)</f>
        <v>Republic of Korea</v>
      </c>
      <c r="N2266" s="3" t="str">
        <f t="shared" si="71"/>
        <v>Sep-2020</v>
      </c>
    </row>
    <row r="2267" spans="1:14" x14ac:dyDescent="0.3">
      <c r="A2267" s="3" t="s">
        <v>196</v>
      </c>
      <c r="B2267" s="3" t="s">
        <v>197</v>
      </c>
      <c r="C2267" s="8">
        <v>2020</v>
      </c>
      <c r="D2267" s="8">
        <v>10</v>
      </c>
      <c r="E2267" s="3" t="str">
        <f t="shared" si="70"/>
        <v>October</v>
      </c>
      <c r="F2267" s="3" t="s">
        <v>13</v>
      </c>
      <c r="G2267" s="8">
        <v>25233.93808</v>
      </c>
      <c r="H2267" s="8">
        <v>26391</v>
      </c>
      <c r="I2267" s="8">
        <v>1147.1452489999999</v>
      </c>
      <c r="J2267" s="8">
        <v>2354.1629280000002</v>
      </c>
      <c r="K2267" s="8">
        <v>-401.659919</v>
      </c>
      <c r="L2267" s="8">
        <v>5195.7950979999996</v>
      </c>
      <c r="M2267" s="9" t="str">
        <f>IF(A2267="",M2268,A2267)</f>
        <v>Republic of Korea</v>
      </c>
      <c r="N2267" s="3" t="str">
        <f t="shared" si="71"/>
        <v>Oct-2020</v>
      </c>
    </row>
    <row r="2268" spans="1:14" x14ac:dyDescent="0.3">
      <c r="A2268" s="3" t="s">
        <v>196</v>
      </c>
      <c r="B2268" s="3" t="s">
        <v>197</v>
      </c>
      <c r="C2268" s="8">
        <v>2020</v>
      </c>
      <c r="D2268" s="8">
        <v>11</v>
      </c>
      <c r="E2268" s="3" t="str">
        <f t="shared" si="70"/>
        <v>November</v>
      </c>
      <c r="F2268" s="3" t="s">
        <v>13</v>
      </c>
      <c r="G2268" s="8">
        <v>26262.12054</v>
      </c>
      <c r="H2268" s="8">
        <v>25585</v>
      </c>
      <c r="I2268" s="8">
        <v>-687.03720380000004</v>
      </c>
      <c r="J2268" s="8">
        <v>1667.125724</v>
      </c>
      <c r="K2268" s="8">
        <v>-1166.5655139999999</v>
      </c>
      <c r="L2268" s="8">
        <v>4618.8116470000004</v>
      </c>
      <c r="M2268" s="9" t="str">
        <f>IF(A2268="",M2269,A2268)</f>
        <v>Republic of Korea</v>
      </c>
      <c r="N2268" s="3" t="str">
        <f t="shared" si="71"/>
        <v>Nov-2020</v>
      </c>
    </row>
    <row r="2269" spans="1:14" x14ac:dyDescent="0.3">
      <c r="A2269" s="3" t="s">
        <v>196</v>
      </c>
      <c r="B2269" s="3" t="s">
        <v>197</v>
      </c>
      <c r="C2269" s="8">
        <v>2020</v>
      </c>
      <c r="D2269" s="8">
        <v>12</v>
      </c>
      <c r="E2269" s="3" t="str">
        <f t="shared" si="70"/>
        <v>December</v>
      </c>
      <c r="F2269" s="3" t="s">
        <v>13</v>
      </c>
      <c r="G2269" s="8">
        <v>27146.439969999999</v>
      </c>
      <c r="H2269" s="8">
        <v>26888</v>
      </c>
      <c r="I2269" s="8">
        <v>-268.35664070000001</v>
      </c>
      <c r="J2269" s="8">
        <v>1398.7690829999999</v>
      </c>
      <c r="K2269" s="8">
        <v>-1626.8339989999999</v>
      </c>
      <c r="L2269" s="8">
        <v>4439.9477710000001</v>
      </c>
      <c r="M2269" s="9" t="str">
        <f>IF(A2269="",M2270,A2269)</f>
        <v>Republic of Korea</v>
      </c>
      <c r="N2269" s="3" t="str">
        <f t="shared" si="71"/>
        <v>Dec-2020</v>
      </c>
    </row>
    <row r="2270" spans="1:14" x14ac:dyDescent="0.3">
      <c r="A2270" s="3" t="s">
        <v>196</v>
      </c>
      <c r="B2270" s="3" t="s">
        <v>197</v>
      </c>
      <c r="C2270" s="8">
        <v>2021</v>
      </c>
      <c r="D2270" s="8">
        <v>1</v>
      </c>
      <c r="E2270" s="3" t="str">
        <f t="shared" si="70"/>
        <v>January</v>
      </c>
      <c r="F2270" s="3" t="s">
        <v>13</v>
      </c>
      <c r="G2270" s="8">
        <v>27200.69313</v>
      </c>
      <c r="H2270" s="8">
        <v>27216</v>
      </c>
      <c r="I2270" s="8">
        <v>15.3068723</v>
      </c>
      <c r="J2270" s="8">
        <v>1414.0759559999999</v>
      </c>
      <c r="K2270" s="8">
        <v>-1637.066636</v>
      </c>
      <c r="L2270" s="8">
        <v>4543.9057830000002</v>
      </c>
      <c r="M2270" s="9" t="str">
        <f>IF(A2270="",M2271,A2270)</f>
        <v>Republic of Korea</v>
      </c>
      <c r="N2270" s="3" t="str">
        <f t="shared" si="71"/>
        <v>Jan-2021</v>
      </c>
    </row>
    <row r="2271" spans="1:14" x14ac:dyDescent="0.3">
      <c r="A2271" s="3" t="s">
        <v>196</v>
      </c>
      <c r="B2271" s="3" t="s">
        <v>197</v>
      </c>
      <c r="C2271" s="8">
        <v>2021</v>
      </c>
      <c r="D2271" s="8">
        <v>2</v>
      </c>
      <c r="E2271" s="3" t="str">
        <f t="shared" si="70"/>
        <v>February</v>
      </c>
      <c r="F2271" s="3" t="s">
        <v>13</v>
      </c>
      <c r="G2271" s="8">
        <v>26916.450410000001</v>
      </c>
      <c r="H2271" s="8">
        <v>23836</v>
      </c>
      <c r="I2271" s="8">
        <v>-3080.450409</v>
      </c>
      <c r="J2271" s="8">
        <v>-1666.3744529999999</v>
      </c>
      <c r="K2271" s="8">
        <v>-4866.5197010000002</v>
      </c>
      <c r="L2271" s="8">
        <v>1680.760448</v>
      </c>
      <c r="M2271" s="9" t="str">
        <f>IF(A2271="",M2272,A2271)</f>
        <v>Republic of Korea</v>
      </c>
      <c r="N2271" s="3" t="str">
        <f t="shared" si="71"/>
        <v>Feb-2021</v>
      </c>
    </row>
    <row r="2272" spans="1:14" x14ac:dyDescent="0.3">
      <c r="A2272" s="3" t="s">
        <v>196</v>
      </c>
      <c r="B2272" s="3" t="s">
        <v>197</v>
      </c>
      <c r="C2272" s="8">
        <v>2021</v>
      </c>
      <c r="D2272" s="8">
        <v>3</v>
      </c>
      <c r="E2272" s="3" t="str">
        <f t="shared" si="70"/>
        <v>March</v>
      </c>
      <c r="F2272" s="3" t="s">
        <v>13</v>
      </c>
      <c r="G2272" s="8">
        <v>26505.445479999998</v>
      </c>
      <c r="H2272" s="8">
        <v>26519</v>
      </c>
      <c r="I2272" s="8">
        <v>13.55451603</v>
      </c>
      <c r="J2272" s="8">
        <v>-1652.819937</v>
      </c>
      <c r="K2272" s="8">
        <v>-4963.144166</v>
      </c>
      <c r="L2272" s="8">
        <v>1918.7823330000001</v>
      </c>
      <c r="M2272" s="9" t="str">
        <f>IF(A2272="",M2273,A2272)</f>
        <v>Republic of Korea</v>
      </c>
      <c r="N2272" s="3" t="str">
        <f t="shared" si="71"/>
        <v>Mar-2021</v>
      </c>
    </row>
    <row r="2273" spans="1:14" x14ac:dyDescent="0.3">
      <c r="A2273" s="3" t="s">
        <v>196</v>
      </c>
      <c r="B2273" s="3" t="s">
        <v>197</v>
      </c>
      <c r="C2273" s="8">
        <v>2021</v>
      </c>
      <c r="D2273" s="8">
        <v>4</v>
      </c>
      <c r="E2273" s="3" t="str">
        <f t="shared" si="70"/>
        <v>April</v>
      </c>
      <c r="F2273" s="3" t="s">
        <v>13</v>
      </c>
      <c r="G2273" s="8">
        <v>25789.188419999999</v>
      </c>
      <c r="H2273" s="8">
        <v>25097</v>
      </c>
      <c r="I2273" s="8">
        <v>-692.18842229999996</v>
      </c>
      <c r="J2273" s="8">
        <v>-2345.0083589999999</v>
      </c>
      <c r="K2273" s="8">
        <v>-5885.2156629999999</v>
      </c>
      <c r="L2273" s="8">
        <v>1336.2616579999999</v>
      </c>
      <c r="M2273" s="9" t="str">
        <f>IF(A2273="",M2274,A2273)</f>
        <v>Republic of Korea</v>
      </c>
      <c r="N2273" s="3" t="str">
        <f t="shared" si="71"/>
        <v>Apr-2021</v>
      </c>
    </row>
    <row r="2274" spans="1:14" x14ac:dyDescent="0.3">
      <c r="A2274" s="3" t="s">
        <v>196</v>
      </c>
      <c r="B2274" s="3" t="s">
        <v>197</v>
      </c>
      <c r="C2274" s="8">
        <v>2021</v>
      </c>
      <c r="D2274" s="8">
        <v>5</v>
      </c>
      <c r="E2274" s="3" t="str">
        <f t="shared" si="70"/>
        <v>May</v>
      </c>
      <c r="F2274" s="3" t="s">
        <v>13</v>
      </c>
      <c r="G2274" s="8">
        <v>25054.1</v>
      </c>
      <c r="H2274" s="8">
        <v>25597</v>
      </c>
      <c r="I2274" s="8">
        <v>542.89999739999996</v>
      </c>
      <c r="J2274" s="8">
        <v>-1802.1083619999999</v>
      </c>
      <c r="K2274" s="8">
        <v>-5686.8447260000003</v>
      </c>
      <c r="L2274" s="8">
        <v>2202.8255199999999</v>
      </c>
      <c r="M2274" s="9" t="str">
        <f>IF(A2274="",M2275,A2274)</f>
        <v>Republic of Korea</v>
      </c>
      <c r="N2274" s="3" t="str">
        <f t="shared" si="71"/>
        <v>May-2021</v>
      </c>
    </row>
    <row r="2275" spans="1:14" x14ac:dyDescent="0.3">
      <c r="A2275" s="3" t="s">
        <v>196</v>
      </c>
      <c r="B2275" s="3" t="s">
        <v>197</v>
      </c>
      <c r="C2275" s="8">
        <v>2021</v>
      </c>
      <c r="D2275" s="8">
        <v>6</v>
      </c>
      <c r="E2275" s="3" t="str">
        <f t="shared" si="70"/>
        <v>June</v>
      </c>
      <c r="F2275" s="3" t="s">
        <v>13</v>
      </c>
      <c r="G2275" s="8">
        <v>24371.304250000001</v>
      </c>
      <c r="H2275" s="8">
        <v>24366</v>
      </c>
      <c r="I2275" s="8">
        <v>-5.3042468600000001</v>
      </c>
      <c r="J2275" s="8">
        <v>-1807.412609</v>
      </c>
      <c r="K2275" s="8">
        <v>-5853.3987559999996</v>
      </c>
      <c r="L2275" s="8">
        <v>2283.1293369999999</v>
      </c>
      <c r="M2275" s="9" t="str">
        <f>IF(A2275="",M2276,A2275)</f>
        <v>Republic of Korea</v>
      </c>
      <c r="N2275" s="3" t="str">
        <f t="shared" si="71"/>
        <v>Jun-2021</v>
      </c>
    </row>
    <row r="2276" spans="1:14" x14ac:dyDescent="0.3">
      <c r="A2276" s="3" t="s">
        <v>196</v>
      </c>
      <c r="B2276" s="3" t="s">
        <v>197</v>
      </c>
      <c r="C2276" s="8">
        <v>2021</v>
      </c>
      <c r="D2276" s="8">
        <v>7</v>
      </c>
      <c r="E2276" s="3" t="str">
        <f t="shared" si="70"/>
        <v>July</v>
      </c>
      <c r="F2276" s="3" t="s">
        <v>13</v>
      </c>
      <c r="G2276" s="8">
        <v>24191.031040000002</v>
      </c>
      <c r="H2276" s="8">
        <v>25693</v>
      </c>
      <c r="I2276" s="8">
        <v>1501.9689579999999</v>
      </c>
      <c r="J2276" s="8">
        <v>-305.44365069999998</v>
      </c>
      <c r="K2276" s="8">
        <v>-4529.0719840000002</v>
      </c>
      <c r="L2276" s="8">
        <v>3676.719098</v>
      </c>
      <c r="M2276" s="9" t="str">
        <f>IF(A2276="",M2277,A2276)</f>
        <v>Republic of Korea</v>
      </c>
      <c r="N2276" s="3" t="str">
        <f t="shared" si="71"/>
        <v>Jul-2021</v>
      </c>
    </row>
    <row r="2277" spans="1:14" x14ac:dyDescent="0.3">
      <c r="A2277" s="3" t="s">
        <v>196</v>
      </c>
      <c r="B2277" s="3" t="s">
        <v>197</v>
      </c>
      <c r="C2277" s="8">
        <v>2021</v>
      </c>
      <c r="D2277" s="8">
        <v>8</v>
      </c>
      <c r="E2277" s="3" t="str">
        <f t="shared" si="70"/>
        <v>August</v>
      </c>
      <c r="F2277" s="3" t="s">
        <v>13</v>
      </c>
      <c r="G2277" s="8">
        <v>24362.771369999999</v>
      </c>
      <c r="H2277" s="8">
        <v>25926</v>
      </c>
      <c r="I2277" s="8">
        <v>1563.2286340000001</v>
      </c>
      <c r="J2277" s="8">
        <v>1257.7849839999999</v>
      </c>
      <c r="K2277" s="8">
        <v>-3022.0461070000001</v>
      </c>
      <c r="L2277" s="8">
        <v>5408.6070820000004</v>
      </c>
      <c r="M2277" s="9" t="str">
        <f>IF(A2277="",M2278,A2277)</f>
        <v>Republic of Korea</v>
      </c>
      <c r="N2277" s="3" t="str">
        <f t="shared" si="71"/>
        <v>Aug-2021</v>
      </c>
    </row>
    <row r="2278" spans="1:14" x14ac:dyDescent="0.3">
      <c r="A2278" s="3" t="s">
        <v>196</v>
      </c>
      <c r="B2278" s="3" t="s">
        <v>197</v>
      </c>
      <c r="C2278" s="8">
        <v>2021</v>
      </c>
      <c r="D2278" s="8">
        <v>9</v>
      </c>
      <c r="E2278" s="3" t="str">
        <f t="shared" si="70"/>
        <v>September</v>
      </c>
      <c r="F2278" s="3" t="s">
        <v>13</v>
      </c>
      <c r="G2278" s="8">
        <v>24746.796149999998</v>
      </c>
      <c r="H2278" s="8">
        <v>25627</v>
      </c>
      <c r="I2278" s="8">
        <v>880.20384820000004</v>
      </c>
      <c r="J2278" s="8">
        <v>2137.988832</v>
      </c>
      <c r="K2278" s="8">
        <v>-2334.9796419999998</v>
      </c>
      <c r="L2278" s="8">
        <v>6530.0642589999998</v>
      </c>
      <c r="M2278" s="9" t="str">
        <f>IF(A2278="",M2279,A2278)</f>
        <v>Republic of Korea</v>
      </c>
      <c r="N2278" s="3" t="str">
        <f t="shared" si="71"/>
        <v>Sep-2021</v>
      </c>
    </row>
    <row r="2279" spans="1:14" x14ac:dyDescent="0.3">
      <c r="A2279" s="3" t="s">
        <v>196</v>
      </c>
      <c r="B2279" s="3" t="s">
        <v>197</v>
      </c>
      <c r="C2279" s="8">
        <v>2021</v>
      </c>
      <c r="D2279" s="8">
        <v>10</v>
      </c>
      <c r="E2279" s="3" t="str">
        <f t="shared" si="70"/>
        <v>October</v>
      </c>
      <c r="F2279" s="3" t="s">
        <v>13</v>
      </c>
      <c r="G2279" s="8">
        <v>25695.377619999999</v>
      </c>
      <c r="H2279" s="8">
        <v>27750</v>
      </c>
      <c r="I2279" s="8">
        <v>2054.6223770000001</v>
      </c>
      <c r="J2279" s="8">
        <v>4192.6112089999997</v>
      </c>
      <c r="K2279" s="8">
        <v>-217.59647630000001</v>
      </c>
      <c r="L2279" s="8">
        <v>8759.7782050000005</v>
      </c>
      <c r="M2279" s="9" t="str">
        <f>IF(A2279="",M2280,A2279)</f>
        <v>Republic of Korea</v>
      </c>
      <c r="N2279" s="3" t="str">
        <f t="shared" si="71"/>
        <v>Oct-2021</v>
      </c>
    </row>
    <row r="2280" spans="1:14" x14ac:dyDescent="0.3">
      <c r="A2280" s="3" t="s">
        <v>196</v>
      </c>
      <c r="B2280" s="3" t="s">
        <v>197</v>
      </c>
      <c r="C2280" s="8">
        <v>2021</v>
      </c>
      <c r="D2280" s="8">
        <v>11</v>
      </c>
      <c r="E2280" s="3" t="str">
        <f t="shared" si="70"/>
        <v>November</v>
      </c>
      <c r="F2280" s="3" t="s">
        <v>13</v>
      </c>
      <c r="G2280" s="8">
        <v>26758.77936</v>
      </c>
      <c r="H2280" s="8">
        <v>28299</v>
      </c>
      <c r="I2280" s="8">
        <v>1540.220638</v>
      </c>
      <c r="J2280" s="8">
        <v>5732.831846</v>
      </c>
      <c r="K2280" s="8">
        <v>1210.177711</v>
      </c>
      <c r="L2280" s="8">
        <v>10540.07013</v>
      </c>
      <c r="M2280" s="9" t="str">
        <f>IF(A2280="",M2281,A2280)</f>
        <v>Republic of Korea</v>
      </c>
      <c r="N2280" s="3" t="str">
        <f t="shared" si="71"/>
        <v>Nov-2021</v>
      </c>
    </row>
    <row r="2281" spans="1:14" x14ac:dyDescent="0.3">
      <c r="A2281" s="3" t="s">
        <v>196</v>
      </c>
      <c r="B2281" s="3" t="s">
        <v>197</v>
      </c>
      <c r="C2281" s="8">
        <v>2021</v>
      </c>
      <c r="D2281" s="8">
        <v>12</v>
      </c>
      <c r="E2281" s="3" t="str">
        <f t="shared" si="70"/>
        <v>December</v>
      </c>
      <c r="F2281" s="3" t="s">
        <v>13</v>
      </c>
      <c r="G2281" s="8">
        <v>27684.123889999999</v>
      </c>
      <c r="H2281" s="8">
        <v>31580</v>
      </c>
      <c r="I2281" s="8">
        <v>3895.8761119999999</v>
      </c>
      <c r="J2281" s="8">
        <v>9628.7079589999994</v>
      </c>
      <c r="K2281" s="8">
        <v>4742.3556719999997</v>
      </c>
      <c r="L2281" s="8">
        <v>14615.019259999999</v>
      </c>
      <c r="M2281" s="9" t="str">
        <f>IF(A2281="",M2282,A2281)</f>
        <v>Republic of Korea</v>
      </c>
      <c r="N2281" s="3" t="str">
        <f t="shared" si="71"/>
        <v>Dec-2021</v>
      </c>
    </row>
    <row r="2282" spans="1:14" x14ac:dyDescent="0.3">
      <c r="A2282" s="3" t="s">
        <v>198</v>
      </c>
      <c r="B2282" s="3" t="s">
        <v>199</v>
      </c>
      <c r="C2282" s="8">
        <v>2020</v>
      </c>
      <c r="D2282" s="8">
        <v>1</v>
      </c>
      <c r="E2282" s="3" t="str">
        <f t="shared" si="70"/>
        <v>January</v>
      </c>
      <c r="F2282" s="3" t="s">
        <v>13</v>
      </c>
      <c r="G2282" s="8">
        <v>697.46861379999996</v>
      </c>
      <c r="H2282" s="8">
        <v>599</v>
      </c>
      <c r="I2282" s="8">
        <v>-98.551947119999994</v>
      </c>
      <c r="J2282" s="8">
        <v>-98.551947119999994</v>
      </c>
      <c r="K2282" s="8">
        <v>-128.89110450000001</v>
      </c>
      <c r="L2282" s="8">
        <v>-67.204838670000001</v>
      </c>
      <c r="M2282" s="9" t="str">
        <f>IF(A2282="",M2283,A2282)</f>
        <v>Kuwait</v>
      </c>
      <c r="N2282" s="3" t="str">
        <f t="shared" si="71"/>
        <v>Jan-2020</v>
      </c>
    </row>
    <row r="2283" spans="1:14" x14ac:dyDescent="0.3">
      <c r="A2283" s="3" t="s">
        <v>198</v>
      </c>
      <c r="B2283" s="3" t="s">
        <v>199</v>
      </c>
      <c r="C2283" s="8">
        <v>2020</v>
      </c>
      <c r="D2283" s="8">
        <v>2</v>
      </c>
      <c r="E2283" s="3" t="str">
        <f t="shared" si="70"/>
        <v>February</v>
      </c>
      <c r="F2283" s="3" t="s">
        <v>13</v>
      </c>
      <c r="G2283" s="8">
        <v>625.1603854</v>
      </c>
      <c r="H2283" s="8">
        <v>607</v>
      </c>
      <c r="I2283" s="8">
        <v>-18.243718770000001</v>
      </c>
      <c r="J2283" s="8">
        <v>-116.7956659</v>
      </c>
      <c r="K2283" s="8">
        <v>-165.30683239999999</v>
      </c>
      <c r="L2283" s="8">
        <v>-72.097667830000006</v>
      </c>
      <c r="M2283" s="9" t="str">
        <f>IF(A2283="",M2284,A2283)</f>
        <v>Kuwait</v>
      </c>
      <c r="N2283" s="3" t="str">
        <f t="shared" si="71"/>
        <v>Feb-2020</v>
      </c>
    </row>
    <row r="2284" spans="1:14" x14ac:dyDescent="0.3">
      <c r="A2284" s="3" t="s">
        <v>198</v>
      </c>
      <c r="B2284" s="3" t="s">
        <v>199</v>
      </c>
      <c r="C2284" s="8">
        <v>2020</v>
      </c>
      <c r="D2284" s="8">
        <v>3</v>
      </c>
      <c r="E2284" s="3" t="str">
        <f t="shared" si="70"/>
        <v>March</v>
      </c>
      <c r="F2284" s="3" t="s">
        <v>13</v>
      </c>
      <c r="G2284" s="8">
        <v>620.85020899999995</v>
      </c>
      <c r="H2284" s="8">
        <v>636</v>
      </c>
      <c r="I2284" s="8">
        <v>15.066457720000001</v>
      </c>
      <c r="J2284" s="8">
        <v>-101.7292082</v>
      </c>
      <c r="K2284" s="8">
        <v>-162.9200562</v>
      </c>
      <c r="L2284" s="8">
        <v>-46.77844691</v>
      </c>
      <c r="M2284" s="9" t="str">
        <f>IF(A2284="",M2285,A2284)</f>
        <v>Kuwait</v>
      </c>
      <c r="N2284" s="3" t="str">
        <f t="shared" si="71"/>
        <v>Mar-2020</v>
      </c>
    </row>
    <row r="2285" spans="1:14" x14ac:dyDescent="0.3">
      <c r="A2285" s="3" t="s">
        <v>198</v>
      </c>
      <c r="B2285" s="3" t="s">
        <v>199</v>
      </c>
      <c r="C2285" s="8">
        <v>2020</v>
      </c>
      <c r="D2285" s="8">
        <v>4</v>
      </c>
      <c r="E2285" s="3" t="str">
        <f t="shared" si="70"/>
        <v>April</v>
      </c>
      <c r="F2285" s="3" t="s">
        <v>13</v>
      </c>
      <c r="G2285" s="8">
        <v>597.81790120000005</v>
      </c>
      <c r="H2285" s="8">
        <v>702</v>
      </c>
      <c r="I2285" s="8">
        <v>104.0987655</v>
      </c>
      <c r="J2285" s="8">
        <v>2.3695573200000002</v>
      </c>
      <c r="K2285" s="8">
        <v>-69.653720089999993</v>
      </c>
      <c r="L2285" s="8">
        <v>69.082657639999994</v>
      </c>
      <c r="M2285" s="9" t="str">
        <f>IF(A2285="",M2286,A2285)</f>
        <v>Kuwait</v>
      </c>
      <c r="N2285" s="3" t="str">
        <f t="shared" si="71"/>
        <v>Apr-2020</v>
      </c>
    </row>
    <row r="2286" spans="1:14" x14ac:dyDescent="0.3">
      <c r="A2286" s="3" t="s">
        <v>198</v>
      </c>
      <c r="B2286" s="3" t="s">
        <v>199</v>
      </c>
      <c r="C2286" s="8">
        <v>2020</v>
      </c>
      <c r="D2286" s="8">
        <v>5</v>
      </c>
      <c r="E2286" s="3" t="str">
        <f t="shared" si="70"/>
        <v>May</v>
      </c>
      <c r="F2286" s="3" t="s">
        <v>13</v>
      </c>
      <c r="G2286" s="8">
        <v>591.15419480000003</v>
      </c>
      <c r="H2286" s="8">
        <v>1347</v>
      </c>
      <c r="I2286" s="8">
        <v>755.76247179999996</v>
      </c>
      <c r="J2286" s="8">
        <v>758.13202920000003</v>
      </c>
      <c r="K2286" s="8">
        <v>678.38127840000004</v>
      </c>
      <c r="L2286" s="8">
        <v>831.09549849999996</v>
      </c>
      <c r="M2286" s="9" t="str">
        <f>IF(A2286="",M2287,A2286)</f>
        <v>Kuwait</v>
      </c>
      <c r="N2286" s="3" t="str">
        <f t="shared" si="71"/>
        <v>May-2020</v>
      </c>
    </row>
    <row r="2287" spans="1:14" x14ac:dyDescent="0.3">
      <c r="A2287" s="3" t="s">
        <v>198</v>
      </c>
      <c r="B2287" s="3" t="s">
        <v>199</v>
      </c>
      <c r="C2287" s="8">
        <v>2020</v>
      </c>
      <c r="D2287" s="8">
        <v>6</v>
      </c>
      <c r="E2287" s="3" t="str">
        <f t="shared" si="70"/>
        <v>June</v>
      </c>
      <c r="F2287" s="3" t="s">
        <v>13</v>
      </c>
      <c r="G2287" s="8">
        <v>585.73329230000002</v>
      </c>
      <c r="H2287" s="8">
        <v>1235</v>
      </c>
      <c r="I2287" s="8">
        <v>649.18337440000005</v>
      </c>
      <c r="J2287" s="8">
        <v>1407.3154039999999</v>
      </c>
      <c r="K2287" s="8">
        <v>1319.776879</v>
      </c>
      <c r="L2287" s="8">
        <v>1491.47657</v>
      </c>
      <c r="M2287" s="9" t="str">
        <f>IF(A2287="",M2288,A2287)</f>
        <v>Kuwait</v>
      </c>
      <c r="N2287" s="3" t="str">
        <f t="shared" si="71"/>
        <v>Jun-2020</v>
      </c>
    </row>
    <row r="2288" spans="1:14" x14ac:dyDescent="0.3">
      <c r="A2288" s="3" t="s">
        <v>198</v>
      </c>
      <c r="B2288" s="3" t="s">
        <v>199</v>
      </c>
      <c r="C2288" s="8">
        <v>2020</v>
      </c>
      <c r="D2288" s="8">
        <v>7</v>
      </c>
      <c r="E2288" s="3" t="str">
        <f t="shared" si="70"/>
        <v>July</v>
      </c>
      <c r="F2288" s="3" t="s">
        <v>13</v>
      </c>
      <c r="G2288" s="8">
        <v>577.87441339999998</v>
      </c>
      <c r="H2288" s="8">
        <v>1047</v>
      </c>
      <c r="I2288" s="8">
        <v>469.04225330000003</v>
      </c>
      <c r="J2288" s="8">
        <v>1876.357657</v>
      </c>
      <c r="K2288" s="8">
        <v>1782.2725390000001</v>
      </c>
      <c r="L2288" s="8">
        <v>1960.6249800000001</v>
      </c>
      <c r="M2288" s="9" t="str">
        <f>IF(A2288="",M2289,A2288)</f>
        <v>Kuwait</v>
      </c>
      <c r="N2288" s="3" t="str">
        <f t="shared" si="71"/>
        <v>Jul-2020</v>
      </c>
    </row>
    <row r="2289" spans="1:14" x14ac:dyDescent="0.3">
      <c r="A2289" s="3" t="s">
        <v>198</v>
      </c>
      <c r="B2289" s="3" t="s">
        <v>199</v>
      </c>
      <c r="C2289" s="8">
        <v>2020</v>
      </c>
      <c r="D2289" s="8">
        <v>8</v>
      </c>
      <c r="E2289" s="3" t="str">
        <f t="shared" si="70"/>
        <v>August</v>
      </c>
      <c r="F2289" s="3" t="s">
        <v>13</v>
      </c>
      <c r="G2289" s="8">
        <v>559.0431873</v>
      </c>
      <c r="H2289" s="8">
        <v>907</v>
      </c>
      <c r="I2289" s="8">
        <v>347.87347940000001</v>
      </c>
      <c r="J2289" s="8">
        <v>2224.2311359999999</v>
      </c>
      <c r="K2289" s="8">
        <v>2125.036032</v>
      </c>
      <c r="L2289" s="8">
        <v>2315.8906050000001</v>
      </c>
      <c r="M2289" s="9" t="str">
        <f>IF(A2289="",M2290,A2289)</f>
        <v>Kuwait</v>
      </c>
      <c r="N2289" s="3" t="str">
        <f t="shared" si="71"/>
        <v>Aug-2020</v>
      </c>
    </row>
    <row r="2290" spans="1:14" x14ac:dyDescent="0.3">
      <c r="A2290" s="3" t="s">
        <v>198</v>
      </c>
      <c r="B2290" s="3" t="s">
        <v>199</v>
      </c>
      <c r="C2290" s="8">
        <v>2020</v>
      </c>
      <c r="D2290" s="8">
        <v>9</v>
      </c>
      <c r="E2290" s="3" t="str">
        <f t="shared" si="70"/>
        <v>September</v>
      </c>
      <c r="F2290" s="3" t="s">
        <v>13</v>
      </c>
      <c r="G2290" s="8">
        <v>559.36714389999997</v>
      </c>
      <c r="H2290" s="8">
        <v>878</v>
      </c>
      <c r="I2290" s="8">
        <v>318.54952279999998</v>
      </c>
      <c r="J2290" s="8">
        <v>2542.780659</v>
      </c>
      <c r="K2290" s="8">
        <v>2440.7890870000001</v>
      </c>
      <c r="L2290" s="8">
        <v>2641.0841789999999</v>
      </c>
      <c r="M2290" s="9" t="str">
        <f>IF(A2290="",M2291,A2290)</f>
        <v>Kuwait</v>
      </c>
      <c r="N2290" s="3" t="str">
        <f t="shared" si="71"/>
        <v>Sep-2020</v>
      </c>
    </row>
    <row r="2291" spans="1:14" x14ac:dyDescent="0.3">
      <c r="A2291" s="3" t="s">
        <v>198</v>
      </c>
      <c r="B2291" s="3" t="s">
        <v>199</v>
      </c>
      <c r="C2291" s="8">
        <v>2020</v>
      </c>
      <c r="D2291" s="8">
        <v>10</v>
      </c>
      <c r="E2291" s="3" t="str">
        <f t="shared" si="70"/>
        <v>October</v>
      </c>
      <c r="F2291" s="3" t="s">
        <v>13</v>
      </c>
      <c r="G2291" s="8">
        <v>579.212175</v>
      </c>
      <c r="H2291" s="8">
        <v>906</v>
      </c>
      <c r="I2291" s="8">
        <v>326.70449170000001</v>
      </c>
      <c r="J2291" s="8">
        <v>2869.4851509999999</v>
      </c>
      <c r="K2291" s="8">
        <v>2758.8969529999999</v>
      </c>
      <c r="L2291" s="8">
        <v>2974.8769090000001</v>
      </c>
      <c r="M2291" s="9" t="str">
        <f>IF(A2291="",M2292,A2291)</f>
        <v>Kuwait</v>
      </c>
      <c r="N2291" s="3" t="str">
        <f t="shared" si="71"/>
        <v>Oct-2020</v>
      </c>
    </row>
    <row r="2292" spans="1:14" x14ac:dyDescent="0.3">
      <c r="A2292" s="3" t="s">
        <v>198</v>
      </c>
      <c r="B2292" s="3" t="s">
        <v>199</v>
      </c>
      <c r="C2292" s="8">
        <v>2020</v>
      </c>
      <c r="D2292" s="8">
        <v>11</v>
      </c>
      <c r="E2292" s="3" t="str">
        <f t="shared" si="70"/>
        <v>November</v>
      </c>
      <c r="F2292" s="3" t="s">
        <v>13</v>
      </c>
      <c r="G2292" s="8">
        <v>654.37095720000002</v>
      </c>
      <c r="H2292" s="8">
        <v>903</v>
      </c>
      <c r="I2292" s="8">
        <v>248.54570939999999</v>
      </c>
      <c r="J2292" s="8">
        <v>3118.0308599999998</v>
      </c>
      <c r="K2292" s="8">
        <v>3000.0488719999998</v>
      </c>
      <c r="L2292" s="8">
        <v>3225.6000669999999</v>
      </c>
      <c r="M2292" s="9" t="str">
        <f>IF(A2292="",M2293,A2292)</f>
        <v>Kuwait</v>
      </c>
      <c r="N2292" s="3" t="str">
        <f t="shared" si="71"/>
        <v>Nov-2020</v>
      </c>
    </row>
    <row r="2293" spans="1:14" x14ac:dyDescent="0.3">
      <c r="A2293" s="3" t="s">
        <v>198</v>
      </c>
      <c r="B2293" s="3" t="s">
        <v>199</v>
      </c>
      <c r="C2293" s="8">
        <v>2020</v>
      </c>
      <c r="D2293" s="8">
        <v>12</v>
      </c>
      <c r="E2293" s="3" t="str">
        <f t="shared" si="70"/>
        <v>December</v>
      </c>
      <c r="F2293" s="3" t="s">
        <v>13</v>
      </c>
      <c r="G2293" s="8">
        <v>716.28406729999995</v>
      </c>
      <c r="H2293" s="8">
        <v>802</v>
      </c>
      <c r="I2293" s="8">
        <v>85.632599380000002</v>
      </c>
      <c r="J2293" s="8">
        <v>3203.6634600000002</v>
      </c>
      <c r="K2293" s="8">
        <v>3085.4031279999999</v>
      </c>
      <c r="L2293" s="8">
        <v>3321.6389920000001</v>
      </c>
      <c r="M2293" s="9" t="str">
        <f>IF(A2293="",M2294,A2293)</f>
        <v>Kuwait</v>
      </c>
      <c r="N2293" s="3" t="str">
        <f t="shared" si="71"/>
        <v>Dec-2020</v>
      </c>
    </row>
    <row r="2294" spans="1:14" x14ac:dyDescent="0.3">
      <c r="A2294" s="3" t="s">
        <v>198</v>
      </c>
      <c r="B2294" s="3" t="s">
        <v>199</v>
      </c>
      <c r="C2294" s="8">
        <v>2021</v>
      </c>
      <c r="D2294" s="8">
        <v>1</v>
      </c>
      <c r="E2294" s="3" t="str">
        <f t="shared" si="70"/>
        <v>January</v>
      </c>
      <c r="F2294" s="3" t="s">
        <v>13</v>
      </c>
      <c r="G2294" s="8">
        <v>717.99744550000003</v>
      </c>
      <c r="H2294" s="8">
        <v>764</v>
      </c>
      <c r="I2294" s="8">
        <v>46.002554490000001</v>
      </c>
      <c r="J2294" s="8">
        <v>3249.6660139999999</v>
      </c>
      <c r="K2294" s="8">
        <v>3127.7312299999999</v>
      </c>
      <c r="L2294" s="8">
        <v>3370.6978009999998</v>
      </c>
      <c r="M2294" s="9" t="str">
        <f>IF(A2294="",M2295,A2294)</f>
        <v>Kuwait</v>
      </c>
      <c r="N2294" s="3" t="str">
        <f t="shared" si="71"/>
        <v>Jan-2021</v>
      </c>
    </row>
    <row r="2295" spans="1:14" x14ac:dyDescent="0.3">
      <c r="A2295" s="3" t="s">
        <v>198</v>
      </c>
      <c r="B2295" s="3" t="s">
        <v>199</v>
      </c>
      <c r="C2295" s="8">
        <v>2021</v>
      </c>
      <c r="D2295" s="8">
        <v>2</v>
      </c>
      <c r="E2295" s="3" t="str">
        <f t="shared" si="70"/>
        <v>February</v>
      </c>
      <c r="F2295" s="3" t="s">
        <v>13</v>
      </c>
      <c r="G2295" s="8">
        <v>644.87164189999999</v>
      </c>
      <c r="H2295" s="8">
        <v>749</v>
      </c>
      <c r="I2295" s="8">
        <v>104.1283581</v>
      </c>
      <c r="J2295" s="8">
        <v>3353.7943719999998</v>
      </c>
      <c r="K2295" s="8">
        <v>3224.126084</v>
      </c>
      <c r="L2295" s="8">
        <v>3492.7787480000002</v>
      </c>
      <c r="M2295" s="9" t="str">
        <f>IF(A2295="",M2296,A2295)</f>
        <v>Kuwait</v>
      </c>
      <c r="N2295" s="3" t="str">
        <f t="shared" si="71"/>
        <v>Feb-2021</v>
      </c>
    </row>
    <row r="2296" spans="1:14" x14ac:dyDescent="0.3">
      <c r="A2296" s="3" t="s">
        <v>198</v>
      </c>
      <c r="B2296" s="3" t="s">
        <v>199</v>
      </c>
      <c r="C2296" s="8">
        <v>2021</v>
      </c>
      <c r="D2296" s="8">
        <v>3</v>
      </c>
      <c r="E2296" s="3" t="str">
        <f t="shared" si="70"/>
        <v>March</v>
      </c>
      <c r="F2296" s="3" t="s">
        <v>13</v>
      </c>
      <c r="G2296" s="8">
        <v>640.12301400000001</v>
      </c>
      <c r="H2296" s="8">
        <v>1037</v>
      </c>
      <c r="I2296" s="8">
        <v>396.87698599999999</v>
      </c>
      <c r="J2296" s="8">
        <v>3750.6713580000001</v>
      </c>
      <c r="K2296" s="8">
        <v>3609.5767919999998</v>
      </c>
      <c r="L2296" s="8">
        <v>3892.645278</v>
      </c>
      <c r="M2296" s="9" t="str">
        <f>IF(A2296="",M2297,A2296)</f>
        <v>Kuwait</v>
      </c>
      <c r="N2296" s="3" t="str">
        <f t="shared" si="71"/>
        <v>Mar-2021</v>
      </c>
    </row>
    <row r="2297" spans="1:14" x14ac:dyDescent="0.3">
      <c r="A2297" s="3" t="s">
        <v>198</v>
      </c>
      <c r="B2297" s="3" t="s">
        <v>199</v>
      </c>
      <c r="C2297" s="8">
        <v>2021</v>
      </c>
      <c r="D2297" s="8">
        <v>4</v>
      </c>
      <c r="E2297" s="3" t="str">
        <f t="shared" si="70"/>
        <v>April</v>
      </c>
      <c r="F2297" s="3" t="s">
        <v>13</v>
      </c>
      <c r="G2297" s="8">
        <v>616.44325960000003</v>
      </c>
      <c r="H2297" s="8">
        <v>1098</v>
      </c>
      <c r="I2297" s="8">
        <v>481.55674040000002</v>
      </c>
      <c r="J2297" s="8">
        <v>4232.2280989999999</v>
      </c>
      <c r="K2297" s="8">
        <v>4082.5905229999998</v>
      </c>
      <c r="L2297" s="8">
        <v>4382.8676690000002</v>
      </c>
      <c r="M2297" s="9" t="str">
        <f>IF(A2297="",M2298,A2297)</f>
        <v>Kuwait</v>
      </c>
      <c r="N2297" s="3" t="str">
        <f t="shared" si="71"/>
        <v>Apr-2021</v>
      </c>
    </row>
    <row r="2298" spans="1:14" x14ac:dyDescent="0.3">
      <c r="A2298" s="3" t="s">
        <v>198</v>
      </c>
      <c r="B2298" s="3" t="s">
        <v>199</v>
      </c>
      <c r="C2298" s="8">
        <v>2021</v>
      </c>
      <c r="D2298" s="8">
        <v>5</v>
      </c>
      <c r="E2298" s="3" t="str">
        <f t="shared" si="70"/>
        <v>May</v>
      </c>
      <c r="F2298" s="3" t="s">
        <v>13</v>
      </c>
      <c r="G2298" s="8">
        <v>611.018373</v>
      </c>
      <c r="H2298" s="8">
        <v>991</v>
      </c>
      <c r="I2298" s="8">
        <v>379.981627</v>
      </c>
      <c r="J2298" s="8">
        <v>4612.209726</v>
      </c>
      <c r="K2298" s="8">
        <v>4458.0342810000002</v>
      </c>
      <c r="L2298" s="8">
        <v>4758.708181</v>
      </c>
      <c r="M2298" s="9" t="str">
        <f>IF(A2298="",M2299,A2298)</f>
        <v>Kuwait</v>
      </c>
      <c r="N2298" s="3" t="str">
        <f t="shared" si="71"/>
        <v>May-2021</v>
      </c>
    </row>
    <row r="2299" spans="1:14" x14ac:dyDescent="0.3">
      <c r="A2299" s="3" t="s">
        <v>198</v>
      </c>
      <c r="B2299" s="3" t="s">
        <v>199</v>
      </c>
      <c r="C2299" s="8">
        <v>2021</v>
      </c>
      <c r="D2299" s="8">
        <v>6</v>
      </c>
      <c r="E2299" s="3" t="str">
        <f t="shared" si="70"/>
        <v>June</v>
      </c>
      <c r="F2299" s="3" t="s">
        <v>13</v>
      </c>
      <c r="G2299" s="8">
        <v>604.2383403</v>
      </c>
      <c r="H2299" s="8">
        <v>1032</v>
      </c>
      <c r="I2299" s="8">
        <v>427.7616597</v>
      </c>
      <c r="J2299" s="8">
        <v>5039.9713849999998</v>
      </c>
      <c r="K2299" s="8">
        <v>4883.9517980000001</v>
      </c>
      <c r="L2299" s="8">
        <v>5195.9387630000001</v>
      </c>
      <c r="M2299" s="9" t="str">
        <f>IF(A2299="",M2300,A2299)</f>
        <v>Kuwait</v>
      </c>
      <c r="N2299" s="3" t="str">
        <f t="shared" si="71"/>
        <v>Jun-2021</v>
      </c>
    </row>
    <row r="2300" spans="1:14" x14ac:dyDescent="0.3">
      <c r="A2300" s="3" t="s">
        <v>198</v>
      </c>
      <c r="B2300" s="3" t="s">
        <v>199</v>
      </c>
      <c r="C2300" s="8">
        <v>2021</v>
      </c>
      <c r="D2300" s="8">
        <v>7</v>
      </c>
      <c r="E2300" s="3" t="str">
        <f t="shared" si="70"/>
        <v>July</v>
      </c>
      <c r="F2300" s="3" t="s">
        <v>13</v>
      </c>
      <c r="G2300" s="8">
        <v>594.94868629999996</v>
      </c>
      <c r="H2300" s="8">
        <v>1461</v>
      </c>
      <c r="I2300" s="8">
        <v>866.05131370000004</v>
      </c>
      <c r="J2300" s="8">
        <v>5906.0226990000001</v>
      </c>
      <c r="K2300" s="8">
        <v>5744.7329390000004</v>
      </c>
      <c r="L2300" s="8">
        <v>6062.9840999999997</v>
      </c>
      <c r="M2300" s="9" t="str">
        <f>IF(A2300="",M2301,A2300)</f>
        <v>Kuwait</v>
      </c>
      <c r="N2300" s="3" t="str">
        <f t="shared" si="71"/>
        <v>Jul-2021</v>
      </c>
    </row>
    <row r="2301" spans="1:14" x14ac:dyDescent="0.3">
      <c r="A2301" s="3" t="s">
        <v>198</v>
      </c>
      <c r="B2301" s="3" t="s">
        <v>199</v>
      </c>
      <c r="C2301" s="8">
        <v>2021</v>
      </c>
      <c r="D2301" s="8">
        <v>8</v>
      </c>
      <c r="E2301" s="3" t="str">
        <f t="shared" si="70"/>
        <v>August</v>
      </c>
      <c r="F2301" s="3" t="s">
        <v>13</v>
      </c>
      <c r="G2301" s="8">
        <v>576.76865190000001</v>
      </c>
      <c r="H2301" s="8">
        <v>1135</v>
      </c>
      <c r="I2301" s="8">
        <v>558.23134809999999</v>
      </c>
      <c r="J2301" s="8">
        <v>6464.2540470000004</v>
      </c>
      <c r="K2301" s="8">
        <v>6304.2760440000002</v>
      </c>
      <c r="L2301" s="8">
        <v>6628.7918470000004</v>
      </c>
      <c r="M2301" s="9" t="str">
        <f>IF(A2301="",M2302,A2301)</f>
        <v>Kuwait</v>
      </c>
      <c r="N2301" s="3" t="str">
        <f t="shared" si="71"/>
        <v>Aug-2021</v>
      </c>
    </row>
    <row r="2302" spans="1:14" x14ac:dyDescent="0.3">
      <c r="A2302" s="3" t="s">
        <v>198</v>
      </c>
      <c r="B2302" s="3" t="s">
        <v>199</v>
      </c>
      <c r="C2302" s="8">
        <v>2021</v>
      </c>
      <c r="D2302" s="8">
        <v>9</v>
      </c>
      <c r="E2302" s="3" t="str">
        <f t="shared" si="70"/>
        <v>September</v>
      </c>
      <c r="F2302" s="3" t="s">
        <v>13</v>
      </c>
      <c r="G2302" s="8">
        <v>576.09086690000004</v>
      </c>
      <c r="H2302" s="8">
        <v>738</v>
      </c>
      <c r="I2302" s="8">
        <v>161.90913309999999</v>
      </c>
      <c r="J2302" s="8">
        <v>6626.1631799999996</v>
      </c>
      <c r="K2302" s="8">
        <v>6457.6082900000001</v>
      </c>
      <c r="L2302" s="8">
        <v>6790.1496459999998</v>
      </c>
      <c r="M2302" s="9" t="str">
        <f>IF(A2302="",M2303,A2302)</f>
        <v>Kuwait</v>
      </c>
      <c r="N2302" s="3" t="str">
        <f t="shared" si="71"/>
        <v>Sep-2021</v>
      </c>
    </row>
    <row r="2303" spans="1:14" x14ac:dyDescent="0.3">
      <c r="A2303" s="3" t="s">
        <v>198</v>
      </c>
      <c r="B2303" s="3" t="s">
        <v>199</v>
      </c>
      <c r="C2303" s="8">
        <v>2021</v>
      </c>
      <c r="D2303" s="8">
        <v>10</v>
      </c>
      <c r="E2303" s="3" t="str">
        <f t="shared" si="70"/>
        <v>October</v>
      </c>
      <c r="F2303" s="3" t="s">
        <v>13</v>
      </c>
      <c r="G2303" s="8">
        <v>597.85558839999999</v>
      </c>
      <c r="H2303" s="8">
        <v>602</v>
      </c>
      <c r="I2303" s="8">
        <v>4.1444115999999998</v>
      </c>
      <c r="J2303" s="8">
        <v>6630.3075920000001</v>
      </c>
      <c r="K2303" s="8">
        <v>6452.9939560000003</v>
      </c>
      <c r="L2303" s="8">
        <v>6797.2562109999999</v>
      </c>
      <c r="M2303" s="9" t="str">
        <f>IF(A2303="",M2304,A2303)</f>
        <v>Kuwait</v>
      </c>
      <c r="N2303" s="3" t="str">
        <f t="shared" si="71"/>
        <v>Oct-2021</v>
      </c>
    </row>
    <row r="2304" spans="1:14" x14ac:dyDescent="0.3">
      <c r="A2304" s="3" t="s">
        <v>198</v>
      </c>
      <c r="B2304" s="3" t="s">
        <v>199</v>
      </c>
      <c r="C2304" s="8">
        <v>2021</v>
      </c>
      <c r="D2304" s="8">
        <v>11</v>
      </c>
      <c r="E2304" s="3" t="str">
        <f t="shared" si="70"/>
        <v>November</v>
      </c>
      <c r="F2304" s="3" t="s">
        <v>13</v>
      </c>
      <c r="G2304" s="8">
        <v>674.4528871</v>
      </c>
      <c r="H2304" s="8">
        <v>634</v>
      </c>
      <c r="I2304" s="8">
        <v>-40.452887060000002</v>
      </c>
      <c r="J2304" s="8">
        <v>6589.8547049999997</v>
      </c>
      <c r="K2304" s="8">
        <v>6407.313682</v>
      </c>
      <c r="L2304" s="8">
        <v>6756.5276750000003</v>
      </c>
      <c r="M2304" s="9" t="str">
        <f>IF(A2304="",M2305,A2304)</f>
        <v>Kuwait</v>
      </c>
      <c r="N2304" s="3" t="str">
        <f t="shared" si="71"/>
        <v>Nov-2021</v>
      </c>
    </row>
    <row r="2305" spans="1:14" x14ac:dyDescent="0.3">
      <c r="A2305" s="3" t="s">
        <v>198</v>
      </c>
      <c r="B2305" s="3" t="s">
        <v>199</v>
      </c>
      <c r="C2305" s="8">
        <v>2021</v>
      </c>
      <c r="D2305" s="8">
        <v>12</v>
      </c>
      <c r="E2305" s="3" t="str">
        <f t="shared" si="70"/>
        <v>December</v>
      </c>
      <c r="F2305" s="3" t="s">
        <v>13</v>
      </c>
      <c r="G2305" s="8">
        <v>738.43314699999996</v>
      </c>
      <c r="H2305" s="8">
        <v>697</v>
      </c>
      <c r="I2305" s="8">
        <v>-41.433147040000001</v>
      </c>
      <c r="J2305" s="8">
        <v>6548.421558</v>
      </c>
      <c r="K2305" s="8">
        <v>6362.1901639999996</v>
      </c>
      <c r="L2305" s="8">
        <v>6729.5259690000003</v>
      </c>
      <c r="M2305" s="9" t="str">
        <f>IF(A2305="",M2306,A2305)</f>
        <v>Kuwait</v>
      </c>
      <c r="N2305" s="3" t="str">
        <f t="shared" si="71"/>
        <v>Dec-2021</v>
      </c>
    </row>
    <row r="2306" spans="1:14" x14ac:dyDescent="0.3">
      <c r="A2306" s="3" t="s">
        <v>200</v>
      </c>
      <c r="B2306" s="3" t="s">
        <v>201</v>
      </c>
      <c r="C2306" s="8">
        <v>2020</v>
      </c>
      <c r="D2306" s="8">
        <v>1</v>
      </c>
      <c r="E2306" s="3" t="str">
        <f t="shared" ref="E2306:E2369" si="72">TEXT(DATE(C2306,D2306,1),"MMMM")</f>
        <v>January</v>
      </c>
      <c r="F2306" s="3" t="s">
        <v>8</v>
      </c>
      <c r="G2306" s="8">
        <v>3718.028562</v>
      </c>
      <c r="H2306" s="8">
        <v>3810.6930000000002</v>
      </c>
      <c r="I2306" s="8">
        <v>92.664438349999998</v>
      </c>
      <c r="J2306" s="8">
        <v>92.664438349999998</v>
      </c>
      <c r="K2306" s="8">
        <v>-809.01322419999997</v>
      </c>
      <c r="L2306" s="8">
        <v>1246.629306</v>
      </c>
      <c r="M2306" s="9" t="str">
        <f>IF(A2306="",M2307,A2306)</f>
        <v>Lao People's Democratic Republic</v>
      </c>
      <c r="N2306" s="3" t="str">
        <f t="shared" ref="N2306:N2369" si="73">TEXT(DATE(C2306,D2306,1),"MMM-YYYY")</f>
        <v>Jan-2020</v>
      </c>
    </row>
    <row r="2307" spans="1:14" x14ac:dyDescent="0.3">
      <c r="A2307" s="3" t="s">
        <v>200</v>
      </c>
      <c r="B2307" s="3" t="s">
        <v>201</v>
      </c>
      <c r="C2307" s="8">
        <v>2020</v>
      </c>
      <c r="D2307" s="8">
        <v>2</v>
      </c>
      <c r="E2307" s="3" t="str">
        <f t="shared" si="72"/>
        <v>February</v>
      </c>
      <c r="F2307" s="3" t="s">
        <v>8</v>
      </c>
      <c r="G2307" s="8">
        <v>3707.2364680000001</v>
      </c>
      <c r="H2307" s="8">
        <v>3711.0929999999998</v>
      </c>
      <c r="I2307" s="8">
        <v>3.856531548</v>
      </c>
      <c r="J2307" s="8">
        <v>96.520969890000003</v>
      </c>
      <c r="K2307" s="8">
        <v>-1233.7095549999999</v>
      </c>
      <c r="L2307" s="8">
        <v>1465.2546809999999</v>
      </c>
      <c r="M2307" s="9" t="str">
        <f>IF(A2307="",M2308,A2307)</f>
        <v>Lao People's Democratic Republic</v>
      </c>
      <c r="N2307" s="3" t="str">
        <f t="shared" si="73"/>
        <v>Feb-2020</v>
      </c>
    </row>
    <row r="2308" spans="1:14" x14ac:dyDescent="0.3">
      <c r="A2308" s="3" t="s">
        <v>200</v>
      </c>
      <c r="B2308" s="3" t="s">
        <v>201</v>
      </c>
      <c r="C2308" s="8">
        <v>2020</v>
      </c>
      <c r="D2308" s="8">
        <v>3</v>
      </c>
      <c r="E2308" s="3" t="str">
        <f t="shared" si="72"/>
        <v>March</v>
      </c>
      <c r="F2308" s="3" t="s">
        <v>8</v>
      </c>
      <c r="G2308" s="8">
        <v>3641.1122249999999</v>
      </c>
      <c r="H2308" s="8">
        <v>3598.55</v>
      </c>
      <c r="I2308" s="8">
        <v>-42.562225150000003</v>
      </c>
      <c r="J2308" s="8">
        <v>53.95874474</v>
      </c>
      <c r="K2308" s="8">
        <v>-1536.7294529999999</v>
      </c>
      <c r="L2308" s="8">
        <v>1816.446015</v>
      </c>
      <c r="M2308" s="9" t="str">
        <f>IF(A2308="",M2309,A2308)</f>
        <v>Lao People's Democratic Republic</v>
      </c>
      <c r="N2308" s="3" t="str">
        <f t="shared" si="73"/>
        <v>Mar-2020</v>
      </c>
    </row>
    <row r="2309" spans="1:14" x14ac:dyDescent="0.3">
      <c r="A2309" s="3" t="s">
        <v>200</v>
      </c>
      <c r="B2309" s="3" t="s">
        <v>201</v>
      </c>
      <c r="C2309" s="8">
        <v>2020</v>
      </c>
      <c r="D2309" s="8">
        <v>4</v>
      </c>
      <c r="E2309" s="3" t="str">
        <f t="shared" si="72"/>
        <v>April</v>
      </c>
      <c r="F2309" s="3" t="s">
        <v>8</v>
      </c>
      <c r="G2309" s="8">
        <v>3626.8864290000001</v>
      </c>
      <c r="H2309" s="8">
        <v>3169.9360000000001</v>
      </c>
      <c r="I2309" s="8">
        <v>-456.95042849999999</v>
      </c>
      <c r="J2309" s="8">
        <v>-402.99168379999998</v>
      </c>
      <c r="K2309" s="8">
        <v>-2211.2913429999999</v>
      </c>
      <c r="L2309" s="8">
        <v>1514.788395</v>
      </c>
      <c r="M2309" s="9" t="str">
        <f>IF(A2309="",M2310,A2309)</f>
        <v>Lao People's Democratic Republic</v>
      </c>
      <c r="N2309" s="3" t="str">
        <f t="shared" si="73"/>
        <v>Apr-2020</v>
      </c>
    </row>
    <row r="2310" spans="1:14" x14ac:dyDescent="0.3">
      <c r="A2310" s="3" t="s">
        <v>200</v>
      </c>
      <c r="B2310" s="3" t="s">
        <v>201</v>
      </c>
      <c r="C2310" s="8">
        <v>2020</v>
      </c>
      <c r="D2310" s="8">
        <v>5</v>
      </c>
      <c r="E2310" s="3" t="str">
        <f t="shared" si="72"/>
        <v>May</v>
      </c>
      <c r="F2310" s="3" t="s">
        <v>8</v>
      </c>
      <c r="G2310" s="8">
        <v>3576.1310210000001</v>
      </c>
      <c r="H2310" s="8">
        <v>3404.2260000000001</v>
      </c>
      <c r="I2310" s="8">
        <v>-171.90502069999999</v>
      </c>
      <c r="J2310" s="8">
        <v>-574.89670450000006</v>
      </c>
      <c r="K2310" s="8">
        <v>-2532.7920049999998</v>
      </c>
      <c r="L2310" s="8">
        <v>1556.1394989999999</v>
      </c>
      <c r="M2310" s="9" t="str">
        <f>IF(A2310="",M2311,A2310)</f>
        <v>Lao People's Democratic Republic</v>
      </c>
      <c r="N2310" s="3" t="str">
        <f t="shared" si="73"/>
        <v>May-2020</v>
      </c>
    </row>
    <row r="2311" spans="1:14" x14ac:dyDescent="0.3">
      <c r="A2311" s="3" t="s">
        <v>200</v>
      </c>
      <c r="B2311" s="3" t="s">
        <v>201</v>
      </c>
      <c r="C2311" s="8">
        <v>2020</v>
      </c>
      <c r="D2311" s="8">
        <v>6</v>
      </c>
      <c r="E2311" s="3" t="str">
        <f t="shared" si="72"/>
        <v>June</v>
      </c>
      <c r="F2311" s="3" t="s">
        <v>8</v>
      </c>
      <c r="G2311" s="8">
        <v>3590.3234980000002</v>
      </c>
      <c r="H2311" s="8">
        <v>3688.9</v>
      </c>
      <c r="I2311" s="8">
        <v>98.576501559999997</v>
      </c>
      <c r="J2311" s="8">
        <v>-476.32020290000003</v>
      </c>
      <c r="K2311" s="8">
        <v>-2751.6665539999999</v>
      </c>
      <c r="L2311" s="8">
        <v>1940.528998</v>
      </c>
      <c r="M2311" s="9" t="str">
        <f>IF(A2311="",M2312,A2311)</f>
        <v>Lao People's Democratic Republic</v>
      </c>
      <c r="N2311" s="3" t="str">
        <f t="shared" si="73"/>
        <v>Jun-2020</v>
      </c>
    </row>
    <row r="2312" spans="1:14" x14ac:dyDescent="0.3">
      <c r="A2312" s="3" t="s">
        <v>200</v>
      </c>
      <c r="B2312" s="3" t="s">
        <v>201</v>
      </c>
      <c r="C2312" s="8">
        <v>2020</v>
      </c>
      <c r="D2312" s="8">
        <v>7</v>
      </c>
      <c r="E2312" s="3" t="str">
        <f t="shared" si="72"/>
        <v>July</v>
      </c>
      <c r="F2312" s="3" t="s">
        <v>8</v>
      </c>
      <c r="G2312" s="8">
        <v>3594.3024260000002</v>
      </c>
      <c r="H2312" s="8">
        <v>3751.3510000000001</v>
      </c>
      <c r="I2312" s="8">
        <v>157.04857430000001</v>
      </c>
      <c r="J2312" s="8">
        <v>-319.27162870000001</v>
      </c>
      <c r="K2312" s="8">
        <v>-2880.6707299999998</v>
      </c>
      <c r="L2312" s="8">
        <v>2390.1047509999999</v>
      </c>
      <c r="M2312" s="9" t="str">
        <f>IF(A2312="",M2313,A2312)</f>
        <v>Lao People's Democratic Republic</v>
      </c>
      <c r="N2312" s="3" t="str">
        <f t="shared" si="73"/>
        <v>Jul-2020</v>
      </c>
    </row>
    <row r="2313" spans="1:14" x14ac:dyDescent="0.3">
      <c r="A2313" s="3" t="s">
        <v>200</v>
      </c>
      <c r="B2313" s="3" t="s">
        <v>201</v>
      </c>
      <c r="C2313" s="8">
        <v>2020</v>
      </c>
      <c r="D2313" s="8">
        <v>8</v>
      </c>
      <c r="E2313" s="3" t="str">
        <f t="shared" si="72"/>
        <v>August</v>
      </c>
      <c r="F2313" s="3" t="s">
        <v>8</v>
      </c>
      <c r="G2313" s="8">
        <v>3612.0868529999998</v>
      </c>
      <c r="H2313" s="8">
        <v>3775.7620000000002</v>
      </c>
      <c r="I2313" s="8">
        <v>163.6751472</v>
      </c>
      <c r="J2313" s="8">
        <v>-155.59648150000001</v>
      </c>
      <c r="K2313" s="8">
        <v>-2875.9181760000001</v>
      </c>
      <c r="L2313" s="8">
        <v>2890.4603769999999</v>
      </c>
      <c r="M2313" s="9" t="str">
        <f>IF(A2313="",M2314,A2313)</f>
        <v>Lao People's Democratic Republic</v>
      </c>
      <c r="N2313" s="3" t="str">
        <f t="shared" si="73"/>
        <v>Aug-2020</v>
      </c>
    </row>
    <row r="2314" spans="1:14" x14ac:dyDescent="0.3">
      <c r="A2314" s="3" t="s">
        <v>200</v>
      </c>
      <c r="B2314" s="3" t="s">
        <v>201</v>
      </c>
      <c r="C2314" s="8">
        <v>2020</v>
      </c>
      <c r="D2314" s="8">
        <v>9</v>
      </c>
      <c r="E2314" s="3" t="str">
        <f t="shared" si="72"/>
        <v>September</v>
      </c>
      <c r="F2314" s="3" t="s">
        <v>8</v>
      </c>
      <c r="G2314" s="8">
        <v>3610.6367209999999</v>
      </c>
      <c r="H2314" s="8">
        <v>3728.0419999999999</v>
      </c>
      <c r="I2314" s="8">
        <v>117.4052794</v>
      </c>
      <c r="J2314" s="8">
        <v>-38.191202089999997</v>
      </c>
      <c r="K2314" s="8">
        <v>-2896.8808979999999</v>
      </c>
      <c r="L2314" s="8">
        <v>2950.7056160000002</v>
      </c>
      <c r="M2314" s="9" t="str">
        <f>IF(A2314="",M2315,A2314)</f>
        <v>Lao People's Democratic Republic</v>
      </c>
      <c r="N2314" s="3" t="str">
        <f t="shared" si="73"/>
        <v>Sep-2020</v>
      </c>
    </row>
    <row r="2315" spans="1:14" x14ac:dyDescent="0.3">
      <c r="A2315" s="3" t="s">
        <v>200</v>
      </c>
      <c r="B2315" s="3" t="s">
        <v>201</v>
      </c>
      <c r="C2315" s="8">
        <v>2020</v>
      </c>
      <c r="D2315" s="8">
        <v>10</v>
      </c>
      <c r="E2315" s="3" t="str">
        <f t="shared" si="72"/>
        <v>October</v>
      </c>
      <c r="F2315" s="3" t="s">
        <v>8</v>
      </c>
      <c r="G2315" s="8">
        <v>3672.22246</v>
      </c>
      <c r="H2315" s="8">
        <v>3756.8609999999999</v>
      </c>
      <c r="I2315" s="8">
        <v>84.638540160000005</v>
      </c>
      <c r="J2315" s="8">
        <v>46.447338070000001</v>
      </c>
      <c r="K2315" s="8">
        <v>-3027.3920840000001</v>
      </c>
      <c r="L2315" s="8">
        <v>3222.9666360000001</v>
      </c>
      <c r="M2315" s="9" t="str">
        <f>IF(A2315="",M2316,A2315)</f>
        <v>Lao People's Democratic Republic</v>
      </c>
      <c r="N2315" s="3" t="str">
        <f t="shared" si="73"/>
        <v>Oct-2020</v>
      </c>
    </row>
    <row r="2316" spans="1:14" x14ac:dyDescent="0.3">
      <c r="A2316" s="3" t="s">
        <v>200</v>
      </c>
      <c r="B2316" s="3" t="s">
        <v>201</v>
      </c>
      <c r="C2316" s="8">
        <v>2020</v>
      </c>
      <c r="D2316" s="8">
        <v>11</v>
      </c>
      <c r="E2316" s="3" t="str">
        <f t="shared" si="72"/>
        <v>November</v>
      </c>
      <c r="F2316" s="3" t="s">
        <v>8</v>
      </c>
      <c r="G2316" s="8">
        <v>3685.6941870000001</v>
      </c>
      <c r="H2316" s="8">
        <v>3749.4340000000002</v>
      </c>
      <c r="I2316" s="8">
        <v>63.739812630000003</v>
      </c>
      <c r="J2316" s="8">
        <v>110.1871507</v>
      </c>
      <c r="K2316" s="8">
        <v>-3037.2365559999998</v>
      </c>
      <c r="L2316" s="8">
        <v>3691.2145599999999</v>
      </c>
      <c r="M2316" s="9" t="str">
        <f>IF(A2316="",M2317,A2316)</f>
        <v>Lao People's Democratic Republic</v>
      </c>
      <c r="N2316" s="3" t="str">
        <f t="shared" si="73"/>
        <v>Nov-2020</v>
      </c>
    </row>
    <row r="2317" spans="1:14" x14ac:dyDescent="0.3">
      <c r="A2317" s="3" t="s">
        <v>200</v>
      </c>
      <c r="B2317" s="3" t="s">
        <v>201</v>
      </c>
      <c r="C2317" s="8">
        <v>2020</v>
      </c>
      <c r="D2317" s="8">
        <v>12</v>
      </c>
      <c r="E2317" s="3" t="str">
        <f t="shared" si="72"/>
        <v>December</v>
      </c>
      <c r="F2317" s="3" t="s">
        <v>8</v>
      </c>
      <c r="G2317" s="8">
        <v>3748.0437299999999</v>
      </c>
      <c r="H2317" s="8">
        <v>3823.3119999999999</v>
      </c>
      <c r="I2317" s="8">
        <v>75.268269700000005</v>
      </c>
      <c r="J2317" s="8">
        <v>185.45542040000001</v>
      </c>
      <c r="K2317" s="8">
        <v>-3156.7650939999999</v>
      </c>
      <c r="L2317" s="8">
        <v>3787.3220879999999</v>
      </c>
      <c r="M2317" s="9" t="str">
        <f>IF(A2317="",M2318,A2317)</f>
        <v>Lao People's Democratic Republic</v>
      </c>
      <c r="N2317" s="3" t="str">
        <f t="shared" si="73"/>
        <v>Dec-2020</v>
      </c>
    </row>
    <row r="2318" spans="1:14" x14ac:dyDescent="0.3">
      <c r="A2318" s="3" t="s">
        <v>200</v>
      </c>
      <c r="B2318" s="3" t="s">
        <v>201</v>
      </c>
      <c r="C2318" s="8">
        <v>2021</v>
      </c>
      <c r="D2318" s="8">
        <v>1</v>
      </c>
      <c r="E2318" s="3" t="str">
        <f t="shared" si="72"/>
        <v>January</v>
      </c>
      <c r="F2318" s="3" t="s">
        <v>8</v>
      </c>
      <c r="G2318" s="8">
        <v>3738.1600290000001</v>
      </c>
      <c r="H2318" s="8">
        <v>3852.7860000000001</v>
      </c>
      <c r="I2318" s="8">
        <v>114.6259707</v>
      </c>
      <c r="J2318" s="8">
        <v>300.08139110000002</v>
      </c>
      <c r="K2318" s="8">
        <v>-3374.4937669999999</v>
      </c>
      <c r="L2318" s="8">
        <v>3984.4586960000001</v>
      </c>
      <c r="M2318" s="9" t="str">
        <f>IF(A2318="",M2319,A2318)</f>
        <v>Lao People's Democratic Republic</v>
      </c>
      <c r="N2318" s="3" t="str">
        <f t="shared" si="73"/>
        <v>Jan-2021</v>
      </c>
    </row>
    <row r="2319" spans="1:14" x14ac:dyDescent="0.3">
      <c r="A2319" s="3" t="s">
        <v>200</v>
      </c>
      <c r="B2319" s="3" t="s">
        <v>201</v>
      </c>
      <c r="C2319" s="8">
        <v>2021</v>
      </c>
      <c r="D2319" s="8">
        <v>2</v>
      </c>
      <c r="E2319" s="3" t="str">
        <f t="shared" si="72"/>
        <v>February</v>
      </c>
      <c r="F2319" s="3" t="s">
        <v>8</v>
      </c>
      <c r="G2319" s="8">
        <v>3731.4390440000002</v>
      </c>
      <c r="H2319" s="8">
        <v>3844.3939999999998</v>
      </c>
      <c r="I2319" s="8">
        <v>112.9549561</v>
      </c>
      <c r="J2319" s="8">
        <v>413.03634729999999</v>
      </c>
      <c r="K2319" s="8">
        <v>-3369.9036259999998</v>
      </c>
      <c r="L2319" s="8">
        <v>4334.2244559999999</v>
      </c>
      <c r="M2319" s="9" t="str">
        <f>IF(A2319="",M2320,A2319)</f>
        <v>Lao People's Democratic Republic</v>
      </c>
      <c r="N2319" s="3" t="str">
        <f t="shared" si="73"/>
        <v>Feb-2021</v>
      </c>
    </row>
    <row r="2320" spans="1:14" x14ac:dyDescent="0.3">
      <c r="A2320" s="3" t="s">
        <v>200</v>
      </c>
      <c r="B2320" s="3" t="s">
        <v>201</v>
      </c>
      <c r="C2320" s="8">
        <v>2021</v>
      </c>
      <c r="D2320" s="8">
        <v>3</v>
      </c>
      <c r="E2320" s="3" t="str">
        <f t="shared" si="72"/>
        <v>March</v>
      </c>
      <c r="F2320" s="3" t="s">
        <v>8</v>
      </c>
      <c r="G2320" s="8">
        <v>3661.5533310000001</v>
      </c>
      <c r="H2320" s="8">
        <v>3763.951</v>
      </c>
      <c r="I2320" s="8">
        <v>102.3976686</v>
      </c>
      <c r="J2320" s="8">
        <v>515.43401589999996</v>
      </c>
      <c r="K2320" s="8">
        <v>-3668.4189900000001</v>
      </c>
      <c r="L2320" s="8">
        <v>4471.4863370000003</v>
      </c>
      <c r="M2320" s="9" t="str">
        <f>IF(A2320="",M2321,A2320)</f>
        <v>Lao People's Democratic Republic</v>
      </c>
      <c r="N2320" s="3" t="str">
        <f t="shared" si="73"/>
        <v>Mar-2021</v>
      </c>
    </row>
    <row r="2321" spans="1:14" x14ac:dyDescent="0.3">
      <c r="A2321" s="3" t="s">
        <v>200</v>
      </c>
      <c r="B2321" s="3" t="s">
        <v>201</v>
      </c>
      <c r="C2321" s="8">
        <v>2021</v>
      </c>
      <c r="D2321" s="8">
        <v>4</v>
      </c>
      <c r="E2321" s="3" t="str">
        <f t="shared" si="72"/>
        <v>April</v>
      </c>
      <c r="F2321" s="3" t="s">
        <v>8</v>
      </c>
      <c r="G2321" s="8">
        <v>3648.7024280000001</v>
      </c>
      <c r="H2321" s="8">
        <v>3777.7040000000002</v>
      </c>
      <c r="I2321" s="8">
        <v>129.00157229999999</v>
      </c>
      <c r="J2321" s="8">
        <v>644.43558819999998</v>
      </c>
      <c r="K2321" s="8">
        <v>-3572.7253609999998</v>
      </c>
      <c r="L2321" s="8">
        <v>4727.1940160000004</v>
      </c>
      <c r="M2321" s="9" t="str">
        <f>IF(A2321="",M2322,A2321)</f>
        <v>Lao People's Democratic Republic</v>
      </c>
      <c r="N2321" s="3" t="str">
        <f t="shared" si="73"/>
        <v>Apr-2021</v>
      </c>
    </row>
    <row r="2322" spans="1:14" x14ac:dyDescent="0.3">
      <c r="A2322" s="3" t="s">
        <v>200</v>
      </c>
      <c r="B2322" s="3" t="s">
        <v>201</v>
      </c>
      <c r="C2322" s="8">
        <v>2021</v>
      </c>
      <c r="D2322" s="8">
        <v>5</v>
      </c>
      <c r="E2322" s="3" t="str">
        <f t="shared" si="72"/>
        <v>May</v>
      </c>
      <c r="F2322" s="3" t="s">
        <v>8</v>
      </c>
      <c r="G2322" s="8">
        <v>3597.042997</v>
      </c>
      <c r="H2322" s="8">
        <v>3455.2220000000002</v>
      </c>
      <c r="I2322" s="8">
        <v>-141.82099719999999</v>
      </c>
      <c r="J2322" s="8">
        <v>502.61459100000002</v>
      </c>
      <c r="K2322" s="8">
        <v>-3888.0217069999999</v>
      </c>
      <c r="L2322" s="8">
        <v>4554.8089170000003</v>
      </c>
      <c r="M2322" s="9" t="str">
        <f>IF(A2322="",M2323,A2322)</f>
        <v>Lao People's Democratic Republic</v>
      </c>
      <c r="N2322" s="3" t="str">
        <f t="shared" si="73"/>
        <v>May-2021</v>
      </c>
    </row>
    <row r="2323" spans="1:14" x14ac:dyDescent="0.3">
      <c r="A2323" s="3" t="s">
        <v>200</v>
      </c>
      <c r="B2323" s="3" t="s">
        <v>201</v>
      </c>
      <c r="C2323" s="8">
        <v>2021</v>
      </c>
      <c r="D2323" s="8">
        <v>6</v>
      </c>
      <c r="E2323" s="3" t="str">
        <f t="shared" si="72"/>
        <v>June</v>
      </c>
      <c r="F2323" s="3" t="s">
        <v>8</v>
      </c>
      <c r="G2323" s="8">
        <v>3612.795795</v>
      </c>
      <c r="H2323" s="8">
        <v>3492.8440000000001</v>
      </c>
      <c r="I2323" s="8">
        <v>-119.9517946</v>
      </c>
      <c r="J2323" s="8">
        <v>382.66279639999999</v>
      </c>
      <c r="K2323" s="8">
        <v>-3871.0961579999998</v>
      </c>
      <c r="L2323" s="8">
        <v>4472.4780449999998</v>
      </c>
      <c r="M2323" s="9" t="str">
        <f>IF(A2323="",M2324,A2323)</f>
        <v>Lao People's Democratic Republic</v>
      </c>
      <c r="N2323" s="3" t="str">
        <f t="shared" si="73"/>
        <v>Jun-2021</v>
      </c>
    </row>
    <row r="2324" spans="1:14" x14ac:dyDescent="0.3">
      <c r="A2324" s="3" t="s">
        <v>200</v>
      </c>
      <c r="B2324" s="3" t="s">
        <v>201</v>
      </c>
      <c r="C2324" s="8">
        <v>2021</v>
      </c>
      <c r="D2324" s="8">
        <v>7</v>
      </c>
      <c r="E2324" s="3" t="str">
        <f t="shared" si="72"/>
        <v>July</v>
      </c>
      <c r="F2324" s="3" t="s">
        <v>8</v>
      </c>
      <c r="G2324" s="8">
        <v>3618.0555199999999</v>
      </c>
      <c r="H2324" s="8">
        <v>3745.1080000000002</v>
      </c>
      <c r="I2324" s="8">
        <v>127.05247989999999</v>
      </c>
      <c r="J2324" s="8">
        <v>509.71527630000003</v>
      </c>
      <c r="K2324" s="8">
        <v>-4011.7563239999999</v>
      </c>
      <c r="L2324" s="8">
        <v>4927.4390240000002</v>
      </c>
      <c r="M2324" s="9" t="str">
        <f>IF(A2324="",M2325,A2324)</f>
        <v>Lao People's Democratic Republic</v>
      </c>
      <c r="N2324" s="3" t="str">
        <f t="shared" si="73"/>
        <v>Jul-2021</v>
      </c>
    </row>
    <row r="2325" spans="1:14" x14ac:dyDescent="0.3">
      <c r="A2325" s="3" t="s">
        <v>200</v>
      </c>
      <c r="B2325" s="3" t="s">
        <v>201</v>
      </c>
      <c r="C2325" s="8">
        <v>2021</v>
      </c>
      <c r="D2325" s="8">
        <v>8</v>
      </c>
      <c r="E2325" s="3" t="str">
        <f t="shared" si="72"/>
        <v>August</v>
      </c>
      <c r="F2325" s="3" t="s">
        <v>8</v>
      </c>
      <c r="G2325" s="8">
        <v>3633.4070879999999</v>
      </c>
      <c r="H2325" s="8">
        <v>3869.5889999999999</v>
      </c>
      <c r="I2325" s="8">
        <v>236.18191179999999</v>
      </c>
      <c r="J2325" s="8">
        <v>745.89718800000003</v>
      </c>
      <c r="K2325" s="8">
        <v>-3725.6041919999998</v>
      </c>
      <c r="L2325" s="8">
        <v>5460.6097239999999</v>
      </c>
      <c r="M2325" s="9" t="str">
        <f>IF(A2325="",M2326,A2325)</f>
        <v>Lao People's Democratic Republic</v>
      </c>
      <c r="N2325" s="3" t="str">
        <f t="shared" si="73"/>
        <v>Aug-2021</v>
      </c>
    </row>
    <row r="2326" spans="1:14" x14ac:dyDescent="0.3">
      <c r="A2326" s="3" t="s">
        <v>200</v>
      </c>
      <c r="B2326" s="3" t="s">
        <v>201</v>
      </c>
      <c r="C2326" s="8">
        <v>2021</v>
      </c>
      <c r="D2326" s="8">
        <v>9</v>
      </c>
      <c r="E2326" s="3" t="str">
        <f t="shared" si="72"/>
        <v>September</v>
      </c>
      <c r="F2326" s="3" t="s">
        <v>8</v>
      </c>
      <c r="G2326" s="8">
        <v>3630.9612830000001</v>
      </c>
      <c r="H2326" s="8">
        <v>3727.6959999999999</v>
      </c>
      <c r="I2326" s="8">
        <v>96.734716910000003</v>
      </c>
      <c r="J2326" s="8">
        <v>842.63190499999996</v>
      </c>
      <c r="K2326" s="8">
        <v>-3633.8119459999998</v>
      </c>
      <c r="L2326" s="8">
        <v>5656.6668339999997</v>
      </c>
      <c r="M2326" s="9" t="str">
        <f>IF(A2326="",M2327,A2326)</f>
        <v>Lao People's Democratic Republic</v>
      </c>
      <c r="N2326" s="3" t="str">
        <f t="shared" si="73"/>
        <v>Sep-2021</v>
      </c>
    </row>
    <row r="2327" spans="1:14" x14ac:dyDescent="0.3">
      <c r="A2327" s="3" t="s">
        <v>200</v>
      </c>
      <c r="B2327" s="3" t="s">
        <v>201</v>
      </c>
      <c r="C2327" s="8">
        <v>2021</v>
      </c>
      <c r="D2327" s="8">
        <v>10</v>
      </c>
      <c r="E2327" s="3" t="str">
        <f t="shared" si="72"/>
        <v>October</v>
      </c>
      <c r="F2327" s="3" t="s">
        <v>8</v>
      </c>
      <c r="G2327" s="8">
        <v>3693.5728370000002</v>
      </c>
      <c r="H2327" s="8">
        <v>4080.3620000000001</v>
      </c>
      <c r="I2327" s="8">
        <v>386.78916299999997</v>
      </c>
      <c r="J2327" s="8">
        <v>1229.4210680000001</v>
      </c>
      <c r="K2327" s="8">
        <v>-3493.3986629999999</v>
      </c>
      <c r="L2327" s="8">
        <v>6160.9016650000003</v>
      </c>
      <c r="M2327" s="9" t="str">
        <f>IF(A2327="",M2328,A2327)</f>
        <v>Lao People's Democratic Republic</v>
      </c>
      <c r="N2327" s="3" t="str">
        <f t="shared" si="73"/>
        <v>Oct-2021</v>
      </c>
    </row>
    <row r="2328" spans="1:14" x14ac:dyDescent="0.3">
      <c r="A2328" s="3" t="s">
        <v>200</v>
      </c>
      <c r="B2328" s="3" t="s">
        <v>201</v>
      </c>
      <c r="C2328" s="8">
        <v>2021</v>
      </c>
      <c r="D2328" s="8">
        <v>11</v>
      </c>
      <c r="E2328" s="3" t="str">
        <f t="shared" si="72"/>
        <v>November</v>
      </c>
      <c r="F2328" s="3" t="s">
        <v>8</v>
      </c>
      <c r="G2328" s="8">
        <v>3707.628616</v>
      </c>
      <c r="H2328" s="8">
        <v>4365.3050000000003</v>
      </c>
      <c r="I2328" s="8">
        <v>657.67638399999998</v>
      </c>
      <c r="J2328" s="8">
        <v>1887.097452</v>
      </c>
      <c r="K2328" s="8">
        <v>-2938.8390340000001</v>
      </c>
      <c r="L2328" s="8">
        <v>6946.512745</v>
      </c>
      <c r="M2328" s="9" t="str">
        <f>IF(A2328="",M2329,A2328)</f>
        <v>Lao People's Democratic Republic</v>
      </c>
      <c r="N2328" s="3" t="str">
        <f t="shared" si="73"/>
        <v>Nov-2021</v>
      </c>
    </row>
    <row r="2329" spans="1:14" x14ac:dyDescent="0.3">
      <c r="A2329" s="3" t="s">
        <v>200</v>
      </c>
      <c r="B2329" s="3" t="s">
        <v>201</v>
      </c>
      <c r="C2329" s="8">
        <v>2021</v>
      </c>
      <c r="D2329" s="8">
        <v>12</v>
      </c>
      <c r="E2329" s="3" t="str">
        <f t="shared" si="72"/>
        <v>December</v>
      </c>
      <c r="F2329" s="3" t="s">
        <v>8</v>
      </c>
      <c r="G2329" s="8">
        <v>3770.4024169999998</v>
      </c>
      <c r="H2329" s="8">
        <v>4628.9070000000002</v>
      </c>
      <c r="I2329" s="8">
        <v>858.50458270000001</v>
      </c>
      <c r="J2329" s="8">
        <v>2745.6020349999999</v>
      </c>
      <c r="K2329" s="8">
        <v>-2392.8069420000002</v>
      </c>
      <c r="L2329" s="8">
        <v>7995.2496789999996</v>
      </c>
      <c r="M2329" s="9" t="str">
        <f>IF(A2329="",M2330,A2329)</f>
        <v>Lao People's Democratic Republic</v>
      </c>
      <c r="N2329" s="3" t="str">
        <f t="shared" si="73"/>
        <v>Dec-2021</v>
      </c>
    </row>
    <row r="2330" spans="1:14" x14ac:dyDescent="0.3">
      <c r="A2330" s="3" t="s">
        <v>202</v>
      </c>
      <c r="B2330" s="3" t="s">
        <v>203</v>
      </c>
      <c r="C2330" s="8">
        <v>2020</v>
      </c>
      <c r="D2330" s="8">
        <v>1</v>
      </c>
      <c r="E2330" s="3" t="str">
        <f t="shared" si="72"/>
        <v>January</v>
      </c>
      <c r="F2330" s="3" t="s">
        <v>13</v>
      </c>
      <c r="G2330" s="8">
        <v>2762.8952450000002</v>
      </c>
      <c r="H2330" s="8">
        <v>3475</v>
      </c>
      <c r="I2330" s="8">
        <v>685.63465099999996</v>
      </c>
      <c r="J2330" s="8">
        <v>685.63465099999996</v>
      </c>
      <c r="K2330" s="8">
        <v>517.80844760000002</v>
      </c>
      <c r="L2330" s="8">
        <v>860.1965017</v>
      </c>
      <c r="M2330" s="9" t="str">
        <f>IF(A2330="",M2331,A2330)</f>
        <v>Lebanon</v>
      </c>
      <c r="N2330" s="3" t="str">
        <f t="shared" si="73"/>
        <v>Jan-2020</v>
      </c>
    </row>
    <row r="2331" spans="1:14" x14ac:dyDescent="0.3">
      <c r="A2331" s="3" t="s">
        <v>202</v>
      </c>
      <c r="B2331" s="3" t="s">
        <v>203</v>
      </c>
      <c r="C2331" s="8">
        <v>2020</v>
      </c>
      <c r="D2331" s="8">
        <v>2</v>
      </c>
      <c r="E2331" s="3" t="str">
        <f t="shared" si="72"/>
        <v>February</v>
      </c>
      <c r="F2331" s="3" t="s">
        <v>13</v>
      </c>
      <c r="G2331" s="8">
        <v>2858.3876620000001</v>
      </c>
      <c r="H2331" s="8">
        <v>3107</v>
      </c>
      <c r="I2331" s="8">
        <v>222.1422345</v>
      </c>
      <c r="J2331" s="8">
        <v>907.77688550000005</v>
      </c>
      <c r="K2331" s="8">
        <v>646.99374339999997</v>
      </c>
      <c r="L2331" s="8">
        <v>1167.3237489999999</v>
      </c>
      <c r="M2331" s="9" t="str">
        <f>IF(A2331="",M2332,A2331)</f>
        <v>Lebanon</v>
      </c>
      <c r="N2331" s="3" t="str">
        <f t="shared" si="73"/>
        <v>Feb-2020</v>
      </c>
    </row>
    <row r="2332" spans="1:14" x14ac:dyDescent="0.3">
      <c r="A2332" s="3" t="s">
        <v>202</v>
      </c>
      <c r="B2332" s="3" t="s">
        <v>203</v>
      </c>
      <c r="C2332" s="8">
        <v>2020</v>
      </c>
      <c r="D2332" s="8">
        <v>3</v>
      </c>
      <c r="E2332" s="3" t="str">
        <f t="shared" si="72"/>
        <v>March</v>
      </c>
      <c r="F2332" s="3" t="s">
        <v>13</v>
      </c>
      <c r="G2332" s="8">
        <v>2850.7270250000001</v>
      </c>
      <c r="H2332" s="8">
        <v>2778</v>
      </c>
      <c r="I2332" s="8">
        <v>-99.197128649999996</v>
      </c>
      <c r="J2332" s="8">
        <v>808.57975690000001</v>
      </c>
      <c r="K2332" s="8">
        <v>477.00382730000001</v>
      </c>
      <c r="L2332" s="8">
        <v>1133.311584</v>
      </c>
      <c r="M2332" s="9" t="str">
        <f>IF(A2332="",M2333,A2332)</f>
        <v>Lebanon</v>
      </c>
      <c r="N2332" s="3" t="str">
        <f t="shared" si="73"/>
        <v>Mar-2020</v>
      </c>
    </row>
    <row r="2333" spans="1:14" x14ac:dyDescent="0.3">
      <c r="A2333" s="3" t="s">
        <v>202</v>
      </c>
      <c r="B2333" s="3" t="s">
        <v>203</v>
      </c>
      <c r="C2333" s="8">
        <v>2020</v>
      </c>
      <c r="D2333" s="8">
        <v>4</v>
      </c>
      <c r="E2333" s="3" t="str">
        <f t="shared" si="72"/>
        <v>April</v>
      </c>
      <c r="F2333" s="3" t="s">
        <v>13</v>
      </c>
      <c r="G2333" s="8">
        <v>2709.4867760000002</v>
      </c>
      <c r="H2333" s="8">
        <v>2296</v>
      </c>
      <c r="I2333" s="8">
        <v>-439.95687959999998</v>
      </c>
      <c r="J2333" s="8">
        <v>368.62287730000003</v>
      </c>
      <c r="K2333" s="8">
        <v>-26.522284079999999</v>
      </c>
      <c r="L2333" s="8">
        <v>739.24167079999995</v>
      </c>
      <c r="M2333" s="9" t="str">
        <f>IF(A2333="",M2334,A2333)</f>
        <v>Lebanon</v>
      </c>
      <c r="N2333" s="3" t="str">
        <f t="shared" si="73"/>
        <v>Apr-2020</v>
      </c>
    </row>
    <row r="2334" spans="1:14" x14ac:dyDescent="0.3">
      <c r="A2334" s="3" t="s">
        <v>202</v>
      </c>
      <c r="B2334" s="3" t="s">
        <v>203</v>
      </c>
      <c r="C2334" s="8">
        <v>2020</v>
      </c>
      <c r="D2334" s="8">
        <v>5</v>
      </c>
      <c r="E2334" s="3" t="str">
        <f t="shared" si="72"/>
        <v>May</v>
      </c>
      <c r="F2334" s="3" t="s">
        <v>13</v>
      </c>
      <c r="G2334" s="8">
        <v>2561.0759720000001</v>
      </c>
      <c r="H2334" s="8">
        <v>2729</v>
      </c>
      <c r="I2334" s="8">
        <v>141.4539245</v>
      </c>
      <c r="J2334" s="8">
        <v>510.0768018</v>
      </c>
      <c r="K2334" s="8">
        <v>71.14208146</v>
      </c>
      <c r="L2334" s="8">
        <v>924.55430909999995</v>
      </c>
      <c r="M2334" s="9" t="str">
        <f>IF(A2334="",M2335,A2334)</f>
        <v>Lebanon</v>
      </c>
      <c r="N2334" s="3" t="str">
        <f t="shared" si="73"/>
        <v>May-2020</v>
      </c>
    </row>
    <row r="2335" spans="1:14" x14ac:dyDescent="0.3">
      <c r="A2335" s="3" t="s">
        <v>202</v>
      </c>
      <c r="B2335" s="3" t="s">
        <v>203</v>
      </c>
      <c r="C2335" s="8">
        <v>2020</v>
      </c>
      <c r="D2335" s="8">
        <v>6</v>
      </c>
      <c r="E2335" s="3" t="str">
        <f t="shared" si="72"/>
        <v>June</v>
      </c>
      <c r="F2335" s="3" t="s">
        <v>13</v>
      </c>
      <c r="G2335" s="8">
        <v>2429.373771</v>
      </c>
      <c r="H2335" s="8">
        <v>2283</v>
      </c>
      <c r="I2335" s="8">
        <v>-172.843875</v>
      </c>
      <c r="J2335" s="8">
        <v>337.23292679999997</v>
      </c>
      <c r="K2335" s="8">
        <v>-154.5431427</v>
      </c>
      <c r="L2335" s="8">
        <v>774.76550669999995</v>
      </c>
      <c r="M2335" s="9" t="str">
        <f>IF(A2335="",M2336,A2335)</f>
        <v>Lebanon</v>
      </c>
      <c r="N2335" s="3" t="str">
        <f t="shared" si="73"/>
        <v>Jun-2020</v>
      </c>
    </row>
    <row r="2336" spans="1:14" x14ac:dyDescent="0.3">
      <c r="A2336" s="3" t="s">
        <v>202</v>
      </c>
      <c r="B2336" s="3" t="s">
        <v>203</v>
      </c>
      <c r="C2336" s="8">
        <v>2020</v>
      </c>
      <c r="D2336" s="8">
        <v>7</v>
      </c>
      <c r="E2336" s="3" t="str">
        <f t="shared" si="72"/>
        <v>July</v>
      </c>
      <c r="F2336" s="3" t="s">
        <v>13</v>
      </c>
      <c r="G2336" s="8">
        <v>2332.806482</v>
      </c>
      <c r="H2336" s="8">
        <v>2423</v>
      </c>
      <c r="I2336" s="8">
        <v>63.72341393</v>
      </c>
      <c r="J2336" s="8">
        <v>400.95634080000002</v>
      </c>
      <c r="K2336" s="8">
        <v>-102.5237241</v>
      </c>
      <c r="L2336" s="8">
        <v>871.10808580000003</v>
      </c>
      <c r="M2336" s="9" t="str">
        <f>IF(A2336="",M2337,A2336)</f>
        <v>Lebanon</v>
      </c>
      <c r="N2336" s="3" t="str">
        <f t="shared" si="73"/>
        <v>Jul-2020</v>
      </c>
    </row>
    <row r="2337" spans="1:14" x14ac:dyDescent="0.3">
      <c r="A2337" s="3" t="s">
        <v>202</v>
      </c>
      <c r="B2337" s="3" t="s">
        <v>203</v>
      </c>
      <c r="C2337" s="8">
        <v>2020</v>
      </c>
      <c r="D2337" s="8">
        <v>8</v>
      </c>
      <c r="E2337" s="3" t="str">
        <f t="shared" si="72"/>
        <v>August</v>
      </c>
      <c r="F2337" s="3" t="s">
        <v>13</v>
      </c>
      <c r="G2337" s="8">
        <v>2301.0520889999998</v>
      </c>
      <c r="H2337" s="8">
        <v>2674</v>
      </c>
      <c r="I2337" s="8">
        <v>346.47780779999999</v>
      </c>
      <c r="J2337" s="8">
        <v>747.43414849999999</v>
      </c>
      <c r="K2337" s="8">
        <v>213.20014929999999</v>
      </c>
      <c r="L2337" s="8">
        <v>1261.793876</v>
      </c>
      <c r="M2337" s="9" t="str">
        <f>IF(A2337="",M2338,A2337)</f>
        <v>Lebanon</v>
      </c>
      <c r="N2337" s="3" t="str">
        <f t="shared" si="73"/>
        <v>Aug-2020</v>
      </c>
    </row>
    <row r="2338" spans="1:14" x14ac:dyDescent="0.3">
      <c r="A2338" s="3" t="s">
        <v>202</v>
      </c>
      <c r="B2338" s="3" t="s">
        <v>203</v>
      </c>
      <c r="C2338" s="8">
        <v>2020</v>
      </c>
      <c r="D2338" s="8">
        <v>9</v>
      </c>
      <c r="E2338" s="3" t="str">
        <f t="shared" si="72"/>
        <v>September</v>
      </c>
      <c r="F2338" s="3" t="s">
        <v>13</v>
      </c>
      <c r="G2338" s="8">
        <v>2336.52268</v>
      </c>
      <c r="H2338" s="8">
        <v>2773</v>
      </c>
      <c r="I2338" s="8">
        <v>410.00721679999998</v>
      </c>
      <c r="J2338" s="8">
        <v>1157.4413649999999</v>
      </c>
      <c r="K2338" s="8">
        <v>610.79018080000003</v>
      </c>
      <c r="L2338" s="8">
        <v>1684.057354</v>
      </c>
      <c r="M2338" s="9" t="str">
        <f>IF(A2338="",M2339,A2338)</f>
        <v>Lebanon</v>
      </c>
      <c r="N2338" s="3" t="str">
        <f t="shared" si="73"/>
        <v>Sep-2020</v>
      </c>
    </row>
    <row r="2339" spans="1:14" x14ac:dyDescent="0.3">
      <c r="A2339" s="3" t="s">
        <v>202</v>
      </c>
      <c r="B2339" s="3" t="s">
        <v>203</v>
      </c>
      <c r="C2339" s="8">
        <v>2020</v>
      </c>
      <c r="D2339" s="8">
        <v>10</v>
      </c>
      <c r="E2339" s="3" t="str">
        <f t="shared" si="72"/>
        <v>October</v>
      </c>
      <c r="F2339" s="3" t="s">
        <v>13</v>
      </c>
      <c r="G2339" s="8">
        <v>2472.5511489999999</v>
      </c>
      <c r="H2339" s="8">
        <v>3457</v>
      </c>
      <c r="I2339" s="8">
        <v>957.97874760000002</v>
      </c>
      <c r="J2339" s="8">
        <v>2115.4201130000001</v>
      </c>
      <c r="K2339" s="8">
        <v>1549.4799190000001</v>
      </c>
      <c r="L2339" s="8">
        <v>2660.9437939999998</v>
      </c>
      <c r="M2339" s="9" t="str">
        <f>IF(A2339="",M2340,A2339)</f>
        <v>Lebanon</v>
      </c>
      <c r="N2339" s="3" t="str">
        <f t="shared" si="73"/>
        <v>Oct-2020</v>
      </c>
    </row>
    <row r="2340" spans="1:14" x14ac:dyDescent="0.3">
      <c r="A2340" s="3" t="s">
        <v>202</v>
      </c>
      <c r="B2340" s="3" t="s">
        <v>203</v>
      </c>
      <c r="C2340" s="8">
        <v>2020</v>
      </c>
      <c r="D2340" s="8">
        <v>11</v>
      </c>
      <c r="E2340" s="3" t="str">
        <f t="shared" si="72"/>
        <v>November</v>
      </c>
      <c r="F2340" s="3" t="s">
        <v>13</v>
      </c>
      <c r="G2340" s="8">
        <v>2600.4531689999999</v>
      </c>
      <c r="H2340" s="8">
        <v>3572</v>
      </c>
      <c r="I2340" s="8">
        <v>945.07672709999997</v>
      </c>
      <c r="J2340" s="8">
        <v>3060.4968399999998</v>
      </c>
      <c r="K2340" s="8">
        <v>2417.594756</v>
      </c>
      <c r="L2340" s="8">
        <v>3648.5068219999998</v>
      </c>
      <c r="M2340" s="9" t="str">
        <f>IF(A2340="",M2341,A2340)</f>
        <v>Lebanon</v>
      </c>
      <c r="N2340" s="3" t="str">
        <f t="shared" si="73"/>
        <v>Nov-2020</v>
      </c>
    </row>
    <row r="2341" spans="1:14" x14ac:dyDescent="0.3">
      <c r="A2341" s="3" t="s">
        <v>202</v>
      </c>
      <c r="B2341" s="3" t="s">
        <v>203</v>
      </c>
      <c r="C2341" s="8">
        <v>2020</v>
      </c>
      <c r="D2341" s="8">
        <v>12</v>
      </c>
      <c r="E2341" s="3" t="str">
        <f t="shared" si="72"/>
        <v>December</v>
      </c>
      <c r="F2341" s="3" t="s">
        <v>13</v>
      </c>
      <c r="G2341" s="8">
        <v>2756.745093</v>
      </c>
      <c r="H2341" s="8">
        <v>3931</v>
      </c>
      <c r="I2341" s="8">
        <v>1147.784803</v>
      </c>
      <c r="J2341" s="8">
        <v>4208.2816430000003</v>
      </c>
      <c r="K2341" s="8">
        <v>3540.2542389999999</v>
      </c>
      <c r="L2341" s="8">
        <v>4856.6057309999997</v>
      </c>
      <c r="M2341" s="9" t="str">
        <f>IF(A2341="",M2342,A2341)</f>
        <v>Lebanon</v>
      </c>
      <c r="N2341" s="3" t="str">
        <f t="shared" si="73"/>
        <v>Dec-2020</v>
      </c>
    </row>
    <row r="2342" spans="1:14" x14ac:dyDescent="0.3">
      <c r="A2342" s="3" t="s">
        <v>202</v>
      </c>
      <c r="B2342" s="3" t="s">
        <v>203</v>
      </c>
      <c r="C2342" s="8">
        <v>2021</v>
      </c>
      <c r="D2342" s="8">
        <v>1</v>
      </c>
      <c r="E2342" s="3" t="str">
        <f t="shared" si="72"/>
        <v>January</v>
      </c>
      <c r="F2342" s="3" t="s">
        <v>13</v>
      </c>
      <c r="G2342" s="8">
        <v>2744.2491070000001</v>
      </c>
      <c r="H2342" s="8">
        <v>5477</v>
      </c>
      <c r="I2342" s="8">
        <v>2725.1433430000002</v>
      </c>
      <c r="J2342" s="8">
        <v>6933.424986</v>
      </c>
      <c r="K2342" s="8">
        <v>6222.8053609999997</v>
      </c>
      <c r="L2342" s="8">
        <v>7635.8017110000001</v>
      </c>
      <c r="M2342" s="9" t="str">
        <f>IF(A2342="",M2343,A2342)</f>
        <v>Lebanon</v>
      </c>
      <c r="N2342" s="3" t="str">
        <f t="shared" si="73"/>
        <v>Jan-2021</v>
      </c>
    </row>
    <row r="2343" spans="1:14" x14ac:dyDescent="0.3">
      <c r="A2343" s="3" t="s">
        <v>202</v>
      </c>
      <c r="B2343" s="3" t="s">
        <v>203</v>
      </c>
      <c r="C2343" s="8">
        <v>2021</v>
      </c>
      <c r="D2343" s="8">
        <v>2</v>
      </c>
      <c r="E2343" s="3" t="str">
        <f t="shared" si="72"/>
        <v>February</v>
      </c>
      <c r="F2343" s="3" t="s">
        <v>13</v>
      </c>
      <c r="G2343" s="8">
        <v>2848.8432819999998</v>
      </c>
      <c r="H2343" s="8">
        <v>5252</v>
      </c>
      <c r="I2343" s="8">
        <v>2395.5491689999999</v>
      </c>
      <c r="J2343" s="8">
        <v>9328.9741549999999</v>
      </c>
      <c r="K2343" s="8">
        <v>8621.7405299999991</v>
      </c>
      <c r="L2343" s="8">
        <v>10028.415870000001</v>
      </c>
      <c r="M2343" s="9" t="str">
        <f>IF(A2343="",M2344,A2343)</f>
        <v>Lebanon</v>
      </c>
      <c r="N2343" s="3" t="str">
        <f t="shared" si="73"/>
        <v>Feb-2021</v>
      </c>
    </row>
    <row r="2344" spans="1:14" x14ac:dyDescent="0.3">
      <c r="A2344" s="3" t="s">
        <v>202</v>
      </c>
      <c r="B2344" s="3" t="s">
        <v>203</v>
      </c>
      <c r="C2344" s="8">
        <v>2021</v>
      </c>
      <c r="D2344" s="8">
        <v>3</v>
      </c>
      <c r="E2344" s="3" t="str">
        <f t="shared" si="72"/>
        <v>March</v>
      </c>
      <c r="F2344" s="3" t="s">
        <v>13</v>
      </c>
      <c r="G2344" s="8">
        <v>2830.7178349999999</v>
      </c>
      <c r="H2344" s="8">
        <v>5720</v>
      </c>
      <c r="I2344" s="8">
        <v>2881.6746159999998</v>
      </c>
      <c r="J2344" s="8">
        <v>12210.64877</v>
      </c>
      <c r="K2344" s="8">
        <v>11444.03586</v>
      </c>
      <c r="L2344" s="8">
        <v>12966.028130000001</v>
      </c>
      <c r="M2344" s="9" t="str">
        <f>IF(A2344="",M2345,A2344)</f>
        <v>Lebanon</v>
      </c>
      <c r="N2344" s="3" t="str">
        <f t="shared" si="73"/>
        <v>Mar-2021</v>
      </c>
    </row>
    <row r="2345" spans="1:14" x14ac:dyDescent="0.3">
      <c r="A2345" s="3" t="s">
        <v>202</v>
      </c>
      <c r="B2345" s="3" t="s">
        <v>203</v>
      </c>
      <c r="C2345" s="8">
        <v>2021</v>
      </c>
      <c r="D2345" s="8">
        <v>4</v>
      </c>
      <c r="E2345" s="3" t="str">
        <f t="shared" si="72"/>
        <v>April</v>
      </c>
      <c r="F2345" s="3" t="s">
        <v>13</v>
      </c>
      <c r="G2345" s="8">
        <v>2695.40137</v>
      </c>
      <c r="H2345" s="8">
        <v>4481</v>
      </c>
      <c r="I2345" s="8">
        <v>1777.9910809999999</v>
      </c>
      <c r="J2345" s="8">
        <v>13988.63985</v>
      </c>
      <c r="K2345" s="8">
        <v>13208.283719999999</v>
      </c>
      <c r="L2345" s="8">
        <v>14782.141600000001</v>
      </c>
      <c r="M2345" s="9" t="str">
        <f>IF(A2345="",M2346,A2345)</f>
        <v>Lebanon</v>
      </c>
      <c r="N2345" s="3" t="str">
        <f t="shared" si="73"/>
        <v>Apr-2021</v>
      </c>
    </row>
    <row r="2346" spans="1:14" x14ac:dyDescent="0.3">
      <c r="A2346" s="3" t="s">
        <v>202</v>
      </c>
      <c r="B2346" s="3" t="s">
        <v>203</v>
      </c>
      <c r="C2346" s="8">
        <v>2021</v>
      </c>
      <c r="D2346" s="8">
        <v>5</v>
      </c>
      <c r="E2346" s="3" t="str">
        <f t="shared" si="72"/>
        <v>May</v>
      </c>
      <c r="F2346" s="3" t="s">
        <v>13</v>
      </c>
      <c r="G2346" s="8">
        <v>2550.5268310000001</v>
      </c>
      <c r="H2346" s="8">
        <v>3107</v>
      </c>
      <c r="I2346" s="8">
        <v>548.86561959999995</v>
      </c>
      <c r="J2346" s="8">
        <v>14537.50547</v>
      </c>
      <c r="K2346" s="8">
        <v>13684.396500000001</v>
      </c>
      <c r="L2346" s="8">
        <v>15357.19731</v>
      </c>
      <c r="M2346" s="9" t="str">
        <f>IF(A2346="",M2347,A2346)</f>
        <v>Lebanon</v>
      </c>
      <c r="N2346" s="3" t="str">
        <f t="shared" si="73"/>
        <v>May-2021</v>
      </c>
    </row>
    <row r="2347" spans="1:14" x14ac:dyDescent="0.3">
      <c r="A2347" s="3" t="s">
        <v>202</v>
      </c>
      <c r="B2347" s="3" t="s">
        <v>203</v>
      </c>
      <c r="C2347" s="8">
        <v>2021</v>
      </c>
      <c r="D2347" s="8">
        <v>6</v>
      </c>
      <c r="E2347" s="3" t="str">
        <f t="shared" si="72"/>
        <v>June</v>
      </c>
      <c r="F2347" s="3" t="s">
        <v>13</v>
      </c>
      <c r="G2347" s="8">
        <v>2416.0178209999999</v>
      </c>
      <c r="H2347" s="8">
        <v>2544</v>
      </c>
      <c r="I2347" s="8">
        <v>120.37462979999999</v>
      </c>
      <c r="J2347" s="8">
        <v>14657.8801</v>
      </c>
      <c r="K2347" s="8">
        <v>13783.0661</v>
      </c>
      <c r="L2347" s="8">
        <v>15531.761549999999</v>
      </c>
      <c r="M2347" s="9" t="str">
        <f>IF(A2347="",M2348,A2347)</f>
        <v>Lebanon</v>
      </c>
      <c r="N2347" s="3" t="str">
        <f t="shared" si="73"/>
        <v>Jun-2021</v>
      </c>
    </row>
    <row r="2348" spans="1:14" x14ac:dyDescent="0.3">
      <c r="A2348" s="3" t="s">
        <v>202</v>
      </c>
      <c r="B2348" s="3" t="s">
        <v>203</v>
      </c>
      <c r="C2348" s="8">
        <v>2021</v>
      </c>
      <c r="D2348" s="8">
        <v>7</v>
      </c>
      <c r="E2348" s="3" t="str">
        <f t="shared" si="72"/>
        <v>July</v>
      </c>
      <c r="F2348" s="3" t="s">
        <v>13</v>
      </c>
      <c r="G2348" s="8">
        <v>2321.6440950000001</v>
      </c>
      <c r="H2348" s="8">
        <v>2747</v>
      </c>
      <c r="I2348" s="8">
        <v>417.74835519999999</v>
      </c>
      <c r="J2348" s="8">
        <v>15075.62846</v>
      </c>
      <c r="K2348" s="8">
        <v>14208.24302</v>
      </c>
      <c r="L2348" s="8">
        <v>15910.143029999999</v>
      </c>
      <c r="M2348" s="9" t="str">
        <f>IF(A2348="",M2349,A2348)</f>
        <v>Lebanon</v>
      </c>
      <c r="N2348" s="3" t="str">
        <f t="shared" si="73"/>
        <v>Jul-2021</v>
      </c>
    </row>
    <row r="2349" spans="1:14" x14ac:dyDescent="0.3">
      <c r="A2349" s="3" t="s">
        <v>202</v>
      </c>
      <c r="B2349" s="3" t="s">
        <v>203</v>
      </c>
      <c r="C2349" s="8">
        <v>2021</v>
      </c>
      <c r="D2349" s="8">
        <v>8</v>
      </c>
      <c r="E2349" s="3" t="str">
        <f t="shared" si="72"/>
        <v>August</v>
      </c>
      <c r="F2349" s="3" t="s">
        <v>13</v>
      </c>
      <c r="G2349" s="8">
        <v>2285.1104970000001</v>
      </c>
      <c r="H2349" s="8">
        <v>3292</v>
      </c>
      <c r="I2349" s="8">
        <v>999.28195340000002</v>
      </c>
      <c r="J2349" s="8">
        <v>16074.91041</v>
      </c>
      <c r="K2349" s="8">
        <v>15179.137049999999</v>
      </c>
      <c r="L2349" s="8">
        <v>16934.540290000001</v>
      </c>
      <c r="M2349" s="9" t="str">
        <f>IF(A2349="",M2350,A2349)</f>
        <v>Lebanon</v>
      </c>
      <c r="N2349" s="3" t="str">
        <f t="shared" si="73"/>
        <v>Aug-2021</v>
      </c>
    </row>
    <row r="2350" spans="1:14" x14ac:dyDescent="0.3">
      <c r="A2350" s="3" t="s">
        <v>202</v>
      </c>
      <c r="B2350" s="3" t="s">
        <v>203</v>
      </c>
      <c r="C2350" s="8">
        <v>2021</v>
      </c>
      <c r="D2350" s="8">
        <v>9</v>
      </c>
      <c r="E2350" s="3" t="str">
        <f t="shared" si="72"/>
        <v>September</v>
      </c>
      <c r="F2350" s="3" t="s">
        <v>13</v>
      </c>
      <c r="G2350" s="8">
        <v>2317.4445270000001</v>
      </c>
      <c r="H2350" s="8">
        <v>3152</v>
      </c>
      <c r="I2350" s="8">
        <v>826.9479235</v>
      </c>
      <c r="J2350" s="8">
        <v>16901.858329999999</v>
      </c>
      <c r="K2350" s="8">
        <v>15987.365820000001</v>
      </c>
      <c r="L2350" s="8">
        <v>17794.309499999999</v>
      </c>
      <c r="M2350" s="9" t="str">
        <f>IF(A2350="",M2351,A2350)</f>
        <v>Lebanon</v>
      </c>
      <c r="N2350" s="3" t="str">
        <f t="shared" si="73"/>
        <v>Sep-2021</v>
      </c>
    </row>
    <row r="2351" spans="1:14" x14ac:dyDescent="0.3">
      <c r="A2351" s="3" t="s">
        <v>202</v>
      </c>
      <c r="B2351" s="3" t="s">
        <v>203</v>
      </c>
      <c r="C2351" s="8">
        <v>2021</v>
      </c>
      <c r="D2351" s="8">
        <v>10</v>
      </c>
      <c r="E2351" s="3" t="str">
        <f t="shared" si="72"/>
        <v>October</v>
      </c>
      <c r="F2351" s="3" t="s">
        <v>13</v>
      </c>
      <c r="G2351" s="8">
        <v>2450.6766769999999</v>
      </c>
      <c r="H2351" s="8">
        <v>2966</v>
      </c>
      <c r="I2351" s="8">
        <v>507.7157732</v>
      </c>
      <c r="J2351" s="8">
        <v>17409.574110000001</v>
      </c>
      <c r="K2351" s="8">
        <v>16455.03356</v>
      </c>
      <c r="L2351" s="8">
        <v>18332.06495</v>
      </c>
      <c r="M2351" s="9" t="str">
        <f>IF(A2351="",M2352,A2351)</f>
        <v>Lebanon</v>
      </c>
      <c r="N2351" s="3" t="str">
        <f t="shared" si="73"/>
        <v>Oct-2021</v>
      </c>
    </row>
    <row r="2352" spans="1:14" x14ac:dyDescent="0.3">
      <c r="A2352" s="3" t="s">
        <v>202</v>
      </c>
      <c r="B2352" s="3" t="s">
        <v>203</v>
      </c>
      <c r="C2352" s="8">
        <v>2021</v>
      </c>
      <c r="D2352" s="8">
        <v>11</v>
      </c>
      <c r="E2352" s="3" t="str">
        <f t="shared" si="72"/>
        <v>November</v>
      </c>
      <c r="F2352" s="3" t="s">
        <v>13</v>
      </c>
      <c r="G2352" s="8">
        <v>2582.155162</v>
      </c>
      <c r="H2352" s="8">
        <v>3401</v>
      </c>
      <c r="I2352" s="8">
        <v>811.2372881</v>
      </c>
      <c r="J2352" s="8">
        <v>18220.811399999999</v>
      </c>
      <c r="K2352" s="8">
        <v>17249.768059999999</v>
      </c>
      <c r="L2352" s="8">
        <v>19193.189320000001</v>
      </c>
      <c r="M2352" s="9" t="str">
        <f>IF(A2352="",M2353,A2352)</f>
        <v>Lebanon</v>
      </c>
      <c r="N2352" s="3" t="str">
        <f t="shared" si="73"/>
        <v>Nov-2021</v>
      </c>
    </row>
    <row r="2353" spans="1:14" x14ac:dyDescent="0.3">
      <c r="A2353" s="3" t="s">
        <v>202</v>
      </c>
      <c r="B2353" s="3" t="s">
        <v>203</v>
      </c>
      <c r="C2353" s="8">
        <v>2021</v>
      </c>
      <c r="D2353" s="8">
        <v>12</v>
      </c>
      <c r="E2353" s="3" t="str">
        <f t="shared" si="72"/>
        <v>December</v>
      </c>
      <c r="F2353" s="3" t="s">
        <v>13</v>
      </c>
      <c r="G2353" s="8">
        <v>2729.2999730000001</v>
      </c>
      <c r="H2353" s="8">
        <v>4063</v>
      </c>
      <c r="I2353" s="8">
        <v>1326.0924769999999</v>
      </c>
      <c r="J2353" s="8">
        <v>19546.903869999998</v>
      </c>
      <c r="K2353" s="8">
        <v>18542.43562</v>
      </c>
      <c r="L2353" s="8">
        <v>20517.925019999999</v>
      </c>
      <c r="M2353" s="9" t="str">
        <f>IF(A2353="",M2354,A2353)</f>
        <v>Lebanon</v>
      </c>
      <c r="N2353" s="3" t="str">
        <f t="shared" si="73"/>
        <v>Dec-2021</v>
      </c>
    </row>
    <row r="2354" spans="1:14" x14ac:dyDescent="0.3">
      <c r="A2354" s="3" t="s">
        <v>204</v>
      </c>
      <c r="B2354" s="3" t="s">
        <v>205</v>
      </c>
      <c r="C2354" s="8">
        <v>2020</v>
      </c>
      <c r="D2354" s="8">
        <v>1</v>
      </c>
      <c r="E2354" s="3" t="str">
        <f t="shared" si="72"/>
        <v>January</v>
      </c>
      <c r="F2354" s="3" t="s">
        <v>8</v>
      </c>
      <c r="G2354" s="8">
        <v>3022.703845</v>
      </c>
      <c r="H2354" s="8">
        <v>3124.9560000000001</v>
      </c>
      <c r="I2354" s="8">
        <v>102.2521553</v>
      </c>
      <c r="J2354" s="8">
        <v>102.2521553</v>
      </c>
      <c r="K2354" s="8">
        <v>-779.53069589999996</v>
      </c>
      <c r="L2354" s="8">
        <v>1162.709591</v>
      </c>
      <c r="M2354" s="9" t="str">
        <f>IF(A2354="",M2355,A2354)</f>
        <v>Liberia</v>
      </c>
      <c r="N2354" s="3" t="str">
        <f t="shared" si="73"/>
        <v>Jan-2020</v>
      </c>
    </row>
    <row r="2355" spans="1:14" x14ac:dyDescent="0.3">
      <c r="A2355" s="3" t="s">
        <v>204</v>
      </c>
      <c r="B2355" s="3" t="s">
        <v>205</v>
      </c>
      <c r="C2355" s="8">
        <v>2020</v>
      </c>
      <c r="D2355" s="8">
        <v>2</v>
      </c>
      <c r="E2355" s="3" t="str">
        <f t="shared" si="72"/>
        <v>February</v>
      </c>
      <c r="F2355" s="3" t="s">
        <v>8</v>
      </c>
      <c r="G2355" s="8">
        <v>3009.4399520000002</v>
      </c>
      <c r="H2355" s="8">
        <v>3032.6610000000001</v>
      </c>
      <c r="I2355" s="8">
        <v>23.221048339999999</v>
      </c>
      <c r="J2355" s="8">
        <v>125.4732037</v>
      </c>
      <c r="K2355" s="8">
        <v>-1078.1127980000001</v>
      </c>
      <c r="L2355" s="8">
        <v>1667.4577979999999</v>
      </c>
      <c r="M2355" s="9" t="str">
        <f>IF(A2355="",M2356,A2355)</f>
        <v>Liberia</v>
      </c>
      <c r="N2355" s="3" t="str">
        <f t="shared" si="73"/>
        <v>Feb-2020</v>
      </c>
    </row>
    <row r="2356" spans="1:14" x14ac:dyDescent="0.3">
      <c r="A2356" s="3" t="s">
        <v>204</v>
      </c>
      <c r="B2356" s="3" t="s">
        <v>205</v>
      </c>
      <c r="C2356" s="8">
        <v>2020</v>
      </c>
      <c r="D2356" s="8">
        <v>3</v>
      </c>
      <c r="E2356" s="3" t="str">
        <f t="shared" si="72"/>
        <v>March</v>
      </c>
      <c r="F2356" s="3" t="s">
        <v>8</v>
      </c>
      <c r="G2356" s="8">
        <v>2990.0914360000002</v>
      </c>
      <c r="H2356" s="8">
        <v>2942.4169999999999</v>
      </c>
      <c r="I2356" s="8">
        <v>-47.674436</v>
      </c>
      <c r="J2356" s="8">
        <v>77.798767690000005</v>
      </c>
      <c r="K2356" s="8">
        <v>-1420.526468</v>
      </c>
      <c r="L2356" s="8">
        <v>1852.017515</v>
      </c>
      <c r="M2356" s="9" t="str">
        <f>IF(A2356="",M2357,A2356)</f>
        <v>Liberia</v>
      </c>
      <c r="N2356" s="3" t="str">
        <f t="shared" si="73"/>
        <v>Mar-2020</v>
      </c>
    </row>
    <row r="2357" spans="1:14" x14ac:dyDescent="0.3">
      <c r="A2357" s="3" t="s">
        <v>204</v>
      </c>
      <c r="B2357" s="3" t="s">
        <v>205</v>
      </c>
      <c r="C2357" s="8">
        <v>2020</v>
      </c>
      <c r="D2357" s="8">
        <v>4</v>
      </c>
      <c r="E2357" s="3" t="str">
        <f t="shared" si="72"/>
        <v>April</v>
      </c>
      <c r="F2357" s="3" t="s">
        <v>8</v>
      </c>
      <c r="G2357" s="8">
        <v>2995.5395760000001</v>
      </c>
      <c r="H2357" s="8">
        <v>2935.5279999999998</v>
      </c>
      <c r="I2357" s="8">
        <v>-60.0115756</v>
      </c>
      <c r="J2357" s="8">
        <v>17.787192090000001</v>
      </c>
      <c r="K2357" s="8">
        <v>-1736.7467830000001</v>
      </c>
      <c r="L2357" s="8">
        <v>2055.7602189999998</v>
      </c>
      <c r="M2357" s="9" t="str">
        <f>IF(A2357="",M2358,A2357)</f>
        <v>Liberia</v>
      </c>
      <c r="N2357" s="3" t="str">
        <f t="shared" si="73"/>
        <v>Apr-2020</v>
      </c>
    </row>
    <row r="2358" spans="1:14" x14ac:dyDescent="0.3">
      <c r="A2358" s="3" t="s">
        <v>204</v>
      </c>
      <c r="B2358" s="3" t="s">
        <v>205</v>
      </c>
      <c r="C2358" s="8">
        <v>2020</v>
      </c>
      <c r="D2358" s="8">
        <v>5</v>
      </c>
      <c r="E2358" s="3" t="str">
        <f t="shared" si="72"/>
        <v>May</v>
      </c>
      <c r="F2358" s="3" t="s">
        <v>8</v>
      </c>
      <c r="G2358" s="8">
        <v>3014.4315029999998</v>
      </c>
      <c r="H2358" s="8">
        <v>3014.0749999999998</v>
      </c>
      <c r="I2358" s="8">
        <v>-0.35650324300000003</v>
      </c>
      <c r="J2358" s="8">
        <v>17.430688839999998</v>
      </c>
      <c r="K2358" s="8">
        <v>-1900.131367</v>
      </c>
      <c r="L2358" s="8">
        <v>2231.008339</v>
      </c>
      <c r="M2358" s="9" t="str">
        <f>IF(A2358="",M2359,A2358)</f>
        <v>Liberia</v>
      </c>
      <c r="N2358" s="3" t="str">
        <f t="shared" si="73"/>
        <v>May-2020</v>
      </c>
    </row>
    <row r="2359" spans="1:14" x14ac:dyDescent="0.3">
      <c r="A2359" s="3" t="s">
        <v>204</v>
      </c>
      <c r="B2359" s="3" t="s">
        <v>205</v>
      </c>
      <c r="C2359" s="8">
        <v>2020</v>
      </c>
      <c r="D2359" s="8">
        <v>6</v>
      </c>
      <c r="E2359" s="3" t="str">
        <f t="shared" si="72"/>
        <v>June</v>
      </c>
      <c r="F2359" s="3" t="s">
        <v>8</v>
      </c>
      <c r="G2359" s="8">
        <v>3032.277607</v>
      </c>
      <c r="H2359" s="8">
        <v>3159.3980000000001</v>
      </c>
      <c r="I2359" s="8">
        <v>127.1203926</v>
      </c>
      <c r="J2359" s="8">
        <v>144.55108150000001</v>
      </c>
      <c r="K2359" s="8">
        <v>-2030.817603</v>
      </c>
      <c r="L2359" s="8">
        <v>2534.3999469999999</v>
      </c>
      <c r="M2359" s="9" t="str">
        <f>IF(A2359="",M2360,A2359)</f>
        <v>Liberia</v>
      </c>
      <c r="N2359" s="3" t="str">
        <f t="shared" si="73"/>
        <v>Jun-2020</v>
      </c>
    </row>
    <row r="2360" spans="1:14" x14ac:dyDescent="0.3">
      <c r="A2360" s="3" t="s">
        <v>204</v>
      </c>
      <c r="B2360" s="3" t="s">
        <v>205</v>
      </c>
      <c r="C2360" s="8">
        <v>2020</v>
      </c>
      <c r="D2360" s="8">
        <v>7</v>
      </c>
      <c r="E2360" s="3" t="str">
        <f t="shared" si="72"/>
        <v>July</v>
      </c>
      <c r="F2360" s="3" t="s">
        <v>8</v>
      </c>
      <c r="G2360" s="8">
        <v>3051.5424229999999</v>
      </c>
      <c r="H2360" s="8">
        <v>3379.4430000000002</v>
      </c>
      <c r="I2360" s="8">
        <v>327.90057680000001</v>
      </c>
      <c r="J2360" s="8">
        <v>472.45165830000002</v>
      </c>
      <c r="K2360" s="8">
        <v>-1799.66776</v>
      </c>
      <c r="L2360" s="8">
        <v>3145.1043880000002</v>
      </c>
      <c r="M2360" s="9" t="str">
        <f>IF(A2360="",M2361,A2360)</f>
        <v>Liberia</v>
      </c>
      <c r="N2360" s="3" t="str">
        <f t="shared" si="73"/>
        <v>Jul-2020</v>
      </c>
    </row>
    <row r="2361" spans="1:14" x14ac:dyDescent="0.3">
      <c r="A2361" s="3" t="s">
        <v>204</v>
      </c>
      <c r="B2361" s="3" t="s">
        <v>205</v>
      </c>
      <c r="C2361" s="8">
        <v>2020</v>
      </c>
      <c r="D2361" s="8">
        <v>8</v>
      </c>
      <c r="E2361" s="3" t="str">
        <f t="shared" si="72"/>
        <v>August</v>
      </c>
      <c r="F2361" s="3" t="s">
        <v>8</v>
      </c>
      <c r="G2361" s="8">
        <v>3049.0130690000001</v>
      </c>
      <c r="H2361" s="8">
        <v>3227.9769999999999</v>
      </c>
      <c r="I2361" s="8">
        <v>178.9639315</v>
      </c>
      <c r="J2361" s="8">
        <v>651.41558980000002</v>
      </c>
      <c r="K2361" s="8">
        <v>-1792.2258890000001</v>
      </c>
      <c r="L2361" s="8">
        <v>3454.6572849999998</v>
      </c>
      <c r="M2361" s="9" t="str">
        <f>IF(A2361="",M2362,A2361)</f>
        <v>Liberia</v>
      </c>
      <c r="N2361" s="3" t="str">
        <f t="shared" si="73"/>
        <v>Aug-2020</v>
      </c>
    </row>
    <row r="2362" spans="1:14" x14ac:dyDescent="0.3">
      <c r="A2362" s="3" t="s">
        <v>204</v>
      </c>
      <c r="B2362" s="3" t="s">
        <v>205</v>
      </c>
      <c r="C2362" s="8">
        <v>2020</v>
      </c>
      <c r="D2362" s="8">
        <v>9</v>
      </c>
      <c r="E2362" s="3" t="str">
        <f t="shared" si="72"/>
        <v>September</v>
      </c>
      <c r="F2362" s="3" t="s">
        <v>8</v>
      </c>
      <c r="G2362" s="8">
        <v>3044.400803</v>
      </c>
      <c r="H2362" s="8">
        <v>3086.5250000000001</v>
      </c>
      <c r="I2362" s="8">
        <v>42.124197219999999</v>
      </c>
      <c r="J2362" s="8">
        <v>693.53978700000005</v>
      </c>
      <c r="K2362" s="8">
        <v>-1892.652922</v>
      </c>
      <c r="L2362" s="8">
        <v>3626.4401800000001</v>
      </c>
      <c r="M2362" s="9" t="str">
        <f>IF(A2362="",M2363,A2362)</f>
        <v>Liberia</v>
      </c>
      <c r="N2362" s="3" t="str">
        <f t="shared" si="73"/>
        <v>Sep-2020</v>
      </c>
    </row>
    <row r="2363" spans="1:14" x14ac:dyDescent="0.3">
      <c r="A2363" s="3" t="s">
        <v>204</v>
      </c>
      <c r="B2363" s="3" t="s">
        <v>205</v>
      </c>
      <c r="C2363" s="8">
        <v>2020</v>
      </c>
      <c r="D2363" s="8">
        <v>10</v>
      </c>
      <c r="E2363" s="3" t="str">
        <f t="shared" si="72"/>
        <v>October</v>
      </c>
      <c r="F2363" s="3" t="s">
        <v>8</v>
      </c>
      <c r="G2363" s="8">
        <v>3042.7996229999999</v>
      </c>
      <c r="H2363" s="8">
        <v>3041.6590000000001</v>
      </c>
      <c r="I2363" s="8">
        <v>-1.1406234909999999</v>
      </c>
      <c r="J2363" s="8">
        <v>692.39916349999999</v>
      </c>
      <c r="K2363" s="8">
        <v>-2185.5267789999998</v>
      </c>
      <c r="L2363" s="8">
        <v>3720.1537880000001</v>
      </c>
      <c r="M2363" s="9" t="str">
        <f>IF(A2363="",M2364,A2363)</f>
        <v>Liberia</v>
      </c>
      <c r="N2363" s="3" t="str">
        <f t="shared" si="73"/>
        <v>Oct-2020</v>
      </c>
    </row>
    <row r="2364" spans="1:14" x14ac:dyDescent="0.3">
      <c r="A2364" s="3" t="s">
        <v>204</v>
      </c>
      <c r="B2364" s="3" t="s">
        <v>205</v>
      </c>
      <c r="C2364" s="8">
        <v>2020</v>
      </c>
      <c r="D2364" s="8">
        <v>11</v>
      </c>
      <c r="E2364" s="3" t="str">
        <f t="shared" si="72"/>
        <v>November</v>
      </c>
      <c r="F2364" s="3" t="s">
        <v>8</v>
      </c>
      <c r="G2364" s="8">
        <v>3026.9258359999999</v>
      </c>
      <c r="H2364" s="8">
        <v>2985.0659999999998</v>
      </c>
      <c r="I2364" s="8">
        <v>-41.859836260000002</v>
      </c>
      <c r="J2364" s="8">
        <v>650.5393272</v>
      </c>
      <c r="K2364" s="8">
        <v>-2237.7810599999998</v>
      </c>
      <c r="L2364" s="8">
        <v>3811.5953469999999</v>
      </c>
      <c r="M2364" s="9" t="str">
        <f>IF(A2364="",M2365,A2364)</f>
        <v>Liberia</v>
      </c>
      <c r="N2364" s="3" t="str">
        <f t="shared" si="73"/>
        <v>Nov-2020</v>
      </c>
    </row>
    <row r="2365" spans="1:14" x14ac:dyDescent="0.3">
      <c r="A2365" s="3" t="s">
        <v>204</v>
      </c>
      <c r="B2365" s="3" t="s">
        <v>205</v>
      </c>
      <c r="C2365" s="8">
        <v>2020</v>
      </c>
      <c r="D2365" s="8">
        <v>12</v>
      </c>
      <c r="E2365" s="3" t="str">
        <f t="shared" si="72"/>
        <v>December</v>
      </c>
      <c r="F2365" s="3" t="s">
        <v>8</v>
      </c>
      <c r="G2365" s="8">
        <v>3015.201654</v>
      </c>
      <c r="H2365" s="8">
        <v>2959.69</v>
      </c>
      <c r="I2365" s="8">
        <v>-55.511654370000002</v>
      </c>
      <c r="J2365" s="8">
        <v>595.02767289999997</v>
      </c>
      <c r="K2365" s="8">
        <v>-2295.3776979999998</v>
      </c>
      <c r="L2365" s="8">
        <v>3779.8845030000002</v>
      </c>
      <c r="M2365" s="9" t="str">
        <f>IF(A2365="",M2366,A2365)</f>
        <v>Liberia</v>
      </c>
      <c r="N2365" s="3" t="str">
        <f t="shared" si="73"/>
        <v>Dec-2020</v>
      </c>
    </row>
    <row r="2366" spans="1:14" x14ac:dyDescent="0.3">
      <c r="A2366" s="3" t="s">
        <v>204</v>
      </c>
      <c r="B2366" s="3" t="s">
        <v>205</v>
      </c>
      <c r="C2366" s="8">
        <v>2021</v>
      </c>
      <c r="D2366" s="8">
        <v>1</v>
      </c>
      <c r="E2366" s="3" t="str">
        <f t="shared" si="72"/>
        <v>January</v>
      </c>
      <c r="F2366" s="3" t="s">
        <v>8</v>
      </c>
      <c r="G2366" s="8">
        <v>2988.3160469999998</v>
      </c>
      <c r="H2366" s="8">
        <v>3031.2759999999998</v>
      </c>
      <c r="I2366" s="8">
        <v>42.959953329999998</v>
      </c>
      <c r="J2366" s="8">
        <v>637.98762620000002</v>
      </c>
      <c r="K2366" s="8">
        <v>-2436.3362940000002</v>
      </c>
      <c r="L2366" s="8">
        <v>3905.339489</v>
      </c>
      <c r="M2366" s="9" t="str">
        <f>IF(A2366="",M2367,A2366)</f>
        <v>Liberia</v>
      </c>
      <c r="N2366" s="3" t="str">
        <f t="shared" si="73"/>
        <v>Jan-2021</v>
      </c>
    </row>
    <row r="2367" spans="1:14" x14ac:dyDescent="0.3">
      <c r="A2367" s="3" t="s">
        <v>204</v>
      </c>
      <c r="B2367" s="3" t="s">
        <v>205</v>
      </c>
      <c r="C2367" s="8">
        <v>2021</v>
      </c>
      <c r="D2367" s="8">
        <v>2</v>
      </c>
      <c r="E2367" s="3" t="str">
        <f t="shared" si="72"/>
        <v>February</v>
      </c>
      <c r="F2367" s="3" t="s">
        <v>8</v>
      </c>
      <c r="G2367" s="8">
        <v>2986.699055</v>
      </c>
      <c r="H2367" s="8">
        <v>3157.9920000000002</v>
      </c>
      <c r="I2367" s="8">
        <v>171.29294469999999</v>
      </c>
      <c r="J2367" s="8">
        <v>809.28057090000004</v>
      </c>
      <c r="K2367" s="8">
        <v>-2459.0876440000002</v>
      </c>
      <c r="L2367" s="8">
        <v>4337.6417719999999</v>
      </c>
      <c r="M2367" s="9" t="str">
        <f>IF(A2367="",M2368,A2367)</f>
        <v>Liberia</v>
      </c>
      <c r="N2367" s="3" t="str">
        <f t="shared" si="73"/>
        <v>Feb-2021</v>
      </c>
    </row>
    <row r="2368" spans="1:14" x14ac:dyDescent="0.3">
      <c r="A2368" s="3" t="s">
        <v>204</v>
      </c>
      <c r="B2368" s="3" t="s">
        <v>205</v>
      </c>
      <c r="C2368" s="8">
        <v>2021</v>
      </c>
      <c r="D2368" s="8">
        <v>3</v>
      </c>
      <c r="E2368" s="3" t="str">
        <f t="shared" si="72"/>
        <v>March</v>
      </c>
      <c r="F2368" s="3" t="s">
        <v>8</v>
      </c>
      <c r="G2368" s="8">
        <v>2964.6246940000001</v>
      </c>
      <c r="H2368" s="8">
        <v>3081.085</v>
      </c>
      <c r="I2368" s="8">
        <v>116.46030589999999</v>
      </c>
      <c r="J2368" s="8">
        <v>925.74087680000002</v>
      </c>
      <c r="K2368" s="8">
        <v>-2564.8993369999998</v>
      </c>
      <c r="L2368" s="8">
        <v>4567.2755809999999</v>
      </c>
      <c r="M2368" s="9" t="str">
        <f>IF(A2368="",M2369,A2368)</f>
        <v>Liberia</v>
      </c>
      <c r="N2368" s="3" t="str">
        <f t="shared" si="73"/>
        <v>Mar-2021</v>
      </c>
    </row>
    <row r="2369" spans="1:14" x14ac:dyDescent="0.3">
      <c r="A2369" s="3" t="s">
        <v>204</v>
      </c>
      <c r="B2369" s="3" t="s">
        <v>205</v>
      </c>
      <c r="C2369" s="8">
        <v>2021</v>
      </c>
      <c r="D2369" s="8">
        <v>4</v>
      </c>
      <c r="E2369" s="3" t="str">
        <f t="shared" si="72"/>
        <v>April</v>
      </c>
      <c r="F2369" s="3" t="s">
        <v>8</v>
      </c>
      <c r="G2369" s="8">
        <v>2976.925549</v>
      </c>
      <c r="H2369" s="8">
        <v>2954.779</v>
      </c>
      <c r="I2369" s="8">
        <v>-22.146548589999998</v>
      </c>
      <c r="J2369" s="8">
        <v>903.59432819999995</v>
      </c>
      <c r="K2369" s="8">
        <v>-2665.6710600000001</v>
      </c>
      <c r="L2369" s="8">
        <v>4608.9491900000003</v>
      </c>
      <c r="M2369" s="9" t="str">
        <f>IF(A2369="",M2370,A2369)</f>
        <v>Liberia</v>
      </c>
      <c r="N2369" s="3" t="str">
        <f t="shared" si="73"/>
        <v>Apr-2021</v>
      </c>
    </row>
    <row r="2370" spans="1:14" x14ac:dyDescent="0.3">
      <c r="A2370" s="3" t="s">
        <v>204</v>
      </c>
      <c r="B2370" s="3" t="s">
        <v>205</v>
      </c>
      <c r="C2370" s="8">
        <v>2021</v>
      </c>
      <c r="D2370" s="8">
        <v>5</v>
      </c>
      <c r="E2370" s="3" t="str">
        <f t="shared" ref="E2370:E2433" si="74">TEXT(DATE(C2370,D2370,1),"MMMM")</f>
        <v>May</v>
      </c>
      <c r="F2370" s="3" t="s">
        <v>8</v>
      </c>
      <c r="G2370" s="8">
        <v>2981.4689720000001</v>
      </c>
      <c r="H2370" s="8">
        <v>2984.6779999999999</v>
      </c>
      <c r="I2370" s="8">
        <v>3.2090278059999999</v>
      </c>
      <c r="J2370" s="8">
        <v>906.80335600000001</v>
      </c>
      <c r="K2370" s="8">
        <v>-3071.0885269999999</v>
      </c>
      <c r="L2370" s="8">
        <v>4875.4562480000004</v>
      </c>
      <c r="M2370" s="9" t="str">
        <f>IF(A2370="",M2371,A2370)</f>
        <v>Liberia</v>
      </c>
      <c r="N2370" s="3" t="str">
        <f t="shared" ref="N2370:N2433" si="75">TEXT(DATE(C2370,D2370,1),"MMM-YYYY")</f>
        <v>May-2021</v>
      </c>
    </row>
    <row r="2371" spans="1:14" x14ac:dyDescent="0.3">
      <c r="A2371" s="3" t="s">
        <v>204</v>
      </c>
      <c r="B2371" s="3" t="s">
        <v>205</v>
      </c>
      <c r="C2371" s="8">
        <v>2021</v>
      </c>
      <c r="D2371" s="8">
        <v>6</v>
      </c>
      <c r="E2371" s="3" t="str">
        <f t="shared" si="74"/>
        <v>June</v>
      </c>
      <c r="F2371" s="3" t="s">
        <v>8</v>
      </c>
      <c r="G2371" s="8">
        <v>2997.6227530000001</v>
      </c>
      <c r="H2371" s="8">
        <v>3414.0329999999999</v>
      </c>
      <c r="I2371" s="8">
        <v>416.41024709999999</v>
      </c>
      <c r="J2371" s="8">
        <v>1323.2136029999999</v>
      </c>
      <c r="K2371" s="8">
        <v>-2621.7968529999998</v>
      </c>
      <c r="L2371" s="8">
        <v>5277.198394</v>
      </c>
      <c r="M2371" s="9" t="str">
        <f>IF(A2371="",M2372,A2371)</f>
        <v>Liberia</v>
      </c>
      <c r="N2371" s="3" t="str">
        <f t="shared" si="75"/>
        <v>Jun-2021</v>
      </c>
    </row>
    <row r="2372" spans="1:14" x14ac:dyDescent="0.3">
      <c r="A2372" s="3" t="s">
        <v>204</v>
      </c>
      <c r="B2372" s="3" t="s">
        <v>205</v>
      </c>
      <c r="C2372" s="8">
        <v>2021</v>
      </c>
      <c r="D2372" s="8">
        <v>7</v>
      </c>
      <c r="E2372" s="3" t="str">
        <f t="shared" si="74"/>
        <v>July</v>
      </c>
      <c r="F2372" s="3" t="s">
        <v>8</v>
      </c>
      <c r="G2372" s="8">
        <v>3025.844055</v>
      </c>
      <c r="H2372" s="8">
        <v>3440.0630000000001</v>
      </c>
      <c r="I2372" s="8">
        <v>414.21894479999997</v>
      </c>
      <c r="J2372" s="8">
        <v>1737.432548</v>
      </c>
      <c r="K2372" s="8">
        <v>-2200.4951580000002</v>
      </c>
      <c r="L2372" s="8">
        <v>6013.4036470000001</v>
      </c>
      <c r="M2372" s="9" t="str">
        <f>IF(A2372="",M2373,A2372)</f>
        <v>Liberia</v>
      </c>
      <c r="N2372" s="3" t="str">
        <f t="shared" si="75"/>
        <v>Jul-2021</v>
      </c>
    </row>
    <row r="2373" spans="1:14" x14ac:dyDescent="0.3">
      <c r="A2373" s="3" t="s">
        <v>204</v>
      </c>
      <c r="B2373" s="3" t="s">
        <v>205</v>
      </c>
      <c r="C2373" s="8">
        <v>2021</v>
      </c>
      <c r="D2373" s="8">
        <v>8</v>
      </c>
      <c r="E2373" s="3" t="str">
        <f t="shared" si="74"/>
        <v>August</v>
      </c>
      <c r="F2373" s="3" t="s">
        <v>8</v>
      </c>
      <c r="G2373" s="8">
        <v>3028.8991599999999</v>
      </c>
      <c r="H2373" s="8">
        <v>3099.8989999999999</v>
      </c>
      <c r="I2373" s="8">
        <v>70.999840329999998</v>
      </c>
      <c r="J2373" s="8">
        <v>1808.4323879999999</v>
      </c>
      <c r="K2373" s="8">
        <v>-2202.2271479999999</v>
      </c>
      <c r="L2373" s="8">
        <v>6106.5813010000002</v>
      </c>
      <c r="M2373" s="9" t="str">
        <f>IF(A2373="",M2374,A2373)</f>
        <v>Liberia</v>
      </c>
      <c r="N2373" s="3" t="str">
        <f t="shared" si="75"/>
        <v>Aug-2021</v>
      </c>
    </row>
    <row r="2374" spans="1:14" x14ac:dyDescent="0.3">
      <c r="A2374" s="3" t="s">
        <v>204</v>
      </c>
      <c r="B2374" s="3" t="s">
        <v>205</v>
      </c>
      <c r="C2374" s="8">
        <v>2021</v>
      </c>
      <c r="D2374" s="8">
        <v>9</v>
      </c>
      <c r="E2374" s="3" t="str">
        <f t="shared" si="74"/>
        <v>September</v>
      </c>
      <c r="F2374" s="3" t="s">
        <v>8</v>
      </c>
      <c r="G2374" s="8">
        <v>3021.2254389999998</v>
      </c>
      <c r="H2374" s="8">
        <v>3046.9290000000001</v>
      </c>
      <c r="I2374" s="8">
        <v>25.703561390000001</v>
      </c>
      <c r="J2374" s="8">
        <v>1834.1359500000001</v>
      </c>
      <c r="K2374" s="8">
        <v>-2309.7843029999999</v>
      </c>
      <c r="L2374" s="8">
        <v>6347.9623019999999</v>
      </c>
      <c r="M2374" s="9" t="str">
        <f>IF(A2374="",M2375,A2374)</f>
        <v>Liberia</v>
      </c>
      <c r="N2374" s="3" t="str">
        <f t="shared" si="75"/>
        <v>Sep-2021</v>
      </c>
    </row>
    <row r="2375" spans="1:14" x14ac:dyDescent="0.3">
      <c r="A2375" s="3" t="s">
        <v>204</v>
      </c>
      <c r="B2375" s="3" t="s">
        <v>205</v>
      </c>
      <c r="C2375" s="8">
        <v>2021</v>
      </c>
      <c r="D2375" s="8">
        <v>10</v>
      </c>
      <c r="E2375" s="3" t="str">
        <f t="shared" si="74"/>
        <v>October</v>
      </c>
      <c r="F2375" s="3" t="s">
        <v>8</v>
      </c>
      <c r="G2375" s="8">
        <v>3032.4652930000002</v>
      </c>
      <c r="H2375" s="8">
        <v>3017.7919999999999</v>
      </c>
      <c r="I2375" s="8">
        <v>-14.673292780000001</v>
      </c>
      <c r="J2375" s="8">
        <v>1819.462657</v>
      </c>
      <c r="K2375" s="8">
        <v>-2457.4857400000001</v>
      </c>
      <c r="L2375" s="8">
        <v>6422.8816980000001</v>
      </c>
      <c r="M2375" s="9" t="str">
        <f>IF(A2375="",M2376,A2375)</f>
        <v>Liberia</v>
      </c>
      <c r="N2375" s="3" t="str">
        <f t="shared" si="75"/>
        <v>Oct-2021</v>
      </c>
    </row>
    <row r="2376" spans="1:14" x14ac:dyDescent="0.3">
      <c r="A2376" s="3" t="s">
        <v>204</v>
      </c>
      <c r="B2376" s="3" t="s">
        <v>205</v>
      </c>
      <c r="C2376" s="8">
        <v>2021</v>
      </c>
      <c r="D2376" s="8">
        <v>11</v>
      </c>
      <c r="E2376" s="3" t="str">
        <f t="shared" si="74"/>
        <v>November</v>
      </c>
      <c r="F2376" s="3" t="s">
        <v>8</v>
      </c>
      <c r="G2376" s="8">
        <v>2998.0202450000002</v>
      </c>
      <c r="H2376" s="8">
        <v>2986.7060000000001</v>
      </c>
      <c r="I2376" s="8">
        <v>-11.31424548</v>
      </c>
      <c r="J2376" s="8">
        <v>1808.1484109999999</v>
      </c>
      <c r="K2376" s="8">
        <v>-2613.1460189999998</v>
      </c>
      <c r="L2376" s="8">
        <v>6605.2519389999998</v>
      </c>
      <c r="M2376" s="9" t="str">
        <f>IF(A2376="",M2377,A2376)</f>
        <v>Liberia</v>
      </c>
      <c r="N2376" s="3" t="str">
        <f t="shared" si="75"/>
        <v>Nov-2021</v>
      </c>
    </row>
    <row r="2377" spans="1:14" x14ac:dyDescent="0.3">
      <c r="A2377" s="3" t="s">
        <v>204</v>
      </c>
      <c r="B2377" s="3" t="s">
        <v>205</v>
      </c>
      <c r="C2377" s="8">
        <v>2021</v>
      </c>
      <c r="D2377" s="8">
        <v>12</v>
      </c>
      <c r="E2377" s="3" t="str">
        <f t="shared" si="74"/>
        <v>December</v>
      </c>
      <c r="F2377" s="3" t="s">
        <v>8</v>
      </c>
      <c r="G2377" s="8">
        <v>2982.5136459999999</v>
      </c>
      <c r="H2377" s="8">
        <v>3082.7240000000002</v>
      </c>
      <c r="I2377" s="8">
        <v>100.2103541</v>
      </c>
      <c r="J2377" s="8">
        <v>1908.3587649999999</v>
      </c>
      <c r="K2377" s="8">
        <v>-2611.7438569999999</v>
      </c>
      <c r="L2377" s="8">
        <v>6643.3290960000004</v>
      </c>
      <c r="M2377" s="9" t="str">
        <f>IF(A2377="",M2378,A2377)</f>
        <v>Liberia</v>
      </c>
      <c r="N2377" s="3" t="str">
        <f t="shared" si="75"/>
        <v>Dec-2021</v>
      </c>
    </row>
    <row r="2378" spans="1:14" x14ac:dyDescent="0.3">
      <c r="A2378" s="3" t="s">
        <v>206</v>
      </c>
      <c r="B2378" s="3" t="s">
        <v>207</v>
      </c>
      <c r="C2378" s="8">
        <v>2020</v>
      </c>
      <c r="D2378" s="8">
        <v>1</v>
      </c>
      <c r="E2378" s="3" t="str">
        <f t="shared" si="74"/>
        <v>January</v>
      </c>
      <c r="F2378" s="3" t="s">
        <v>8</v>
      </c>
      <c r="G2378" s="8">
        <v>2551.0622100000001</v>
      </c>
      <c r="H2378" s="8">
        <v>2624.8939999999998</v>
      </c>
      <c r="I2378" s="8">
        <v>73.831790049999995</v>
      </c>
      <c r="J2378" s="8">
        <v>73.831790049999995</v>
      </c>
      <c r="K2378" s="8">
        <v>-569.02227760000005</v>
      </c>
      <c r="L2378" s="8">
        <v>907.73149699999999</v>
      </c>
      <c r="M2378" s="9" t="str">
        <f>IF(A2378="",M2379,A2378)</f>
        <v>Libya</v>
      </c>
      <c r="N2378" s="3" t="str">
        <f t="shared" si="75"/>
        <v>Jan-2020</v>
      </c>
    </row>
    <row r="2379" spans="1:14" x14ac:dyDescent="0.3">
      <c r="A2379" s="3" t="s">
        <v>206</v>
      </c>
      <c r="B2379" s="3" t="s">
        <v>207</v>
      </c>
      <c r="C2379" s="8">
        <v>2020</v>
      </c>
      <c r="D2379" s="8">
        <v>2</v>
      </c>
      <c r="E2379" s="3" t="str">
        <f t="shared" si="74"/>
        <v>February</v>
      </c>
      <c r="F2379" s="3" t="s">
        <v>8</v>
      </c>
      <c r="G2379" s="8">
        <v>2511.5644969999998</v>
      </c>
      <c r="H2379" s="8">
        <v>2495.1109999999999</v>
      </c>
      <c r="I2379" s="8">
        <v>-16.453496959999999</v>
      </c>
      <c r="J2379" s="8">
        <v>57.37829309</v>
      </c>
      <c r="K2379" s="8">
        <v>-910.32851000000005</v>
      </c>
      <c r="L2379" s="8">
        <v>1212.97936</v>
      </c>
      <c r="M2379" s="9" t="str">
        <f>IF(A2379="",M2380,A2379)</f>
        <v>Libya</v>
      </c>
      <c r="N2379" s="3" t="str">
        <f t="shared" si="75"/>
        <v>Feb-2020</v>
      </c>
    </row>
    <row r="2380" spans="1:14" x14ac:dyDescent="0.3">
      <c r="A2380" s="3" t="s">
        <v>206</v>
      </c>
      <c r="B2380" s="3" t="s">
        <v>207</v>
      </c>
      <c r="C2380" s="8">
        <v>2020</v>
      </c>
      <c r="D2380" s="8">
        <v>3</v>
      </c>
      <c r="E2380" s="3" t="str">
        <f t="shared" si="74"/>
        <v>March</v>
      </c>
      <c r="F2380" s="3" t="s">
        <v>8</v>
      </c>
      <c r="G2380" s="8">
        <v>2463.780929</v>
      </c>
      <c r="H2380" s="8">
        <v>2342.4</v>
      </c>
      <c r="I2380" s="8">
        <v>-121.3809291</v>
      </c>
      <c r="J2380" s="8">
        <v>-64.00263597</v>
      </c>
      <c r="K2380" s="8">
        <v>-1227.3794150000001</v>
      </c>
      <c r="L2380" s="8">
        <v>1246.000354</v>
      </c>
      <c r="M2380" s="9" t="str">
        <f>IF(A2380="",M2381,A2380)</f>
        <v>Libya</v>
      </c>
      <c r="N2380" s="3" t="str">
        <f t="shared" si="75"/>
        <v>Mar-2020</v>
      </c>
    </row>
    <row r="2381" spans="1:14" x14ac:dyDescent="0.3">
      <c r="A2381" s="3" t="s">
        <v>206</v>
      </c>
      <c r="B2381" s="3" t="s">
        <v>207</v>
      </c>
      <c r="C2381" s="8">
        <v>2020</v>
      </c>
      <c r="D2381" s="8">
        <v>4</v>
      </c>
      <c r="E2381" s="3" t="str">
        <f t="shared" si="74"/>
        <v>April</v>
      </c>
      <c r="F2381" s="3" t="s">
        <v>8</v>
      </c>
      <c r="G2381" s="8">
        <v>2400.1065039999999</v>
      </c>
      <c r="H2381" s="8">
        <v>2194.8130000000001</v>
      </c>
      <c r="I2381" s="8">
        <v>-205.29350350000001</v>
      </c>
      <c r="J2381" s="8">
        <v>-269.29613949999998</v>
      </c>
      <c r="K2381" s="8">
        <v>-1533.957453</v>
      </c>
      <c r="L2381" s="8">
        <v>1319.101253</v>
      </c>
      <c r="M2381" s="9" t="str">
        <f>IF(A2381="",M2382,A2381)</f>
        <v>Libya</v>
      </c>
      <c r="N2381" s="3" t="str">
        <f t="shared" si="75"/>
        <v>Apr-2020</v>
      </c>
    </row>
    <row r="2382" spans="1:14" x14ac:dyDescent="0.3">
      <c r="A2382" s="3" t="s">
        <v>206</v>
      </c>
      <c r="B2382" s="3" t="s">
        <v>207</v>
      </c>
      <c r="C2382" s="8">
        <v>2020</v>
      </c>
      <c r="D2382" s="8">
        <v>5</v>
      </c>
      <c r="E2382" s="3" t="str">
        <f t="shared" si="74"/>
        <v>May</v>
      </c>
      <c r="F2382" s="3" t="s">
        <v>8</v>
      </c>
      <c r="G2382" s="8">
        <v>2329.8019880000002</v>
      </c>
      <c r="H2382" s="8">
        <v>2276.5749999999998</v>
      </c>
      <c r="I2382" s="8">
        <v>-53.2269875</v>
      </c>
      <c r="J2382" s="8">
        <v>-322.52312699999999</v>
      </c>
      <c r="K2382" s="8">
        <v>-1782.2639429999999</v>
      </c>
      <c r="L2382" s="8">
        <v>1382.876473</v>
      </c>
      <c r="M2382" s="9" t="str">
        <f>IF(A2382="",M2383,A2382)</f>
        <v>Libya</v>
      </c>
      <c r="N2382" s="3" t="str">
        <f t="shared" si="75"/>
        <v>May-2020</v>
      </c>
    </row>
    <row r="2383" spans="1:14" x14ac:dyDescent="0.3">
      <c r="A2383" s="3" t="s">
        <v>206</v>
      </c>
      <c r="B2383" s="3" t="s">
        <v>207</v>
      </c>
      <c r="C2383" s="8">
        <v>2020</v>
      </c>
      <c r="D2383" s="8">
        <v>6</v>
      </c>
      <c r="E2383" s="3" t="str">
        <f t="shared" si="74"/>
        <v>June</v>
      </c>
      <c r="F2383" s="3" t="s">
        <v>8</v>
      </c>
      <c r="G2383" s="8">
        <v>2296.438091</v>
      </c>
      <c r="H2383" s="8">
        <v>2562.462</v>
      </c>
      <c r="I2383" s="8">
        <v>266.02390880000002</v>
      </c>
      <c r="J2383" s="8">
        <v>-56.499218200000001</v>
      </c>
      <c r="K2383" s="8">
        <v>-1584.7340610000001</v>
      </c>
      <c r="L2383" s="8">
        <v>1792.2898070000001</v>
      </c>
      <c r="M2383" s="9" t="str">
        <f>IF(A2383="",M2384,A2383)</f>
        <v>Libya</v>
      </c>
      <c r="N2383" s="3" t="str">
        <f t="shared" si="75"/>
        <v>Jun-2020</v>
      </c>
    </row>
    <row r="2384" spans="1:14" x14ac:dyDescent="0.3">
      <c r="A2384" s="3" t="s">
        <v>206</v>
      </c>
      <c r="B2384" s="3" t="s">
        <v>207</v>
      </c>
      <c r="C2384" s="8">
        <v>2020</v>
      </c>
      <c r="D2384" s="8">
        <v>7</v>
      </c>
      <c r="E2384" s="3" t="str">
        <f t="shared" si="74"/>
        <v>July</v>
      </c>
      <c r="F2384" s="3" t="s">
        <v>8</v>
      </c>
      <c r="G2384" s="8">
        <v>2293.6058159999998</v>
      </c>
      <c r="H2384" s="8">
        <v>2766.0050000000001</v>
      </c>
      <c r="I2384" s="8">
        <v>472.39918440000002</v>
      </c>
      <c r="J2384" s="8">
        <v>415.89996619999999</v>
      </c>
      <c r="K2384" s="8">
        <v>-1251.976523</v>
      </c>
      <c r="L2384" s="8">
        <v>2357.2268220000001</v>
      </c>
      <c r="M2384" s="9" t="str">
        <f>IF(A2384="",M2385,A2384)</f>
        <v>Libya</v>
      </c>
      <c r="N2384" s="3" t="str">
        <f t="shared" si="75"/>
        <v>Jul-2020</v>
      </c>
    </row>
    <row r="2385" spans="1:14" x14ac:dyDescent="0.3">
      <c r="A2385" s="3" t="s">
        <v>206</v>
      </c>
      <c r="B2385" s="3" t="s">
        <v>207</v>
      </c>
      <c r="C2385" s="8">
        <v>2020</v>
      </c>
      <c r="D2385" s="8">
        <v>8</v>
      </c>
      <c r="E2385" s="3" t="str">
        <f t="shared" si="74"/>
        <v>August</v>
      </c>
      <c r="F2385" s="3" t="s">
        <v>8</v>
      </c>
      <c r="G2385" s="8">
        <v>2286.6464350000001</v>
      </c>
      <c r="H2385" s="8">
        <v>2943.1390000000001</v>
      </c>
      <c r="I2385" s="8">
        <v>656.49256479999997</v>
      </c>
      <c r="J2385" s="8">
        <v>1072.392531</v>
      </c>
      <c r="K2385" s="8">
        <v>-874.18966950000004</v>
      </c>
      <c r="L2385" s="8">
        <v>3186.873556</v>
      </c>
      <c r="M2385" s="9" t="str">
        <f>IF(A2385="",M2386,A2385)</f>
        <v>Libya</v>
      </c>
      <c r="N2385" s="3" t="str">
        <f t="shared" si="75"/>
        <v>Aug-2020</v>
      </c>
    </row>
    <row r="2386" spans="1:14" x14ac:dyDescent="0.3">
      <c r="A2386" s="3" t="s">
        <v>206</v>
      </c>
      <c r="B2386" s="3" t="s">
        <v>207</v>
      </c>
      <c r="C2386" s="8">
        <v>2020</v>
      </c>
      <c r="D2386" s="8">
        <v>9</v>
      </c>
      <c r="E2386" s="3" t="str">
        <f t="shared" si="74"/>
        <v>September</v>
      </c>
      <c r="F2386" s="3" t="s">
        <v>8</v>
      </c>
      <c r="G2386" s="8">
        <v>2311.9128470000001</v>
      </c>
      <c r="H2386" s="8">
        <v>2952.8850000000002</v>
      </c>
      <c r="I2386" s="8">
        <v>640.97215270000004</v>
      </c>
      <c r="J2386" s="8">
        <v>1713.3646839999999</v>
      </c>
      <c r="K2386" s="8">
        <v>-402.28283829999998</v>
      </c>
      <c r="L2386" s="8">
        <v>4144.5913229999996</v>
      </c>
      <c r="M2386" s="9" t="str">
        <f>IF(A2386="",M2387,A2386)</f>
        <v>Libya</v>
      </c>
      <c r="N2386" s="3" t="str">
        <f t="shared" si="75"/>
        <v>Sep-2020</v>
      </c>
    </row>
    <row r="2387" spans="1:14" x14ac:dyDescent="0.3">
      <c r="A2387" s="3" t="s">
        <v>206</v>
      </c>
      <c r="B2387" s="3" t="s">
        <v>207</v>
      </c>
      <c r="C2387" s="8">
        <v>2020</v>
      </c>
      <c r="D2387" s="8">
        <v>10</v>
      </c>
      <c r="E2387" s="3" t="str">
        <f t="shared" si="74"/>
        <v>October</v>
      </c>
      <c r="F2387" s="3" t="s">
        <v>8</v>
      </c>
      <c r="G2387" s="8">
        <v>2372.0296520000002</v>
      </c>
      <c r="H2387" s="8">
        <v>2828.277</v>
      </c>
      <c r="I2387" s="8">
        <v>456.24734810000001</v>
      </c>
      <c r="J2387" s="8">
        <v>2169.612032</v>
      </c>
      <c r="K2387" s="8">
        <v>-243.6769591</v>
      </c>
      <c r="L2387" s="8">
        <v>4643.4985980000001</v>
      </c>
      <c r="M2387" s="9" t="str">
        <f>IF(A2387="",M2388,A2387)</f>
        <v>Libya</v>
      </c>
      <c r="N2387" s="3" t="str">
        <f t="shared" si="75"/>
        <v>Oct-2020</v>
      </c>
    </row>
    <row r="2388" spans="1:14" x14ac:dyDescent="0.3">
      <c r="A2388" s="3" t="s">
        <v>206</v>
      </c>
      <c r="B2388" s="3" t="s">
        <v>207</v>
      </c>
      <c r="C2388" s="8">
        <v>2020</v>
      </c>
      <c r="D2388" s="8">
        <v>11</v>
      </c>
      <c r="E2388" s="3" t="str">
        <f t="shared" si="74"/>
        <v>November</v>
      </c>
      <c r="F2388" s="3" t="s">
        <v>8</v>
      </c>
      <c r="G2388" s="8">
        <v>2462.0632909999999</v>
      </c>
      <c r="H2388" s="8">
        <v>3216.3809999999999</v>
      </c>
      <c r="I2388" s="8">
        <v>754.31770879999999</v>
      </c>
      <c r="J2388" s="8">
        <v>2923.9297409999999</v>
      </c>
      <c r="K2388" s="8">
        <v>434.11568499999998</v>
      </c>
      <c r="L2388" s="8">
        <v>5702.198864</v>
      </c>
      <c r="M2388" s="9" t="str">
        <f>IF(A2388="",M2389,A2388)</f>
        <v>Libya</v>
      </c>
      <c r="N2388" s="3" t="str">
        <f t="shared" si="75"/>
        <v>Nov-2020</v>
      </c>
    </row>
    <row r="2389" spans="1:14" x14ac:dyDescent="0.3">
      <c r="A2389" s="3" t="s">
        <v>206</v>
      </c>
      <c r="B2389" s="3" t="s">
        <v>207</v>
      </c>
      <c r="C2389" s="8">
        <v>2020</v>
      </c>
      <c r="D2389" s="8">
        <v>12</v>
      </c>
      <c r="E2389" s="3" t="str">
        <f t="shared" si="74"/>
        <v>December</v>
      </c>
      <c r="F2389" s="3" t="s">
        <v>8</v>
      </c>
      <c r="G2389" s="8">
        <v>2524.6628879999998</v>
      </c>
      <c r="H2389" s="8">
        <v>3058.42</v>
      </c>
      <c r="I2389" s="8">
        <v>533.7571117</v>
      </c>
      <c r="J2389" s="8">
        <v>3457.6868519999998</v>
      </c>
      <c r="K2389" s="8">
        <v>855.22267629999999</v>
      </c>
      <c r="L2389" s="8">
        <v>6288.0333730000002</v>
      </c>
      <c r="M2389" s="9" t="str">
        <f>IF(A2389="",M2390,A2389)</f>
        <v>Libya</v>
      </c>
      <c r="N2389" s="3" t="str">
        <f t="shared" si="75"/>
        <v>Dec-2020</v>
      </c>
    </row>
    <row r="2390" spans="1:14" x14ac:dyDescent="0.3">
      <c r="A2390" s="3" t="s">
        <v>206</v>
      </c>
      <c r="B2390" s="3" t="s">
        <v>207</v>
      </c>
      <c r="C2390" s="8">
        <v>2021</v>
      </c>
      <c r="D2390" s="8">
        <v>1</v>
      </c>
      <c r="E2390" s="3" t="str">
        <f t="shared" si="74"/>
        <v>January</v>
      </c>
      <c r="F2390" s="3" t="s">
        <v>8</v>
      </c>
      <c r="G2390" s="8">
        <v>2612.0081449999998</v>
      </c>
      <c r="H2390" s="8">
        <v>3171.9859999999999</v>
      </c>
      <c r="I2390" s="8">
        <v>559.97785529999999</v>
      </c>
      <c r="J2390" s="8">
        <v>4017.6647079999998</v>
      </c>
      <c r="K2390" s="8">
        <v>1183.0548659999999</v>
      </c>
      <c r="L2390" s="8">
        <v>6788.9581969999999</v>
      </c>
      <c r="M2390" s="9" t="str">
        <f>IF(A2390="",M2391,A2390)</f>
        <v>Libya</v>
      </c>
      <c r="N2390" s="3" t="str">
        <f t="shared" si="75"/>
        <v>Jan-2021</v>
      </c>
    </row>
    <row r="2391" spans="1:14" x14ac:dyDescent="0.3">
      <c r="A2391" s="3" t="s">
        <v>206</v>
      </c>
      <c r="B2391" s="3" t="s">
        <v>207</v>
      </c>
      <c r="C2391" s="8">
        <v>2021</v>
      </c>
      <c r="D2391" s="8">
        <v>2</v>
      </c>
      <c r="E2391" s="3" t="str">
        <f t="shared" si="74"/>
        <v>February</v>
      </c>
      <c r="F2391" s="3" t="s">
        <v>8</v>
      </c>
      <c r="G2391" s="8">
        <v>2568.1437780000001</v>
      </c>
      <c r="H2391" s="8">
        <v>3014.1109999999999</v>
      </c>
      <c r="I2391" s="8">
        <v>445.96722160000002</v>
      </c>
      <c r="J2391" s="8">
        <v>4463.6319290000001</v>
      </c>
      <c r="K2391" s="8">
        <v>1470.8384160000001</v>
      </c>
      <c r="L2391" s="8">
        <v>7540.9247800000003</v>
      </c>
      <c r="M2391" s="9" t="str">
        <f>IF(A2391="",M2392,A2391)</f>
        <v>Libya</v>
      </c>
      <c r="N2391" s="3" t="str">
        <f t="shared" si="75"/>
        <v>Feb-2021</v>
      </c>
    </row>
    <row r="2392" spans="1:14" x14ac:dyDescent="0.3">
      <c r="A2392" s="3" t="s">
        <v>206</v>
      </c>
      <c r="B2392" s="3" t="s">
        <v>207</v>
      </c>
      <c r="C2392" s="8">
        <v>2021</v>
      </c>
      <c r="D2392" s="8">
        <v>3</v>
      </c>
      <c r="E2392" s="3" t="str">
        <f t="shared" si="74"/>
        <v>March</v>
      </c>
      <c r="F2392" s="3" t="s">
        <v>8</v>
      </c>
      <c r="G2392" s="8">
        <v>2515.6740289999998</v>
      </c>
      <c r="H2392" s="8">
        <v>3230.297</v>
      </c>
      <c r="I2392" s="8">
        <v>714.62297090000004</v>
      </c>
      <c r="J2392" s="8">
        <v>5178.2548999999999</v>
      </c>
      <c r="K2392" s="8">
        <v>2142.0251440000002</v>
      </c>
      <c r="L2392" s="8">
        <v>8458.7345480000004</v>
      </c>
      <c r="M2392" s="9" t="str">
        <f>IF(A2392="",M2393,A2392)</f>
        <v>Libya</v>
      </c>
      <c r="N2392" s="3" t="str">
        <f t="shared" si="75"/>
        <v>Mar-2021</v>
      </c>
    </row>
    <row r="2393" spans="1:14" x14ac:dyDescent="0.3">
      <c r="A2393" s="3" t="s">
        <v>206</v>
      </c>
      <c r="B2393" s="3" t="s">
        <v>207</v>
      </c>
      <c r="C2393" s="8">
        <v>2021</v>
      </c>
      <c r="D2393" s="8">
        <v>4</v>
      </c>
      <c r="E2393" s="3" t="str">
        <f t="shared" si="74"/>
        <v>April</v>
      </c>
      <c r="F2393" s="3" t="s">
        <v>8</v>
      </c>
      <c r="G2393" s="8">
        <v>2458.521945</v>
      </c>
      <c r="H2393" s="8">
        <v>3127.9810000000002</v>
      </c>
      <c r="I2393" s="8">
        <v>669.4590551</v>
      </c>
      <c r="J2393" s="8">
        <v>5847.7139550000002</v>
      </c>
      <c r="K2393" s="8">
        <v>2592.3019340000001</v>
      </c>
      <c r="L2393" s="8">
        <v>9272.1733469999999</v>
      </c>
      <c r="M2393" s="9" t="str">
        <f>IF(A2393="",M2394,A2393)</f>
        <v>Libya</v>
      </c>
      <c r="N2393" s="3" t="str">
        <f t="shared" si="75"/>
        <v>Apr-2021</v>
      </c>
    </row>
    <row r="2394" spans="1:14" x14ac:dyDescent="0.3">
      <c r="A2394" s="3" t="s">
        <v>206</v>
      </c>
      <c r="B2394" s="3" t="s">
        <v>207</v>
      </c>
      <c r="C2394" s="8">
        <v>2021</v>
      </c>
      <c r="D2394" s="8">
        <v>5</v>
      </c>
      <c r="E2394" s="3" t="str">
        <f t="shared" si="74"/>
        <v>May</v>
      </c>
      <c r="F2394" s="3" t="s">
        <v>8</v>
      </c>
      <c r="G2394" s="8">
        <v>2388.8014950000002</v>
      </c>
      <c r="H2394" s="8">
        <v>2724.6019999999999</v>
      </c>
      <c r="I2394" s="8">
        <v>335.80050490000002</v>
      </c>
      <c r="J2394" s="8">
        <v>6183.5144600000003</v>
      </c>
      <c r="K2394" s="8">
        <v>3045.1258910000001</v>
      </c>
      <c r="L2394" s="8">
        <v>9663.1217469999992</v>
      </c>
      <c r="M2394" s="9" t="str">
        <f>IF(A2394="",M2395,A2394)</f>
        <v>Libya</v>
      </c>
      <c r="N2394" s="3" t="str">
        <f t="shared" si="75"/>
        <v>May-2021</v>
      </c>
    </row>
    <row r="2395" spans="1:14" x14ac:dyDescent="0.3">
      <c r="A2395" s="3" t="s">
        <v>206</v>
      </c>
      <c r="B2395" s="3" t="s">
        <v>207</v>
      </c>
      <c r="C2395" s="8">
        <v>2021</v>
      </c>
      <c r="D2395" s="8">
        <v>6</v>
      </c>
      <c r="E2395" s="3" t="str">
        <f t="shared" si="74"/>
        <v>June</v>
      </c>
      <c r="F2395" s="3" t="s">
        <v>8</v>
      </c>
      <c r="G2395" s="8">
        <v>2354.3167600000002</v>
      </c>
      <c r="H2395" s="8">
        <v>2731.01</v>
      </c>
      <c r="I2395" s="8">
        <v>376.69324</v>
      </c>
      <c r="J2395" s="8">
        <v>6560.2076999999999</v>
      </c>
      <c r="K2395" s="8">
        <v>3361.806963</v>
      </c>
      <c r="L2395" s="8">
        <v>10008.33316</v>
      </c>
      <c r="M2395" s="9" t="str">
        <f>IF(A2395="",M2396,A2395)</f>
        <v>Libya</v>
      </c>
      <c r="N2395" s="3" t="str">
        <f t="shared" si="75"/>
        <v>Jun-2021</v>
      </c>
    </row>
    <row r="2396" spans="1:14" x14ac:dyDescent="0.3">
      <c r="A2396" s="3" t="s">
        <v>206</v>
      </c>
      <c r="B2396" s="3" t="s">
        <v>207</v>
      </c>
      <c r="C2396" s="8">
        <v>2021</v>
      </c>
      <c r="D2396" s="8">
        <v>7</v>
      </c>
      <c r="E2396" s="3" t="str">
        <f t="shared" si="74"/>
        <v>July</v>
      </c>
      <c r="F2396" s="3" t="s">
        <v>8</v>
      </c>
      <c r="G2396" s="8">
        <v>2343.5127560000001</v>
      </c>
      <c r="H2396" s="8">
        <v>2995.88</v>
      </c>
      <c r="I2396" s="8">
        <v>652.36724360000005</v>
      </c>
      <c r="J2396" s="8">
        <v>7212.574944</v>
      </c>
      <c r="K2396" s="8">
        <v>3852.9444199999998</v>
      </c>
      <c r="L2396" s="8">
        <v>10845.46903</v>
      </c>
      <c r="M2396" s="9" t="str">
        <f>IF(A2396="",M2397,A2396)</f>
        <v>Libya</v>
      </c>
      <c r="N2396" s="3" t="str">
        <f t="shared" si="75"/>
        <v>Jul-2021</v>
      </c>
    </row>
    <row r="2397" spans="1:14" x14ac:dyDescent="0.3">
      <c r="A2397" s="3" t="s">
        <v>206</v>
      </c>
      <c r="B2397" s="3" t="s">
        <v>207</v>
      </c>
      <c r="C2397" s="8">
        <v>2021</v>
      </c>
      <c r="D2397" s="8">
        <v>8</v>
      </c>
      <c r="E2397" s="3" t="str">
        <f t="shared" si="74"/>
        <v>August</v>
      </c>
      <c r="F2397" s="3" t="s">
        <v>8</v>
      </c>
      <c r="G2397" s="8">
        <v>2345.7750649999998</v>
      </c>
      <c r="H2397" s="8">
        <v>3498.2130000000002</v>
      </c>
      <c r="I2397" s="8">
        <v>1152.4379349999999</v>
      </c>
      <c r="J2397" s="8">
        <v>8365.0128789999999</v>
      </c>
      <c r="K2397" s="8">
        <v>4794.8483420000002</v>
      </c>
      <c r="L2397" s="8">
        <v>12162.346320000001</v>
      </c>
      <c r="M2397" s="9" t="str">
        <f>IF(A2397="",M2398,A2397)</f>
        <v>Libya</v>
      </c>
      <c r="N2397" s="3" t="str">
        <f t="shared" si="75"/>
        <v>Aug-2021</v>
      </c>
    </row>
    <row r="2398" spans="1:14" x14ac:dyDescent="0.3">
      <c r="A2398" s="3" t="s">
        <v>206</v>
      </c>
      <c r="B2398" s="3" t="s">
        <v>207</v>
      </c>
      <c r="C2398" s="8">
        <v>2021</v>
      </c>
      <c r="D2398" s="8">
        <v>9</v>
      </c>
      <c r="E2398" s="3" t="str">
        <f t="shared" si="74"/>
        <v>September</v>
      </c>
      <c r="F2398" s="3" t="s">
        <v>8</v>
      </c>
      <c r="G2398" s="8">
        <v>2362.025322</v>
      </c>
      <c r="H2398" s="8">
        <v>3093.1689999999999</v>
      </c>
      <c r="I2398" s="8">
        <v>731.14367800000002</v>
      </c>
      <c r="J2398" s="8">
        <v>9096.1565570000002</v>
      </c>
      <c r="K2398" s="8">
        <v>5490.5449850000005</v>
      </c>
      <c r="L2398" s="8">
        <v>12879.95948</v>
      </c>
      <c r="M2398" s="9" t="str">
        <f>IF(A2398="",M2399,A2398)</f>
        <v>Libya</v>
      </c>
      <c r="N2398" s="3" t="str">
        <f t="shared" si="75"/>
        <v>Sep-2021</v>
      </c>
    </row>
    <row r="2399" spans="1:14" x14ac:dyDescent="0.3">
      <c r="A2399" s="3" t="s">
        <v>206</v>
      </c>
      <c r="B2399" s="3" t="s">
        <v>207</v>
      </c>
      <c r="C2399" s="8">
        <v>2021</v>
      </c>
      <c r="D2399" s="8">
        <v>10</v>
      </c>
      <c r="E2399" s="3" t="str">
        <f t="shared" si="74"/>
        <v>October</v>
      </c>
      <c r="F2399" s="3" t="s">
        <v>8</v>
      </c>
      <c r="G2399" s="8">
        <v>2427.742174</v>
      </c>
      <c r="H2399" s="8">
        <v>3069.8409999999999</v>
      </c>
      <c r="I2399" s="8">
        <v>642.09882600000003</v>
      </c>
      <c r="J2399" s="8">
        <v>9738.2553829999997</v>
      </c>
      <c r="K2399" s="8">
        <v>6002.3232340000004</v>
      </c>
      <c r="L2399" s="8">
        <v>13711.36109</v>
      </c>
      <c r="M2399" s="9" t="str">
        <f>IF(A2399="",M2400,A2399)</f>
        <v>Libya</v>
      </c>
      <c r="N2399" s="3" t="str">
        <f t="shared" si="75"/>
        <v>Oct-2021</v>
      </c>
    </row>
    <row r="2400" spans="1:14" x14ac:dyDescent="0.3">
      <c r="A2400" s="3" t="s">
        <v>206</v>
      </c>
      <c r="B2400" s="3" t="s">
        <v>207</v>
      </c>
      <c r="C2400" s="8">
        <v>2021</v>
      </c>
      <c r="D2400" s="8">
        <v>11</v>
      </c>
      <c r="E2400" s="3" t="str">
        <f t="shared" si="74"/>
        <v>November</v>
      </c>
      <c r="F2400" s="3" t="s">
        <v>8</v>
      </c>
      <c r="G2400" s="8">
        <v>2515.1578</v>
      </c>
      <c r="H2400" s="8">
        <v>3043.4870000000001</v>
      </c>
      <c r="I2400" s="8">
        <v>528.3291997</v>
      </c>
      <c r="J2400" s="8">
        <v>10266.584580000001</v>
      </c>
      <c r="K2400" s="8">
        <v>6461.9667669999999</v>
      </c>
      <c r="L2400" s="8">
        <v>14547.20342</v>
      </c>
      <c r="M2400" s="9" t="str">
        <f>IF(A2400="",M2401,A2400)</f>
        <v>Libya</v>
      </c>
      <c r="N2400" s="3" t="str">
        <f t="shared" si="75"/>
        <v>Nov-2021</v>
      </c>
    </row>
    <row r="2401" spans="1:14" x14ac:dyDescent="0.3">
      <c r="A2401" s="3" t="s">
        <v>206</v>
      </c>
      <c r="B2401" s="3" t="s">
        <v>207</v>
      </c>
      <c r="C2401" s="8">
        <v>2021</v>
      </c>
      <c r="D2401" s="8">
        <v>12</v>
      </c>
      <c r="E2401" s="3" t="str">
        <f t="shared" si="74"/>
        <v>December</v>
      </c>
      <c r="F2401" s="3" t="s">
        <v>8</v>
      </c>
      <c r="G2401" s="8">
        <v>2577.756891</v>
      </c>
      <c r="H2401" s="8">
        <v>3017.1149999999998</v>
      </c>
      <c r="I2401" s="8">
        <v>439.35810939999999</v>
      </c>
      <c r="J2401" s="8">
        <v>10705.94269</v>
      </c>
      <c r="K2401" s="8">
        <v>6967.7688479999997</v>
      </c>
      <c r="L2401" s="8">
        <v>15002.48198</v>
      </c>
      <c r="M2401" s="9" t="str">
        <f>IF(A2401="",M2402,A2401)</f>
        <v>Libya</v>
      </c>
      <c r="N2401" s="3" t="str">
        <f t="shared" si="75"/>
        <v>Dec-2021</v>
      </c>
    </row>
    <row r="2402" spans="1:14" x14ac:dyDescent="0.3">
      <c r="A2402" s="3" t="s">
        <v>208</v>
      </c>
      <c r="B2402" s="3" t="s">
        <v>209</v>
      </c>
      <c r="C2402" s="8">
        <v>2020</v>
      </c>
      <c r="D2402" s="8">
        <v>1</v>
      </c>
      <c r="E2402" s="3" t="str">
        <f t="shared" si="74"/>
        <v>January</v>
      </c>
      <c r="F2402" s="3" t="s">
        <v>8</v>
      </c>
      <c r="G2402" s="8">
        <v>131.24716240000001</v>
      </c>
      <c r="H2402" s="8">
        <v>136.821</v>
      </c>
      <c r="I2402" s="8">
        <v>5.5738375600000003</v>
      </c>
      <c r="J2402" s="8">
        <v>5.5738375600000003</v>
      </c>
      <c r="K2402" s="8">
        <v>-33.93340955</v>
      </c>
      <c r="L2402" s="8">
        <v>52.833256980000002</v>
      </c>
      <c r="M2402" s="9" t="str">
        <f>IF(A2402="",M2403,A2402)</f>
        <v>Saint Lucia</v>
      </c>
      <c r="N2402" s="3" t="str">
        <f t="shared" si="75"/>
        <v>Jan-2020</v>
      </c>
    </row>
    <row r="2403" spans="1:14" x14ac:dyDescent="0.3">
      <c r="A2403" s="3" t="s">
        <v>208</v>
      </c>
      <c r="B2403" s="3" t="s">
        <v>209</v>
      </c>
      <c r="C2403" s="8">
        <v>2020</v>
      </c>
      <c r="D2403" s="8">
        <v>2</v>
      </c>
      <c r="E2403" s="3" t="str">
        <f t="shared" si="74"/>
        <v>February</v>
      </c>
      <c r="F2403" s="3" t="s">
        <v>8</v>
      </c>
      <c r="G2403" s="8">
        <v>131.3780898</v>
      </c>
      <c r="H2403" s="8">
        <v>133.071</v>
      </c>
      <c r="I2403" s="8">
        <v>1.69291024</v>
      </c>
      <c r="J2403" s="8">
        <v>7.2667478000000001</v>
      </c>
      <c r="K2403" s="8">
        <v>-50.577788750000003</v>
      </c>
      <c r="L2403" s="8">
        <v>74.662874680000002</v>
      </c>
      <c r="M2403" s="9" t="str">
        <f>IF(A2403="",M2404,A2403)</f>
        <v>Saint Lucia</v>
      </c>
      <c r="N2403" s="3" t="str">
        <f t="shared" si="75"/>
        <v>Feb-2020</v>
      </c>
    </row>
    <row r="2404" spans="1:14" x14ac:dyDescent="0.3">
      <c r="A2404" s="3" t="s">
        <v>208</v>
      </c>
      <c r="B2404" s="3" t="s">
        <v>209</v>
      </c>
      <c r="C2404" s="8">
        <v>2020</v>
      </c>
      <c r="D2404" s="8">
        <v>3</v>
      </c>
      <c r="E2404" s="3" t="str">
        <f t="shared" si="74"/>
        <v>March</v>
      </c>
      <c r="F2404" s="3" t="s">
        <v>8</v>
      </c>
      <c r="G2404" s="8">
        <v>131.6134089</v>
      </c>
      <c r="H2404" s="8">
        <v>132.756</v>
      </c>
      <c r="I2404" s="8">
        <v>1.1425910690000001</v>
      </c>
      <c r="J2404" s="8">
        <v>8.4093388690000008</v>
      </c>
      <c r="K2404" s="8">
        <v>-65.979280540000005</v>
      </c>
      <c r="L2404" s="8">
        <v>88.010355140000001</v>
      </c>
      <c r="M2404" s="9" t="str">
        <f>IF(A2404="",M2405,A2404)</f>
        <v>Saint Lucia</v>
      </c>
      <c r="N2404" s="3" t="str">
        <f t="shared" si="75"/>
        <v>Mar-2020</v>
      </c>
    </row>
    <row r="2405" spans="1:14" x14ac:dyDescent="0.3">
      <c r="A2405" s="3" t="s">
        <v>208</v>
      </c>
      <c r="B2405" s="3" t="s">
        <v>209</v>
      </c>
      <c r="C2405" s="8">
        <v>2020</v>
      </c>
      <c r="D2405" s="8">
        <v>4</v>
      </c>
      <c r="E2405" s="3" t="str">
        <f t="shared" si="74"/>
        <v>April</v>
      </c>
      <c r="F2405" s="3" t="s">
        <v>8</v>
      </c>
      <c r="G2405" s="8">
        <v>130.7325836</v>
      </c>
      <c r="H2405" s="8">
        <v>133.46700000000001</v>
      </c>
      <c r="I2405" s="8">
        <v>2.7344163969999999</v>
      </c>
      <c r="J2405" s="8">
        <v>11.14375527</v>
      </c>
      <c r="K2405" s="8">
        <v>-74.859497450000006</v>
      </c>
      <c r="L2405" s="8">
        <v>101.9175924</v>
      </c>
      <c r="M2405" s="9" t="str">
        <f>IF(A2405="",M2406,A2405)</f>
        <v>Saint Lucia</v>
      </c>
      <c r="N2405" s="3" t="str">
        <f t="shared" si="75"/>
        <v>Apr-2020</v>
      </c>
    </row>
    <row r="2406" spans="1:14" x14ac:dyDescent="0.3">
      <c r="A2406" s="3" t="s">
        <v>208</v>
      </c>
      <c r="B2406" s="3" t="s">
        <v>209</v>
      </c>
      <c r="C2406" s="8">
        <v>2020</v>
      </c>
      <c r="D2406" s="8">
        <v>5</v>
      </c>
      <c r="E2406" s="3" t="str">
        <f t="shared" si="74"/>
        <v>May</v>
      </c>
      <c r="F2406" s="3" t="s">
        <v>8</v>
      </c>
      <c r="G2406" s="8">
        <v>129.9409967</v>
      </c>
      <c r="H2406" s="8">
        <v>133.459</v>
      </c>
      <c r="I2406" s="8">
        <v>3.5180032510000001</v>
      </c>
      <c r="J2406" s="8">
        <v>14.661758519999999</v>
      </c>
      <c r="K2406" s="8">
        <v>-79.082853330000006</v>
      </c>
      <c r="L2406" s="8">
        <v>117.1930012</v>
      </c>
      <c r="M2406" s="9" t="str">
        <f>IF(A2406="",M2407,A2406)</f>
        <v>Saint Lucia</v>
      </c>
      <c r="N2406" s="3" t="str">
        <f t="shared" si="75"/>
        <v>May-2020</v>
      </c>
    </row>
    <row r="2407" spans="1:14" x14ac:dyDescent="0.3">
      <c r="A2407" s="3" t="s">
        <v>208</v>
      </c>
      <c r="B2407" s="3" t="s">
        <v>209</v>
      </c>
      <c r="C2407" s="8">
        <v>2020</v>
      </c>
      <c r="D2407" s="8">
        <v>6</v>
      </c>
      <c r="E2407" s="3" t="str">
        <f t="shared" si="74"/>
        <v>June</v>
      </c>
      <c r="F2407" s="3" t="s">
        <v>8</v>
      </c>
      <c r="G2407" s="8">
        <v>129.48209259999999</v>
      </c>
      <c r="H2407" s="8">
        <v>131.09700000000001</v>
      </c>
      <c r="I2407" s="8">
        <v>1.6149074000000001</v>
      </c>
      <c r="J2407" s="8">
        <v>16.276665919999999</v>
      </c>
      <c r="K2407" s="8">
        <v>-90.077108620000004</v>
      </c>
      <c r="L2407" s="8">
        <v>124.8318938</v>
      </c>
      <c r="M2407" s="9" t="str">
        <f>IF(A2407="",M2408,A2407)</f>
        <v>Saint Lucia</v>
      </c>
      <c r="N2407" s="3" t="str">
        <f t="shared" si="75"/>
        <v>Jun-2020</v>
      </c>
    </row>
    <row r="2408" spans="1:14" x14ac:dyDescent="0.3">
      <c r="A2408" s="3" t="s">
        <v>208</v>
      </c>
      <c r="B2408" s="3" t="s">
        <v>209</v>
      </c>
      <c r="C2408" s="8">
        <v>2020</v>
      </c>
      <c r="D2408" s="8">
        <v>7</v>
      </c>
      <c r="E2408" s="3" t="str">
        <f t="shared" si="74"/>
        <v>July</v>
      </c>
      <c r="F2408" s="3" t="s">
        <v>8</v>
      </c>
      <c r="G2408" s="8">
        <v>129.9530532</v>
      </c>
      <c r="H2408" s="8">
        <v>128.08199999999999</v>
      </c>
      <c r="I2408" s="8">
        <v>-1.8710532209999999</v>
      </c>
      <c r="J2408" s="8">
        <v>14.405612700000001</v>
      </c>
      <c r="K2408" s="8">
        <v>-97.455743279999993</v>
      </c>
      <c r="L2408" s="8">
        <v>134.83882460000001</v>
      </c>
      <c r="M2408" s="9" t="str">
        <f>IF(A2408="",M2409,A2408)</f>
        <v>Saint Lucia</v>
      </c>
      <c r="N2408" s="3" t="str">
        <f t="shared" si="75"/>
        <v>Jul-2020</v>
      </c>
    </row>
    <row r="2409" spans="1:14" x14ac:dyDescent="0.3">
      <c r="A2409" s="3" t="s">
        <v>208</v>
      </c>
      <c r="B2409" s="3" t="s">
        <v>209</v>
      </c>
      <c r="C2409" s="8">
        <v>2020</v>
      </c>
      <c r="D2409" s="8">
        <v>8</v>
      </c>
      <c r="E2409" s="3" t="str">
        <f t="shared" si="74"/>
        <v>August</v>
      </c>
      <c r="F2409" s="3" t="s">
        <v>8</v>
      </c>
      <c r="G2409" s="8">
        <v>129.601541</v>
      </c>
      <c r="H2409" s="8">
        <v>126.819</v>
      </c>
      <c r="I2409" s="8">
        <v>-2.7825410370000001</v>
      </c>
      <c r="J2409" s="8">
        <v>11.623071660000001</v>
      </c>
      <c r="K2409" s="8">
        <v>-107.3043471</v>
      </c>
      <c r="L2409" s="8">
        <v>137.07659659999999</v>
      </c>
      <c r="M2409" s="9" t="str">
        <f>IF(A2409="",M2410,A2409)</f>
        <v>Saint Lucia</v>
      </c>
      <c r="N2409" s="3" t="str">
        <f t="shared" si="75"/>
        <v>Aug-2020</v>
      </c>
    </row>
    <row r="2410" spans="1:14" x14ac:dyDescent="0.3">
      <c r="A2410" s="3" t="s">
        <v>208</v>
      </c>
      <c r="B2410" s="3" t="s">
        <v>209</v>
      </c>
      <c r="C2410" s="8">
        <v>2020</v>
      </c>
      <c r="D2410" s="8">
        <v>9</v>
      </c>
      <c r="E2410" s="3" t="str">
        <f t="shared" si="74"/>
        <v>September</v>
      </c>
      <c r="F2410" s="3" t="s">
        <v>8</v>
      </c>
      <c r="G2410" s="8">
        <v>129.6414044</v>
      </c>
      <c r="H2410" s="8">
        <v>126.926</v>
      </c>
      <c r="I2410" s="8">
        <v>-2.7154043689999998</v>
      </c>
      <c r="J2410" s="8">
        <v>8.9076672880000007</v>
      </c>
      <c r="K2410" s="8">
        <v>-113.5035341</v>
      </c>
      <c r="L2410" s="8">
        <v>147.31129390000001</v>
      </c>
      <c r="M2410" s="9" t="str">
        <f>IF(A2410="",M2411,A2410)</f>
        <v>Saint Lucia</v>
      </c>
      <c r="N2410" s="3" t="str">
        <f t="shared" si="75"/>
        <v>Sep-2020</v>
      </c>
    </row>
    <row r="2411" spans="1:14" x14ac:dyDescent="0.3">
      <c r="A2411" s="3" t="s">
        <v>208</v>
      </c>
      <c r="B2411" s="3" t="s">
        <v>209</v>
      </c>
      <c r="C2411" s="8">
        <v>2020</v>
      </c>
      <c r="D2411" s="8">
        <v>10</v>
      </c>
      <c r="E2411" s="3" t="str">
        <f t="shared" si="74"/>
        <v>October</v>
      </c>
      <c r="F2411" s="3" t="s">
        <v>8</v>
      </c>
      <c r="G2411" s="8">
        <v>130.3306772</v>
      </c>
      <c r="H2411" s="8">
        <v>126.077</v>
      </c>
      <c r="I2411" s="8">
        <v>-4.2536771509999998</v>
      </c>
      <c r="J2411" s="8">
        <v>4.6539901380000002</v>
      </c>
      <c r="K2411" s="8">
        <v>-127.6264918</v>
      </c>
      <c r="L2411" s="8">
        <v>147.3016192</v>
      </c>
      <c r="M2411" s="9" t="str">
        <f>IF(A2411="",M2412,A2411)</f>
        <v>Saint Lucia</v>
      </c>
      <c r="N2411" s="3" t="str">
        <f t="shared" si="75"/>
        <v>Oct-2020</v>
      </c>
    </row>
    <row r="2412" spans="1:14" x14ac:dyDescent="0.3">
      <c r="A2412" s="3" t="s">
        <v>208</v>
      </c>
      <c r="B2412" s="3" t="s">
        <v>209</v>
      </c>
      <c r="C2412" s="8">
        <v>2020</v>
      </c>
      <c r="D2412" s="8">
        <v>11</v>
      </c>
      <c r="E2412" s="3" t="str">
        <f t="shared" si="74"/>
        <v>November</v>
      </c>
      <c r="F2412" s="3" t="s">
        <v>8</v>
      </c>
      <c r="G2412" s="8">
        <v>130.80757399999999</v>
      </c>
      <c r="H2412" s="8">
        <v>137.61500000000001</v>
      </c>
      <c r="I2412" s="8">
        <v>6.8074260110000004</v>
      </c>
      <c r="J2412" s="8">
        <v>11.46141615</v>
      </c>
      <c r="K2412" s="8">
        <v>-128.34571500000001</v>
      </c>
      <c r="L2412" s="8">
        <v>157.31669110000001</v>
      </c>
      <c r="M2412" s="9" t="str">
        <f>IF(A2412="",M2413,A2412)</f>
        <v>Saint Lucia</v>
      </c>
      <c r="N2412" s="3" t="str">
        <f t="shared" si="75"/>
        <v>Nov-2020</v>
      </c>
    </row>
    <row r="2413" spans="1:14" x14ac:dyDescent="0.3">
      <c r="A2413" s="3" t="s">
        <v>208</v>
      </c>
      <c r="B2413" s="3" t="s">
        <v>209</v>
      </c>
      <c r="C2413" s="8">
        <v>2020</v>
      </c>
      <c r="D2413" s="8">
        <v>12</v>
      </c>
      <c r="E2413" s="3" t="str">
        <f t="shared" si="74"/>
        <v>December</v>
      </c>
      <c r="F2413" s="3" t="s">
        <v>8</v>
      </c>
      <c r="G2413" s="8">
        <v>131.27338499999999</v>
      </c>
      <c r="H2413" s="8">
        <v>145.20500000000001</v>
      </c>
      <c r="I2413" s="8">
        <v>13.93161495</v>
      </c>
      <c r="J2413" s="8">
        <v>25.393031100000002</v>
      </c>
      <c r="K2413" s="8">
        <v>-119.50667129999999</v>
      </c>
      <c r="L2413" s="8">
        <v>173.32951460000001</v>
      </c>
      <c r="M2413" s="9" t="str">
        <f>IF(A2413="",M2414,A2413)</f>
        <v>Saint Lucia</v>
      </c>
      <c r="N2413" s="3" t="str">
        <f t="shared" si="75"/>
        <v>Dec-2020</v>
      </c>
    </row>
    <row r="2414" spans="1:14" x14ac:dyDescent="0.3">
      <c r="A2414" s="3" t="s">
        <v>208</v>
      </c>
      <c r="B2414" s="3" t="s">
        <v>209</v>
      </c>
      <c r="C2414" s="8">
        <v>2021</v>
      </c>
      <c r="D2414" s="8">
        <v>1</v>
      </c>
      <c r="E2414" s="3" t="str">
        <f t="shared" si="74"/>
        <v>January</v>
      </c>
      <c r="F2414" s="3" t="s">
        <v>8</v>
      </c>
      <c r="G2414" s="8">
        <v>135.95638009999999</v>
      </c>
      <c r="H2414" s="8">
        <v>167.38499999999999</v>
      </c>
      <c r="I2414" s="8">
        <v>31.428619879999999</v>
      </c>
      <c r="J2414" s="8">
        <v>56.821650980000001</v>
      </c>
      <c r="K2414" s="8">
        <v>-96.322132210000007</v>
      </c>
      <c r="L2414" s="8">
        <v>222.56769800000001</v>
      </c>
      <c r="M2414" s="9" t="str">
        <f>IF(A2414="",M2415,A2414)</f>
        <v>Saint Lucia</v>
      </c>
      <c r="N2414" s="3" t="str">
        <f t="shared" si="75"/>
        <v>Jan-2021</v>
      </c>
    </row>
    <row r="2415" spans="1:14" x14ac:dyDescent="0.3">
      <c r="A2415" s="3" t="s">
        <v>208</v>
      </c>
      <c r="B2415" s="3" t="s">
        <v>209</v>
      </c>
      <c r="C2415" s="8">
        <v>2021</v>
      </c>
      <c r="D2415" s="8">
        <v>2</v>
      </c>
      <c r="E2415" s="3" t="str">
        <f t="shared" si="74"/>
        <v>February</v>
      </c>
      <c r="F2415" s="3" t="s">
        <v>8</v>
      </c>
      <c r="G2415" s="8">
        <v>136.02704109999999</v>
      </c>
      <c r="H2415" s="8">
        <v>189.197</v>
      </c>
      <c r="I2415" s="8">
        <v>53.169958940000001</v>
      </c>
      <c r="J2415" s="8">
        <v>109.9916099</v>
      </c>
      <c r="K2415" s="8">
        <v>-58.922145489999998</v>
      </c>
      <c r="L2415" s="8">
        <v>284.118268</v>
      </c>
      <c r="M2415" s="9" t="str">
        <f>IF(A2415="",M2416,A2415)</f>
        <v>Saint Lucia</v>
      </c>
      <c r="N2415" s="3" t="str">
        <f t="shared" si="75"/>
        <v>Feb-2021</v>
      </c>
    </row>
    <row r="2416" spans="1:14" x14ac:dyDescent="0.3">
      <c r="A2416" s="3" t="s">
        <v>208</v>
      </c>
      <c r="B2416" s="3" t="s">
        <v>209</v>
      </c>
      <c r="C2416" s="8">
        <v>2021</v>
      </c>
      <c r="D2416" s="8">
        <v>3</v>
      </c>
      <c r="E2416" s="3" t="str">
        <f t="shared" si="74"/>
        <v>March</v>
      </c>
      <c r="F2416" s="3" t="s">
        <v>8</v>
      </c>
      <c r="G2416" s="8">
        <v>136.27066070000001</v>
      </c>
      <c r="H2416" s="8">
        <v>195.95500000000001</v>
      </c>
      <c r="I2416" s="8">
        <v>59.684339309999999</v>
      </c>
      <c r="J2416" s="8">
        <v>169.67594919999999</v>
      </c>
      <c r="K2416" s="8">
        <v>3.2177843770000001</v>
      </c>
      <c r="L2416" s="8">
        <v>360.1648237</v>
      </c>
      <c r="M2416" s="9" t="str">
        <f>IF(A2416="",M2417,A2416)</f>
        <v>Saint Lucia</v>
      </c>
      <c r="N2416" s="3" t="str">
        <f t="shared" si="75"/>
        <v>Mar-2021</v>
      </c>
    </row>
    <row r="2417" spans="1:14" x14ac:dyDescent="0.3">
      <c r="A2417" s="3" t="s">
        <v>208</v>
      </c>
      <c r="B2417" s="3" t="s">
        <v>209</v>
      </c>
      <c r="C2417" s="8">
        <v>2021</v>
      </c>
      <c r="D2417" s="8">
        <v>4</v>
      </c>
      <c r="E2417" s="3" t="str">
        <f t="shared" si="74"/>
        <v>April</v>
      </c>
      <c r="F2417" s="3" t="s">
        <v>8</v>
      </c>
      <c r="G2417" s="8">
        <v>135.33230399999999</v>
      </c>
      <c r="H2417" s="8">
        <v>180.858</v>
      </c>
      <c r="I2417" s="8">
        <v>45.52569604</v>
      </c>
      <c r="J2417" s="8">
        <v>215.2016453</v>
      </c>
      <c r="K2417" s="8">
        <v>22.659365860000001</v>
      </c>
      <c r="L2417" s="8">
        <v>415.34922560000001</v>
      </c>
      <c r="M2417" s="9" t="str">
        <f>IF(A2417="",M2418,A2417)</f>
        <v>Saint Lucia</v>
      </c>
      <c r="N2417" s="3" t="str">
        <f t="shared" si="75"/>
        <v>Apr-2021</v>
      </c>
    </row>
    <row r="2418" spans="1:14" x14ac:dyDescent="0.3">
      <c r="A2418" s="3" t="s">
        <v>208</v>
      </c>
      <c r="B2418" s="3" t="s">
        <v>209</v>
      </c>
      <c r="C2418" s="8">
        <v>2021</v>
      </c>
      <c r="D2418" s="8">
        <v>5</v>
      </c>
      <c r="E2418" s="3" t="str">
        <f t="shared" si="74"/>
        <v>May</v>
      </c>
      <c r="F2418" s="3" t="s">
        <v>8</v>
      </c>
      <c r="G2418" s="8">
        <v>134.52309959999999</v>
      </c>
      <c r="H2418" s="8">
        <v>154.99799999999999</v>
      </c>
      <c r="I2418" s="8">
        <v>20.47490045</v>
      </c>
      <c r="J2418" s="8">
        <v>235.67654569999999</v>
      </c>
      <c r="K2418" s="8">
        <v>37.245480700000002</v>
      </c>
      <c r="L2418" s="8">
        <v>440.99027769999998</v>
      </c>
      <c r="M2418" s="9" t="str">
        <f>IF(A2418="",M2419,A2418)</f>
        <v>Saint Lucia</v>
      </c>
      <c r="N2418" s="3" t="str">
        <f t="shared" si="75"/>
        <v>May-2021</v>
      </c>
    </row>
    <row r="2419" spans="1:14" x14ac:dyDescent="0.3">
      <c r="A2419" s="3" t="s">
        <v>208</v>
      </c>
      <c r="B2419" s="3" t="s">
        <v>209</v>
      </c>
      <c r="C2419" s="8">
        <v>2021</v>
      </c>
      <c r="D2419" s="8">
        <v>6</v>
      </c>
      <c r="E2419" s="3" t="str">
        <f t="shared" si="74"/>
        <v>June</v>
      </c>
      <c r="F2419" s="3" t="s">
        <v>8</v>
      </c>
      <c r="G2419" s="8">
        <v>134.36711869999999</v>
      </c>
      <c r="H2419" s="8">
        <v>163.85400000000001</v>
      </c>
      <c r="I2419" s="8">
        <v>29.486881329999999</v>
      </c>
      <c r="J2419" s="8">
        <v>265.16342700000001</v>
      </c>
      <c r="K2419" s="8">
        <v>64.112029269999994</v>
      </c>
      <c r="L2419" s="8">
        <v>478.61945689999999</v>
      </c>
      <c r="M2419" s="9" t="str">
        <f>IF(A2419="",M2420,A2419)</f>
        <v>Saint Lucia</v>
      </c>
      <c r="N2419" s="3" t="str">
        <f t="shared" si="75"/>
        <v>Jun-2021</v>
      </c>
    </row>
    <row r="2420" spans="1:14" x14ac:dyDescent="0.3">
      <c r="A2420" s="3" t="s">
        <v>208</v>
      </c>
      <c r="B2420" s="3" t="s">
        <v>209</v>
      </c>
      <c r="C2420" s="8">
        <v>2021</v>
      </c>
      <c r="D2420" s="8">
        <v>7</v>
      </c>
      <c r="E2420" s="3" t="str">
        <f t="shared" si="74"/>
        <v>July</v>
      </c>
      <c r="F2420" s="3" t="s">
        <v>8</v>
      </c>
      <c r="G2420" s="8">
        <v>134.3605542</v>
      </c>
      <c r="H2420" s="8">
        <v>157.00800000000001</v>
      </c>
      <c r="I2420" s="8">
        <v>22.647445829999999</v>
      </c>
      <c r="J2420" s="8">
        <v>287.81087289999999</v>
      </c>
      <c r="K2420" s="8">
        <v>66.126068360000005</v>
      </c>
      <c r="L2420" s="8">
        <v>504.359802</v>
      </c>
      <c r="M2420" s="9" t="str">
        <f>IF(A2420="",M2421,A2420)</f>
        <v>Saint Lucia</v>
      </c>
      <c r="N2420" s="3" t="str">
        <f t="shared" si="75"/>
        <v>Jul-2021</v>
      </c>
    </row>
    <row r="2421" spans="1:14" x14ac:dyDescent="0.3">
      <c r="A2421" s="3" t="s">
        <v>208</v>
      </c>
      <c r="B2421" s="3" t="s">
        <v>209</v>
      </c>
      <c r="C2421" s="8">
        <v>2021</v>
      </c>
      <c r="D2421" s="8">
        <v>8</v>
      </c>
      <c r="E2421" s="3" t="str">
        <f t="shared" si="74"/>
        <v>August</v>
      </c>
      <c r="F2421" s="3" t="s">
        <v>8</v>
      </c>
      <c r="G2421" s="8">
        <v>134.2351128</v>
      </c>
      <c r="H2421" s="8">
        <v>184.85</v>
      </c>
      <c r="I2421" s="8">
        <v>50.614887160000002</v>
      </c>
      <c r="J2421" s="8">
        <v>338.42576000000003</v>
      </c>
      <c r="K2421" s="8">
        <v>119.6522044</v>
      </c>
      <c r="L2421" s="8">
        <v>564.6591075</v>
      </c>
      <c r="M2421" s="9" t="str">
        <f>IF(A2421="",M2422,A2421)</f>
        <v>Saint Lucia</v>
      </c>
      <c r="N2421" s="3" t="str">
        <f t="shared" si="75"/>
        <v>Aug-2021</v>
      </c>
    </row>
    <row r="2422" spans="1:14" x14ac:dyDescent="0.3">
      <c r="A2422" s="3" t="s">
        <v>208</v>
      </c>
      <c r="B2422" s="3" t="s">
        <v>209</v>
      </c>
      <c r="C2422" s="8">
        <v>2021</v>
      </c>
      <c r="D2422" s="8">
        <v>9</v>
      </c>
      <c r="E2422" s="3" t="str">
        <f t="shared" si="74"/>
        <v>September</v>
      </c>
      <c r="F2422" s="3" t="s">
        <v>8</v>
      </c>
      <c r="G2422" s="8">
        <v>134.66453859999999</v>
      </c>
      <c r="H2422" s="8">
        <v>268.94499999999999</v>
      </c>
      <c r="I2422" s="8">
        <v>134.28046140000001</v>
      </c>
      <c r="J2422" s="8">
        <v>472.70622150000003</v>
      </c>
      <c r="K2422" s="8">
        <v>253.0020911</v>
      </c>
      <c r="L2422" s="8">
        <v>710.56975339999997</v>
      </c>
      <c r="M2422" s="9" t="str">
        <f>IF(A2422="",M2423,A2422)</f>
        <v>Saint Lucia</v>
      </c>
      <c r="N2422" s="3" t="str">
        <f t="shared" si="75"/>
        <v>Sep-2021</v>
      </c>
    </row>
    <row r="2423" spans="1:14" x14ac:dyDescent="0.3">
      <c r="A2423" s="3" t="s">
        <v>208</v>
      </c>
      <c r="B2423" s="3" t="s">
        <v>209</v>
      </c>
      <c r="C2423" s="8">
        <v>2021</v>
      </c>
      <c r="D2423" s="8">
        <v>10</v>
      </c>
      <c r="E2423" s="3" t="str">
        <f t="shared" si="74"/>
        <v>October</v>
      </c>
      <c r="F2423" s="3" t="s">
        <v>8</v>
      </c>
      <c r="G2423" s="8">
        <v>134.90340190000001</v>
      </c>
      <c r="H2423" s="8">
        <v>220.17599999999999</v>
      </c>
      <c r="I2423" s="8">
        <v>85.272598099999996</v>
      </c>
      <c r="J2423" s="8">
        <v>557.97881959999995</v>
      </c>
      <c r="K2423" s="8">
        <v>316.91682489999999</v>
      </c>
      <c r="L2423" s="8">
        <v>805.31890099999998</v>
      </c>
      <c r="M2423" s="9" t="str">
        <f>IF(A2423="",M2424,A2423)</f>
        <v>Saint Lucia</v>
      </c>
      <c r="N2423" s="3" t="str">
        <f t="shared" si="75"/>
        <v>Oct-2021</v>
      </c>
    </row>
    <row r="2424" spans="1:14" x14ac:dyDescent="0.3">
      <c r="A2424" s="3" t="s">
        <v>208</v>
      </c>
      <c r="B2424" s="3" t="s">
        <v>209</v>
      </c>
      <c r="C2424" s="8">
        <v>2021</v>
      </c>
      <c r="D2424" s="8">
        <v>11</v>
      </c>
      <c r="E2424" s="3" t="str">
        <f t="shared" si="74"/>
        <v>November</v>
      </c>
      <c r="F2424" s="3" t="s">
        <v>8</v>
      </c>
      <c r="G2424" s="8">
        <v>135.46269570000001</v>
      </c>
      <c r="H2424" s="8">
        <v>179.94</v>
      </c>
      <c r="I2424" s="8">
        <v>44.477304349999997</v>
      </c>
      <c r="J2424" s="8">
        <v>602.45612389999997</v>
      </c>
      <c r="K2424" s="8">
        <v>355.45883579999997</v>
      </c>
      <c r="L2424" s="8">
        <v>855.19063140000003</v>
      </c>
      <c r="M2424" s="9" t="str">
        <f>IF(A2424="",M2425,A2424)</f>
        <v>Saint Lucia</v>
      </c>
      <c r="N2424" s="3" t="str">
        <f t="shared" si="75"/>
        <v>Nov-2021</v>
      </c>
    </row>
    <row r="2425" spans="1:14" x14ac:dyDescent="0.3">
      <c r="A2425" s="3" t="s">
        <v>208</v>
      </c>
      <c r="B2425" s="3" t="s">
        <v>209</v>
      </c>
      <c r="C2425" s="8">
        <v>2021</v>
      </c>
      <c r="D2425" s="8">
        <v>12</v>
      </c>
      <c r="E2425" s="3" t="str">
        <f t="shared" si="74"/>
        <v>December</v>
      </c>
      <c r="F2425" s="3" t="s">
        <v>8</v>
      </c>
      <c r="G2425" s="8">
        <v>136.26858669999999</v>
      </c>
      <c r="H2425" s="8">
        <v>165.20400000000001</v>
      </c>
      <c r="I2425" s="8">
        <v>28.935413279999999</v>
      </c>
      <c r="J2425" s="8">
        <v>631.39153720000002</v>
      </c>
      <c r="K2425" s="8">
        <v>382.44647450000002</v>
      </c>
      <c r="L2425" s="8">
        <v>904.79482719999999</v>
      </c>
      <c r="M2425" s="9" t="str">
        <f>IF(A2425="",M2426,A2425)</f>
        <v>Saint Lucia</v>
      </c>
      <c r="N2425" s="3" t="str">
        <f t="shared" si="75"/>
        <v>Dec-2021</v>
      </c>
    </row>
    <row r="2426" spans="1:14" x14ac:dyDescent="0.3">
      <c r="A2426" s="3" t="s">
        <v>210</v>
      </c>
      <c r="B2426" s="3" t="s">
        <v>211</v>
      </c>
      <c r="C2426" s="8">
        <v>2020</v>
      </c>
      <c r="D2426" s="8">
        <v>1</v>
      </c>
      <c r="E2426" s="3" t="str">
        <f t="shared" si="74"/>
        <v>January</v>
      </c>
      <c r="F2426" s="3" t="s">
        <v>13</v>
      </c>
      <c r="G2426" s="8">
        <v>13058.88703</v>
      </c>
      <c r="H2426" s="8">
        <v>13254</v>
      </c>
      <c r="I2426" s="8">
        <v>191.44630069999999</v>
      </c>
      <c r="J2426" s="8">
        <v>191.44630069999999</v>
      </c>
      <c r="K2426" s="8">
        <v>-517.86882379999997</v>
      </c>
      <c r="L2426" s="8">
        <v>915.64728609999997</v>
      </c>
      <c r="M2426" s="9" t="str">
        <f>IF(A2426="",M2427,A2426)</f>
        <v>Sri Lanka</v>
      </c>
      <c r="N2426" s="3" t="str">
        <f t="shared" si="75"/>
        <v>Jan-2020</v>
      </c>
    </row>
    <row r="2427" spans="1:14" x14ac:dyDescent="0.3">
      <c r="A2427" s="3" t="s">
        <v>210</v>
      </c>
      <c r="B2427" s="3" t="s">
        <v>211</v>
      </c>
      <c r="C2427" s="8">
        <v>2020</v>
      </c>
      <c r="D2427" s="8">
        <v>2</v>
      </c>
      <c r="E2427" s="3" t="str">
        <f t="shared" si="74"/>
        <v>February</v>
      </c>
      <c r="F2427" s="3" t="s">
        <v>13</v>
      </c>
      <c r="G2427" s="8">
        <v>12758.282929999999</v>
      </c>
      <c r="H2427" s="8">
        <v>11686</v>
      </c>
      <c r="I2427" s="8">
        <v>-1075.9495979999999</v>
      </c>
      <c r="J2427" s="8">
        <v>-884.50329729999999</v>
      </c>
      <c r="K2427" s="8">
        <v>-2044.0598339999999</v>
      </c>
      <c r="L2427" s="8">
        <v>229.83475139999999</v>
      </c>
      <c r="M2427" s="9" t="str">
        <f>IF(A2427="",M2428,A2427)</f>
        <v>Sri Lanka</v>
      </c>
      <c r="N2427" s="3" t="str">
        <f t="shared" si="75"/>
        <v>Feb-2020</v>
      </c>
    </row>
    <row r="2428" spans="1:14" x14ac:dyDescent="0.3">
      <c r="A2428" s="3" t="s">
        <v>210</v>
      </c>
      <c r="B2428" s="3" t="s">
        <v>211</v>
      </c>
      <c r="C2428" s="8">
        <v>2020</v>
      </c>
      <c r="D2428" s="8">
        <v>3</v>
      </c>
      <c r="E2428" s="3" t="str">
        <f t="shared" si="74"/>
        <v>March</v>
      </c>
      <c r="F2428" s="3" t="s">
        <v>13</v>
      </c>
      <c r="G2428" s="8">
        <v>12533.13782</v>
      </c>
      <c r="H2428" s="8">
        <v>9005</v>
      </c>
      <c r="I2428" s="8">
        <v>-3531.8044909999999</v>
      </c>
      <c r="J2428" s="8">
        <v>-4416.3077890000004</v>
      </c>
      <c r="K2428" s="8">
        <v>-5928.3826909999998</v>
      </c>
      <c r="L2428" s="8">
        <v>-2958.4827190000001</v>
      </c>
      <c r="M2428" s="9" t="str">
        <f>IF(A2428="",M2429,A2428)</f>
        <v>Sri Lanka</v>
      </c>
      <c r="N2428" s="3" t="str">
        <f t="shared" si="75"/>
        <v>Mar-2020</v>
      </c>
    </row>
    <row r="2429" spans="1:14" x14ac:dyDescent="0.3">
      <c r="A2429" s="3" t="s">
        <v>210</v>
      </c>
      <c r="B2429" s="3" t="s">
        <v>211</v>
      </c>
      <c r="C2429" s="8">
        <v>2020</v>
      </c>
      <c r="D2429" s="8">
        <v>4</v>
      </c>
      <c r="E2429" s="3" t="str">
        <f t="shared" si="74"/>
        <v>April</v>
      </c>
      <c r="F2429" s="3" t="s">
        <v>13</v>
      </c>
      <c r="G2429" s="8">
        <v>12457.23006</v>
      </c>
      <c r="H2429" s="8">
        <v>7158</v>
      </c>
      <c r="I2429" s="8">
        <v>-5302.8967290000001</v>
      </c>
      <c r="J2429" s="8">
        <v>-9719.2045170000001</v>
      </c>
      <c r="K2429" s="8">
        <v>-11526.145140000001</v>
      </c>
      <c r="L2429" s="8">
        <v>-7979.3468769999999</v>
      </c>
      <c r="M2429" s="9" t="str">
        <f>IF(A2429="",M2430,A2429)</f>
        <v>Sri Lanka</v>
      </c>
      <c r="N2429" s="3" t="str">
        <f t="shared" si="75"/>
        <v>Apr-2020</v>
      </c>
    </row>
    <row r="2430" spans="1:14" x14ac:dyDescent="0.3">
      <c r="A2430" s="3" t="s">
        <v>210</v>
      </c>
      <c r="B2430" s="3" t="s">
        <v>211</v>
      </c>
      <c r="C2430" s="8">
        <v>2020</v>
      </c>
      <c r="D2430" s="8">
        <v>5</v>
      </c>
      <c r="E2430" s="3" t="str">
        <f t="shared" si="74"/>
        <v>May</v>
      </c>
      <c r="F2430" s="3" t="s">
        <v>13</v>
      </c>
      <c r="G2430" s="8">
        <v>12591.27439</v>
      </c>
      <c r="H2430" s="8">
        <v>12254</v>
      </c>
      <c r="I2430" s="8">
        <v>-340.94105189999999</v>
      </c>
      <c r="J2430" s="8">
        <v>-10060.145570000001</v>
      </c>
      <c r="K2430" s="8">
        <v>-12096.57357</v>
      </c>
      <c r="L2430" s="8">
        <v>-8218.7211260000004</v>
      </c>
      <c r="M2430" s="9" t="str">
        <f>IF(A2430="",M2431,A2430)</f>
        <v>Sri Lanka</v>
      </c>
      <c r="N2430" s="3" t="str">
        <f t="shared" si="75"/>
        <v>May-2020</v>
      </c>
    </row>
    <row r="2431" spans="1:14" x14ac:dyDescent="0.3">
      <c r="A2431" s="3" t="s">
        <v>210</v>
      </c>
      <c r="B2431" s="3" t="s">
        <v>211</v>
      </c>
      <c r="C2431" s="8">
        <v>2020</v>
      </c>
      <c r="D2431" s="8">
        <v>6</v>
      </c>
      <c r="E2431" s="3" t="str">
        <f t="shared" si="74"/>
        <v>June</v>
      </c>
      <c r="F2431" s="3" t="s">
        <v>13</v>
      </c>
      <c r="G2431" s="8">
        <v>12578.35858</v>
      </c>
      <c r="H2431" s="8">
        <v>12900</v>
      </c>
      <c r="I2431" s="8">
        <v>317.97475029999998</v>
      </c>
      <c r="J2431" s="8">
        <v>-9742.1708190000008</v>
      </c>
      <c r="K2431" s="8">
        <v>-12013.49142</v>
      </c>
      <c r="L2431" s="8">
        <v>-7659.6947719999998</v>
      </c>
      <c r="M2431" s="9" t="str">
        <f>IF(A2431="",M2432,A2431)</f>
        <v>Sri Lanka</v>
      </c>
      <c r="N2431" s="3" t="str">
        <f t="shared" si="75"/>
        <v>Jun-2020</v>
      </c>
    </row>
    <row r="2432" spans="1:14" x14ac:dyDescent="0.3">
      <c r="A2432" s="3" t="s">
        <v>210</v>
      </c>
      <c r="B2432" s="3" t="s">
        <v>211</v>
      </c>
      <c r="C2432" s="8">
        <v>2020</v>
      </c>
      <c r="D2432" s="8">
        <v>7</v>
      </c>
      <c r="E2432" s="3" t="str">
        <f t="shared" si="74"/>
        <v>July</v>
      </c>
      <c r="F2432" s="3" t="s">
        <v>13</v>
      </c>
      <c r="G2432" s="8">
        <v>12434.380709999999</v>
      </c>
      <c r="H2432" s="8">
        <v>11782</v>
      </c>
      <c r="I2432" s="8">
        <v>-656.04737260000002</v>
      </c>
      <c r="J2432" s="8">
        <v>-10398.21819</v>
      </c>
      <c r="K2432" s="8">
        <v>-12760.146199999999</v>
      </c>
      <c r="L2432" s="8">
        <v>-8267.9715180000003</v>
      </c>
      <c r="M2432" s="9" t="str">
        <f>IF(A2432="",M2433,A2432)</f>
        <v>Sri Lanka</v>
      </c>
      <c r="N2432" s="3" t="str">
        <f t="shared" si="75"/>
        <v>Jul-2020</v>
      </c>
    </row>
    <row r="2433" spans="1:14" x14ac:dyDescent="0.3">
      <c r="A2433" s="3" t="s">
        <v>210</v>
      </c>
      <c r="B2433" s="3" t="s">
        <v>211</v>
      </c>
      <c r="C2433" s="8">
        <v>2020</v>
      </c>
      <c r="D2433" s="8">
        <v>8</v>
      </c>
      <c r="E2433" s="3" t="str">
        <f t="shared" si="74"/>
        <v>August</v>
      </c>
      <c r="F2433" s="3" t="s">
        <v>13</v>
      </c>
      <c r="G2433" s="8">
        <v>12125.818880000001</v>
      </c>
      <c r="H2433" s="8">
        <v>11472</v>
      </c>
      <c r="I2433" s="8">
        <v>-657.48554530000001</v>
      </c>
      <c r="J2433" s="8">
        <v>-11055.703740000001</v>
      </c>
      <c r="K2433" s="8">
        <v>-13566.831770000001</v>
      </c>
      <c r="L2433" s="8">
        <v>-8828.814891</v>
      </c>
      <c r="M2433" s="9" t="str">
        <f>IF(A2433="",M2434,A2433)</f>
        <v>Sri Lanka</v>
      </c>
      <c r="N2433" s="3" t="str">
        <f t="shared" si="75"/>
        <v>Aug-2020</v>
      </c>
    </row>
    <row r="2434" spans="1:14" x14ac:dyDescent="0.3">
      <c r="A2434" s="3" t="s">
        <v>210</v>
      </c>
      <c r="B2434" s="3" t="s">
        <v>211</v>
      </c>
      <c r="C2434" s="8">
        <v>2020</v>
      </c>
      <c r="D2434" s="8">
        <v>9</v>
      </c>
      <c r="E2434" s="3" t="str">
        <f t="shared" ref="E2434:E2497" si="76">TEXT(DATE(C2434,D2434,1),"MMMM")</f>
        <v>September</v>
      </c>
      <c r="F2434" s="3" t="s">
        <v>13</v>
      </c>
      <c r="G2434" s="8">
        <v>12045.55927</v>
      </c>
      <c r="H2434" s="8">
        <v>11440</v>
      </c>
      <c r="I2434" s="8">
        <v>-609.22593540000003</v>
      </c>
      <c r="J2434" s="8">
        <v>-11664.92967</v>
      </c>
      <c r="K2434" s="8">
        <v>-14314.54119</v>
      </c>
      <c r="L2434" s="8">
        <v>-9226.8235060000006</v>
      </c>
      <c r="M2434" s="9" t="str">
        <f>IF(A2434="",M2435,A2434)</f>
        <v>Sri Lanka</v>
      </c>
      <c r="N2434" s="3" t="str">
        <f t="shared" ref="N2434:N2497" si="77">TEXT(DATE(C2434,D2434,1),"MMM-YYYY")</f>
        <v>Sep-2020</v>
      </c>
    </row>
    <row r="2435" spans="1:14" x14ac:dyDescent="0.3">
      <c r="A2435" s="3" t="s">
        <v>210</v>
      </c>
      <c r="B2435" s="3" t="s">
        <v>211</v>
      </c>
      <c r="C2435" s="8">
        <v>2020</v>
      </c>
      <c r="D2435" s="8">
        <v>10</v>
      </c>
      <c r="E2435" s="3" t="str">
        <f t="shared" si="76"/>
        <v>October</v>
      </c>
      <c r="F2435" s="3" t="s">
        <v>13</v>
      </c>
      <c r="G2435" s="8">
        <v>12472.71666</v>
      </c>
      <c r="H2435" s="8">
        <v>10251</v>
      </c>
      <c r="I2435" s="8">
        <v>-2225.383323</v>
      </c>
      <c r="J2435" s="8">
        <v>-13890.313</v>
      </c>
      <c r="K2435" s="8">
        <v>-16611.069650000001</v>
      </c>
      <c r="L2435" s="8">
        <v>-11290.98655</v>
      </c>
      <c r="M2435" s="9" t="str">
        <f>IF(A2435="",M2436,A2435)</f>
        <v>Sri Lanka</v>
      </c>
      <c r="N2435" s="3" t="str">
        <f t="shared" si="77"/>
        <v>Oct-2020</v>
      </c>
    </row>
    <row r="2436" spans="1:14" x14ac:dyDescent="0.3">
      <c r="A2436" s="3" t="s">
        <v>210</v>
      </c>
      <c r="B2436" s="3" t="s">
        <v>211</v>
      </c>
      <c r="C2436" s="8">
        <v>2020</v>
      </c>
      <c r="D2436" s="8">
        <v>11</v>
      </c>
      <c r="E2436" s="3" t="str">
        <f t="shared" si="76"/>
        <v>November</v>
      </c>
      <c r="F2436" s="3" t="s">
        <v>13</v>
      </c>
      <c r="G2436" s="8">
        <v>13134.350769999999</v>
      </c>
      <c r="H2436" s="8">
        <v>9797</v>
      </c>
      <c r="I2436" s="8">
        <v>-3341.017437</v>
      </c>
      <c r="J2436" s="8">
        <v>-17231.330430000002</v>
      </c>
      <c r="K2436" s="8">
        <v>-20201.872080000001</v>
      </c>
      <c r="L2436" s="8">
        <v>-14204.67517</v>
      </c>
      <c r="M2436" s="9" t="str">
        <f>IF(A2436="",M2437,A2436)</f>
        <v>Sri Lanka</v>
      </c>
      <c r="N2436" s="3" t="str">
        <f t="shared" si="77"/>
        <v>Nov-2020</v>
      </c>
    </row>
    <row r="2437" spans="1:14" x14ac:dyDescent="0.3">
      <c r="A2437" s="3" t="s">
        <v>210</v>
      </c>
      <c r="B2437" s="3" t="s">
        <v>211</v>
      </c>
      <c r="C2437" s="8">
        <v>2020</v>
      </c>
      <c r="D2437" s="8">
        <v>12</v>
      </c>
      <c r="E2437" s="3" t="str">
        <f t="shared" si="76"/>
        <v>December</v>
      </c>
      <c r="F2437" s="3" t="s">
        <v>13</v>
      </c>
      <c r="G2437" s="8">
        <v>13541.747859999999</v>
      </c>
      <c r="H2437" s="8">
        <v>11432</v>
      </c>
      <c r="I2437" s="8">
        <v>-2113.4145250000001</v>
      </c>
      <c r="J2437" s="8">
        <v>-19344.74496</v>
      </c>
      <c r="K2437" s="8">
        <v>-22536.50808</v>
      </c>
      <c r="L2437" s="8">
        <v>-16078.22515</v>
      </c>
      <c r="M2437" s="9" t="str">
        <f>IF(A2437="",M2438,A2437)</f>
        <v>Sri Lanka</v>
      </c>
      <c r="N2437" s="3" t="str">
        <f t="shared" si="77"/>
        <v>Dec-2020</v>
      </c>
    </row>
    <row r="2438" spans="1:14" x14ac:dyDescent="0.3">
      <c r="A2438" s="3" t="s">
        <v>210</v>
      </c>
      <c r="B2438" s="3" t="s">
        <v>211</v>
      </c>
      <c r="C2438" s="8">
        <v>2021</v>
      </c>
      <c r="D2438" s="8">
        <v>1</v>
      </c>
      <c r="E2438" s="3" t="str">
        <f t="shared" si="76"/>
        <v>January</v>
      </c>
      <c r="F2438" s="3" t="s">
        <v>13</v>
      </c>
      <c r="G2438" s="8">
        <v>13558.89689</v>
      </c>
      <c r="H2438" s="8">
        <v>12442</v>
      </c>
      <c r="I2438" s="8">
        <v>-1120.230225</v>
      </c>
      <c r="J2438" s="8">
        <v>-20464.975180000001</v>
      </c>
      <c r="K2438" s="8">
        <v>-23692.114249999999</v>
      </c>
      <c r="L2438" s="8">
        <v>-16867.46558</v>
      </c>
      <c r="M2438" s="9" t="str">
        <f>IF(A2438="",M2439,A2438)</f>
        <v>Sri Lanka</v>
      </c>
      <c r="N2438" s="3" t="str">
        <f t="shared" si="77"/>
        <v>Jan-2021</v>
      </c>
    </row>
    <row r="2439" spans="1:14" x14ac:dyDescent="0.3">
      <c r="A2439" s="3" t="s">
        <v>210</v>
      </c>
      <c r="B2439" s="3" t="s">
        <v>211</v>
      </c>
      <c r="C2439" s="8">
        <v>2021</v>
      </c>
      <c r="D2439" s="8">
        <v>2</v>
      </c>
      <c r="E2439" s="3" t="str">
        <f t="shared" si="76"/>
        <v>February</v>
      </c>
      <c r="F2439" s="3" t="s">
        <v>13</v>
      </c>
      <c r="G2439" s="8">
        <v>13329.46471</v>
      </c>
      <c r="H2439" s="8">
        <v>11965</v>
      </c>
      <c r="I2439" s="8">
        <v>-1367.7980439999999</v>
      </c>
      <c r="J2439" s="8">
        <v>-21832.773229999999</v>
      </c>
      <c r="K2439" s="8">
        <v>-25411.51065</v>
      </c>
      <c r="L2439" s="8">
        <v>-18136.645820000002</v>
      </c>
      <c r="M2439" s="9" t="str">
        <f>IF(A2439="",M2440,A2439)</f>
        <v>Sri Lanka</v>
      </c>
      <c r="N2439" s="3" t="str">
        <f t="shared" si="77"/>
        <v>Feb-2021</v>
      </c>
    </row>
    <row r="2440" spans="1:14" x14ac:dyDescent="0.3">
      <c r="A2440" s="3" t="s">
        <v>210</v>
      </c>
      <c r="B2440" s="3" t="s">
        <v>211</v>
      </c>
      <c r="C2440" s="8">
        <v>2021</v>
      </c>
      <c r="D2440" s="8">
        <v>3</v>
      </c>
      <c r="E2440" s="3" t="str">
        <f t="shared" si="76"/>
        <v>March</v>
      </c>
      <c r="F2440" s="3" t="s">
        <v>13</v>
      </c>
      <c r="G2440" s="8">
        <v>13086.21782</v>
      </c>
      <c r="H2440" s="8">
        <v>12851</v>
      </c>
      <c r="I2440" s="8">
        <v>-238.5511577</v>
      </c>
      <c r="J2440" s="8">
        <v>-22071.324379999998</v>
      </c>
      <c r="K2440" s="8">
        <v>-25905.991709999998</v>
      </c>
      <c r="L2440" s="8">
        <v>-18297.072929999998</v>
      </c>
      <c r="M2440" s="9" t="str">
        <f>IF(A2440="",M2441,A2440)</f>
        <v>Sri Lanka</v>
      </c>
      <c r="N2440" s="3" t="str">
        <f t="shared" si="77"/>
        <v>Mar-2021</v>
      </c>
    </row>
    <row r="2441" spans="1:14" x14ac:dyDescent="0.3">
      <c r="A2441" s="3" t="s">
        <v>210</v>
      </c>
      <c r="B2441" s="3" t="s">
        <v>211</v>
      </c>
      <c r="C2441" s="8">
        <v>2021</v>
      </c>
      <c r="D2441" s="8">
        <v>4</v>
      </c>
      <c r="E2441" s="3" t="str">
        <f t="shared" si="76"/>
        <v>April</v>
      </c>
      <c r="F2441" s="3" t="s">
        <v>13</v>
      </c>
      <c r="G2441" s="8">
        <v>12985.48991</v>
      </c>
      <c r="H2441" s="8">
        <v>11870</v>
      </c>
      <c r="I2441" s="8">
        <v>-1118.8232399999999</v>
      </c>
      <c r="J2441" s="8">
        <v>-23190.14762</v>
      </c>
      <c r="K2441" s="8">
        <v>-27205.882409999998</v>
      </c>
      <c r="L2441" s="8">
        <v>-19086.255880000001</v>
      </c>
      <c r="M2441" s="9" t="str">
        <f>IF(A2441="",M2442,A2441)</f>
        <v>Sri Lanka</v>
      </c>
      <c r="N2441" s="3" t="str">
        <f t="shared" si="77"/>
        <v>Apr-2021</v>
      </c>
    </row>
    <row r="2442" spans="1:14" x14ac:dyDescent="0.3">
      <c r="A2442" s="3" t="s">
        <v>210</v>
      </c>
      <c r="B2442" s="3" t="s">
        <v>211</v>
      </c>
      <c r="C2442" s="8">
        <v>2021</v>
      </c>
      <c r="D2442" s="8">
        <v>5</v>
      </c>
      <c r="E2442" s="3" t="str">
        <f t="shared" si="76"/>
        <v>May</v>
      </c>
      <c r="F2442" s="3" t="s">
        <v>13</v>
      </c>
      <c r="G2442" s="8">
        <v>13138.948350000001</v>
      </c>
      <c r="H2442" s="8">
        <v>9255</v>
      </c>
      <c r="I2442" s="8">
        <v>-3887.2816809999999</v>
      </c>
      <c r="J2442" s="8">
        <v>-27077.4293</v>
      </c>
      <c r="K2442" s="8">
        <v>-31570.7147</v>
      </c>
      <c r="L2442" s="8">
        <v>-22732.830450000001</v>
      </c>
      <c r="M2442" s="9" t="str">
        <f>IF(A2442="",M2443,A2442)</f>
        <v>Sri Lanka</v>
      </c>
      <c r="N2442" s="3" t="str">
        <f t="shared" si="77"/>
        <v>May-2021</v>
      </c>
    </row>
    <row r="2443" spans="1:14" x14ac:dyDescent="0.3">
      <c r="A2443" s="3" t="s">
        <v>210</v>
      </c>
      <c r="B2443" s="3" t="s">
        <v>211</v>
      </c>
      <c r="C2443" s="8">
        <v>2021</v>
      </c>
      <c r="D2443" s="8">
        <v>6</v>
      </c>
      <c r="E2443" s="3" t="str">
        <f t="shared" si="76"/>
        <v>June</v>
      </c>
      <c r="F2443" s="3" t="s">
        <v>13</v>
      </c>
      <c r="G2443" s="8">
        <v>13152.73129</v>
      </c>
      <c r="H2443" s="8">
        <v>12128</v>
      </c>
      <c r="I2443" s="8">
        <v>-1028.0646260000001</v>
      </c>
      <c r="J2443" s="8">
        <v>-28105.493930000001</v>
      </c>
      <c r="K2443" s="8">
        <v>-32649.806100000002</v>
      </c>
      <c r="L2443" s="8">
        <v>-23550.991999999998</v>
      </c>
      <c r="M2443" s="9" t="str">
        <f>IF(A2443="",M2444,A2443)</f>
        <v>Sri Lanka</v>
      </c>
      <c r="N2443" s="3" t="str">
        <f t="shared" si="77"/>
        <v>Jun-2021</v>
      </c>
    </row>
    <row r="2444" spans="1:14" x14ac:dyDescent="0.3">
      <c r="A2444" s="3" t="s">
        <v>210</v>
      </c>
      <c r="B2444" s="3" t="s">
        <v>211</v>
      </c>
      <c r="C2444" s="8">
        <v>2021</v>
      </c>
      <c r="D2444" s="8">
        <v>7</v>
      </c>
      <c r="E2444" s="3" t="str">
        <f t="shared" si="76"/>
        <v>July</v>
      </c>
      <c r="F2444" s="3" t="s">
        <v>8</v>
      </c>
      <c r="G2444" s="8">
        <v>13028.18561</v>
      </c>
      <c r="H2444" s="8">
        <v>15409.142</v>
      </c>
      <c r="I2444" s="8">
        <v>2377.6230599999999</v>
      </c>
      <c r="J2444" s="8">
        <v>-25727.870869999999</v>
      </c>
      <c r="K2444" s="8">
        <v>-31858.329269999998</v>
      </c>
      <c r="L2444" s="8">
        <v>-19083.462469999999</v>
      </c>
      <c r="M2444" s="9" t="str">
        <f>IF(A2444="",M2445,A2444)</f>
        <v>Sri Lanka</v>
      </c>
      <c r="N2444" s="3" t="str">
        <f t="shared" si="77"/>
        <v>Jul-2021</v>
      </c>
    </row>
    <row r="2445" spans="1:14" x14ac:dyDescent="0.3">
      <c r="A2445" s="3" t="s">
        <v>210</v>
      </c>
      <c r="B2445" s="3" t="s">
        <v>211</v>
      </c>
      <c r="C2445" s="8">
        <v>2021</v>
      </c>
      <c r="D2445" s="8">
        <v>8</v>
      </c>
      <c r="E2445" s="3" t="str">
        <f t="shared" si="76"/>
        <v>August</v>
      </c>
      <c r="F2445" s="3" t="s">
        <v>8</v>
      </c>
      <c r="G2445" s="8">
        <v>12634.48178</v>
      </c>
      <c r="H2445" s="8">
        <v>20327.745999999999</v>
      </c>
      <c r="I2445" s="8">
        <v>7689.9308840000003</v>
      </c>
      <c r="J2445" s="8">
        <v>-18037.939989999999</v>
      </c>
      <c r="K2445" s="8">
        <v>-27097.894069999998</v>
      </c>
      <c r="L2445" s="8">
        <v>-8238.0333869999995</v>
      </c>
      <c r="M2445" s="9" t="str">
        <f>IF(A2445="",M2446,A2445)</f>
        <v>Sri Lanka</v>
      </c>
      <c r="N2445" s="3" t="str">
        <f t="shared" si="77"/>
        <v>Aug-2021</v>
      </c>
    </row>
    <row r="2446" spans="1:14" x14ac:dyDescent="0.3">
      <c r="A2446" s="3" t="s">
        <v>210</v>
      </c>
      <c r="B2446" s="3" t="s">
        <v>211</v>
      </c>
      <c r="C2446" s="8">
        <v>2021</v>
      </c>
      <c r="D2446" s="8">
        <v>9</v>
      </c>
      <c r="E2446" s="3" t="str">
        <f t="shared" si="76"/>
        <v>September</v>
      </c>
      <c r="F2446" s="3" t="s">
        <v>8</v>
      </c>
      <c r="G2446" s="8">
        <v>12573.254720000001</v>
      </c>
      <c r="H2446" s="8">
        <v>18813.528999999999</v>
      </c>
      <c r="I2446" s="8">
        <v>6236.9409450000003</v>
      </c>
      <c r="J2446" s="8">
        <v>-11800.999040000001</v>
      </c>
      <c r="K2446" s="8">
        <v>-23412.174749999998</v>
      </c>
      <c r="L2446" s="8">
        <v>138.42232659999999</v>
      </c>
      <c r="M2446" s="9" t="str">
        <f>IF(A2446="",M2447,A2446)</f>
        <v>Sri Lanka</v>
      </c>
      <c r="N2446" s="3" t="str">
        <f t="shared" si="77"/>
        <v>Sep-2021</v>
      </c>
    </row>
    <row r="2447" spans="1:14" x14ac:dyDescent="0.3">
      <c r="A2447" s="3" t="s">
        <v>210</v>
      </c>
      <c r="B2447" s="3" t="s">
        <v>211</v>
      </c>
      <c r="C2447" s="8">
        <v>2021</v>
      </c>
      <c r="D2447" s="8">
        <v>10</v>
      </c>
      <c r="E2447" s="3" t="str">
        <f t="shared" si="76"/>
        <v>October</v>
      </c>
      <c r="F2447" s="3" t="s">
        <v>8</v>
      </c>
      <c r="G2447" s="8">
        <v>13020.80769</v>
      </c>
      <c r="H2447" s="8">
        <v>14621.584000000001</v>
      </c>
      <c r="I2447" s="8">
        <v>1597.442974</v>
      </c>
      <c r="J2447" s="8">
        <v>-10203.556070000001</v>
      </c>
      <c r="K2447" s="8">
        <v>-22792.36392</v>
      </c>
      <c r="L2447" s="8">
        <v>2950.9426370000001</v>
      </c>
      <c r="M2447" s="9" t="str">
        <f>IF(A2447="",M2448,A2447)</f>
        <v>Sri Lanka</v>
      </c>
      <c r="N2447" s="3" t="str">
        <f t="shared" si="77"/>
        <v>Oct-2021</v>
      </c>
    </row>
    <row r="2448" spans="1:14" x14ac:dyDescent="0.3">
      <c r="A2448" s="3" t="s">
        <v>210</v>
      </c>
      <c r="B2448" s="3" t="s">
        <v>211</v>
      </c>
      <c r="C2448" s="8">
        <v>2021</v>
      </c>
      <c r="D2448" s="8">
        <v>11</v>
      </c>
      <c r="E2448" s="3" t="str">
        <f t="shared" si="76"/>
        <v>November</v>
      </c>
      <c r="F2448" s="3" t="s">
        <v>8</v>
      </c>
      <c r="G2448" s="8">
        <v>13707.14481</v>
      </c>
      <c r="H2448" s="8">
        <v>15176.537</v>
      </c>
      <c r="I2448" s="8">
        <v>1466.0588620000001</v>
      </c>
      <c r="J2448" s="8">
        <v>-8737.497206</v>
      </c>
      <c r="K2448" s="8">
        <v>-22447.54694</v>
      </c>
      <c r="L2448" s="8">
        <v>5958.7186519999996</v>
      </c>
      <c r="M2448" s="9" t="str">
        <f>IF(A2448="",M2449,A2448)</f>
        <v>Sri Lanka</v>
      </c>
      <c r="N2448" s="3" t="str">
        <f t="shared" si="77"/>
        <v>Nov-2021</v>
      </c>
    </row>
    <row r="2449" spans="1:14" x14ac:dyDescent="0.3">
      <c r="A2449" s="3" t="s">
        <v>210</v>
      </c>
      <c r="B2449" s="3" t="s">
        <v>211</v>
      </c>
      <c r="C2449" s="8">
        <v>2021</v>
      </c>
      <c r="D2449" s="8">
        <v>12</v>
      </c>
      <c r="E2449" s="3" t="str">
        <f t="shared" si="76"/>
        <v>December</v>
      </c>
      <c r="F2449" s="3" t="s">
        <v>8</v>
      </c>
      <c r="G2449" s="8">
        <v>14144.38888</v>
      </c>
      <c r="H2449" s="8">
        <v>15753.962</v>
      </c>
      <c r="I2449" s="8">
        <v>1606.2397860000001</v>
      </c>
      <c r="J2449" s="8">
        <v>-7131.2574199999999</v>
      </c>
      <c r="K2449" s="8">
        <v>-22396.03991</v>
      </c>
      <c r="L2449" s="8">
        <v>9974.1519009999993</v>
      </c>
      <c r="M2449" s="9" t="str">
        <f>IF(A2449="",M2450,A2449)</f>
        <v>Sri Lanka</v>
      </c>
      <c r="N2449" s="3" t="str">
        <f t="shared" si="77"/>
        <v>Dec-2021</v>
      </c>
    </row>
    <row r="2450" spans="1:14" x14ac:dyDescent="0.3">
      <c r="A2450" s="3" t="s">
        <v>212</v>
      </c>
      <c r="B2450" s="3" t="s">
        <v>213</v>
      </c>
      <c r="C2450" s="8">
        <v>2020</v>
      </c>
      <c r="D2450" s="8">
        <v>1</v>
      </c>
      <c r="E2450" s="3" t="str">
        <f t="shared" si="76"/>
        <v>January</v>
      </c>
      <c r="F2450" s="3" t="s">
        <v>8</v>
      </c>
      <c r="G2450" s="8">
        <v>2875.5567230000001</v>
      </c>
      <c r="H2450" s="8">
        <v>2930.3760000000002</v>
      </c>
      <c r="I2450" s="8">
        <v>54.81927726</v>
      </c>
      <c r="J2450" s="8">
        <v>54.81927726</v>
      </c>
      <c r="K2450" s="8">
        <v>-699.01436330000001</v>
      </c>
      <c r="L2450" s="8">
        <v>833.58961880000004</v>
      </c>
      <c r="M2450" s="9" t="str">
        <f>IF(A2450="",M2451,A2450)</f>
        <v>Lesotho</v>
      </c>
      <c r="N2450" s="3" t="str">
        <f t="shared" si="77"/>
        <v>Jan-2020</v>
      </c>
    </row>
    <row r="2451" spans="1:14" x14ac:dyDescent="0.3">
      <c r="A2451" s="3" t="s">
        <v>212</v>
      </c>
      <c r="B2451" s="3" t="s">
        <v>213</v>
      </c>
      <c r="C2451" s="8">
        <v>2020</v>
      </c>
      <c r="D2451" s="8">
        <v>2</v>
      </c>
      <c r="E2451" s="3" t="str">
        <f t="shared" si="76"/>
        <v>February</v>
      </c>
      <c r="F2451" s="3" t="s">
        <v>8</v>
      </c>
      <c r="G2451" s="8">
        <v>2896.4118720000001</v>
      </c>
      <c r="H2451" s="8">
        <v>2909.0479999999998</v>
      </c>
      <c r="I2451" s="8">
        <v>12.63612839</v>
      </c>
      <c r="J2451" s="8">
        <v>67.455405639999995</v>
      </c>
      <c r="K2451" s="8">
        <v>-986.008017</v>
      </c>
      <c r="L2451" s="8">
        <v>1336.816425</v>
      </c>
      <c r="M2451" s="9" t="str">
        <f>IF(A2451="",M2452,A2451)</f>
        <v>Lesotho</v>
      </c>
      <c r="N2451" s="3" t="str">
        <f t="shared" si="77"/>
        <v>Feb-2020</v>
      </c>
    </row>
    <row r="2452" spans="1:14" x14ac:dyDescent="0.3">
      <c r="A2452" s="3" t="s">
        <v>212</v>
      </c>
      <c r="B2452" s="3" t="s">
        <v>213</v>
      </c>
      <c r="C2452" s="8">
        <v>2020</v>
      </c>
      <c r="D2452" s="8">
        <v>3</v>
      </c>
      <c r="E2452" s="3" t="str">
        <f t="shared" si="76"/>
        <v>March</v>
      </c>
      <c r="F2452" s="3" t="s">
        <v>8</v>
      </c>
      <c r="G2452" s="8">
        <v>2918.7472459999999</v>
      </c>
      <c r="H2452" s="8">
        <v>2932.5439999999999</v>
      </c>
      <c r="I2452" s="8">
        <v>13.796754419999999</v>
      </c>
      <c r="J2452" s="8">
        <v>81.252160059999994</v>
      </c>
      <c r="K2452" s="8">
        <v>-1209.3734569999999</v>
      </c>
      <c r="L2452" s="8">
        <v>1598.07609</v>
      </c>
      <c r="M2452" s="9" t="str">
        <f>IF(A2452="",M2453,A2452)</f>
        <v>Lesotho</v>
      </c>
      <c r="N2452" s="3" t="str">
        <f t="shared" si="77"/>
        <v>Mar-2020</v>
      </c>
    </row>
    <row r="2453" spans="1:14" x14ac:dyDescent="0.3">
      <c r="A2453" s="3" t="s">
        <v>212</v>
      </c>
      <c r="B2453" s="3" t="s">
        <v>213</v>
      </c>
      <c r="C2453" s="8">
        <v>2020</v>
      </c>
      <c r="D2453" s="8">
        <v>4</v>
      </c>
      <c r="E2453" s="3" t="str">
        <f t="shared" si="76"/>
        <v>April</v>
      </c>
      <c r="F2453" s="3" t="s">
        <v>8</v>
      </c>
      <c r="G2453" s="8">
        <v>2992.2725919999998</v>
      </c>
      <c r="H2453" s="8">
        <v>2621.1039999999998</v>
      </c>
      <c r="I2453" s="8">
        <v>-371.16859169999998</v>
      </c>
      <c r="J2453" s="8">
        <v>-289.91643160000001</v>
      </c>
      <c r="K2453" s="8">
        <v>-1767.4414589999999</v>
      </c>
      <c r="L2453" s="8">
        <v>1315.516374</v>
      </c>
      <c r="M2453" s="9" t="str">
        <f>IF(A2453="",M2454,A2453)</f>
        <v>Lesotho</v>
      </c>
      <c r="N2453" s="3" t="str">
        <f t="shared" si="77"/>
        <v>Apr-2020</v>
      </c>
    </row>
    <row r="2454" spans="1:14" x14ac:dyDescent="0.3">
      <c r="A2454" s="3" t="s">
        <v>212</v>
      </c>
      <c r="B2454" s="3" t="s">
        <v>213</v>
      </c>
      <c r="C2454" s="8">
        <v>2020</v>
      </c>
      <c r="D2454" s="8">
        <v>5</v>
      </c>
      <c r="E2454" s="3" t="str">
        <f t="shared" si="76"/>
        <v>May</v>
      </c>
      <c r="F2454" s="3" t="s">
        <v>8</v>
      </c>
      <c r="G2454" s="8">
        <v>3044.9244269999999</v>
      </c>
      <c r="H2454" s="8">
        <v>2754.2550000000001</v>
      </c>
      <c r="I2454" s="8">
        <v>-290.66942649999999</v>
      </c>
      <c r="J2454" s="8">
        <v>-580.5858581</v>
      </c>
      <c r="K2454" s="8">
        <v>-2217.3407659999998</v>
      </c>
      <c r="L2454" s="8">
        <v>1142.349612</v>
      </c>
      <c r="M2454" s="9" t="str">
        <f>IF(A2454="",M2455,A2454)</f>
        <v>Lesotho</v>
      </c>
      <c r="N2454" s="3" t="str">
        <f t="shared" si="77"/>
        <v>May-2020</v>
      </c>
    </row>
    <row r="2455" spans="1:14" x14ac:dyDescent="0.3">
      <c r="A2455" s="3" t="s">
        <v>212</v>
      </c>
      <c r="B2455" s="3" t="s">
        <v>213</v>
      </c>
      <c r="C2455" s="8">
        <v>2020</v>
      </c>
      <c r="D2455" s="8">
        <v>6</v>
      </c>
      <c r="E2455" s="3" t="str">
        <f t="shared" si="76"/>
        <v>June</v>
      </c>
      <c r="F2455" s="3" t="s">
        <v>8</v>
      </c>
      <c r="G2455" s="8">
        <v>3089.2758950000002</v>
      </c>
      <c r="H2455" s="8">
        <v>2776.65</v>
      </c>
      <c r="I2455" s="8">
        <v>-312.62589530000002</v>
      </c>
      <c r="J2455" s="8">
        <v>-893.21175340000002</v>
      </c>
      <c r="K2455" s="8">
        <v>-2730.5679439999999</v>
      </c>
      <c r="L2455" s="8">
        <v>1080.1099449999999</v>
      </c>
      <c r="M2455" s="9" t="str">
        <f>IF(A2455="",M2456,A2455)</f>
        <v>Lesotho</v>
      </c>
      <c r="N2455" s="3" t="str">
        <f t="shared" si="77"/>
        <v>Jun-2020</v>
      </c>
    </row>
    <row r="2456" spans="1:14" x14ac:dyDescent="0.3">
      <c r="A2456" s="3" t="s">
        <v>212</v>
      </c>
      <c r="B2456" s="3" t="s">
        <v>213</v>
      </c>
      <c r="C2456" s="8">
        <v>2020</v>
      </c>
      <c r="D2456" s="8">
        <v>7</v>
      </c>
      <c r="E2456" s="3" t="str">
        <f t="shared" si="76"/>
        <v>July</v>
      </c>
      <c r="F2456" s="3" t="s">
        <v>8</v>
      </c>
      <c r="G2456" s="8">
        <v>3090.174098</v>
      </c>
      <c r="H2456" s="8">
        <v>3218.393</v>
      </c>
      <c r="I2456" s="8">
        <v>128.2189018</v>
      </c>
      <c r="J2456" s="8">
        <v>-764.99285159999999</v>
      </c>
      <c r="K2456" s="8">
        <v>-2732.6735440000002</v>
      </c>
      <c r="L2456" s="8">
        <v>1353.0465320000001</v>
      </c>
      <c r="M2456" s="9" t="str">
        <f>IF(A2456="",M2457,A2456)</f>
        <v>Lesotho</v>
      </c>
      <c r="N2456" s="3" t="str">
        <f t="shared" si="77"/>
        <v>Jul-2020</v>
      </c>
    </row>
    <row r="2457" spans="1:14" x14ac:dyDescent="0.3">
      <c r="A2457" s="3" t="s">
        <v>212</v>
      </c>
      <c r="B2457" s="3" t="s">
        <v>213</v>
      </c>
      <c r="C2457" s="8">
        <v>2020</v>
      </c>
      <c r="D2457" s="8">
        <v>8</v>
      </c>
      <c r="E2457" s="3" t="str">
        <f t="shared" si="76"/>
        <v>August</v>
      </c>
      <c r="F2457" s="3" t="s">
        <v>8</v>
      </c>
      <c r="G2457" s="8">
        <v>3074.7300949999999</v>
      </c>
      <c r="H2457" s="8">
        <v>3292.7530000000002</v>
      </c>
      <c r="I2457" s="8">
        <v>218.02290479999999</v>
      </c>
      <c r="J2457" s="8">
        <v>-546.96994689999997</v>
      </c>
      <c r="K2457" s="8">
        <v>-2841.7763519999999</v>
      </c>
      <c r="L2457" s="8">
        <v>1642.2494240000001</v>
      </c>
      <c r="M2457" s="9" t="str">
        <f>IF(A2457="",M2458,A2457)</f>
        <v>Lesotho</v>
      </c>
      <c r="N2457" s="3" t="str">
        <f t="shared" si="77"/>
        <v>Aug-2020</v>
      </c>
    </row>
    <row r="2458" spans="1:14" x14ac:dyDescent="0.3">
      <c r="A2458" s="3" t="s">
        <v>212</v>
      </c>
      <c r="B2458" s="3" t="s">
        <v>213</v>
      </c>
      <c r="C2458" s="8">
        <v>2020</v>
      </c>
      <c r="D2458" s="8">
        <v>9</v>
      </c>
      <c r="E2458" s="3" t="str">
        <f t="shared" si="76"/>
        <v>September</v>
      </c>
      <c r="F2458" s="3" t="s">
        <v>8</v>
      </c>
      <c r="G2458" s="8">
        <v>2989.1581369999999</v>
      </c>
      <c r="H2458" s="8">
        <v>3247.002</v>
      </c>
      <c r="I2458" s="8">
        <v>257.84386269999999</v>
      </c>
      <c r="J2458" s="8">
        <v>-289.12608419999998</v>
      </c>
      <c r="K2458" s="8">
        <v>-2647.7187140000001</v>
      </c>
      <c r="L2458" s="8">
        <v>2121.5118170000001</v>
      </c>
      <c r="M2458" s="9" t="str">
        <f>IF(A2458="",M2459,A2458)</f>
        <v>Lesotho</v>
      </c>
      <c r="N2458" s="3" t="str">
        <f t="shared" si="77"/>
        <v>Sep-2020</v>
      </c>
    </row>
    <row r="2459" spans="1:14" x14ac:dyDescent="0.3">
      <c r="A2459" s="3" t="s">
        <v>212</v>
      </c>
      <c r="B2459" s="3" t="s">
        <v>213</v>
      </c>
      <c r="C2459" s="8">
        <v>2020</v>
      </c>
      <c r="D2459" s="8">
        <v>10</v>
      </c>
      <c r="E2459" s="3" t="str">
        <f t="shared" si="76"/>
        <v>October</v>
      </c>
      <c r="F2459" s="3" t="s">
        <v>8</v>
      </c>
      <c r="G2459" s="8">
        <v>2942.2294149999998</v>
      </c>
      <c r="H2459" s="8">
        <v>3265.99</v>
      </c>
      <c r="I2459" s="8">
        <v>323.7605853</v>
      </c>
      <c r="J2459" s="8">
        <v>34.634501059999998</v>
      </c>
      <c r="K2459" s="8">
        <v>-2527.4894260000001</v>
      </c>
      <c r="L2459" s="8">
        <v>2616.562355</v>
      </c>
      <c r="M2459" s="9" t="str">
        <f>IF(A2459="",M2460,A2459)</f>
        <v>Lesotho</v>
      </c>
      <c r="N2459" s="3" t="str">
        <f t="shared" si="77"/>
        <v>Oct-2020</v>
      </c>
    </row>
    <row r="2460" spans="1:14" x14ac:dyDescent="0.3">
      <c r="A2460" s="3" t="s">
        <v>212</v>
      </c>
      <c r="B2460" s="3" t="s">
        <v>213</v>
      </c>
      <c r="C2460" s="8">
        <v>2020</v>
      </c>
      <c r="D2460" s="8">
        <v>11</v>
      </c>
      <c r="E2460" s="3" t="str">
        <f t="shared" si="76"/>
        <v>November</v>
      </c>
      <c r="F2460" s="3" t="s">
        <v>8</v>
      </c>
      <c r="G2460" s="8">
        <v>2928.5635419999999</v>
      </c>
      <c r="H2460" s="8">
        <v>3082.0839999999998</v>
      </c>
      <c r="I2460" s="8">
        <v>153.5204583</v>
      </c>
      <c r="J2460" s="8">
        <v>188.1549593</v>
      </c>
      <c r="K2460" s="8">
        <v>-2398.1379139999999</v>
      </c>
      <c r="L2460" s="8">
        <v>2878.7584419999998</v>
      </c>
      <c r="M2460" s="9" t="str">
        <f>IF(A2460="",M2461,A2460)</f>
        <v>Lesotho</v>
      </c>
      <c r="N2460" s="3" t="str">
        <f t="shared" si="77"/>
        <v>Nov-2020</v>
      </c>
    </row>
    <row r="2461" spans="1:14" x14ac:dyDescent="0.3">
      <c r="A2461" s="3" t="s">
        <v>212</v>
      </c>
      <c r="B2461" s="3" t="s">
        <v>213</v>
      </c>
      <c r="C2461" s="8">
        <v>2020</v>
      </c>
      <c r="D2461" s="8">
        <v>12</v>
      </c>
      <c r="E2461" s="3" t="str">
        <f t="shared" si="76"/>
        <v>December</v>
      </c>
      <c r="F2461" s="3" t="s">
        <v>8</v>
      </c>
      <c r="G2461" s="8">
        <v>2909.6706180000001</v>
      </c>
      <c r="H2461" s="8">
        <v>3066.3490000000002</v>
      </c>
      <c r="I2461" s="8">
        <v>156.67838230000001</v>
      </c>
      <c r="J2461" s="8">
        <v>344.83334170000001</v>
      </c>
      <c r="K2461" s="8">
        <v>-2421.3241330000001</v>
      </c>
      <c r="L2461" s="8">
        <v>3171.985259</v>
      </c>
      <c r="M2461" s="9" t="str">
        <f>IF(A2461="",M2462,A2461)</f>
        <v>Lesotho</v>
      </c>
      <c r="N2461" s="3" t="str">
        <f t="shared" si="77"/>
        <v>Dec-2020</v>
      </c>
    </row>
    <row r="2462" spans="1:14" x14ac:dyDescent="0.3">
      <c r="A2462" s="3" t="s">
        <v>212</v>
      </c>
      <c r="B2462" s="3" t="s">
        <v>213</v>
      </c>
      <c r="C2462" s="8">
        <v>2021</v>
      </c>
      <c r="D2462" s="8">
        <v>1</v>
      </c>
      <c r="E2462" s="3" t="str">
        <f t="shared" si="76"/>
        <v>January</v>
      </c>
      <c r="F2462" s="3" t="s">
        <v>8</v>
      </c>
      <c r="G2462" s="8">
        <v>2877.68914</v>
      </c>
      <c r="H2462" s="8">
        <v>3464.0720000000001</v>
      </c>
      <c r="I2462" s="8">
        <v>586.38286010000002</v>
      </c>
      <c r="J2462" s="8">
        <v>931.21620170000006</v>
      </c>
      <c r="K2462" s="8">
        <v>-2039.5465389999999</v>
      </c>
      <c r="L2462" s="8">
        <v>4231.4040750000004</v>
      </c>
      <c r="M2462" s="9" t="str">
        <f>IF(A2462="",M2463,A2462)</f>
        <v>Lesotho</v>
      </c>
      <c r="N2462" s="3" t="str">
        <f t="shared" si="77"/>
        <v>Jan-2021</v>
      </c>
    </row>
    <row r="2463" spans="1:14" x14ac:dyDescent="0.3">
      <c r="A2463" s="3" t="s">
        <v>212</v>
      </c>
      <c r="B2463" s="3" t="s">
        <v>213</v>
      </c>
      <c r="C2463" s="8">
        <v>2021</v>
      </c>
      <c r="D2463" s="8">
        <v>2</v>
      </c>
      <c r="E2463" s="3" t="str">
        <f t="shared" si="76"/>
        <v>February</v>
      </c>
      <c r="F2463" s="3" t="s">
        <v>8</v>
      </c>
      <c r="G2463" s="8">
        <v>2898.8584919999998</v>
      </c>
      <c r="H2463" s="8">
        <v>3468.8029999999999</v>
      </c>
      <c r="I2463" s="8">
        <v>569.94450819999997</v>
      </c>
      <c r="J2463" s="8">
        <v>1501.1607100000001</v>
      </c>
      <c r="K2463" s="8">
        <v>-1488.187046</v>
      </c>
      <c r="L2463" s="8">
        <v>4701.1669309999997</v>
      </c>
      <c r="M2463" s="9" t="str">
        <f>IF(A2463="",M2464,A2463)</f>
        <v>Lesotho</v>
      </c>
      <c r="N2463" s="3" t="str">
        <f t="shared" si="77"/>
        <v>Feb-2021</v>
      </c>
    </row>
    <row r="2464" spans="1:14" x14ac:dyDescent="0.3">
      <c r="A2464" s="3" t="s">
        <v>212</v>
      </c>
      <c r="B2464" s="3" t="s">
        <v>213</v>
      </c>
      <c r="C2464" s="8">
        <v>2021</v>
      </c>
      <c r="D2464" s="8">
        <v>3</v>
      </c>
      <c r="E2464" s="3" t="str">
        <f t="shared" si="76"/>
        <v>March</v>
      </c>
      <c r="F2464" s="3" t="s">
        <v>8</v>
      </c>
      <c r="G2464" s="8">
        <v>2921.080273</v>
      </c>
      <c r="H2464" s="8">
        <v>3127.0169999999998</v>
      </c>
      <c r="I2464" s="8">
        <v>205.93672749999999</v>
      </c>
      <c r="J2464" s="8">
        <v>1707.0974369999999</v>
      </c>
      <c r="K2464" s="8">
        <v>-1449.167868</v>
      </c>
      <c r="L2464" s="8">
        <v>4976.8638209999999</v>
      </c>
      <c r="M2464" s="9" t="str">
        <f>IF(A2464="",M2465,A2464)</f>
        <v>Lesotho</v>
      </c>
      <c r="N2464" s="3" t="str">
        <f t="shared" si="77"/>
        <v>Mar-2021</v>
      </c>
    </row>
    <row r="2465" spans="1:14" x14ac:dyDescent="0.3">
      <c r="A2465" s="3" t="s">
        <v>212</v>
      </c>
      <c r="B2465" s="3" t="s">
        <v>213</v>
      </c>
      <c r="C2465" s="8">
        <v>2021</v>
      </c>
      <c r="D2465" s="8">
        <v>4</v>
      </c>
      <c r="E2465" s="3" t="str">
        <f t="shared" si="76"/>
        <v>April</v>
      </c>
      <c r="F2465" s="3" t="s">
        <v>8</v>
      </c>
      <c r="G2465" s="8">
        <v>2993.2441899999999</v>
      </c>
      <c r="H2465" s="8">
        <v>2867.134</v>
      </c>
      <c r="I2465" s="8">
        <v>-126.1101903</v>
      </c>
      <c r="J2465" s="8">
        <v>1580.987247</v>
      </c>
      <c r="K2465" s="8">
        <v>-1597.693319</v>
      </c>
      <c r="L2465" s="8">
        <v>4954.309166</v>
      </c>
      <c r="M2465" s="9" t="str">
        <f>IF(A2465="",M2466,A2465)</f>
        <v>Lesotho</v>
      </c>
      <c r="N2465" s="3" t="str">
        <f t="shared" si="77"/>
        <v>Apr-2021</v>
      </c>
    </row>
    <row r="2466" spans="1:14" x14ac:dyDescent="0.3">
      <c r="A2466" s="3" t="s">
        <v>212</v>
      </c>
      <c r="B2466" s="3" t="s">
        <v>213</v>
      </c>
      <c r="C2466" s="8">
        <v>2021</v>
      </c>
      <c r="D2466" s="8">
        <v>5</v>
      </c>
      <c r="E2466" s="3" t="str">
        <f t="shared" si="76"/>
        <v>May</v>
      </c>
      <c r="F2466" s="3" t="s">
        <v>8</v>
      </c>
      <c r="G2466" s="8">
        <v>3045.7853180000002</v>
      </c>
      <c r="H2466" s="8">
        <v>3055.826</v>
      </c>
      <c r="I2466" s="8">
        <v>10.040681660000001</v>
      </c>
      <c r="J2466" s="8">
        <v>1591.0279290000001</v>
      </c>
      <c r="K2466" s="8">
        <v>-1778.3627329999999</v>
      </c>
      <c r="L2466" s="8">
        <v>5220.9827800000003</v>
      </c>
      <c r="M2466" s="9" t="str">
        <f>IF(A2466="",M2467,A2466)</f>
        <v>Lesotho</v>
      </c>
      <c r="N2466" s="3" t="str">
        <f t="shared" si="77"/>
        <v>May-2021</v>
      </c>
    </row>
    <row r="2467" spans="1:14" x14ac:dyDescent="0.3">
      <c r="A2467" s="3" t="s">
        <v>212</v>
      </c>
      <c r="B2467" s="3" t="s">
        <v>213</v>
      </c>
      <c r="C2467" s="8">
        <v>2021</v>
      </c>
      <c r="D2467" s="8">
        <v>6</v>
      </c>
      <c r="E2467" s="3" t="str">
        <f t="shared" si="76"/>
        <v>June</v>
      </c>
      <c r="F2467" s="3" t="s">
        <v>8</v>
      </c>
      <c r="G2467" s="8">
        <v>3089.1190029999998</v>
      </c>
      <c r="H2467" s="8">
        <v>3007.6289999999999</v>
      </c>
      <c r="I2467" s="8">
        <v>-81.490002579999995</v>
      </c>
      <c r="J2467" s="8">
        <v>1509.537926</v>
      </c>
      <c r="K2467" s="8">
        <v>-1977.825036</v>
      </c>
      <c r="L2467" s="8">
        <v>5149.8792450000001</v>
      </c>
      <c r="M2467" s="9" t="str">
        <f>IF(A2467="",M2468,A2467)</f>
        <v>Lesotho</v>
      </c>
      <c r="N2467" s="3" t="str">
        <f t="shared" si="77"/>
        <v>Jun-2021</v>
      </c>
    </row>
    <row r="2468" spans="1:14" x14ac:dyDescent="0.3">
      <c r="A2468" s="3" t="s">
        <v>212</v>
      </c>
      <c r="B2468" s="3" t="s">
        <v>213</v>
      </c>
      <c r="C2468" s="8">
        <v>2021</v>
      </c>
      <c r="D2468" s="8">
        <v>7</v>
      </c>
      <c r="E2468" s="3" t="str">
        <f t="shared" si="76"/>
        <v>July</v>
      </c>
      <c r="F2468" s="3" t="s">
        <v>8</v>
      </c>
      <c r="G2468" s="8">
        <v>3090.5744570000002</v>
      </c>
      <c r="H2468" s="8">
        <v>3396.5639999999999</v>
      </c>
      <c r="I2468" s="8">
        <v>305.98954279999998</v>
      </c>
      <c r="J2468" s="8">
        <v>1815.5274690000001</v>
      </c>
      <c r="K2468" s="8">
        <v>-1732.078287</v>
      </c>
      <c r="L2468" s="8">
        <v>5596.5309120000002</v>
      </c>
      <c r="M2468" s="9" t="str">
        <f>IF(A2468="",M2469,A2468)</f>
        <v>Lesotho</v>
      </c>
      <c r="N2468" s="3" t="str">
        <f t="shared" si="77"/>
        <v>Jul-2021</v>
      </c>
    </row>
    <row r="2469" spans="1:14" x14ac:dyDescent="0.3">
      <c r="A2469" s="3" t="s">
        <v>212</v>
      </c>
      <c r="B2469" s="3" t="s">
        <v>213</v>
      </c>
      <c r="C2469" s="8">
        <v>2021</v>
      </c>
      <c r="D2469" s="8">
        <v>8</v>
      </c>
      <c r="E2469" s="3" t="str">
        <f t="shared" si="76"/>
        <v>August</v>
      </c>
      <c r="F2469" s="3" t="s">
        <v>8</v>
      </c>
      <c r="G2469" s="8">
        <v>3076.278221</v>
      </c>
      <c r="H2469" s="8">
        <v>3434.4659999999999</v>
      </c>
      <c r="I2469" s="8">
        <v>358.1877791</v>
      </c>
      <c r="J2469" s="8">
        <v>2173.715248</v>
      </c>
      <c r="K2469" s="8">
        <v>-1566.5117519999999</v>
      </c>
      <c r="L2469" s="8">
        <v>6016.4390750000002</v>
      </c>
      <c r="M2469" s="9" t="str">
        <f>IF(A2469="",M2470,A2469)</f>
        <v>Lesotho</v>
      </c>
      <c r="N2469" s="3" t="str">
        <f t="shared" si="77"/>
        <v>Aug-2021</v>
      </c>
    </row>
    <row r="2470" spans="1:14" x14ac:dyDescent="0.3">
      <c r="A2470" s="3" t="s">
        <v>212</v>
      </c>
      <c r="B2470" s="3" t="s">
        <v>213</v>
      </c>
      <c r="C2470" s="8">
        <v>2021</v>
      </c>
      <c r="D2470" s="8">
        <v>9</v>
      </c>
      <c r="E2470" s="3" t="str">
        <f t="shared" si="76"/>
        <v>September</v>
      </c>
      <c r="F2470" s="3" t="s">
        <v>8</v>
      </c>
      <c r="G2470" s="8">
        <v>2990.2196899999999</v>
      </c>
      <c r="H2470" s="8">
        <v>3861.6390000000001</v>
      </c>
      <c r="I2470" s="8">
        <v>871.41930990000003</v>
      </c>
      <c r="J2470" s="8">
        <v>3045.1345580000002</v>
      </c>
      <c r="K2470" s="8">
        <v>-852.29640930000005</v>
      </c>
      <c r="L2470" s="8">
        <v>6967.9424660000004</v>
      </c>
      <c r="M2470" s="9" t="str">
        <f>IF(A2470="",M2471,A2470)</f>
        <v>Lesotho</v>
      </c>
      <c r="N2470" s="3" t="str">
        <f t="shared" si="77"/>
        <v>Sep-2021</v>
      </c>
    </row>
    <row r="2471" spans="1:14" x14ac:dyDescent="0.3">
      <c r="A2471" s="3" t="s">
        <v>212</v>
      </c>
      <c r="B2471" s="3" t="s">
        <v>213</v>
      </c>
      <c r="C2471" s="8">
        <v>2021</v>
      </c>
      <c r="D2471" s="8">
        <v>10</v>
      </c>
      <c r="E2471" s="3" t="str">
        <f t="shared" si="76"/>
        <v>October</v>
      </c>
      <c r="F2471" s="3" t="s">
        <v>8</v>
      </c>
      <c r="G2471" s="8">
        <v>2944.194348</v>
      </c>
      <c r="H2471" s="8">
        <v>3234.3389999999999</v>
      </c>
      <c r="I2471" s="8">
        <v>290.14465150000001</v>
      </c>
      <c r="J2471" s="8">
        <v>3335.2792100000001</v>
      </c>
      <c r="K2471" s="8">
        <v>-795.43351580000001</v>
      </c>
      <c r="L2471" s="8">
        <v>7427.2873220000001</v>
      </c>
      <c r="M2471" s="9" t="str">
        <f>IF(A2471="",M2472,A2471)</f>
        <v>Lesotho</v>
      </c>
      <c r="N2471" s="3" t="str">
        <f t="shared" si="77"/>
        <v>Oct-2021</v>
      </c>
    </row>
    <row r="2472" spans="1:14" x14ac:dyDescent="0.3">
      <c r="A2472" s="3" t="s">
        <v>212</v>
      </c>
      <c r="B2472" s="3" t="s">
        <v>213</v>
      </c>
      <c r="C2472" s="8">
        <v>2021</v>
      </c>
      <c r="D2472" s="8">
        <v>11</v>
      </c>
      <c r="E2472" s="3" t="str">
        <f t="shared" si="76"/>
        <v>November</v>
      </c>
      <c r="F2472" s="3" t="s">
        <v>8</v>
      </c>
      <c r="G2472" s="8">
        <v>2929.1100550000001</v>
      </c>
      <c r="H2472" s="8">
        <v>3139.96</v>
      </c>
      <c r="I2472" s="8">
        <v>210.84994499999999</v>
      </c>
      <c r="J2472" s="8">
        <v>3546.1291550000001</v>
      </c>
      <c r="K2472" s="8">
        <v>-587.08375999999998</v>
      </c>
      <c r="L2472" s="8">
        <v>7651.5512410000001</v>
      </c>
      <c r="M2472" s="9" t="str">
        <f>IF(A2472="",M2473,A2472)</f>
        <v>Lesotho</v>
      </c>
      <c r="N2472" s="3" t="str">
        <f t="shared" si="77"/>
        <v>Nov-2021</v>
      </c>
    </row>
    <row r="2473" spans="1:14" x14ac:dyDescent="0.3">
      <c r="A2473" s="3" t="s">
        <v>212</v>
      </c>
      <c r="B2473" s="3" t="s">
        <v>213</v>
      </c>
      <c r="C2473" s="8">
        <v>2021</v>
      </c>
      <c r="D2473" s="8">
        <v>12</v>
      </c>
      <c r="E2473" s="3" t="str">
        <f t="shared" si="76"/>
        <v>December</v>
      </c>
      <c r="F2473" s="3" t="s">
        <v>8</v>
      </c>
      <c r="G2473" s="8">
        <v>2908.8896239999999</v>
      </c>
      <c r="H2473" s="8">
        <v>3192.45</v>
      </c>
      <c r="I2473" s="8">
        <v>283.5603759</v>
      </c>
      <c r="J2473" s="8">
        <v>3829.689531</v>
      </c>
      <c r="K2473" s="8">
        <v>-450.14080130000002</v>
      </c>
      <c r="L2473" s="8">
        <v>7999.5385550000001</v>
      </c>
      <c r="M2473" s="9" t="str">
        <f>IF(A2473="",M2474,A2473)</f>
        <v>Lesotho</v>
      </c>
      <c r="N2473" s="3" t="str">
        <f t="shared" si="77"/>
        <v>Dec-2021</v>
      </c>
    </row>
    <row r="2474" spans="1:14" x14ac:dyDescent="0.3">
      <c r="A2474" s="3" t="s">
        <v>214</v>
      </c>
      <c r="B2474" s="3" t="s">
        <v>215</v>
      </c>
      <c r="C2474" s="8">
        <v>2020</v>
      </c>
      <c r="D2474" s="8">
        <v>1</v>
      </c>
      <c r="E2474" s="3" t="str">
        <f t="shared" si="76"/>
        <v>January</v>
      </c>
      <c r="F2474" s="3" t="s">
        <v>13</v>
      </c>
      <c r="G2474" s="8">
        <v>3405.0049650000001</v>
      </c>
      <c r="H2474" s="8">
        <v>3500</v>
      </c>
      <c r="I2474" s="8">
        <v>94.995034860000004</v>
      </c>
      <c r="J2474" s="8">
        <v>94.995034860000004</v>
      </c>
      <c r="K2474" s="8">
        <v>-17.314862219999998</v>
      </c>
      <c r="L2474" s="8">
        <v>210.5308713</v>
      </c>
      <c r="M2474" s="9" t="str">
        <f>IF(A2474="",M2475,A2474)</f>
        <v>Lithuania</v>
      </c>
      <c r="N2474" s="3" t="str">
        <f t="shared" si="77"/>
        <v>Jan-2020</v>
      </c>
    </row>
    <row r="2475" spans="1:14" x14ac:dyDescent="0.3">
      <c r="A2475" s="3" t="s">
        <v>214</v>
      </c>
      <c r="B2475" s="3" t="s">
        <v>215</v>
      </c>
      <c r="C2475" s="8">
        <v>2020</v>
      </c>
      <c r="D2475" s="8">
        <v>2</v>
      </c>
      <c r="E2475" s="3" t="str">
        <f t="shared" si="76"/>
        <v>February</v>
      </c>
      <c r="F2475" s="3" t="s">
        <v>13</v>
      </c>
      <c r="G2475" s="8">
        <v>3417.665019</v>
      </c>
      <c r="H2475" s="8">
        <v>3189</v>
      </c>
      <c r="I2475" s="8">
        <v>-228.66501919999999</v>
      </c>
      <c r="J2475" s="8">
        <v>-133.6699844</v>
      </c>
      <c r="K2475" s="8">
        <v>-300.40669070000001</v>
      </c>
      <c r="L2475" s="8">
        <v>49.25024311</v>
      </c>
      <c r="M2475" s="9" t="str">
        <f>IF(A2475="",M2476,A2475)</f>
        <v>Lithuania</v>
      </c>
      <c r="N2475" s="3" t="str">
        <f t="shared" si="77"/>
        <v>Feb-2020</v>
      </c>
    </row>
    <row r="2476" spans="1:14" x14ac:dyDescent="0.3">
      <c r="A2476" s="3" t="s">
        <v>214</v>
      </c>
      <c r="B2476" s="3" t="s">
        <v>215</v>
      </c>
      <c r="C2476" s="8">
        <v>2020</v>
      </c>
      <c r="D2476" s="8">
        <v>3</v>
      </c>
      <c r="E2476" s="3" t="str">
        <f t="shared" si="76"/>
        <v>March</v>
      </c>
      <c r="F2476" s="3" t="s">
        <v>13</v>
      </c>
      <c r="G2476" s="8">
        <v>3323.9188869999998</v>
      </c>
      <c r="H2476" s="8">
        <v>3503</v>
      </c>
      <c r="I2476" s="8">
        <v>179.08111270000001</v>
      </c>
      <c r="J2476" s="8">
        <v>45.411128310000002</v>
      </c>
      <c r="K2476" s="8">
        <v>-184.86134240000001</v>
      </c>
      <c r="L2476" s="8">
        <v>281.2722789</v>
      </c>
      <c r="M2476" s="9" t="str">
        <f>IF(A2476="",M2477,A2476)</f>
        <v>Lithuania</v>
      </c>
      <c r="N2476" s="3" t="str">
        <f t="shared" si="77"/>
        <v>Mar-2020</v>
      </c>
    </row>
    <row r="2477" spans="1:14" x14ac:dyDescent="0.3">
      <c r="A2477" s="3" t="s">
        <v>214</v>
      </c>
      <c r="B2477" s="3" t="s">
        <v>215</v>
      </c>
      <c r="C2477" s="8">
        <v>2020</v>
      </c>
      <c r="D2477" s="8">
        <v>4</v>
      </c>
      <c r="E2477" s="3" t="str">
        <f t="shared" si="76"/>
        <v>April</v>
      </c>
      <c r="F2477" s="3" t="s">
        <v>13</v>
      </c>
      <c r="G2477" s="8">
        <v>3175.5212470000001</v>
      </c>
      <c r="H2477" s="8">
        <v>3366</v>
      </c>
      <c r="I2477" s="8">
        <v>190.47875329999999</v>
      </c>
      <c r="J2477" s="8">
        <v>235.8898816</v>
      </c>
      <c r="K2477" s="8">
        <v>-30.461244520000001</v>
      </c>
      <c r="L2477" s="8">
        <v>494.98705619999998</v>
      </c>
      <c r="M2477" s="9" t="str">
        <f>IF(A2477="",M2478,A2477)</f>
        <v>Lithuania</v>
      </c>
      <c r="N2477" s="3" t="str">
        <f t="shared" si="77"/>
        <v>Apr-2020</v>
      </c>
    </row>
    <row r="2478" spans="1:14" x14ac:dyDescent="0.3">
      <c r="A2478" s="3" t="s">
        <v>214</v>
      </c>
      <c r="B2478" s="3" t="s">
        <v>215</v>
      </c>
      <c r="C2478" s="8">
        <v>2020</v>
      </c>
      <c r="D2478" s="8">
        <v>5</v>
      </c>
      <c r="E2478" s="3" t="str">
        <f t="shared" si="76"/>
        <v>May</v>
      </c>
      <c r="F2478" s="3" t="s">
        <v>13</v>
      </c>
      <c r="G2478" s="8">
        <v>3058.8698119999999</v>
      </c>
      <c r="H2478" s="8">
        <v>3240</v>
      </c>
      <c r="I2478" s="8">
        <v>181.13018819999999</v>
      </c>
      <c r="J2478" s="8">
        <v>417.02006979999999</v>
      </c>
      <c r="K2478" s="8">
        <v>120.1813485</v>
      </c>
      <c r="L2478" s="8">
        <v>702.19216879999999</v>
      </c>
      <c r="M2478" s="9" t="str">
        <f>IF(A2478="",M2479,A2478)</f>
        <v>Lithuania</v>
      </c>
      <c r="N2478" s="3" t="str">
        <f t="shared" si="77"/>
        <v>May-2020</v>
      </c>
    </row>
    <row r="2479" spans="1:14" x14ac:dyDescent="0.3">
      <c r="A2479" s="3" t="s">
        <v>214</v>
      </c>
      <c r="B2479" s="3" t="s">
        <v>215</v>
      </c>
      <c r="C2479" s="8">
        <v>2020</v>
      </c>
      <c r="D2479" s="8">
        <v>6</v>
      </c>
      <c r="E2479" s="3" t="str">
        <f t="shared" si="76"/>
        <v>June</v>
      </c>
      <c r="F2479" s="3" t="s">
        <v>13</v>
      </c>
      <c r="G2479" s="8">
        <v>2949.3527020000001</v>
      </c>
      <c r="H2479" s="8">
        <v>3323</v>
      </c>
      <c r="I2479" s="8">
        <v>373.6472976</v>
      </c>
      <c r="J2479" s="8">
        <v>790.66736739999999</v>
      </c>
      <c r="K2479" s="8">
        <v>451.37540209999997</v>
      </c>
      <c r="L2479" s="8">
        <v>1112.994074</v>
      </c>
      <c r="M2479" s="9" t="str">
        <f>IF(A2479="",M2480,A2479)</f>
        <v>Lithuania</v>
      </c>
      <c r="N2479" s="3" t="str">
        <f t="shared" si="77"/>
        <v>Jun-2020</v>
      </c>
    </row>
    <row r="2480" spans="1:14" x14ac:dyDescent="0.3">
      <c r="A2480" s="3" t="s">
        <v>214</v>
      </c>
      <c r="B2480" s="3" t="s">
        <v>215</v>
      </c>
      <c r="C2480" s="8">
        <v>2020</v>
      </c>
      <c r="D2480" s="8">
        <v>7</v>
      </c>
      <c r="E2480" s="3" t="str">
        <f t="shared" si="76"/>
        <v>July</v>
      </c>
      <c r="F2480" s="3" t="s">
        <v>13</v>
      </c>
      <c r="G2480" s="8">
        <v>2888.9001659999999</v>
      </c>
      <c r="H2480" s="8">
        <v>3233</v>
      </c>
      <c r="I2480" s="8">
        <v>344.09983419999998</v>
      </c>
      <c r="J2480" s="8">
        <v>1134.767202</v>
      </c>
      <c r="K2480" s="8">
        <v>789.5443272</v>
      </c>
      <c r="L2480" s="8">
        <v>1483.155315</v>
      </c>
      <c r="M2480" s="9" t="str">
        <f>IF(A2480="",M2481,A2480)</f>
        <v>Lithuania</v>
      </c>
      <c r="N2480" s="3" t="str">
        <f t="shared" si="77"/>
        <v>Jul-2020</v>
      </c>
    </row>
    <row r="2481" spans="1:14" x14ac:dyDescent="0.3">
      <c r="A2481" s="3" t="s">
        <v>214</v>
      </c>
      <c r="B2481" s="3" t="s">
        <v>215</v>
      </c>
      <c r="C2481" s="8">
        <v>2020</v>
      </c>
      <c r="D2481" s="8">
        <v>8</v>
      </c>
      <c r="E2481" s="3" t="str">
        <f t="shared" si="76"/>
        <v>August</v>
      </c>
      <c r="F2481" s="3" t="s">
        <v>13</v>
      </c>
      <c r="G2481" s="8">
        <v>2844.7095380000001</v>
      </c>
      <c r="H2481" s="8">
        <v>3259</v>
      </c>
      <c r="I2481" s="8">
        <v>414.29046210000001</v>
      </c>
      <c r="J2481" s="8">
        <v>1549.0576639999999</v>
      </c>
      <c r="K2481" s="8">
        <v>1196.798575</v>
      </c>
      <c r="L2481" s="8">
        <v>1913.52855</v>
      </c>
      <c r="M2481" s="9" t="str">
        <f>IF(A2481="",M2482,A2481)</f>
        <v>Lithuania</v>
      </c>
      <c r="N2481" s="3" t="str">
        <f t="shared" si="77"/>
        <v>Aug-2020</v>
      </c>
    </row>
    <row r="2482" spans="1:14" x14ac:dyDescent="0.3">
      <c r="A2482" s="3" t="s">
        <v>214</v>
      </c>
      <c r="B2482" s="3" t="s">
        <v>215</v>
      </c>
      <c r="C2482" s="8">
        <v>2020</v>
      </c>
      <c r="D2482" s="8">
        <v>9</v>
      </c>
      <c r="E2482" s="3" t="str">
        <f t="shared" si="76"/>
        <v>September</v>
      </c>
      <c r="F2482" s="3" t="s">
        <v>13</v>
      </c>
      <c r="G2482" s="8">
        <v>2843.158919</v>
      </c>
      <c r="H2482" s="8">
        <v>3130</v>
      </c>
      <c r="I2482" s="8">
        <v>286.84108140000001</v>
      </c>
      <c r="J2482" s="8">
        <v>1835.898745</v>
      </c>
      <c r="K2482" s="8">
        <v>1468.5350599999999</v>
      </c>
      <c r="L2482" s="8">
        <v>2221.5919789999998</v>
      </c>
      <c r="M2482" s="9" t="str">
        <f>IF(A2482="",M2483,A2482)</f>
        <v>Lithuania</v>
      </c>
      <c r="N2482" s="3" t="str">
        <f t="shared" si="77"/>
        <v>Sep-2020</v>
      </c>
    </row>
    <row r="2483" spans="1:14" x14ac:dyDescent="0.3">
      <c r="A2483" s="3" t="s">
        <v>214</v>
      </c>
      <c r="B2483" s="3" t="s">
        <v>215</v>
      </c>
      <c r="C2483" s="8">
        <v>2020</v>
      </c>
      <c r="D2483" s="8">
        <v>10</v>
      </c>
      <c r="E2483" s="3" t="str">
        <f t="shared" si="76"/>
        <v>October</v>
      </c>
      <c r="F2483" s="3" t="s">
        <v>13</v>
      </c>
      <c r="G2483" s="8">
        <v>2987.6352379999998</v>
      </c>
      <c r="H2483" s="8">
        <v>3622</v>
      </c>
      <c r="I2483" s="8">
        <v>634.36476230000005</v>
      </c>
      <c r="J2483" s="8">
        <v>2470.2635070000001</v>
      </c>
      <c r="K2483" s="8">
        <v>2074.8163089999998</v>
      </c>
      <c r="L2483" s="8">
        <v>2885.51008</v>
      </c>
      <c r="M2483" s="9" t="str">
        <f>IF(A2483="",M2484,A2483)</f>
        <v>Lithuania</v>
      </c>
      <c r="N2483" s="3" t="str">
        <f t="shared" si="77"/>
        <v>Oct-2020</v>
      </c>
    </row>
    <row r="2484" spans="1:14" x14ac:dyDescent="0.3">
      <c r="A2484" s="3" t="s">
        <v>214</v>
      </c>
      <c r="B2484" s="3" t="s">
        <v>215</v>
      </c>
      <c r="C2484" s="8">
        <v>2020</v>
      </c>
      <c r="D2484" s="8">
        <v>11</v>
      </c>
      <c r="E2484" s="3" t="str">
        <f t="shared" si="76"/>
        <v>November</v>
      </c>
      <c r="F2484" s="3" t="s">
        <v>13</v>
      </c>
      <c r="G2484" s="8">
        <v>3134.9626790000002</v>
      </c>
      <c r="H2484" s="8">
        <v>4336</v>
      </c>
      <c r="I2484" s="8">
        <v>1201.037321</v>
      </c>
      <c r="J2484" s="8">
        <v>3671.3008279999999</v>
      </c>
      <c r="K2484" s="8">
        <v>3274.9075039999998</v>
      </c>
      <c r="L2484" s="8">
        <v>4097.7245519999997</v>
      </c>
      <c r="M2484" s="9" t="str">
        <f>IF(A2484="",M2485,A2484)</f>
        <v>Lithuania</v>
      </c>
      <c r="N2484" s="3" t="str">
        <f t="shared" si="77"/>
        <v>Nov-2020</v>
      </c>
    </row>
    <row r="2485" spans="1:14" x14ac:dyDescent="0.3">
      <c r="A2485" s="3" t="s">
        <v>214</v>
      </c>
      <c r="B2485" s="3" t="s">
        <v>215</v>
      </c>
      <c r="C2485" s="8">
        <v>2020</v>
      </c>
      <c r="D2485" s="8">
        <v>12</v>
      </c>
      <c r="E2485" s="3" t="str">
        <f t="shared" si="76"/>
        <v>December</v>
      </c>
      <c r="F2485" s="3" t="s">
        <v>13</v>
      </c>
      <c r="G2485" s="8">
        <v>3332.1408729999998</v>
      </c>
      <c r="H2485" s="8">
        <v>5815</v>
      </c>
      <c r="I2485" s="8">
        <v>2482.8591270000002</v>
      </c>
      <c r="J2485" s="8">
        <v>6154.1599550000001</v>
      </c>
      <c r="K2485" s="8">
        <v>5712.2991140000004</v>
      </c>
      <c r="L2485" s="8">
        <v>6604.5567300000002</v>
      </c>
      <c r="M2485" s="9" t="str">
        <f>IF(A2485="",M2486,A2485)</f>
        <v>Lithuania</v>
      </c>
      <c r="N2485" s="3" t="str">
        <f t="shared" si="77"/>
        <v>Dec-2020</v>
      </c>
    </row>
    <row r="2486" spans="1:14" x14ac:dyDescent="0.3">
      <c r="A2486" s="3" t="s">
        <v>214</v>
      </c>
      <c r="B2486" s="3" t="s">
        <v>215</v>
      </c>
      <c r="C2486" s="8">
        <v>2021</v>
      </c>
      <c r="D2486" s="8">
        <v>1</v>
      </c>
      <c r="E2486" s="3" t="str">
        <f t="shared" si="76"/>
        <v>January</v>
      </c>
      <c r="F2486" s="3" t="s">
        <v>13</v>
      </c>
      <c r="G2486" s="8">
        <v>3326.525173</v>
      </c>
      <c r="H2486" s="8">
        <v>5155</v>
      </c>
      <c r="I2486" s="8">
        <v>1828.474827</v>
      </c>
      <c r="J2486" s="8">
        <v>7982.6347830000004</v>
      </c>
      <c r="K2486" s="8">
        <v>7535.6847109999999</v>
      </c>
      <c r="L2486" s="8">
        <v>8471.2303929999998</v>
      </c>
      <c r="M2486" s="9" t="str">
        <f>IF(A2486="",M2487,A2486)</f>
        <v>Lithuania</v>
      </c>
      <c r="N2486" s="3" t="str">
        <f t="shared" si="77"/>
        <v>Jan-2021</v>
      </c>
    </row>
    <row r="2487" spans="1:14" x14ac:dyDescent="0.3">
      <c r="A2487" s="3" t="s">
        <v>214</v>
      </c>
      <c r="B2487" s="3" t="s">
        <v>215</v>
      </c>
      <c r="C2487" s="8">
        <v>2021</v>
      </c>
      <c r="D2487" s="8">
        <v>2</v>
      </c>
      <c r="E2487" s="3" t="str">
        <f t="shared" si="76"/>
        <v>February</v>
      </c>
      <c r="F2487" s="3" t="s">
        <v>13</v>
      </c>
      <c r="G2487" s="8">
        <v>3338.9005550000002</v>
      </c>
      <c r="H2487" s="8">
        <v>3675</v>
      </c>
      <c r="I2487" s="8">
        <v>336.09944469999999</v>
      </c>
      <c r="J2487" s="8">
        <v>8318.7342270000008</v>
      </c>
      <c r="K2487" s="8">
        <v>7841.3614939999998</v>
      </c>
      <c r="L2487" s="8">
        <v>8819.3775100000003</v>
      </c>
      <c r="M2487" s="9" t="str">
        <f>IF(A2487="",M2488,A2487)</f>
        <v>Lithuania</v>
      </c>
      <c r="N2487" s="3" t="str">
        <f t="shared" si="77"/>
        <v>Feb-2021</v>
      </c>
    </row>
    <row r="2488" spans="1:14" x14ac:dyDescent="0.3">
      <c r="A2488" s="3" t="s">
        <v>214</v>
      </c>
      <c r="B2488" s="3" t="s">
        <v>215</v>
      </c>
      <c r="C2488" s="8">
        <v>2021</v>
      </c>
      <c r="D2488" s="8">
        <v>3</v>
      </c>
      <c r="E2488" s="3" t="str">
        <f t="shared" si="76"/>
        <v>March</v>
      </c>
      <c r="F2488" s="3" t="s">
        <v>13</v>
      </c>
      <c r="G2488" s="8">
        <v>3241.6026179999999</v>
      </c>
      <c r="H2488" s="8">
        <v>3758</v>
      </c>
      <c r="I2488" s="8">
        <v>516.39738150000005</v>
      </c>
      <c r="J2488" s="8">
        <v>8835.131609</v>
      </c>
      <c r="K2488" s="8">
        <v>8334.4844489999996</v>
      </c>
      <c r="L2488" s="8">
        <v>9352.0867579999995</v>
      </c>
      <c r="M2488" s="9" t="str">
        <f>IF(A2488="",M2489,A2488)</f>
        <v>Lithuania</v>
      </c>
      <c r="N2488" s="3" t="str">
        <f t="shared" si="77"/>
        <v>Mar-2021</v>
      </c>
    </row>
    <row r="2489" spans="1:14" x14ac:dyDescent="0.3">
      <c r="A2489" s="3" t="s">
        <v>214</v>
      </c>
      <c r="B2489" s="3" t="s">
        <v>215</v>
      </c>
      <c r="C2489" s="8">
        <v>2021</v>
      </c>
      <c r="D2489" s="8">
        <v>4</v>
      </c>
      <c r="E2489" s="3" t="str">
        <f t="shared" si="76"/>
        <v>April</v>
      </c>
      <c r="F2489" s="3" t="s">
        <v>13</v>
      </c>
      <c r="G2489" s="8">
        <v>3096.7154740000001</v>
      </c>
      <c r="H2489" s="8">
        <v>3636</v>
      </c>
      <c r="I2489" s="8">
        <v>539.28452570000002</v>
      </c>
      <c r="J2489" s="8">
        <v>9374.4161349999995</v>
      </c>
      <c r="K2489" s="8">
        <v>8878.5829209999993</v>
      </c>
      <c r="L2489" s="8">
        <v>9961.5047030000005</v>
      </c>
      <c r="M2489" s="9" t="str">
        <f>IF(A2489="",M2490,A2489)</f>
        <v>Lithuania</v>
      </c>
      <c r="N2489" s="3" t="str">
        <f t="shared" si="77"/>
        <v>Apr-2021</v>
      </c>
    </row>
    <row r="2490" spans="1:14" x14ac:dyDescent="0.3">
      <c r="A2490" s="3" t="s">
        <v>214</v>
      </c>
      <c r="B2490" s="3" t="s">
        <v>215</v>
      </c>
      <c r="C2490" s="8">
        <v>2021</v>
      </c>
      <c r="D2490" s="8">
        <v>5</v>
      </c>
      <c r="E2490" s="3" t="str">
        <f t="shared" si="76"/>
        <v>May</v>
      </c>
      <c r="F2490" s="3" t="s">
        <v>13</v>
      </c>
      <c r="G2490" s="8">
        <v>2984.0497209999999</v>
      </c>
      <c r="H2490" s="8">
        <v>3755</v>
      </c>
      <c r="I2490" s="8">
        <v>770.95027879999998</v>
      </c>
      <c r="J2490" s="8">
        <v>10145.366410000001</v>
      </c>
      <c r="K2490" s="8">
        <v>9579.2890869999992</v>
      </c>
      <c r="L2490" s="8">
        <v>10731.3788</v>
      </c>
      <c r="M2490" s="9" t="str">
        <f>IF(A2490="",M2491,A2490)</f>
        <v>Lithuania</v>
      </c>
      <c r="N2490" s="3" t="str">
        <f t="shared" si="77"/>
        <v>May-2021</v>
      </c>
    </row>
    <row r="2491" spans="1:14" x14ac:dyDescent="0.3">
      <c r="A2491" s="3" t="s">
        <v>214</v>
      </c>
      <c r="B2491" s="3" t="s">
        <v>215</v>
      </c>
      <c r="C2491" s="8">
        <v>2021</v>
      </c>
      <c r="D2491" s="8">
        <v>6</v>
      </c>
      <c r="E2491" s="3" t="str">
        <f t="shared" si="76"/>
        <v>June</v>
      </c>
      <c r="F2491" s="3" t="s">
        <v>13</v>
      </c>
      <c r="G2491" s="8">
        <v>2878.2961869999999</v>
      </c>
      <c r="H2491" s="8">
        <v>3545</v>
      </c>
      <c r="I2491" s="8">
        <v>666.70381269999996</v>
      </c>
      <c r="J2491" s="8">
        <v>10812.070229999999</v>
      </c>
      <c r="K2491" s="8">
        <v>10213.292729999999</v>
      </c>
      <c r="L2491" s="8">
        <v>11430.071260000001</v>
      </c>
      <c r="M2491" s="9" t="str">
        <f>IF(A2491="",M2492,A2491)</f>
        <v>Lithuania</v>
      </c>
      <c r="N2491" s="3" t="str">
        <f t="shared" si="77"/>
        <v>Jun-2021</v>
      </c>
    </row>
    <row r="2492" spans="1:14" x14ac:dyDescent="0.3">
      <c r="A2492" s="3" t="s">
        <v>214</v>
      </c>
      <c r="B2492" s="3" t="s">
        <v>215</v>
      </c>
      <c r="C2492" s="8">
        <v>2021</v>
      </c>
      <c r="D2492" s="8">
        <v>7</v>
      </c>
      <c r="E2492" s="3" t="str">
        <f t="shared" si="76"/>
        <v>July</v>
      </c>
      <c r="F2492" s="3" t="s">
        <v>13</v>
      </c>
      <c r="G2492" s="8">
        <v>2825.0026899999998</v>
      </c>
      <c r="H2492" s="8">
        <v>3445</v>
      </c>
      <c r="I2492" s="8">
        <v>619.99731050000003</v>
      </c>
      <c r="J2492" s="8">
        <v>11432.06754</v>
      </c>
      <c r="K2492" s="8">
        <v>10868.216119999999</v>
      </c>
      <c r="L2492" s="8">
        <v>12060.394829999999</v>
      </c>
      <c r="M2492" s="9" t="str">
        <f>IF(A2492="",M2493,A2492)</f>
        <v>Lithuania</v>
      </c>
      <c r="N2492" s="3" t="str">
        <f t="shared" si="77"/>
        <v>Jul-2021</v>
      </c>
    </row>
    <row r="2493" spans="1:14" x14ac:dyDescent="0.3">
      <c r="A2493" s="3" t="s">
        <v>214</v>
      </c>
      <c r="B2493" s="3" t="s">
        <v>215</v>
      </c>
      <c r="C2493" s="8">
        <v>2021</v>
      </c>
      <c r="D2493" s="8">
        <v>8</v>
      </c>
      <c r="E2493" s="3" t="str">
        <f t="shared" si="76"/>
        <v>August</v>
      </c>
      <c r="F2493" s="3" t="s">
        <v>13</v>
      </c>
      <c r="G2493" s="8">
        <v>2776.0614679999999</v>
      </c>
      <c r="H2493" s="8">
        <v>3431</v>
      </c>
      <c r="I2493" s="8">
        <v>654.93853160000003</v>
      </c>
      <c r="J2493" s="8">
        <v>12087.006069999999</v>
      </c>
      <c r="K2493" s="8">
        <v>11514.32847</v>
      </c>
      <c r="L2493" s="8">
        <v>12729.83138</v>
      </c>
      <c r="M2493" s="9" t="str">
        <f>IF(A2493="",M2494,A2493)</f>
        <v>Lithuania</v>
      </c>
      <c r="N2493" s="3" t="str">
        <f t="shared" si="77"/>
        <v>Aug-2021</v>
      </c>
    </row>
    <row r="2494" spans="1:14" x14ac:dyDescent="0.3">
      <c r="A2494" s="3" t="s">
        <v>214</v>
      </c>
      <c r="B2494" s="3" t="s">
        <v>215</v>
      </c>
      <c r="C2494" s="8">
        <v>2021</v>
      </c>
      <c r="D2494" s="8">
        <v>9</v>
      </c>
      <c r="E2494" s="3" t="str">
        <f t="shared" si="76"/>
        <v>September</v>
      </c>
      <c r="F2494" s="3" t="s">
        <v>13</v>
      </c>
      <c r="G2494" s="8">
        <v>2777.0200100000002</v>
      </c>
      <c r="H2494" s="8">
        <v>3885</v>
      </c>
      <c r="I2494" s="8">
        <v>1107.97999</v>
      </c>
      <c r="J2494" s="8">
        <v>13194.986059999999</v>
      </c>
      <c r="K2494" s="8">
        <v>12587.735430000001</v>
      </c>
      <c r="L2494" s="8">
        <v>13827.955599999999</v>
      </c>
      <c r="M2494" s="9" t="str">
        <f>IF(A2494="",M2495,A2494)</f>
        <v>Lithuania</v>
      </c>
      <c r="N2494" s="3" t="str">
        <f t="shared" si="77"/>
        <v>Sep-2021</v>
      </c>
    </row>
    <row r="2495" spans="1:14" x14ac:dyDescent="0.3">
      <c r="A2495" s="3" t="s">
        <v>214</v>
      </c>
      <c r="B2495" s="3" t="s">
        <v>215</v>
      </c>
      <c r="C2495" s="8">
        <v>2021</v>
      </c>
      <c r="D2495" s="8">
        <v>10</v>
      </c>
      <c r="E2495" s="3" t="str">
        <f t="shared" si="76"/>
        <v>October</v>
      </c>
      <c r="F2495" s="3" t="s">
        <v>13</v>
      </c>
      <c r="G2495" s="8">
        <v>2915.5300200000001</v>
      </c>
      <c r="H2495" s="8">
        <v>4722</v>
      </c>
      <c r="I2495" s="8">
        <v>1806.4699800000001</v>
      </c>
      <c r="J2495" s="8">
        <v>15001.456039999999</v>
      </c>
      <c r="K2495" s="8">
        <v>14371.60405</v>
      </c>
      <c r="L2495" s="8">
        <v>15648.279350000001</v>
      </c>
      <c r="M2495" s="9" t="str">
        <f>IF(A2495="",M2496,A2495)</f>
        <v>Lithuania</v>
      </c>
      <c r="N2495" s="3" t="str">
        <f t="shared" si="77"/>
        <v>Oct-2021</v>
      </c>
    </row>
    <row r="2496" spans="1:14" x14ac:dyDescent="0.3">
      <c r="A2496" s="3" t="s">
        <v>214</v>
      </c>
      <c r="B2496" s="3" t="s">
        <v>215</v>
      </c>
      <c r="C2496" s="8">
        <v>2021</v>
      </c>
      <c r="D2496" s="8">
        <v>11</v>
      </c>
      <c r="E2496" s="3" t="str">
        <f t="shared" si="76"/>
        <v>November</v>
      </c>
      <c r="F2496" s="3" t="s">
        <v>13</v>
      </c>
      <c r="G2496" s="8">
        <v>3058.6474830000002</v>
      </c>
      <c r="H2496" s="8">
        <v>4322</v>
      </c>
      <c r="I2496" s="8">
        <v>1263.352517</v>
      </c>
      <c r="J2496" s="8">
        <v>16264.808559999999</v>
      </c>
      <c r="K2496" s="8">
        <v>15631.40569</v>
      </c>
      <c r="L2496" s="8">
        <v>16924.287390000001</v>
      </c>
      <c r="M2496" s="9" t="str">
        <f>IF(A2496="",M2497,A2496)</f>
        <v>Lithuania</v>
      </c>
      <c r="N2496" s="3" t="str">
        <f t="shared" si="77"/>
        <v>Nov-2021</v>
      </c>
    </row>
    <row r="2497" spans="1:14" x14ac:dyDescent="0.3">
      <c r="A2497" s="3" t="s">
        <v>214</v>
      </c>
      <c r="B2497" s="3" t="s">
        <v>215</v>
      </c>
      <c r="C2497" s="8">
        <v>2021</v>
      </c>
      <c r="D2497" s="8">
        <v>12</v>
      </c>
      <c r="E2497" s="3" t="str">
        <f t="shared" si="76"/>
        <v>December</v>
      </c>
      <c r="F2497" s="3" t="s">
        <v>13</v>
      </c>
      <c r="G2497" s="8">
        <v>3247.0141819999999</v>
      </c>
      <c r="H2497" s="8">
        <v>4429</v>
      </c>
      <c r="I2497" s="8">
        <v>1181.9858180000001</v>
      </c>
      <c r="J2497" s="8">
        <v>17446.79437</v>
      </c>
      <c r="K2497" s="8">
        <v>16781.80328</v>
      </c>
      <c r="L2497" s="8">
        <v>18103.623759999999</v>
      </c>
      <c r="M2497" s="9" t="str">
        <f>IF(A2497="",M2498,A2497)</f>
        <v>Lithuania</v>
      </c>
      <c r="N2497" s="3" t="str">
        <f t="shared" si="77"/>
        <v>Dec-2021</v>
      </c>
    </row>
    <row r="2498" spans="1:14" x14ac:dyDescent="0.3">
      <c r="A2498" s="3" t="s">
        <v>216</v>
      </c>
      <c r="B2498" s="3" t="s">
        <v>217</v>
      </c>
      <c r="C2498" s="8">
        <v>2020</v>
      </c>
      <c r="D2498" s="8">
        <v>1</v>
      </c>
      <c r="E2498" s="3" t="str">
        <f t="shared" ref="E2498:E2561" si="78">TEXT(DATE(C2498,D2498,1),"MMMM")</f>
        <v>January</v>
      </c>
      <c r="F2498" s="3" t="s">
        <v>13</v>
      </c>
      <c r="G2498" s="8">
        <v>396.69577370000002</v>
      </c>
      <c r="H2498" s="8">
        <v>371</v>
      </c>
      <c r="I2498" s="8">
        <v>-25.69577366</v>
      </c>
      <c r="J2498" s="8">
        <v>-25.69577366</v>
      </c>
      <c r="K2498" s="8">
        <v>-46.339365780000001</v>
      </c>
      <c r="L2498" s="8">
        <v>-6.7340982650000001</v>
      </c>
      <c r="M2498" s="9" t="str">
        <f>IF(A2498="",M2499,A2498)</f>
        <v>Luxembourg</v>
      </c>
      <c r="N2498" s="3" t="str">
        <f t="shared" ref="N2498:N2561" si="79">TEXT(DATE(C2498,D2498,1),"MMM-YYYY")</f>
        <v>Jan-2020</v>
      </c>
    </row>
    <row r="2499" spans="1:14" x14ac:dyDescent="0.3">
      <c r="A2499" s="3" t="s">
        <v>216</v>
      </c>
      <c r="B2499" s="3" t="s">
        <v>217</v>
      </c>
      <c r="C2499" s="8">
        <v>2020</v>
      </c>
      <c r="D2499" s="8">
        <v>2</v>
      </c>
      <c r="E2499" s="3" t="str">
        <f t="shared" si="78"/>
        <v>February</v>
      </c>
      <c r="F2499" s="3" t="s">
        <v>13</v>
      </c>
      <c r="G2499" s="8">
        <v>407.20712409999999</v>
      </c>
      <c r="H2499" s="8">
        <v>334</v>
      </c>
      <c r="I2499" s="8">
        <v>-73.207124140000005</v>
      </c>
      <c r="J2499" s="8">
        <v>-98.902897800000005</v>
      </c>
      <c r="K2499" s="8">
        <v>-128.52289200000001</v>
      </c>
      <c r="L2499" s="8">
        <v>-68.361807139999996</v>
      </c>
      <c r="M2499" s="9" t="str">
        <f>IF(A2499="",M2500,A2499)</f>
        <v>Luxembourg</v>
      </c>
      <c r="N2499" s="3" t="str">
        <f t="shared" si="79"/>
        <v>Feb-2020</v>
      </c>
    </row>
    <row r="2500" spans="1:14" x14ac:dyDescent="0.3">
      <c r="A2500" s="3" t="s">
        <v>216</v>
      </c>
      <c r="B2500" s="3" t="s">
        <v>217</v>
      </c>
      <c r="C2500" s="8">
        <v>2020</v>
      </c>
      <c r="D2500" s="8">
        <v>3</v>
      </c>
      <c r="E2500" s="3" t="str">
        <f t="shared" si="78"/>
        <v>March</v>
      </c>
      <c r="F2500" s="3" t="s">
        <v>13</v>
      </c>
      <c r="G2500" s="8">
        <v>396.19997619999998</v>
      </c>
      <c r="H2500" s="8">
        <v>416</v>
      </c>
      <c r="I2500" s="8">
        <v>19.80002378</v>
      </c>
      <c r="J2500" s="8">
        <v>-79.102874020000002</v>
      </c>
      <c r="K2500" s="8">
        <v>-116.17713070000001</v>
      </c>
      <c r="L2500" s="8">
        <v>-43.692386810000002</v>
      </c>
      <c r="M2500" s="9" t="str">
        <f>IF(A2500="",M2501,A2500)</f>
        <v>Luxembourg</v>
      </c>
      <c r="N2500" s="3" t="str">
        <f t="shared" si="79"/>
        <v>Mar-2020</v>
      </c>
    </row>
    <row r="2501" spans="1:14" x14ac:dyDescent="0.3">
      <c r="A2501" s="3" t="s">
        <v>216</v>
      </c>
      <c r="B2501" s="3" t="s">
        <v>217</v>
      </c>
      <c r="C2501" s="8">
        <v>2020</v>
      </c>
      <c r="D2501" s="8">
        <v>4</v>
      </c>
      <c r="E2501" s="3" t="str">
        <f t="shared" si="78"/>
        <v>April</v>
      </c>
      <c r="F2501" s="3" t="s">
        <v>13</v>
      </c>
      <c r="G2501" s="8">
        <v>363.28919619999999</v>
      </c>
      <c r="H2501" s="8">
        <v>391</v>
      </c>
      <c r="I2501" s="8">
        <v>27.710803810000002</v>
      </c>
      <c r="J2501" s="8">
        <v>-51.392070199999999</v>
      </c>
      <c r="K2501" s="8">
        <v>-95.763980520000004</v>
      </c>
      <c r="L2501" s="8">
        <v>-8.4464415539999997</v>
      </c>
      <c r="M2501" s="9" t="str">
        <f>IF(A2501="",M2502,A2501)</f>
        <v>Luxembourg</v>
      </c>
      <c r="N2501" s="3" t="str">
        <f t="shared" si="79"/>
        <v>Apr-2020</v>
      </c>
    </row>
    <row r="2502" spans="1:14" x14ac:dyDescent="0.3">
      <c r="A2502" s="3" t="s">
        <v>216</v>
      </c>
      <c r="B2502" s="3" t="s">
        <v>217</v>
      </c>
      <c r="C2502" s="8">
        <v>2020</v>
      </c>
      <c r="D2502" s="8">
        <v>5</v>
      </c>
      <c r="E2502" s="3" t="str">
        <f t="shared" si="78"/>
        <v>May</v>
      </c>
      <c r="F2502" s="3" t="s">
        <v>13</v>
      </c>
      <c r="G2502" s="8">
        <v>340.02124170000002</v>
      </c>
      <c r="H2502" s="8">
        <v>351</v>
      </c>
      <c r="I2502" s="8">
        <v>10.97875831</v>
      </c>
      <c r="J2502" s="8">
        <v>-40.413311890000003</v>
      </c>
      <c r="K2502" s="8">
        <v>-90.343976150000003</v>
      </c>
      <c r="L2502" s="8">
        <v>8.4541457950000005</v>
      </c>
      <c r="M2502" s="9" t="str">
        <f>IF(A2502="",M2503,A2502)</f>
        <v>Luxembourg</v>
      </c>
      <c r="N2502" s="3" t="str">
        <f t="shared" si="79"/>
        <v>May-2020</v>
      </c>
    </row>
    <row r="2503" spans="1:14" x14ac:dyDescent="0.3">
      <c r="A2503" s="3" t="s">
        <v>216</v>
      </c>
      <c r="B2503" s="3" t="s">
        <v>217</v>
      </c>
      <c r="C2503" s="8">
        <v>2020</v>
      </c>
      <c r="D2503" s="8">
        <v>6</v>
      </c>
      <c r="E2503" s="3" t="str">
        <f t="shared" si="78"/>
        <v>June</v>
      </c>
      <c r="F2503" s="3" t="s">
        <v>13</v>
      </c>
      <c r="G2503" s="8">
        <v>333.04225530000002</v>
      </c>
      <c r="H2503" s="8">
        <v>308</v>
      </c>
      <c r="I2503" s="8">
        <v>-25.04225529</v>
      </c>
      <c r="J2503" s="8">
        <v>-65.455567180000003</v>
      </c>
      <c r="K2503" s="8">
        <v>-121.1057947</v>
      </c>
      <c r="L2503" s="8">
        <v>-13.18582617</v>
      </c>
      <c r="M2503" s="9" t="str">
        <f>IF(A2503="",M2504,A2503)</f>
        <v>Luxembourg</v>
      </c>
      <c r="N2503" s="3" t="str">
        <f t="shared" si="79"/>
        <v>Jun-2020</v>
      </c>
    </row>
    <row r="2504" spans="1:14" x14ac:dyDescent="0.3">
      <c r="A2504" s="3" t="s">
        <v>216</v>
      </c>
      <c r="B2504" s="3" t="s">
        <v>217</v>
      </c>
      <c r="C2504" s="8">
        <v>2020</v>
      </c>
      <c r="D2504" s="8">
        <v>7</v>
      </c>
      <c r="E2504" s="3" t="str">
        <f t="shared" si="78"/>
        <v>July</v>
      </c>
      <c r="F2504" s="3" t="s">
        <v>13</v>
      </c>
      <c r="G2504" s="8">
        <v>339.11363849999998</v>
      </c>
      <c r="H2504" s="8">
        <v>332</v>
      </c>
      <c r="I2504" s="8">
        <v>-7.1136385320000004</v>
      </c>
      <c r="J2504" s="8">
        <v>-72.569205719999999</v>
      </c>
      <c r="K2504" s="8">
        <v>-133.23358039999999</v>
      </c>
      <c r="L2504" s="8">
        <v>-13.24325928</v>
      </c>
      <c r="M2504" s="9" t="str">
        <f>IF(A2504="",M2505,A2504)</f>
        <v>Luxembourg</v>
      </c>
      <c r="N2504" s="3" t="str">
        <f t="shared" si="79"/>
        <v>Jul-2020</v>
      </c>
    </row>
    <row r="2505" spans="1:14" x14ac:dyDescent="0.3">
      <c r="A2505" s="3" t="s">
        <v>216</v>
      </c>
      <c r="B2505" s="3" t="s">
        <v>217</v>
      </c>
      <c r="C2505" s="8">
        <v>2020</v>
      </c>
      <c r="D2505" s="8">
        <v>8</v>
      </c>
      <c r="E2505" s="3" t="str">
        <f t="shared" si="78"/>
        <v>August</v>
      </c>
      <c r="F2505" s="3" t="s">
        <v>13</v>
      </c>
      <c r="G2505" s="8">
        <v>341.73427959999998</v>
      </c>
      <c r="H2505" s="8">
        <v>363</v>
      </c>
      <c r="I2505" s="8">
        <v>21.26572037</v>
      </c>
      <c r="J2505" s="8">
        <v>-51.303485350000003</v>
      </c>
      <c r="K2505" s="8">
        <v>-115.8831971</v>
      </c>
      <c r="L2505" s="8">
        <v>11.560818039999999</v>
      </c>
      <c r="M2505" s="9" t="str">
        <f>IF(A2505="",M2506,A2505)</f>
        <v>Luxembourg</v>
      </c>
      <c r="N2505" s="3" t="str">
        <f t="shared" si="79"/>
        <v>Aug-2020</v>
      </c>
    </row>
    <row r="2506" spans="1:14" x14ac:dyDescent="0.3">
      <c r="A2506" s="3" t="s">
        <v>216</v>
      </c>
      <c r="B2506" s="3" t="s">
        <v>217</v>
      </c>
      <c r="C2506" s="8">
        <v>2020</v>
      </c>
      <c r="D2506" s="8">
        <v>9</v>
      </c>
      <c r="E2506" s="3" t="str">
        <f t="shared" si="78"/>
        <v>September</v>
      </c>
      <c r="F2506" s="3" t="s">
        <v>13</v>
      </c>
      <c r="G2506" s="8">
        <v>347.66865089999999</v>
      </c>
      <c r="H2506" s="8">
        <v>344</v>
      </c>
      <c r="I2506" s="8">
        <v>-3.6686509190000001</v>
      </c>
      <c r="J2506" s="8">
        <v>-54.97213627</v>
      </c>
      <c r="K2506" s="8">
        <v>-120.5739068</v>
      </c>
      <c r="L2506" s="8">
        <v>6.3641925769999999</v>
      </c>
      <c r="M2506" s="9" t="str">
        <f>IF(A2506="",M2507,A2506)</f>
        <v>Luxembourg</v>
      </c>
      <c r="N2506" s="3" t="str">
        <f t="shared" si="79"/>
        <v>Sep-2020</v>
      </c>
    </row>
    <row r="2507" spans="1:14" x14ac:dyDescent="0.3">
      <c r="A2507" s="3" t="s">
        <v>216</v>
      </c>
      <c r="B2507" s="3" t="s">
        <v>217</v>
      </c>
      <c r="C2507" s="8">
        <v>2020</v>
      </c>
      <c r="D2507" s="8">
        <v>10</v>
      </c>
      <c r="E2507" s="3" t="str">
        <f t="shared" si="78"/>
        <v>October</v>
      </c>
      <c r="F2507" s="3" t="s">
        <v>13</v>
      </c>
      <c r="G2507" s="8">
        <v>361.74179049999998</v>
      </c>
      <c r="H2507" s="8">
        <v>380</v>
      </c>
      <c r="I2507" s="8">
        <v>18.2582095</v>
      </c>
      <c r="J2507" s="8">
        <v>-36.71392676</v>
      </c>
      <c r="K2507" s="8">
        <v>-101.015117</v>
      </c>
      <c r="L2507" s="8">
        <v>31.79389802</v>
      </c>
      <c r="M2507" s="9" t="str">
        <f>IF(A2507="",M2508,A2507)</f>
        <v>Luxembourg</v>
      </c>
      <c r="N2507" s="3" t="str">
        <f t="shared" si="79"/>
        <v>Oct-2020</v>
      </c>
    </row>
    <row r="2508" spans="1:14" x14ac:dyDescent="0.3">
      <c r="A2508" s="3" t="s">
        <v>216</v>
      </c>
      <c r="B2508" s="3" t="s">
        <v>217</v>
      </c>
      <c r="C2508" s="8">
        <v>2020</v>
      </c>
      <c r="D2508" s="8">
        <v>11</v>
      </c>
      <c r="E2508" s="3" t="str">
        <f t="shared" si="78"/>
        <v>November</v>
      </c>
      <c r="F2508" s="3" t="s">
        <v>13</v>
      </c>
      <c r="G2508" s="8">
        <v>379.07414569999997</v>
      </c>
      <c r="H2508" s="8">
        <v>520</v>
      </c>
      <c r="I2508" s="8">
        <v>140.9258543</v>
      </c>
      <c r="J2508" s="8">
        <v>104.2119276</v>
      </c>
      <c r="K2508" s="8">
        <v>34.418582110000003</v>
      </c>
      <c r="L2508" s="8">
        <v>175.3512049</v>
      </c>
      <c r="M2508" s="9" t="str">
        <f>IF(A2508="",M2509,A2508)</f>
        <v>Luxembourg</v>
      </c>
      <c r="N2508" s="3" t="str">
        <f t="shared" si="79"/>
        <v>Nov-2020</v>
      </c>
    </row>
    <row r="2509" spans="1:14" x14ac:dyDescent="0.3">
      <c r="A2509" s="3" t="s">
        <v>216</v>
      </c>
      <c r="B2509" s="3" t="s">
        <v>217</v>
      </c>
      <c r="C2509" s="8">
        <v>2020</v>
      </c>
      <c r="D2509" s="8">
        <v>12</v>
      </c>
      <c r="E2509" s="3" t="str">
        <f t="shared" si="78"/>
        <v>December</v>
      </c>
      <c r="F2509" s="3" t="s">
        <v>13</v>
      </c>
      <c r="G2509" s="8">
        <v>404.4297507</v>
      </c>
      <c r="H2509" s="8">
        <v>498</v>
      </c>
      <c r="I2509" s="8">
        <v>93.570249270000005</v>
      </c>
      <c r="J2509" s="8">
        <v>197.7821768</v>
      </c>
      <c r="K2509" s="8">
        <v>122.9358148</v>
      </c>
      <c r="L2509" s="8">
        <v>270.01237980000002</v>
      </c>
      <c r="M2509" s="9" t="str">
        <f>IF(A2509="",M2510,A2509)</f>
        <v>Luxembourg</v>
      </c>
      <c r="N2509" s="3" t="str">
        <f t="shared" si="79"/>
        <v>Dec-2020</v>
      </c>
    </row>
    <row r="2510" spans="1:14" x14ac:dyDescent="0.3">
      <c r="A2510" s="3" t="s">
        <v>216</v>
      </c>
      <c r="B2510" s="3" t="s">
        <v>217</v>
      </c>
      <c r="C2510" s="8">
        <v>2021</v>
      </c>
      <c r="D2510" s="8">
        <v>1</v>
      </c>
      <c r="E2510" s="3" t="str">
        <f t="shared" si="78"/>
        <v>January</v>
      </c>
      <c r="F2510" s="3" t="s">
        <v>13</v>
      </c>
      <c r="G2510" s="8">
        <v>404.65918160000001</v>
      </c>
      <c r="H2510" s="8">
        <v>436</v>
      </c>
      <c r="I2510" s="8">
        <v>31.340818349999999</v>
      </c>
      <c r="J2510" s="8">
        <v>229.12299519999999</v>
      </c>
      <c r="K2510" s="8">
        <v>148.18561009999999</v>
      </c>
      <c r="L2510" s="8">
        <v>307.90843489999997</v>
      </c>
      <c r="M2510" s="9" t="str">
        <f>IF(A2510="",M2511,A2510)</f>
        <v>Luxembourg</v>
      </c>
      <c r="N2510" s="3" t="str">
        <f t="shared" si="79"/>
        <v>Jan-2021</v>
      </c>
    </row>
    <row r="2511" spans="1:14" x14ac:dyDescent="0.3">
      <c r="A2511" s="3" t="s">
        <v>216</v>
      </c>
      <c r="B2511" s="3" t="s">
        <v>217</v>
      </c>
      <c r="C2511" s="8">
        <v>2021</v>
      </c>
      <c r="D2511" s="8">
        <v>2</v>
      </c>
      <c r="E2511" s="3" t="str">
        <f t="shared" si="78"/>
        <v>February</v>
      </c>
      <c r="F2511" s="3" t="s">
        <v>13</v>
      </c>
      <c r="G2511" s="8">
        <v>415.69624329999999</v>
      </c>
      <c r="H2511" s="8">
        <v>361</v>
      </c>
      <c r="I2511" s="8">
        <v>-54.69624331</v>
      </c>
      <c r="J2511" s="8">
        <v>174.4267519</v>
      </c>
      <c r="K2511" s="8">
        <v>88.783959830000001</v>
      </c>
      <c r="L2511" s="8">
        <v>258.02413469999999</v>
      </c>
      <c r="M2511" s="9" t="str">
        <f>IF(A2511="",M2512,A2511)</f>
        <v>Luxembourg</v>
      </c>
      <c r="N2511" s="3" t="str">
        <f t="shared" si="79"/>
        <v>Feb-2021</v>
      </c>
    </row>
    <row r="2512" spans="1:14" x14ac:dyDescent="0.3">
      <c r="A2512" s="3" t="s">
        <v>216</v>
      </c>
      <c r="B2512" s="3" t="s">
        <v>217</v>
      </c>
      <c r="C2512" s="8">
        <v>2021</v>
      </c>
      <c r="D2512" s="8">
        <v>3</v>
      </c>
      <c r="E2512" s="3" t="str">
        <f t="shared" si="78"/>
        <v>March</v>
      </c>
      <c r="F2512" s="3" t="s">
        <v>13</v>
      </c>
      <c r="G2512" s="8">
        <v>404.27430170000002</v>
      </c>
      <c r="H2512" s="8">
        <v>427</v>
      </c>
      <c r="I2512" s="8">
        <v>22.725698260000001</v>
      </c>
      <c r="J2512" s="8">
        <v>197.15245010000001</v>
      </c>
      <c r="K2512" s="8">
        <v>106.7832008</v>
      </c>
      <c r="L2512" s="8">
        <v>286.79804189999999</v>
      </c>
      <c r="M2512" s="9" t="str">
        <f>IF(A2512="",M2513,A2512)</f>
        <v>Luxembourg</v>
      </c>
      <c r="N2512" s="3" t="str">
        <f t="shared" si="79"/>
        <v>Mar-2021</v>
      </c>
    </row>
    <row r="2513" spans="1:14" x14ac:dyDescent="0.3">
      <c r="A2513" s="3" t="s">
        <v>216</v>
      </c>
      <c r="B2513" s="3" t="s">
        <v>217</v>
      </c>
      <c r="C2513" s="8">
        <v>2021</v>
      </c>
      <c r="D2513" s="8">
        <v>4</v>
      </c>
      <c r="E2513" s="3" t="str">
        <f t="shared" si="78"/>
        <v>April</v>
      </c>
      <c r="F2513" s="3" t="s">
        <v>13</v>
      </c>
      <c r="G2513" s="8">
        <v>370.5771833</v>
      </c>
      <c r="H2513" s="8">
        <v>354</v>
      </c>
      <c r="I2513" s="8">
        <v>-16.577183340000001</v>
      </c>
      <c r="J2513" s="8">
        <v>180.57526680000001</v>
      </c>
      <c r="K2513" s="8">
        <v>91.751244540000002</v>
      </c>
      <c r="L2513" s="8">
        <v>271.64315319999997</v>
      </c>
      <c r="M2513" s="9" t="str">
        <f>IF(A2513="",M2514,A2513)</f>
        <v>Luxembourg</v>
      </c>
      <c r="N2513" s="3" t="str">
        <f t="shared" si="79"/>
        <v>Apr-2021</v>
      </c>
    </row>
    <row r="2514" spans="1:14" x14ac:dyDescent="0.3">
      <c r="A2514" s="3" t="s">
        <v>216</v>
      </c>
      <c r="B2514" s="3" t="s">
        <v>217</v>
      </c>
      <c r="C2514" s="8">
        <v>2021</v>
      </c>
      <c r="D2514" s="8">
        <v>5</v>
      </c>
      <c r="E2514" s="3" t="str">
        <f t="shared" si="78"/>
        <v>May</v>
      </c>
      <c r="F2514" s="3" t="s">
        <v>13</v>
      </c>
      <c r="G2514" s="8">
        <v>346.5975411</v>
      </c>
      <c r="H2514" s="8">
        <v>331</v>
      </c>
      <c r="I2514" s="8">
        <v>-15.59754107</v>
      </c>
      <c r="J2514" s="8">
        <v>164.97772570000001</v>
      </c>
      <c r="K2514" s="8">
        <v>70.663205719999993</v>
      </c>
      <c r="L2514" s="8">
        <v>261.89558529999999</v>
      </c>
      <c r="M2514" s="9" t="str">
        <f>IF(A2514="",M2515,A2514)</f>
        <v>Luxembourg</v>
      </c>
      <c r="N2514" s="3" t="str">
        <f t="shared" si="79"/>
        <v>May-2021</v>
      </c>
    </row>
    <row r="2515" spans="1:14" x14ac:dyDescent="0.3">
      <c r="A2515" s="3" t="s">
        <v>216</v>
      </c>
      <c r="B2515" s="3" t="s">
        <v>217</v>
      </c>
      <c r="C2515" s="8">
        <v>2021</v>
      </c>
      <c r="D2515" s="8">
        <v>6</v>
      </c>
      <c r="E2515" s="3" t="str">
        <f t="shared" si="78"/>
        <v>June</v>
      </c>
      <c r="F2515" s="3" t="s">
        <v>13</v>
      </c>
      <c r="G2515" s="8">
        <v>339.52616790000002</v>
      </c>
      <c r="H2515" s="8">
        <v>326</v>
      </c>
      <c r="I2515" s="8">
        <v>-13.52616785</v>
      </c>
      <c r="J2515" s="8">
        <v>151.45155790000001</v>
      </c>
      <c r="K2515" s="8">
        <v>55.799590289999998</v>
      </c>
      <c r="L2515" s="8">
        <v>255.74946249999999</v>
      </c>
      <c r="M2515" s="9" t="str">
        <f>IF(A2515="",M2516,A2515)</f>
        <v>Luxembourg</v>
      </c>
      <c r="N2515" s="3" t="str">
        <f t="shared" si="79"/>
        <v>Jun-2021</v>
      </c>
    </row>
    <row r="2516" spans="1:14" x14ac:dyDescent="0.3">
      <c r="A2516" s="3" t="s">
        <v>216</v>
      </c>
      <c r="B2516" s="3" t="s">
        <v>217</v>
      </c>
      <c r="C2516" s="8">
        <v>2021</v>
      </c>
      <c r="D2516" s="8">
        <v>7</v>
      </c>
      <c r="E2516" s="3" t="str">
        <f t="shared" si="78"/>
        <v>July</v>
      </c>
      <c r="F2516" s="3" t="s">
        <v>13</v>
      </c>
      <c r="G2516" s="8">
        <v>345.39811780000002</v>
      </c>
      <c r="H2516" s="8">
        <v>335</v>
      </c>
      <c r="I2516" s="8">
        <v>-10.39811781</v>
      </c>
      <c r="J2516" s="8">
        <v>141.05344009999999</v>
      </c>
      <c r="K2516" s="8">
        <v>39.938603319999999</v>
      </c>
      <c r="L2516" s="8">
        <v>245.0571338</v>
      </c>
      <c r="M2516" s="9" t="str">
        <f>IF(A2516="",M2517,A2516)</f>
        <v>Luxembourg</v>
      </c>
      <c r="N2516" s="3" t="str">
        <f t="shared" si="79"/>
        <v>Jul-2021</v>
      </c>
    </row>
    <row r="2517" spans="1:14" x14ac:dyDescent="0.3">
      <c r="A2517" s="3" t="s">
        <v>216</v>
      </c>
      <c r="B2517" s="3" t="s">
        <v>217</v>
      </c>
      <c r="C2517" s="8">
        <v>2021</v>
      </c>
      <c r="D2517" s="8">
        <v>8</v>
      </c>
      <c r="E2517" s="3" t="str">
        <f t="shared" si="78"/>
        <v>August</v>
      </c>
      <c r="F2517" s="3" t="s">
        <v>13</v>
      </c>
      <c r="G2517" s="8">
        <v>348.68299930000001</v>
      </c>
      <c r="H2517" s="8">
        <v>318</v>
      </c>
      <c r="I2517" s="8">
        <v>-30.68299932</v>
      </c>
      <c r="J2517" s="8">
        <v>110.3704408</v>
      </c>
      <c r="K2517" s="8">
        <v>6.0612509760000002</v>
      </c>
      <c r="L2517" s="8">
        <v>216.4426479</v>
      </c>
      <c r="M2517" s="9" t="str">
        <f>IF(A2517="",M2518,A2517)</f>
        <v>Luxembourg</v>
      </c>
      <c r="N2517" s="3" t="str">
        <f t="shared" si="79"/>
        <v>Aug-2021</v>
      </c>
    </row>
    <row r="2518" spans="1:14" x14ac:dyDescent="0.3">
      <c r="A2518" s="3" t="s">
        <v>216</v>
      </c>
      <c r="B2518" s="3" t="s">
        <v>217</v>
      </c>
      <c r="C2518" s="8">
        <v>2021</v>
      </c>
      <c r="D2518" s="8">
        <v>9</v>
      </c>
      <c r="E2518" s="3" t="str">
        <f t="shared" si="78"/>
        <v>September</v>
      </c>
      <c r="F2518" s="3" t="s">
        <v>13</v>
      </c>
      <c r="G2518" s="8">
        <v>354.45808540000002</v>
      </c>
      <c r="H2518" s="8">
        <v>344</v>
      </c>
      <c r="I2518" s="8">
        <v>-10.458085369999999</v>
      </c>
      <c r="J2518" s="8">
        <v>99.912355390000002</v>
      </c>
      <c r="K2518" s="8">
        <v>-4.2596437260000002</v>
      </c>
      <c r="L2518" s="8">
        <v>206.1189498</v>
      </c>
      <c r="M2518" s="9" t="str">
        <f>IF(A2518="",M2519,A2518)</f>
        <v>Luxembourg</v>
      </c>
      <c r="N2518" s="3" t="str">
        <f t="shared" si="79"/>
        <v>Sep-2021</v>
      </c>
    </row>
    <row r="2519" spans="1:14" x14ac:dyDescent="0.3">
      <c r="A2519" s="3" t="s">
        <v>216</v>
      </c>
      <c r="B2519" s="3" t="s">
        <v>217</v>
      </c>
      <c r="C2519" s="8">
        <v>2021</v>
      </c>
      <c r="D2519" s="8">
        <v>10</v>
      </c>
      <c r="E2519" s="3" t="str">
        <f t="shared" si="78"/>
        <v>October</v>
      </c>
      <c r="F2519" s="3" t="s">
        <v>13</v>
      </c>
      <c r="G2519" s="8">
        <v>369.0562276</v>
      </c>
      <c r="H2519" s="8">
        <v>393</v>
      </c>
      <c r="I2519" s="8">
        <v>23.94377235</v>
      </c>
      <c r="J2519" s="8">
        <v>123.8561277</v>
      </c>
      <c r="K2519" s="8">
        <v>14.58550625</v>
      </c>
      <c r="L2519" s="8">
        <v>234.4724081</v>
      </c>
      <c r="M2519" s="9" t="str">
        <f>IF(A2519="",M2520,A2519)</f>
        <v>Luxembourg</v>
      </c>
      <c r="N2519" s="3" t="str">
        <f t="shared" si="79"/>
        <v>Oct-2021</v>
      </c>
    </row>
    <row r="2520" spans="1:14" x14ac:dyDescent="0.3">
      <c r="A2520" s="3" t="s">
        <v>216</v>
      </c>
      <c r="B2520" s="3" t="s">
        <v>217</v>
      </c>
      <c r="C2520" s="8">
        <v>2021</v>
      </c>
      <c r="D2520" s="8">
        <v>11</v>
      </c>
      <c r="E2520" s="3" t="str">
        <f t="shared" si="78"/>
        <v>November</v>
      </c>
      <c r="F2520" s="3" t="s">
        <v>13</v>
      </c>
      <c r="G2520" s="8">
        <v>387.31350830000002</v>
      </c>
      <c r="H2520" s="8">
        <v>422</v>
      </c>
      <c r="I2520" s="8">
        <v>34.686491719999999</v>
      </c>
      <c r="J2520" s="8">
        <v>158.5426195</v>
      </c>
      <c r="K2520" s="8">
        <v>51.631670450000001</v>
      </c>
      <c r="L2520" s="8">
        <v>269.41328750000002</v>
      </c>
      <c r="M2520" s="9" t="str">
        <f>IF(A2520="",M2521,A2520)</f>
        <v>Luxembourg</v>
      </c>
      <c r="N2520" s="3" t="str">
        <f t="shared" si="79"/>
        <v>Nov-2021</v>
      </c>
    </row>
    <row r="2521" spans="1:14" x14ac:dyDescent="0.3">
      <c r="A2521" s="3" t="s">
        <v>216</v>
      </c>
      <c r="B2521" s="3" t="s">
        <v>217</v>
      </c>
      <c r="C2521" s="8">
        <v>2021</v>
      </c>
      <c r="D2521" s="8">
        <v>12</v>
      </c>
      <c r="E2521" s="3" t="str">
        <f t="shared" si="78"/>
        <v>December</v>
      </c>
      <c r="F2521" s="3" t="s">
        <v>13</v>
      </c>
      <c r="G2521" s="8">
        <v>411.8215318</v>
      </c>
      <c r="H2521" s="8">
        <v>422</v>
      </c>
      <c r="I2521" s="8">
        <v>10.178468240000001</v>
      </c>
      <c r="J2521" s="8">
        <v>168.7210877</v>
      </c>
      <c r="K2521" s="8">
        <v>56.825660739999996</v>
      </c>
      <c r="L2521" s="8">
        <v>281.15944589999998</v>
      </c>
      <c r="M2521" s="9" t="str">
        <f>IF(A2521="",M2522,A2521)</f>
        <v>Luxembourg</v>
      </c>
      <c r="N2521" s="3" t="str">
        <f t="shared" si="79"/>
        <v>Dec-2021</v>
      </c>
    </row>
    <row r="2522" spans="1:14" x14ac:dyDescent="0.3">
      <c r="A2522" s="3" t="s">
        <v>218</v>
      </c>
      <c r="B2522" s="3" t="s">
        <v>219</v>
      </c>
      <c r="C2522" s="8">
        <v>2020</v>
      </c>
      <c r="D2522" s="8">
        <v>1</v>
      </c>
      <c r="E2522" s="3" t="str">
        <f t="shared" si="78"/>
        <v>January</v>
      </c>
      <c r="F2522" s="3" t="s">
        <v>13</v>
      </c>
      <c r="G2522" s="8">
        <v>2555.1126250000002</v>
      </c>
      <c r="H2522" s="8">
        <v>2514</v>
      </c>
      <c r="I2522" s="8">
        <v>-41.112624959999998</v>
      </c>
      <c r="J2522" s="8">
        <v>-41.112624959999998</v>
      </c>
      <c r="K2522" s="8">
        <v>-126.0308357</v>
      </c>
      <c r="L2522" s="8">
        <v>43.215952899999998</v>
      </c>
      <c r="M2522" s="9" t="str">
        <f>IF(A2522="",M2523,A2522)</f>
        <v>Latvia</v>
      </c>
      <c r="N2522" s="3" t="str">
        <f t="shared" si="79"/>
        <v>Jan-2020</v>
      </c>
    </row>
    <row r="2523" spans="1:14" x14ac:dyDescent="0.3">
      <c r="A2523" s="3" t="s">
        <v>218</v>
      </c>
      <c r="B2523" s="3" t="s">
        <v>219</v>
      </c>
      <c r="C2523" s="8">
        <v>2020</v>
      </c>
      <c r="D2523" s="8">
        <v>2</v>
      </c>
      <c r="E2523" s="3" t="str">
        <f t="shared" si="78"/>
        <v>February</v>
      </c>
      <c r="F2523" s="3" t="s">
        <v>13</v>
      </c>
      <c r="G2523" s="8">
        <v>2447.2144939999998</v>
      </c>
      <c r="H2523" s="8">
        <v>2230</v>
      </c>
      <c r="I2523" s="8">
        <v>-217.2144936</v>
      </c>
      <c r="J2523" s="8">
        <v>-258.32711849999998</v>
      </c>
      <c r="K2523" s="8">
        <v>-394.79882099999998</v>
      </c>
      <c r="L2523" s="8">
        <v>-115.615849</v>
      </c>
      <c r="M2523" s="9" t="str">
        <f>IF(A2523="",M2524,A2523)</f>
        <v>Latvia</v>
      </c>
      <c r="N2523" s="3" t="str">
        <f t="shared" si="79"/>
        <v>Feb-2020</v>
      </c>
    </row>
    <row r="2524" spans="1:14" x14ac:dyDescent="0.3">
      <c r="A2524" s="3" t="s">
        <v>218</v>
      </c>
      <c r="B2524" s="3" t="s">
        <v>219</v>
      </c>
      <c r="C2524" s="8">
        <v>2020</v>
      </c>
      <c r="D2524" s="8">
        <v>3</v>
      </c>
      <c r="E2524" s="3" t="str">
        <f t="shared" si="78"/>
        <v>March</v>
      </c>
      <c r="F2524" s="3" t="s">
        <v>13</v>
      </c>
      <c r="G2524" s="8">
        <v>2593.390535</v>
      </c>
      <c r="H2524" s="8">
        <v>2372</v>
      </c>
      <c r="I2524" s="8">
        <v>-221.39053519999999</v>
      </c>
      <c r="J2524" s="8">
        <v>-479.71765370000003</v>
      </c>
      <c r="K2524" s="8">
        <v>-658.75177829999996</v>
      </c>
      <c r="L2524" s="8">
        <v>-296.93678949999997</v>
      </c>
      <c r="M2524" s="9" t="str">
        <f>IF(A2524="",M2525,A2524)</f>
        <v>Latvia</v>
      </c>
      <c r="N2524" s="3" t="str">
        <f t="shared" si="79"/>
        <v>Mar-2020</v>
      </c>
    </row>
    <row r="2525" spans="1:14" x14ac:dyDescent="0.3">
      <c r="A2525" s="3" t="s">
        <v>218</v>
      </c>
      <c r="B2525" s="3" t="s">
        <v>219</v>
      </c>
      <c r="C2525" s="8">
        <v>2020</v>
      </c>
      <c r="D2525" s="8">
        <v>4</v>
      </c>
      <c r="E2525" s="3" t="str">
        <f t="shared" si="78"/>
        <v>April</v>
      </c>
      <c r="F2525" s="3" t="s">
        <v>13</v>
      </c>
      <c r="G2525" s="8">
        <v>2394.1742290000002</v>
      </c>
      <c r="H2525" s="8">
        <v>2341</v>
      </c>
      <c r="I2525" s="8">
        <v>-53.17422878</v>
      </c>
      <c r="J2525" s="8">
        <v>-532.89188249999995</v>
      </c>
      <c r="K2525" s="8">
        <v>-732.08900000000006</v>
      </c>
      <c r="L2525" s="8">
        <v>-327.96898019999998</v>
      </c>
      <c r="M2525" s="9" t="str">
        <f>IF(A2525="",M2526,A2525)</f>
        <v>Latvia</v>
      </c>
      <c r="N2525" s="3" t="str">
        <f t="shared" si="79"/>
        <v>Apr-2020</v>
      </c>
    </row>
    <row r="2526" spans="1:14" x14ac:dyDescent="0.3">
      <c r="A2526" s="3" t="s">
        <v>218</v>
      </c>
      <c r="B2526" s="3" t="s">
        <v>219</v>
      </c>
      <c r="C2526" s="8">
        <v>2020</v>
      </c>
      <c r="D2526" s="8">
        <v>5</v>
      </c>
      <c r="E2526" s="3" t="str">
        <f t="shared" si="78"/>
        <v>May</v>
      </c>
      <c r="F2526" s="3" t="s">
        <v>13</v>
      </c>
      <c r="G2526" s="8">
        <v>2270.2072830000002</v>
      </c>
      <c r="H2526" s="8">
        <v>2308</v>
      </c>
      <c r="I2526" s="8">
        <v>37.792716810000002</v>
      </c>
      <c r="J2526" s="8">
        <v>-495.09916570000001</v>
      </c>
      <c r="K2526" s="8">
        <v>-715.63367740000001</v>
      </c>
      <c r="L2526" s="8">
        <v>-265.35401489999998</v>
      </c>
      <c r="M2526" s="9" t="str">
        <f>IF(A2526="",M2527,A2526)</f>
        <v>Latvia</v>
      </c>
      <c r="N2526" s="3" t="str">
        <f t="shared" si="79"/>
        <v>May-2020</v>
      </c>
    </row>
    <row r="2527" spans="1:14" x14ac:dyDescent="0.3">
      <c r="A2527" s="3" t="s">
        <v>218</v>
      </c>
      <c r="B2527" s="3" t="s">
        <v>219</v>
      </c>
      <c r="C2527" s="8">
        <v>2020</v>
      </c>
      <c r="D2527" s="8">
        <v>6</v>
      </c>
      <c r="E2527" s="3" t="str">
        <f t="shared" si="78"/>
        <v>June</v>
      </c>
      <c r="F2527" s="3" t="s">
        <v>13</v>
      </c>
      <c r="G2527" s="8">
        <v>2145.1078819999998</v>
      </c>
      <c r="H2527" s="8">
        <v>2249</v>
      </c>
      <c r="I2527" s="8">
        <v>103.8921179</v>
      </c>
      <c r="J2527" s="8">
        <v>-391.2070478</v>
      </c>
      <c r="K2527" s="8">
        <v>-622.76851929999998</v>
      </c>
      <c r="L2527" s="8">
        <v>-148.128603</v>
      </c>
      <c r="M2527" s="9" t="str">
        <f>IF(A2527="",M2528,A2527)</f>
        <v>Latvia</v>
      </c>
      <c r="N2527" s="3" t="str">
        <f t="shared" si="79"/>
        <v>Jun-2020</v>
      </c>
    </row>
    <row r="2528" spans="1:14" x14ac:dyDescent="0.3">
      <c r="A2528" s="3" t="s">
        <v>218</v>
      </c>
      <c r="B2528" s="3" t="s">
        <v>219</v>
      </c>
      <c r="C2528" s="8">
        <v>2020</v>
      </c>
      <c r="D2528" s="8">
        <v>7</v>
      </c>
      <c r="E2528" s="3" t="str">
        <f t="shared" si="78"/>
        <v>July</v>
      </c>
      <c r="F2528" s="3" t="s">
        <v>13</v>
      </c>
      <c r="G2528" s="8">
        <v>2182.2319769999999</v>
      </c>
      <c r="H2528" s="8">
        <v>2213</v>
      </c>
      <c r="I2528" s="8">
        <v>30.768023410000001</v>
      </c>
      <c r="J2528" s="8">
        <v>-360.43902439999999</v>
      </c>
      <c r="K2528" s="8">
        <v>-609.16959029999998</v>
      </c>
      <c r="L2528" s="8">
        <v>-92.364190210000004</v>
      </c>
      <c r="M2528" s="9" t="str">
        <f>IF(A2528="",M2529,A2528)</f>
        <v>Latvia</v>
      </c>
      <c r="N2528" s="3" t="str">
        <f t="shared" si="79"/>
        <v>Jul-2020</v>
      </c>
    </row>
    <row r="2529" spans="1:14" x14ac:dyDescent="0.3">
      <c r="A2529" s="3" t="s">
        <v>218</v>
      </c>
      <c r="B2529" s="3" t="s">
        <v>219</v>
      </c>
      <c r="C2529" s="8">
        <v>2020</v>
      </c>
      <c r="D2529" s="8">
        <v>8</v>
      </c>
      <c r="E2529" s="3" t="str">
        <f t="shared" si="78"/>
        <v>August</v>
      </c>
      <c r="F2529" s="3" t="s">
        <v>13</v>
      </c>
      <c r="G2529" s="8">
        <v>2122.4386260000001</v>
      </c>
      <c r="H2529" s="8">
        <v>2238</v>
      </c>
      <c r="I2529" s="8">
        <v>115.5613737</v>
      </c>
      <c r="J2529" s="8">
        <v>-244.8776507</v>
      </c>
      <c r="K2529" s="8">
        <v>-525.80134180000005</v>
      </c>
      <c r="L2529" s="8">
        <v>33.433688359999998</v>
      </c>
      <c r="M2529" s="9" t="str">
        <f>IF(A2529="",M2530,A2529)</f>
        <v>Latvia</v>
      </c>
      <c r="N2529" s="3" t="str">
        <f t="shared" si="79"/>
        <v>Aug-2020</v>
      </c>
    </row>
    <row r="2530" spans="1:14" x14ac:dyDescent="0.3">
      <c r="A2530" s="3" t="s">
        <v>218</v>
      </c>
      <c r="B2530" s="3" t="s">
        <v>219</v>
      </c>
      <c r="C2530" s="8">
        <v>2020</v>
      </c>
      <c r="D2530" s="8">
        <v>9</v>
      </c>
      <c r="E2530" s="3" t="str">
        <f t="shared" si="78"/>
        <v>September</v>
      </c>
      <c r="F2530" s="3" t="s">
        <v>13</v>
      </c>
      <c r="G2530" s="8">
        <v>2127.2799260000002</v>
      </c>
      <c r="H2530" s="8">
        <v>2149</v>
      </c>
      <c r="I2530" s="8">
        <v>21.720073899999999</v>
      </c>
      <c r="J2530" s="8">
        <v>-223.15757679999999</v>
      </c>
      <c r="K2530" s="8">
        <v>-520.13213570000005</v>
      </c>
      <c r="L2530" s="8">
        <v>67.826959549999998</v>
      </c>
      <c r="M2530" s="9" t="str">
        <f>IF(A2530="",M2531,A2530)</f>
        <v>Latvia</v>
      </c>
      <c r="N2530" s="3" t="str">
        <f t="shared" si="79"/>
        <v>Sep-2020</v>
      </c>
    </row>
    <row r="2531" spans="1:14" x14ac:dyDescent="0.3">
      <c r="A2531" s="3" t="s">
        <v>218</v>
      </c>
      <c r="B2531" s="3" t="s">
        <v>219</v>
      </c>
      <c r="C2531" s="8">
        <v>2020</v>
      </c>
      <c r="D2531" s="8">
        <v>10</v>
      </c>
      <c r="E2531" s="3" t="str">
        <f t="shared" si="78"/>
        <v>October</v>
      </c>
      <c r="F2531" s="3" t="s">
        <v>13</v>
      </c>
      <c r="G2531" s="8">
        <v>2276.4273560000001</v>
      </c>
      <c r="H2531" s="8">
        <v>2429</v>
      </c>
      <c r="I2531" s="8">
        <v>152.57264420000001</v>
      </c>
      <c r="J2531" s="8">
        <v>-70.58493258</v>
      </c>
      <c r="K2531" s="8">
        <v>-379.42661620000001</v>
      </c>
      <c r="L2531" s="8">
        <v>232.98541739999999</v>
      </c>
      <c r="M2531" s="9" t="str">
        <f>IF(A2531="",M2532,A2531)</f>
        <v>Latvia</v>
      </c>
      <c r="N2531" s="3" t="str">
        <f t="shared" si="79"/>
        <v>Oct-2020</v>
      </c>
    </row>
    <row r="2532" spans="1:14" x14ac:dyDescent="0.3">
      <c r="A2532" s="3" t="s">
        <v>218</v>
      </c>
      <c r="B2532" s="3" t="s">
        <v>219</v>
      </c>
      <c r="C2532" s="8">
        <v>2020</v>
      </c>
      <c r="D2532" s="8">
        <v>11</v>
      </c>
      <c r="E2532" s="3" t="str">
        <f t="shared" si="78"/>
        <v>November</v>
      </c>
      <c r="F2532" s="3" t="s">
        <v>13</v>
      </c>
      <c r="G2532" s="8">
        <v>2270.4047019999998</v>
      </c>
      <c r="H2532" s="8">
        <v>2523</v>
      </c>
      <c r="I2532" s="8">
        <v>252.5952983</v>
      </c>
      <c r="J2532" s="8">
        <v>182.01036569999999</v>
      </c>
      <c r="K2532" s="8">
        <v>-128.91537170000001</v>
      </c>
      <c r="L2532" s="8">
        <v>502.6192211</v>
      </c>
      <c r="M2532" s="9" t="str">
        <f>IF(A2532="",M2533,A2532)</f>
        <v>Latvia</v>
      </c>
      <c r="N2532" s="3" t="str">
        <f t="shared" si="79"/>
        <v>Nov-2020</v>
      </c>
    </row>
    <row r="2533" spans="1:14" x14ac:dyDescent="0.3">
      <c r="A2533" s="3" t="s">
        <v>218</v>
      </c>
      <c r="B2533" s="3" t="s">
        <v>219</v>
      </c>
      <c r="C2533" s="8">
        <v>2020</v>
      </c>
      <c r="D2533" s="8">
        <v>12</v>
      </c>
      <c r="E2533" s="3" t="str">
        <f t="shared" si="78"/>
        <v>December</v>
      </c>
      <c r="F2533" s="3" t="s">
        <v>13</v>
      </c>
      <c r="G2533" s="8">
        <v>2542.6079890000001</v>
      </c>
      <c r="H2533" s="8">
        <v>3259</v>
      </c>
      <c r="I2533" s="8">
        <v>716.39201049999997</v>
      </c>
      <c r="J2533" s="8">
        <v>898.40237630000001</v>
      </c>
      <c r="K2533" s="8">
        <v>557.51328560000002</v>
      </c>
      <c r="L2533" s="8">
        <v>1233.2561390000001</v>
      </c>
      <c r="M2533" s="9" t="str">
        <f>IF(A2533="",M2534,A2533)</f>
        <v>Latvia</v>
      </c>
      <c r="N2533" s="3" t="str">
        <f t="shared" si="79"/>
        <v>Dec-2020</v>
      </c>
    </row>
    <row r="2534" spans="1:14" x14ac:dyDescent="0.3">
      <c r="A2534" s="3" t="s">
        <v>218</v>
      </c>
      <c r="B2534" s="3" t="s">
        <v>219</v>
      </c>
      <c r="C2534" s="8">
        <v>2021</v>
      </c>
      <c r="D2534" s="8">
        <v>1</v>
      </c>
      <c r="E2534" s="3" t="str">
        <f t="shared" si="78"/>
        <v>January</v>
      </c>
      <c r="F2534" s="3" t="s">
        <v>13</v>
      </c>
      <c r="G2534" s="8">
        <v>2536.671081</v>
      </c>
      <c r="H2534" s="8">
        <v>3569</v>
      </c>
      <c r="I2534" s="8">
        <v>1032.328919</v>
      </c>
      <c r="J2534" s="8">
        <v>1930.731295</v>
      </c>
      <c r="K2534" s="8">
        <v>1587.142394</v>
      </c>
      <c r="L2534" s="8">
        <v>2268.7594920000001</v>
      </c>
      <c r="M2534" s="9" t="str">
        <f>IF(A2534="",M2535,A2534)</f>
        <v>Latvia</v>
      </c>
      <c r="N2534" s="3" t="str">
        <f t="shared" si="79"/>
        <v>Jan-2021</v>
      </c>
    </row>
    <row r="2535" spans="1:14" x14ac:dyDescent="0.3">
      <c r="A2535" s="3" t="s">
        <v>218</v>
      </c>
      <c r="B2535" s="3" t="s">
        <v>219</v>
      </c>
      <c r="C2535" s="8">
        <v>2021</v>
      </c>
      <c r="D2535" s="8">
        <v>2</v>
      </c>
      <c r="E2535" s="3" t="str">
        <f t="shared" si="78"/>
        <v>February</v>
      </c>
      <c r="F2535" s="3" t="s">
        <v>13</v>
      </c>
      <c r="G2535" s="8">
        <v>2427.4001330000001</v>
      </c>
      <c r="H2535" s="8">
        <v>2824</v>
      </c>
      <c r="I2535" s="8">
        <v>396.59986689999999</v>
      </c>
      <c r="J2535" s="8">
        <v>2327.3311619999999</v>
      </c>
      <c r="K2535" s="8">
        <v>1961.604756</v>
      </c>
      <c r="L2535" s="8">
        <v>2700.7778549999998</v>
      </c>
      <c r="M2535" s="9" t="str">
        <f>IF(A2535="",M2536,A2535)</f>
        <v>Latvia</v>
      </c>
      <c r="N2535" s="3" t="str">
        <f t="shared" si="79"/>
        <v>Feb-2021</v>
      </c>
    </row>
    <row r="2536" spans="1:14" x14ac:dyDescent="0.3">
      <c r="A2536" s="3" t="s">
        <v>218</v>
      </c>
      <c r="B2536" s="3" t="s">
        <v>219</v>
      </c>
      <c r="C2536" s="8">
        <v>2021</v>
      </c>
      <c r="D2536" s="8">
        <v>3</v>
      </c>
      <c r="E2536" s="3" t="str">
        <f t="shared" si="78"/>
        <v>March</v>
      </c>
      <c r="F2536" s="3" t="s">
        <v>13</v>
      </c>
      <c r="G2536" s="8">
        <v>2576.700585</v>
      </c>
      <c r="H2536" s="8">
        <v>2692</v>
      </c>
      <c r="I2536" s="8">
        <v>115.29941530000001</v>
      </c>
      <c r="J2536" s="8">
        <v>2442.6305769999999</v>
      </c>
      <c r="K2536" s="8">
        <v>2080.718468</v>
      </c>
      <c r="L2536" s="8">
        <v>2848.8395829999999</v>
      </c>
      <c r="M2536" s="9" t="str">
        <f>IF(A2536="",M2537,A2536)</f>
        <v>Latvia</v>
      </c>
      <c r="N2536" s="3" t="str">
        <f t="shared" si="79"/>
        <v>Mar-2021</v>
      </c>
    </row>
    <row r="2537" spans="1:14" x14ac:dyDescent="0.3">
      <c r="A2537" s="3" t="s">
        <v>218</v>
      </c>
      <c r="B2537" s="3" t="s">
        <v>219</v>
      </c>
      <c r="C2537" s="8">
        <v>2021</v>
      </c>
      <c r="D2537" s="8">
        <v>4</v>
      </c>
      <c r="E2537" s="3" t="str">
        <f t="shared" si="78"/>
        <v>April</v>
      </c>
      <c r="F2537" s="3" t="s">
        <v>13</v>
      </c>
      <c r="G2537" s="8">
        <v>2373.9508110000002</v>
      </c>
      <c r="H2537" s="8">
        <v>2556</v>
      </c>
      <c r="I2537" s="8">
        <v>182.04918860000001</v>
      </c>
      <c r="J2537" s="8">
        <v>2624.6797660000002</v>
      </c>
      <c r="K2537" s="8">
        <v>2242.4266710000002</v>
      </c>
      <c r="L2537" s="8">
        <v>3041.1540150000001</v>
      </c>
      <c r="M2537" s="9" t="str">
        <f>IF(A2537="",M2538,A2537)</f>
        <v>Latvia</v>
      </c>
      <c r="N2537" s="3" t="str">
        <f t="shared" si="79"/>
        <v>Apr-2021</v>
      </c>
    </row>
    <row r="2538" spans="1:14" x14ac:dyDescent="0.3">
      <c r="A2538" s="3" t="s">
        <v>218</v>
      </c>
      <c r="B2538" s="3" t="s">
        <v>219</v>
      </c>
      <c r="C2538" s="8">
        <v>2021</v>
      </c>
      <c r="D2538" s="8">
        <v>5</v>
      </c>
      <c r="E2538" s="3" t="str">
        <f t="shared" si="78"/>
        <v>May</v>
      </c>
      <c r="F2538" s="3" t="s">
        <v>13</v>
      </c>
      <c r="G2538" s="8">
        <v>2258.2335819999998</v>
      </c>
      <c r="H2538" s="8">
        <v>2708</v>
      </c>
      <c r="I2538" s="8">
        <v>449.76641819999998</v>
      </c>
      <c r="J2538" s="8">
        <v>3074.4461839999999</v>
      </c>
      <c r="K2538" s="8">
        <v>2666.026664</v>
      </c>
      <c r="L2538" s="8">
        <v>3498.4088809999998</v>
      </c>
      <c r="M2538" s="9" t="str">
        <f>IF(A2538="",M2539,A2538)</f>
        <v>Latvia</v>
      </c>
      <c r="N2538" s="3" t="str">
        <f t="shared" si="79"/>
        <v>May-2021</v>
      </c>
    </row>
    <row r="2539" spans="1:14" x14ac:dyDescent="0.3">
      <c r="A2539" s="3" t="s">
        <v>218</v>
      </c>
      <c r="B2539" s="3" t="s">
        <v>219</v>
      </c>
      <c r="C2539" s="8">
        <v>2021</v>
      </c>
      <c r="D2539" s="8">
        <v>6</v>
      </c>
      <c r="E2539" s="3" t="str">
        <f t="shared" si="78"/>
        <v>June</v>
      </c>
      <c r="F2539" s="3" t="s">
        <v>13</v>
      </c>
      <c r="G2539" s="8">
        <v>2133.2928379999998</v>
      </c>
      <c r="H2539" s="8">
        <v>2633</v>
      </c>
      <c r="I2539" s="8">
        <v>499.70716249999998</v>
      </c>
      <c r="J2539" s="8">
        <v>3574.1533460000001</v>
      </c>
      <c r="K2539" s="8">
        <v>3176.809843</v>
      </c>
      <c r="L2539" s="8">
        <v>3999.1408190000002</v>
      </c>
      <c r="M2539" s="9" t="str">
        <f>IF(A2539="",M2540,A2539)</f>
        <v>Latvia</v>
      </c>
      <c r="N2539" s="3" t="str">
        <f t="shared" si="79"/>
        <v>Jun-2021</v>
      </c>
    </row>
    <row r="2540" spans="1:14" x14ac:dyDescent="0.3">
      <c r="A2540" s="3" t="s">
        <v>218</v>
      </c>
      <c r="B2540" s="3" t="s">
        <v>219</v>
      </c>
      <c r="C2540" s="8">
        <v>2021</v>
      </c>
      <c r="D2540" s="8">
        <v>7</v>
      </c>
      <c r="E2540" s="3" t="str">
        <f t="shared" si="78"/>
        <v>July</v>
      </c>
      <c r="F2540" s="3" t="s">
        <v>13</v>
      </c>
      <c r="G2540" s="8">
        <v>2169.9927859999998</v>
      </c>
      <c r="H2540" s="8">
        <v>2560</v>
      </c>
      <c r="I2540" s="8">
        <v>390.00721399999998</v>
      </c>
      <c r="J2540" s="8">
        <v>3964.1605610000001</v>
      </c>
      <c r="K2540" s="8">
        <v>3542.5592350000002</v>
      </c>
      <c r="L2540" s="8">
        <v>4404.0430340000003</v>
      </c>
      <c r="M2540" s="9" t="str">
        <f>IF(A2540="",M2541,A2540)</f>
        <v>Latvia</v>
      </c>
      <c r="N2540" s="3" t="str">
        <f t="shared" si="79"/>
        <v>Jul-2021</v>
      </c>
    </row>
    <row r="2541" spans="1:14" x14ac:dyDescent="0.3">
      <c r="A2541" s="3" t="s">
        <v>218</v>
      </c>
      <c r="B2541" s="3" t="s">
        <v>219</v>
      </c>
      <c r="C2541" s="8">
        <v>2021</v>
      </c>
      <c r="D2541" s="8">
        <v>8</v>
      </c>
      <c r="E2541" s="3" t="str">
        <f t="shared" si="78"/>
        <v>August</v>
      </c>
      <c r="F2541" s="3" t="s">
        <v>13</v>
      </c>
      <c r="G2541" s="8">
        <v>2110.6598640000002</v>
      </c>
      <c r="H2541" s="8">
        <v>2336</v>
      </c>
      <c r="I2541" s="8">
        <v>225.34013590000001</v>
      </c>
      <c r="J2541" s="8">
        <v>4189.5006960000001</v>
      </c>
      <c r="K2541" s="8">
        <v>3761.2879680000001</v>
      </c>
      <c r="L2541" s="8">
        <v>4645.6821900000004</v>
      </c>
      <c r="M2541" s="9" t="str">
        <f>IF(A2541="",M2542,A2541)</f>
        <v>Latvia</v>
      </c>
      <c r="N2541" s="3" t="str">
        <f t="shared" si="79"/>
        <v>Aug-2021</v>
      </c>
    </row>
    <row r="2542" spans="1:14" x14ac:dyDescent="0.3">
      <c r="A2542" s="3" t="s">
        <v>218</v>
      </c>
      <c r="B2542" s="3" t="s">
        <v>219</v>
      </c>
      <c r="C2542" s="8">
        <v>2021</v>
      </c>
      <c r="D2542" s="8">
        <v>9</v>
      </c>
      <c r="E2542" s="3" t="str">
        <f t="shared" si="78"/>
        <v>September</v>
      </c>
      <c r="F2542" s="3" t="s">
        <v>13</v>
      </c>
      <c r="G2542" s="8">
        <v>2112.4101569999998</v>
      </c>
      <c r="H2542" s="8">
        <v>2546</v>
      </c>
      <c r="I2542" s="8">
        <v>433.58984279999999</v>
      </c>
      <c r="J2542" s="8">
        <v>4623.0905389999998</v>
      </c>
      <c r="K2542" s="8">
        <v>4182.1611919999996</v>
      </c>
      <c r="L2542" s="8">
        <v>5083.0553769999997</v>
      </c>
      <c r="M2542" s="9" t="str">
        <f>IF(A2542="",M2543,A2542)</f>
        <v>Latvia</v>
      </c>
      <c r="N2542" s="3" t="str">
        <f t="shared" si="79"/>
        <v>Sep-2021</v>
      </c>
    </row>
    <row r="2543" spans="1:14" x14ac:dyDescent="0.3">
      <c r="A2543" s="3" t="s">
        <v>218</v>
      </c>
      <c r="B2543" s="3" t="s">
        <v>219</v>
      </c>
      <c r="C2543" s="8">
        <v>2021</v>
      </c>
      <c r="D2543" s="8">
        <v>10</v>
      </c>
      <c r="E2543" s="3" t="str">
        <f t="shared" si="78"/>
        <v>October</v>
      </c>
      <c r="F2543" s="3" t="s">
        <v>13</v>
      </c>
      <c r="G2543" s="8">
        <v>2265.227179</v>
      </c>
      <c r="H2543" s="8">
        <v>3570</v>
      </c>
      <c r="I2543" s="8">
        <v>1304.772821</v>
      </c>
      <c r="J2543" s="8">
        <v>5927.8633609999997</v>
      </c>
      <c r="K2543" s="8">
        <v>5477.0828229999997</v>
      </c>
      <c r="L2543" s="8">
        <v>6403.735608</v>
      </c>
      <c r="M2543" s="9" t="str">
        <f>IF(A2543="",M2544,A2543)</f>
        <v>Latvia</v>
      </c>
      <c r="N2543" s="3" t="str">
        <f t="shared" si="79"/>
        <v>Oct-2021</v>
      </c>
    </row>
    <row r="2544" spans="1:14" x14ac:dyDescent="0.3">
      <c r="A2544" s="3" t="s">
        <v>218</v>
      </c>
      <c r="B2544" s="3" t="s">
        <v>219</v>
      </c>
      <c r="C2544" s="8">
        <v>2021</v>
      </c>
      <c r="D2544" s="8">
        <v>11</v>
      </c>
      <c r="E2544" s="3" t="str">
        <f t="shared" si="78"/>
        <v>November</v>
      </c>
      <c r="F2544" s="3" t="s">
        <v>13</v>
      </c>
      <c r="G2544" s="8">
        <v>2254.0630179999998</v>
      </c>
      <c r="H2544" s="8">
        <v>3583</v>
      </c>
      <c r="I2544" s="8">
        <v>1328.9369819999999</v>
      </c>
      <c r="J2544" s="8">
        <v>7256.8003419999995</v>
      </c>
      <c r="K2544" s="8">
        <v>6796.0213759999997</v>
      </c>
      <c r="L2544" s="8">
        <v>7753.2515439999997</v>
      </c>
      <c r="M2544" s="9" t="str">
        <f>IF(A2544="",M2545,A2544)</f>
        <v>Latvia</v>
      </c>
      <c r="N2544" s="3" t="str">
        <f t="shared" si="79"/>
        <v>Nov-2021</v>
      </c>
    </row>
    <row r="2545" spans="1:14" x14ac:dyDescent="0.3">
      <c r="A2545" s="3" t="s">
        <v>218</v>
      </c>
      <c r="B2545" s="3" t="s">
        <v>219</v>
      </c>
      <c r="C2545" s="8">
        <v>2021</v>
      </c>
      <c r="D2545" s="8">
        <v>12</v>
      </c>
      <c r="E2545" s="3" t="str">
        <f t="shared" si="78"/>
        <v>December</v>
      </c>
      <c r="F2545" s="3" t="s">
        <v>13</v>
      </c>
      <c r="G2545" s="8">
        <v>2521.4718849999999</v>
      </c>
      <c r="H2545" s="8">
        <v>3010</v>
      </c>
      <c r="I2545" s="8">
        <v>488.52811530000002</v>
      </c>
      <c r="J2545" s="8">
        <v>7745.328458</v>
      </c>
      <c r="K2545" s="8">
        <v>7274.8669719999998</v>
      </c>
      <c r="L2545" s="8">
        <v>8252.4047059999994</v>
      </c>
      <c r="M2545" s="9" t="str">
        <f>IF(A2545="",M2546,A2545)</f>
        <v>Latvia</v>
      </c>
      <c r="N2545" s="3" t="str">
        <f t="shared" si="79"/>
        <v>Dec-2021</v>
      </c>
    </row>
    <row r="2546" spans="1:14" x14ac:dyDescent="0.3">
      <c r="A2546" s="3" t="s">
        <v>220</v>
      </c>
      <c r="B2546" s="3" t="s">
        <v>221</v>
      </c>
      <c r="C2546" s="8">
        <v>2020</v>
      </c>
      <c r="D2546" s="8">
        <v>1</v>
      </c>
      <c r="E2546" s="3" t="str">
        <f t="shared" si="78"/>
        <v>January</v>
      </c>
      <c r="F2546" s="3" t="s">
        <v>8</v>
      </c>
      <c r="G2546" s="8">
        <v>22229.681990000001</v>
      </c>
      <c r="H2546" s="8">
        <v>22801.46</v>
      </c>
      <c r="I2546" s="8">
        <v>571.77801139999997</v>
      </c>
      <c r="J2546" s="8">
        <v>571.77801139999997</v>
      </c>
      <c r="K2546" s="8">
        <v>-4977.3793070000002</v>
      </c>
      <c r="L2546" s="8">
        <v>7186.0369419999997</v>
      </c>
      <c r="M2546" s="9" t="str">
        <f>IF(A2546="",M2547,A2546)</f>
        <v>Morocco</v>
      </c>
      <c r="N2546" s="3" t="str">
        <f t="shared" si="79"/>
        <v>Jan-2020</v>
      </c>
    </row>
    <row r="2547" spans="1:14" x14ac:dyDescent="0.3">
      <c r="A2547" s="3" t="s">
        <v>220</v>
      </c>
      <c r="B2547" s="3" t="s">
        <v>221</v>
      </c>
      <c r="C2547" s="8">
        <v>2020</v>
      </c>
      <c r="D2547" s="8">
        <v>2</v>
      </c>
      <c r="E2547" s="3" t="str">
        <f t="shared" si="78"/>
        <v>February</v>
      </c>
      <c r="F2547" s="3" t="s">
        <v>8</v>
      </c>
      <c r="G2547" s="8">
        <v>21776.685949999999</v>
      </c>
      <c r="H2547" s="8">
        <v>21872.947</v>
      </c>
      <c r="I2547" s="8">
        <v>96.261050170000004</v>
      </c>
      <c r="J2547" s="8">
        <v>668.03906159999997</v>
      </c>
      <c r="K2547" s="8">
        <v>-6967.152822</v>
      </c>
      <c r="L2547" s="8">
        <v>9445.0243179999998</v>
      </c>
      <c r="M2547" s="9" t="str">
        <f>IF(A2547="",M2548,A2547)</f>
        <v>Morocco</v>
      </c>
      <c r="N2547" s="3" t="str">
        <f t="shared" si="79"/>
        <v>Feb-2020</v>
      </c>
    </row>
    <row r="2548" spans="1:14" x14ac:dyDescent="0.3">
      <c r="A2548" s="3" t="s">
        <v>220</v>
      </c>
      <c r="B2548" s="3" t="s">
        <v>221</v>
      </c>
      <c r="C2548" s="8">
        <v>2020</v>
      </c>
      <c r="D2548" s="8">
        <v>3</v>
      </c>
      <c r="E2548" s="3" t="str">
        <f t="shared" si="78"/>
        <v>March</v>
      </c>
      <c r="F2548" s="3" t="s">
        <v>8</v>
      </c>
      <c r="G2548" s="8">
        <v>21604.417529999999</v>
      </c>
      <c r="H2548" s="8">
        <v>21374.77</v>
      </c>
      <c r="I2548" s="8">
        <v>-229.64753049999999</v>
      </c>
      <c r="J2548" s="8">
        <v>438.39153110000001</v>
      </c>
      <c r="K2548" s="8">
        <v>-9021.8108840000004</v>
      </c>
      <c r="L2548" s="8">
        <v>11146.169540000001</v>
      </c>
      <c r="M2548" s="9" t="str">
        <f>IF(A2548="",M2549,A2548)</f>
        <v>Morocco</v>
      </c>
      <c r="N2548" s="3" t="str">
        <f t="shared" si="79"/>
        <v>Mar-2020</v>
      </c>
    </row>
    <row r="2549" spans="1:14" x14ac:dyDescent="0.3">
      <c r="A2549" s="3" t="s">
        <v>220</v>
      </c>
      <c r="B2549" s="3" t="s">
        <v>221</v>
      </c>
      <c r="C2549" s="8">
        <v>2020</v>
      </c>
      <c r="D2549" s="8">
        <v>4</v>
      </c>
      <c r="E2549" s="3" t="str">
        <f t="shared" si="78"/>
        <v>April</v>
      </c>
      <c r="F2549" s="3" t="s">
        <v>8</v>
      </c>
      <c r="G2549" s="8">
        <v>21357.653559999999</v>
      </c>
      <c r="H2549" s="8">
        <v>20774.846000000001</v>
      </c>
      <c r="I2549" s="8">
        <v>-582.8075609</v>
      </c>
      <c r="J2549" s="8">
        <v>-144.4160297</v>
      </c>
      <c r="K2549" s="8">
        <v>-10898.60346</v>
      </c>
      <c r="L2549" s="8">
        <v>12361.331749999999</v>
      </c>
      <c r="M2549" s="9" t="str">
        <f>IF(A2549="",M2550,A2549)</f>
        <v>Morocco</v>
      </c>
      <c r="N2549" s="3" t="str">
        <f t="shared" si="79"/>
        <v>Apr-2020</v>
      </c>
    </row>
    <row r="2550" spans="1:14" x14ac:dyDescent="0.3">
      <c r="A2550" s="3" t="s">
        <v>220</v>
      </c>
      <c r="B2550" s="3" t="s">
        <v>221</v>
      </c>
      <c r="C2550" s="8">
        <v>2020</v>
      </c>
      <c r="D2550" s="8">
        <v>5</v>
      </c>
      <c r="E2550" s="3" t="str">
        <f t="shared" si="78"/>
        <v>May</v>
      </c>
      <c r="F2550" s="3" t="s">
        <v>8</v>
      </c>
      <c r="G2550" s="8">
        <v>20685.786619999999</v>
      </c>
      <c r="H2550" s="8">
        <v>20249.502</v>
      </c>
      <c r="I2550" s="8">
        <v>-436.28461620000002</v>
      </c>
      <c r="J2550" s="8">
        <v>-580.70064600000001</v>
      </c>
      <c r="K2550" s="8">
        <v>-13339.35356</v>
      </c>
      <c r="L2550" s="8">
        <v>13604.033090000001</v>
      </c>
      <c r="M2550" s="9" t="str">
        <f>IF(A2550="",M2551,A2550)</f>
        <v>Morocco</v>
      </c>
      <c r="N2550" s="3" t="str">
        <f t="shared" si="79"/>
        <v>May-2020</v>
      </c>
    </row>
    <row r="2551" spans="1:14" x14ac:dyDescent="0.3">
      <c r="A2551" s="3" t="s">
        <v>220</v>
      </c>
      <c r="B2551" s="3" t="s">
        <v>221</v>
      </c>
      <c r="C2551" s="8">
        <v>2020</v>
      </c>
      <c r="D2551" s="8">
        <v>6</v>
      </c>
      <c r="E2551" s="3" t="str">
        <f t="shared" si="78"/>
        <v>June</v>
      </c>
      <c r="F2551" s="3" t="s">
        <v>8</v>
      </c>
      <c r="G2551" s="8">
        <v>20406.297549999999</v>
      </c>
      <c r="H2551" s="8">
        <v>21236.376</v>
      </c>
      <c r="I2551" s="8">
        <v>830.07844920000002</v>
      </c>
      <c r="J2551" s="8">
        <v>249.37780319999999</v>
      </c>
      <c r="K2551" s="8">
        <v>-12560.42654</v>
      </c>
      <c r="L2551" s="8">
        <v>15512.86356</v>
      </c>
      <c r="M2551" s="9" t="str">
        <f>IF(A2551="",M2552,A2551)</f>
        <v>Morocco</v>
      </c>
      <c r="N2551" s="3" t="str">
        <f t="shared" si="79"/>
        <v>Jun-2020</v>
      </c>
    </row>
    <row r="2552" spans="1:14" x14ac:dyDescent="0.3">
      <c r="A2552" s="3" t="s">
        <v>220</v>
      </c>
      <c r="B2552" s="3" t="s">
        <v>221</v>
      </c>
      <c r="C2552" s="8">
        <v>2020</v>
      </c>
      <c r="D2552" s="8">
        <v>7</v>
      </c>
      <c r="E2552" s="3" t="str">
        <f t="shared" si="78"/>
        <v>July</v>
      </c>
      <c r="F2552" s="3" t="s">
        <v>8</v>
      </c>
      <c r="G2552" s="8">
        <v>19777.261500000001</v>
      </c>
      <c r="H2552" s="8">
        <v>22548.348999999998</v>
      </c>
      <c r="I2552" s="8">
        <v>2771.087497</v>
      </c>
      <c r="J2552" s="8">
        <v>3020.4652999999998</v>
      </c>
      <c r="K2552" s="8">
        <v>-11745.836960000001</v>
      </c>
      <c r="L2552" s="8">
        <v>18584.887549999999</v>
      </c>
      <c r="M2552" s="9" t="str">
        <f>IF(A2552="",M2553,A2552)</f>
        <v>Morocco</v>
      </c>
      <c r="N2552" s="3" t="str">
        <f t="shared" si="79"/>
        <v>Jul-2020</v>
      </c>
    </row>
    <row r="2553" spans="1:14" x14ac:dyDescent="0.3">
      <c r="A2553" s="3" t="s">
        <v>220</v>
      </c>
      <c r="B2553" s="3" t="s">
        <v>221</v>
      </c>
      <c r="C2553" s="8">
        <v>2020</v>
      </c>
      <c r="D2553" s="8">
        <v>8</v>
      </c>
      <c r="E2553" s="3" t="str">
        <f t="shared" si="78"/>
        <v>August</v>
      </c>
      <c r="F2553" s="3" t="s">
        <v>8</v>
      </c>
      <c r="G2553" s="8">
        <v>19918.527109999999</v>
      </c>
      <c r="H2553" s="8">
        <v>24871.39</v>
      </c>
      <c r="I2553" s="8">
        <v>4952.8628900000003</v>
      </c>
      <c r="J2553" s="8">
        <v>7973.3281900000002</v>
      </c>
      <c r="K2553" s="8">
        <v>-8252.8789899999992</v>
      </c>
      <c r="L2553" s="8">
        <v>24981.73532</v>
      </c>
      <c r="M2553" s="9" t="str">
        <f>IF(A2553="",M2554,A2553)</f>
        <v>Morocco</v>
      </c>
      <c r="N2553" s="3" t="str">
        <f t="shared" si="79"/>
        <v>Aug-2020</v>
      </c>
    </row>
    <row r="2554" spans="1:14" x14ac:dyDescent="0.3">
      <c r="A2554" s="3" t="s">
        <v>220</v>
      </c>
      <c r="B2554" s="3" t="s">
        <v>221</v>
      </c>
      <c r="C2554" s="8">
        <v>2020</v>
      </c>
      <c r="D2554" s="8">
        <v>9</v>
      </c>
      <c r="E2554" s="3" t="str">
        <f t="shared" si="78"/>
        <v>September</v>
      </c>
      <c r="F2554" s="3" t="s">
        <v>8</v>
      </c>
      <c r="G2554" s="8">
        <v>20352.04768</v>
      </c>
      <c r="H2554" s="8">
        <v>24850.786</v>
      </c>
      <c r="I2554" s="8">
        <v>4498.7383229999996</v>
      </c>
      <c r="J2554" s="8">
        <v>12472.066510000001</v>
      </c>
      <c r="K2554" s="8">
        <v>-5149.9159730000001</v>
      </c>
      <c r="L2554" s="8">
        <v>29627.801340000002</v>
      </c>
      <c r="M2554" s="9" t="str">
        <f>IF(A2554="",M2555,A2554)</f>
        <v>Morocco</v>
      </c>
      <c r="N2554" s="3" t="str">
        <f t="shared" si="79"/>
        <v>Sep-2020</v>
      </c>
    </row>
    <row r="2555" spans="1:14" x14ac:dyDescent="0.3">
      <c r="A2555" s="3" t="s">
        <v>220</v>
      </c>
      <c r="B2555" s="3" t="s">
        <v>221</v>
      </c>
      <c r="C2555" s="8">
        <v>2020</v>
      </c>
      <c r="D2555" s="8">
        <v>10</v>
      </c>
      <c r="E2555" s="3" t="str">
        <f t="shared" si="78"/>
        <v>October</v>
      </c>
      <c r="F2555" s="3" t="s">
        <v>8</v>
      </c>
      <c r="G2555" s="8">
        <v>21044.357899999999</v>
      </c>
      <c r="H2555" s="8">
        <v>26835.044999999998</v>
      </c>
      <c r="I2555" s="8">
        <v>5790.6871019999999</v>
      </c>
      <c r="J2555" s="8">
        <v>18262.75361</v>
      </c>
      <c r="K2555" s="8">
        <v>33.40956594</v>
      </c>
      <c r="L2555" s="8">
        <v>36916.052589999999</v>
      </c>
      <c r="M2555" s="9" t="str">
        <f>IF(A2555="",M2556,A2555)</f>
        <v>Morocco</v>
      </c>
      <c r="N2555" s="3" t="str">
        <f t="shared" si="79"/>
        <v>Oct-2020</v>
      </c>
    </row>
    <row r="2556" spans="1:14" x14ac:dyDescent="0.3">
      <c r="A2556" s="3" t="s">
        <v>220</v>
      </c>
      <c r="B2556" s="3" t="s">
        <v>221</v>
      </c>
      <c r="C2556" s="8">
        <v>2020</v>
      </c>
      <c r="D2556" s="8">
        <v>11</v>
      </c>
      <c r="E2556" s="3" t="str">
        <f t="shared" si="78"/>
        <v>November</v>
      </c>
      <c r="F2556" s="3" t="s">
        <v>8</v>
      </c>
      <c r="G2556" s="8">
        <v>21506.055540000001</v>
      </c>
      <c r="H2556" s="8">
        <v>29282.187000000002</v>
      </c>
      <c r="I2556" s="8">
        <v>7776.1314640000001</v>
      </c>
      <c r="J2556" s="8">
        <v>26038.88508</v>
      </c>
      <c r="K2556" s="8">
        <v>6987.1552019999999</v>
      </c>
      <c r="L2556" s="8">
        <v>45720.041819999999</v>
      </c>
      <c r="M2556" s="9" t="str">
        <f>IF(A2556="",M2557,A2556)</f>
        <v>Morocco</v>
      </c>
      <c r="N2556" s="3" t="str">
        <f t="shared" si="79"/>
        <v>Nov-2020</v>
      </c>
    </row>
    <row r="2557" spans="1:14" x14ac:dyDescent="0.3">
      <c r="A2557" s="3" t="s">
        <v>220</v>
      </c>
      <c r="B2557" s="3" t="s">
        <v>221</v>
      </c>
      <c r="C2557" s="8">
        <v>2020</v>
      </c>
      <c r="D2557" s="8">
        <v>12</v>
      </c>
      <c r="E2557" s="3" t="str">
        <f t="shared" si="78"/>
        <v>December</v>
      </c>
      <c r="F2557" s="3" t="s">
        <v>8</v>
      </c>
      <c r="G2557" s="8">
        <v>22038.41502</v>
      </c>
      <c r="H2557" s="8">
        <v>28247.331999999999</v>
      </c>
      <c r="I2557" s="8">
        <v>6208.9169780000002</v>
      </c>
      <c r="J2557" s="8">
        <v>32247.802060000002</v>
      </c>
      <c r="K2557" s="8">
        <v>12067.60936</v>
      </c>
      <c r="L2557" s="8">
        <v>54370.672429999999</v>
      </c>
      <c r="M2557" s="9" t="str">
        <f>IF(A2557="",M2558,A2557)</f>
        <v>Morocco</v>
      </c>
      <c r="N2557" s="3" t="str">
        <f t="shared" si="79"/>
        <v>Dec-2020</v>
      </c>
    </row>
    <row r="2558" spans="1:14" x14ac:dyDescent="0.3">
      <c r="A2558" s="3" t="s">
        <v>220</v>
      </c>
      <c r="B2558" s="3" t="s">
        <v>221</v>
      </c>
      <c r="C2558" s="8">
        <v>2021</v>
      </c>
      <c r="D2558" s="8">
        <v>1</v>
      </c>
      <c r="E2558" s="3" t="str">
        <f t="shared" si="78"/>
        <v>January</v>
      </c>
      <c r="F2558" s="3" t="s">
        <v>8</v>
      </c>
      <c r="G2558" s="8">
        <v>22750.828799999999</v>
      </c>
      <c r="H2558" s="8">
        <v>25958.080000000002</v>
      </c>
      <c r="I2558" s="8">
        <v>3207.2512019999999</v>
      </c>
      <c r="J2558" s="8">
        <v>35455.053260000001</v>
      </c>
      <c r="K2558" s="8">
        <v>12934.288920000001</v>
      </c>
      <c r="L2558" s="8">
        <v>58252.388959999997</v>
      </c>
      <c r="M2558" s="9" t="str">
        <f>IF(A2558="",M2559,A2558)</f>
        <v>Morocco</v>
      </c>
      <c r="N2558" s="3" t="str">
        <f t="shared" si="79"/>
        <v>Jan-2021</v>
      </c>
    </row>
    <row r="2559" spans="1:14" x14ac:dyDescent="0.3">
      <c r="A2559" s="3" t="s">
        <v>220</v>
      </c>
      <c r="B2559" s="3" t="s">
        <v>221</v>
      </c>
      <c r="C2559" s="8">
        <v>2021</v>
      </c>
      <c r="D2559" s="8">
        <v>2</v>
      </c>
      <c r="E2559" s="3" t="str">
        <f t="shared" si="78"/>
        <v>February</v>
      </c>
      <c r="F2559" s="3" t="s">
        <v>8</v>
      </c>
      <c r="G2559" s="8">
        <v>22261.002759999999</v>
      </c>
      <c r="H2559" s="8">
        <v>22942.993999999999</v>
      </c>
      <c r="I2559" s="8">
        <v>681.99123980000002</v>
      </c>
      <c r="J2559" s="8">
        <v>36137.044500000004</v>
      </c>
      <c r="K2559" s="8">
        <v>13217.07955</v>
      </c>
      <c r="L2559" s="8">
        <v>60103.004670000002</v>
      </c>
      <c r="M2559" s="9" t="str">
        <f>IF(A2559="",M2560,A2559)</f>
        <v>Morocco</v>
      </c>
      <c r="N2559" s="3" t="str">
        <f t="shared" si="79"/>
        <v>Feb-2021</v>
      </c>
    </row>
    <row r="2560" spans="1:14" x14ac:dyDescent="0.3">
      <c r="A2560" s="3" t="s">
        <v>220</v>
      </c>
      <c r="B2560" s="3" t="s">
        <v>221</v>
      </c>
      <c r="C2560" s="8">
        <v>2021</v>
      </c>
      <c r="D2560" s="8">
        <v>3</v>
      </c>
      <c r="E2560" s="3" t="str">
        <f t="shared" si="78"/>
        <v>March</v>
      </c>
      <c r="F2560" s="3" t="s">
        <v>8</v>
      </c>
      <c r="G2560" s="8">
        <v>22096.958999999999</v>
      </c>
      <c r="H2560" s="8">
        <v>21890.780999999999</v>
      </c>
      <c r="I2560" s="8">
        <v>-206.1780043</v>
      </c>
      <c r="J2560" s="8">
        <v>35930.866499999996</v>
      </c>
      <c r="K2560" s="8">
        <v>11670.85951</v>
      </c>
      <c r="L2560" s="8">
        <v>60532.136279999999</v>
      </c>
      <c r="M2560" s="9" t="str">
        <f>IF(A2560="",M2561,A2560)</f>
        <v>Morocco</v>
      </c>
      <c r="N2560" s="3" t="str">
        <f t="shared" si="79"/>
        <v>Mar-2021</v>
      </c>
    </row>
    <row r="2561" spans="1:14" x14ac:dyDescent="0.3">
      <c r="A2561" s="3" t="s">
        <v>220</v>
      </c>
      <c r="B2561" s="3" t="s">
        <v>221</v>
      </c>
      <c r="C2561" s="8">
        <v>2021</v>
      </c>
      <c r="D2561" s="8">
        <v>4</v>
      </c>
      <c r="E2561" s="3" t="str">
        <f t="shared" si="78"/>
        <v>April</v>
      </c>
      <c r="F2561" s="3" t="s">
        <v>8</v>
      </c>
      <c r="G2561" s="8">
        <v>21847.52291</v>
      </c>
      <c r="H2561" s="8">
        <v>22155.935000000001</v>
      </c>
      <c r="I2561" s="8">
        <v>308.41208760000001</v>
      </c>
      <c r="J2561" s="8">
        <v>36239.278579999998</v>
      </c>
      <c r="K2561" s="8">
        <v>11031.074199999999</v>
      </c>
      <c r="L2561" s="8">
        <v>61969.919020000001</v>
      </c>
      <c r="M2561" s="9" t="str">
        <f>IF(A2561="",M2562,A2561)</f>
        <v>Morocco</v>
      </c>
      <c r="N2561" s="3" t="str">
        <f t="shared" si="79"/>
        <v>Apr-2021</v>
      </c>
    </row>
    <row r="2562" spans="1:14" x14ac:dyDescent="0.3">
      <c r="A2562" s="3" t="s">
        <v>220</v>
      </c>
      <c r="B2562" s="3" t="s">
        <v>221</v>
      </c>
      <c r="C2562" s="8">
        <v>2021</v>
      </c>
      <c r="D2562" s="8">
        <v>5</v>
      </c>
      <c r="E2562" s="3" t="str">
        <f t="shared" ref="E2562:E2625" si="80">TEXT(DATE(C2562,D2562,1),"MMMM")</f>
        <v>May</v>
      </c>
      <c r="F2562" s="3" t="s">
        <v>8</v>
      </c>
      <c r="G2562" s="8">
        <v>21146.287329999999</v>
      </c>
      <c r="H2562" s="8">
        <v>21318.056</v>
      </c>
      <c r="I2562" s="8">
        <v>171.76866609999999</v>
      </c>
      <c r="J2562" s="8">
        <v>36411.047250000003</v>
      </c>
      <c r="K2562" s="8">
        <v>10052.25438</v>
      </c>
      <c r="L2562" s="8">
        <v>63347.857049999999</v>
      </c>
      <c r="M2562" s="9" t="str">
        <f>IF(A2562="",M2563,A2562)</f>
        <v>Morocco</v>
      </c>
      <c r="N2562" s="3" t="str">
        <f t="shared" ref="N2562:N2625" si="81">TEXT(DATE(C2562,D2562,1),"MMM-YYYY")</f>
        <v>May-2021</v>
      </c>
    </row>
    <row r="2563" spans="1:14" x14ac:dyDescent="0.3">
      <c r="A2563" s="3" t="s">
        <v>220</v>
      </c>
      <c r="B2563" s="3" t="s">
        <v>221</v>
      </c>
      <c r="C2563" s="8">
        <v>2021</v>
      </c>
      <c r="D2563" s="8">
        <v>6</v>
      </c>
      <c r="E2563" s="3" t="str">
        <f t="shared" si="80"/>
        <v>June</v>
      </c>
      <c r="F2563" s="3" t="s">
        <v>8</v>
      </c>
      <c r="G2563" s="8">
        <v>20860.635600000001</v>
      </c>
      <c r="H2563" s="8">
        <v>22236.026000000002</v>
      </c>
      <c r="I2563" s="8">
        <v>1375.3904030000001</v>
      </c>
      <c r="J2563" s="8">
        <v>37786.43765</v>
      </c>
      <c r="K2563" s="8">
        <v>10127.496359999999</v>
      </c>
      <c r="L2563" s="8">
        <v>64665.691079999997</v>
      </c>
      <c r="M2563" s="9" t="str">
        <f>IF(A2563="",M2564,A2563)</f>
        <v>Morocco</v>
      </c>
      <c r="N2563" s="3" t="str">
        <f t="shared" si="81"/>
        <v>Jun-2021</v>
      </c>
    </row>
    <row r="2564" spans="1:14" x14ac:dyDescent="0.3">
      <c r="A2564" s="3" t="s">
        <v>220</v>
      </c>
      <c r="B2564" s="3" t="s">
        <v>221</v>
      </c>
      <c r="C2564" s="8">
        <v>2021</v>
      </c>
      <c r="D2564" s="8">
        <v>7</v>
      </c>
      <c r="E2564" s="3" t="str">
        <f t="shared" si="80"/>
        <v>July</v>
      </c>
      <c r="F2564" s="3" t="s">
        <v>8</v>
      </c>
      <c r="G2564" s="8">
        <v>20213.055530000001</v>
      </c>
      <c r="H2564" s="8">
        <v>23746.913</v>
      </c>
      <c r="I2564" s="8">
        <v>3533.8574739999999</v>
      </c>
      <c r="J2564" s="8">
        <v>41320.295129999999</v>
      </c>
      <c r="K2564" s="8">
        <v>13316.157950000001</v>
      </c>
      <c r="L2564" s="8">
        <v>68652.544030000005</v>
      </c>
      <c r="M2564" s="9" t="str">
        <f>IF(A2564="",M2565,A2564)</f>
        <v>Morocco</v>
      </c>
      <c r="N2564" s="3" t="str">
        <f t="shared" si="81"/>
        <v>Jul-2021</v>
      </c>
    </row>
    <row r="2565" spans="1:14" x14ac:dyDescent="0.3">
      <c r="A2565" s="3" t="s">
        <v>220</v>
      </c>
      <c r="B2565" s="3" t="s">
        <v>221</v>
      </c>
      <c r="C2565" s="8">
        <v>2021</v>
      </c>
      <c r="D2565" s="8">
        <v>8</v>
      </c>
      <c r="E2565" s="3" t="str">
        <f t="shared" si="80"/>
        <v>August</v>
      </c>
      <c r="F2565" s="3" t="s">
        <v>8</v>
      </c>
      <c r="G2565" s="8">
        <v>20366.491470000001</v>
      </c>
      <c r="H2565" s="8">
        <v>30115.29</v>
      </c>
      <c r="I2565" s="8">
        <v>9748.79853</v>
      </c>
      <c r="J2565" s="8">
        <v>51069.093659999999</v>
      </c>
      <c r="K2565" s="8">
        <v>21318.204099999999</v>
      </c>
      <c r="L2565" s="8">
        <v>79894.842430000004</v>
      </c>
      <c r="M2565" s="9" t="str">
        <f>IF(A2565="",M2566,A2565)</f>
        <v>Morocco</v>
      </c>
      <c r="N2565" s="3" t="str">
        <f t="shared" si="81"/>
        <v>Aug-2021</v>
      </c>
    </row>
    <row r="2566" spans="1:14" x14ac:dyDescent="0.3">
      <c r="A2566" s="3" t="s">
        <v>220</v>
      </c>
      <c r="B2566" s="3" t="s">
        <v>221</v>
      </c>
      <c r="C2566" s="8">
        <v>2021</v>
      </c>
      <c r="D2566" s="8">
        <v>9</v>
      </c>
      <c r="E2566" s="3" t="str">
        <f t="shared" si="80"/>
        <v>September</v>
      </c>
      <c r="F2566" s="3" t="s">
        <v>8</v>
      </c>
      <c r="G2566" s="8">
        <v>20806.33712</v>
      </c>
      <c r="H2566" s="8">
        <v>26857.063999999998</v>
      </c>
      <c r="I2566" s="8">
        <v>6050.7268800000002</v>
      </c>
      <c r="J2566" s="8">
        <v>57119.820540000001</v>
      </c>
      <c r="K2566" s="8">
        <v>28119.219079999999</v>
      </c>
      <c r="L2566" s="8">
        <v>87270.638080000004</v>
      </c>
      <c r="M2566" s="9" t="str">
        <f>IF(A2566="",M2567,A2566)</f>
        <v>Morocco</v>
      </c>
      <c r="N2566" s="3" t="str">
        <f t="shared" si="81"/>
        <v>Sep-2021</v>
      </c>
    </row>
    <row r="2567" spans="1:14" x14ac:dyDescent="0.3">
      <c r="A2567" s="3" t="s">
        <v>220</v>
      </c>
      <c r="B2567" s="3" t="s">
        <v>221</v>
      </c>
      <c r="C2567" s="8">
        <v>2021</v>
      </c>
      <c r="D2567" s="8">
        <v>10</v>
      </c>
      <c r="E2567" s="3" t="str">
        <f t="shared" si="80"/>
        <v>October</v>
      </c>
      <c r="F2567" s="3" t="s">
        <v>8</v>
      </c>
      <c r="G2567" s="8">
        <v>21518.575420000001</v>
      </c>
      <c r="H2567" s="8">
        <v>24367.181</v>
      </c>
      <c r="I2567" s="8">
        <v>2848.6055759999999</v>
      </c>
      <c r="J2567" s="8">
        <v>59968.42611</v>
      </c>
      <c r="K2567" s="8">
        <v>30693.38579</v>
      </c>
      <c r="L2567" s="8">
        <v>90220.266390000004</v>
      </c>
      <c r="M2567" s="9" t="str">
        <f>IF(A2567="",M2568,A2567)</f>
        <v>Morocco</v>
      </c>
      <c r="N2567" s="3" t="str">
        <f t="shared" si="81"/>
        <v>Oct-2021</v>
      </c>
    </row>
    <row r="2568" spans="1:14" x14ac:dyDescent="0.3">
      <c r="A2568" s="3" t="s">
        <v>220</v>
      </c>
      <c r="B2568" s="3" t="s">
        <v>221</v>
      </c>
      <c r="C2568" s="8">
        <v>2021</v>
      </c>
      <c r="D2568" s="8">
        <v>11</v>
      </c>
      <c r="E2568" s="3" t="str">
        <f t="shared" si="80"/>
        <v>November</v>
      </c>
      <c r="F2568" s="3" t="s">
        <v>8</v>
      </c>
      <c r="G2568" s="8">
        <v>21983.40509</v>
      </c>
      <c r="H2568" s="8">
        <v>24041.629000000001</v>
      </c>
      <c r="I2568" s="8">
        <v>2058.2239129999998</v>
      </c>
      <c r="J2568" s="8">
        <v>62026.650029999997</v>
      </c>
      <c r="K2568" s="8">
        <v>32833.027629999997</v>
      </c>
      <c r="L2568" s="8">
        <v>94155.832179999998</v>
      </c>
      <c r="M2568" s="9" t="str">
        <f>IF(A2568="",M2569,A2568)</f>
        <v>Morocco</v>
      </c>
      <c r="N2568" s="3" t="str">
        <f t="shared" si="81"/>
        <v>Nov-2021</v>
      </c>
    </row>
    <row r="2569" spans="1:14" x14ac:dyDescent="0.3">
      <c r="A2569" s="3" t="s">
        <v>220</v>
      </c>
      <c r="B2569" s="3" t="s">
        <v>221</v>
      </c>
      <c r="C2569" s="8">
        <v>2021</v>
      </c>
      <c r="D2569" s="8">
        <v>12</v>
      </c>
      <c r="E2569" s="3" t="str">
        <f t="shared" si="80"/>
        <v>December</v>
      </c>
      <c r="F2569" s="3" t="s">
        <v>8</v>
      </c>
      <c r="G2569" s="8">
        <v>22533.460149999999</v>
      </c>
      <c r="H2569" s="8">
        <v>25039.75</v>
      </c>
      <c r="I2569" s="8">
        <v>2506.2898489999998</v>
      </c>
      <c r="J2569" s="8">
        <v>64532.939870000002</v>
      </c>
      <c r="K2569" s="8">
        <v>32359.774740000001</v>
      </c>
      <c r="L2569" s="8">
        <v>96733.275250000006</v>
      </c>
      <c r="M2569" s="9" t="str">
        <f>IF(A2569="",M2570,A2569)</f>
        <v>Morocco</v>
      </c>
      <c r="N2569" s="3" t="str">
        <f t="shared" si="81"/>
        <v>Dec-2021</v>
      </c>
    </row>
    <row r="2570" spans="1:14" x14ac:dyDescent="0.3">
      <c r="A2570" s="3" t="s">
        <v>222</v>
      </c>
      <c r="B2570" s="3" t="s">
        <v>223</v>
      </c>
      <c r="C2570" s="8">
        <v>2020</v>
      </c>
      <c r="D2570" s="8">
        <v>1</v>
      </c>
      <c r="E2570" s="3" t="str">
        <f t="shared" si="80"/>
        <v>January</v>
      </c>
      <c r="F2570" s="3" t="s">
        <v>13</v>
      </c>
      <c r="G2570" s="8">
        <v>45.136512349999997</v>
      </c>
      <c r="H2570" s="8">
        <v>46</v>
      </c>
      <c r="I2570" s="8">
        <v>0.86348765199999999</v>
      </c>
      <c r="J2570" s="8">
        <v>0.86348765199999999</v>
      </c>
      <c r="K2570" s="8">
        <v>-3.7290410540000001</v>
      </c>
      <c r="L2570" s="8">
        <v>5.2582637229999998</v>
      </c>
      <c r="M2570" s="9" t="str">
        <f>IF(A2570="",M2571,A2570)</f>
        <v>Monaco</v>
      </c>
      <c r="N2570" s="3" t="str">
        <f t="shared" si="81"/>
        <v>Jan-2020</v>
      </c>
    </row>
    <row r="2571" spans="1:14" x14ac:dyDescent="0.3">
      <c r="A2571" s="3" t="s">
        <v>222</v>
      </c>
      <c r="B2571" s="3" t="s">
        <v>223</v>
      </c>
      <c r="C2571" s="8">
        <v>2020</v>
      </c>
      <c r="D2571" s="8">
        <v>2</v>
      </c>
      <c r="E2571" s="3" t="str">
        <f t="shared" si="80"/>
        <v>February</v>
      </c>
      <c r="F2571" s="3" t="s">
        <v>13</v>
      </c>
      <c r="G2571" s="8">
        <v>43.878094830000002</v>
      </c>
      <c r="H2571" s="8">
        <v>36</v>
      </c>
      <c r="I2571" s="8">
        <v>-7.878094828</v>
      </c>
      <c r="J2571" s="8">
        <v>-7.0146071770000002</v>
      </c>
      <c r="K2571" s="8">
        <v>-13.572219499999999</v>
      </c>
      <c r="L2571" s="8">
        <v>-0.245239554</v>
      </c>
      <c r="M2571" s="9" t="str">
        <f>IF(A2571="",M2572,A2571)</f>
        <v>Monaco</v>
      </c>
      <c r="N2571" s="3" t="str">
        <f t="shared" si="81"/>
        <v>Feb-2020</v>
      </c>
    </row>
    <row r="2572" spans="1:14" x14ac:dyDescent="0.3">
      <c r="A2572" s="3" t="s">
        <v>222</v>
      </c>
      <c r="B2572" s="3" t="s">
        <v>223</v>
      </c>
      <c r="C2572" s="8">
        <v>2020</v>
      </c>
      <c r="D2572" s="8">
        <v>3</v>
      </c>
      <c r="E2572" s="3" t="str">
        <f t="shared" si="80"/>
        <v>March</v>
      </c>
      <c r="F2572" s="3" t="s">
        <v>13</v>
      </c>
      <c r="G2572" s="8">
        <v>41.791202859999999</v>
      </c>
      <c r="H2572" s="8">
        <v>53</v>
      </c>
      <c r="I2572" s="8">
        <v>11.20879714</v>
      </c>
      <c r="J2572" s="8">
        <v>4.1941899630000004</v>
      </c>
      <c r="K2572" s="8">
        <v>-4.528151641</v>
      </c>
      <c r="L2572" s="8">
        <v>12.4260869</v>
      </c>
      <c r="M2572" s="9" t="str">
        <f>IF(A2572="",M2573,A2572)</f>
        <v>Monaco</v>
      </c>
      <c r="N2572" s="3" t="str">
        <f t="shared" si="81"/>
        <v>Mar-2020</v>
      </c>
    </row>
    <row r="2573" spans="1:14" x14ac:dyDescent="0.3">
      <c r="A2573" s="3" t="s">
        <v>222</v>
      </c>
      <c r="B2573" s="3" t="s">
        <v>223</v>
      </c>
      <c r="C2573" s="8">
        <v>2020</v>
      </c>
      <c r="D2573" s="8">
        <v>4</v>
      </c>
      <c r="E2573" s="3" t="str">
        <f t="shared" si="80"/>
        <v>April</v>
      </c>
      <c r="F2573" s="3" t="s">
        <v>13</v>
      </c>
      <c r="G2573" s="8">
        <v>39.831324410000001</v>
      </c>
      <c r="H2573" s="8">
        <v>45</v>
      </c>
      <c r="I2573" s="8">
        <v>5.1686755929999997</v>
      </c>
      <c r="J2573" s="8">
        <v>9.3628655559999991</v>
      </c>
      <c r="K2573" s="8">
        <v>-0.54310458399999995</v>
      </c>
      <c r="L2573" s="8">
        <v>19.010937290000001</v>
      </c>
      <c r="M2573" s="9" t="str">
        <f>IF(A2573="",M2574,A2573)</f>
        <v>Monaco</v>
      </c>
      <c r="N2573" s="3" t="str">
        <f t="shared" si="81"/>
        <v>Apr-2020</v>
      </c>
    </row>
    <row r="2574" spans="1:14" x14ac:dyDescent="0.3">
      <c r="A2574" s="3" t="s">
        <v>222</v>
      </c>
      <c r="B2574" s="3" t="s">
        <v>223</v>
      </c>
      <c r="C2574" s="8">
        <v>2020</v>
      </c>
      <c r="D2574" s="8">
        <v>5</v>
      </c>
      <c r="E2574" s="3" t="str">
        <f t="shared" si="80"/>
        <v>May</v>
      </c>
      <c r="F2574" s="3" t="s">
        <v>13</v>
      </c>
      <c r="G2574" s="8">
        <v>38.394667040000002</v>
      </c>
      <c r="H2574" s="8">
        <v>38</v>
      </c>
      <c r="I2574" s="8">
        <v>-0.39466704400000002</v>
      </c>
      <c r="J2574" s="8">
        <v>8.9681985120000007</v>
      </c>
      <c r="K2574" s="8">
        <v>-2.1848078580000001</v>
      </c>
      <c r="L2574" s="8">
        <v>19.908465459999999</v>
      </c>
      <c r="M2574" s="9" t="str">
        <f>IF(A2574="",M2575,A2574)</f>
        <v>Monaco</v>
      </c>
      <c r="N2574" s="3" t="str">
        <f t="shared" si="81"/>
        <v>May-2020</v>
      </c>
    </row>
    <row r="2575" spans="1:14" x14ac:dyDescent="0.3">
      <c r="A2575" s="3" t="s">
        <v>222</v>
      </c>
      <c r="B2575" s="3" t="s">
        <v>223</v>
      </c>
      <c r="C2575" s="8">
        <v>2020</v>
      </c>
      <c r="D2575" s="8">
        <v>6</v>
      </c>
      <c r="E2575" s="3" t="str">
        <f t="shared" si="80"/>
        <v>June</v>
      </c>
      <c r="F2575" s="3" t="s">
        <v>13</v>
      </c>
      <c r="G2575" s="8">
        <v>37.595744979999999</v>
      </c>
      <c r="H2575" s="8">
        <v>39</v>
      </c>
      <c r="I2575" s="8">
        <v>1.4042550170000001</v>
      </c>
      <c r="J2575" s="8">
        <v>10.37245353</v>
      </c>
      <c r="K2575" s="8">
        <v>-1.877240367</v>
      </c>
      <c r="L2575" s="8">
        <v>22.593117240000002</v>
      </c>
      <c r="M2575" s="9" t="str">
        <f>IF(A2575="",M2576,A2575)</f>
        <v>Monaco</v>
      </c>
      <c r="N2575" s="3" t="str">
        <f t="shared" si="81"/>
        <v>Jun-2020</v>
      </c>
    </row>
    <row r="2576" spans="1:14" x14ac:dyDescent="0.3">
      <c r="A2576" s="3" t="s">
        <v>222</v>
      </c>
      <c r="B2576" s="3" t="s">
        <v>223</v>
      </c>
      <c r="C2576" s="8">
        <v>2020</v>
      </c>
      <c r="D2576" s="8">
        <v>7</v>
      </c>
      <c r="E2576" s="3" t="str">
        <f t="shared" si="80"/>
        <v>July</v>
      </c>
      <c r="F2576" s="3" t="s">
        <v>13</v>
      </c>
      <c r="G2576" s="8">
        <v>37.606758990000003</v>
      </c>
      <c r="H2576" s="8">
        <v>37</v>
      </c>
      <c r="I2576" s="8">
        <v>-0.60675898800000005</v>
      </c>
      <c r="J2576" s="8">
        <v>9.7656945410000002</v>
      </c>
      <c r="K2576" s="8">
        <v>-3.9346180319999999</v>
      </c>
      <c r="L2576" s="8">
        <v>22.96159059</v>
      </c>
      <c r="M2576" s="9" t="str">
        <f>IF(A2576="",M2577,A2576)</f>
        <v>Monaco</v>
      </c>
      <c r="N2576" s="3" t="str">
        <f t="shared" si="81"/>
        <v>Jul-2020</v>
      </c>
    </row>
    <row r="2577" spans="1:14" x14ac:dyDescent="0.3">
      <c r="A2577" s="3" t="s">
        <v>222</v>
      </c>
      <c r="B2577" s="3" t="s">
        <v>223</v>
      </c>
      <c r="C2577" s="8">
        <v>2020</v>
      </c>
      <c r="D2577" s="8">
        <v>8</v>
      </c>
      <c r="E2577" s="3" t="str">
        <f t="shared" si="80"/>
        <v>August</v>
      </c>
      <c r="F2577" s="3" t="s">
        <v>13</v>
      </c>
      <c r="G2577" s="8">
        <v>38.356007069999997</v>
      </c>
      <c r="H2577" s="8">
        <v>43</v>
      </c>
      <c r="I2577" s="8">
        <v>4.6439929260000001</v>
      </c>
      <c r="J2577" s="8">
        <v>14.40968747</v>
      </c>
      <c r="K2577" s="8">
        <v>0.55580448500000001</v>
      </c>
      <c r="L2577" s="8">
        <v>28.585448960000001</v>
      </c>
      <c r="M2577" s="9" t="str">
        <f>IF(A2577="",M2578,A2577)</f>
        <v>Monaco</v>
      </c>
      <c r="N2577" s="3" t="str">
        <f t="shared" si="81"/>
        <v>Aug-2020</v>
      </c>
    </row>
    <row r="2578" spans="1:14" x14ac:dyDescent="0.3">
      <c r="A2578" s="3" t="s">
        <v>222</v>
      </c>
      <c r="B2578" s="3" t="s">
        <v>223</v>
      </c>
      <c r="C2578" s="8">
        <v>2020</v>
      </c>
      <c r="D2578" s="8">
        <v>9</v>
      </c>
      <c r="E2578" s="3" t="str">
        <f t="shared" si="80"/>
        <v>September</v>
      </c>
      <c r="F2578" s="3" t="s">
        <v>13</v>
      </c>
      <c r="G2578" s="8">
        <v>40.019238680000001</v>
      </c>
      <c r="H2578" s="8">
        <v>44</v>
      </c>
      <c r="I2578" s="8">
        <v>3.9807613150000001</v>
      </c>
      <c r="J2578" s="8">
        <v>18.39044878</v>
      </c>
      <c r="K2578" s="8">
        <v>3.4940892250000002</v>
      </c>
      <c r="L2578" s="8">
        <v>32.989430400000003</v>
      </c>
      <c r="M2578" s="9" t="str">
        <f>IF(A2578="",M2579,A2578)</f>
        <v>Monaco</v>
      </c>
      <c r="N2578" s="3" t="str">
        <f t="shared" si="81"/>
        <v>Sep-2020</v>
      </c>
    </row>
    <row r="2579" spans="1:14" x14ac:dyDescent="0.3">
      <c r="A2579" s="3" t="s">
        <v>222</v>
      </c>
      <c r="B2579" s="3" t="s">
        <v>223</v>
      </c>
      <c r="C2579" s="8">
        <v>2020</v>
      </c>
      <c r="D2579" s="8">
        <v>10</v>
      </c>
      <c r="E2579" s="3" t="str">
        <f t="shared" si="80"/>
        <v>October</v>
      </c>
      <c r="F2579" s="3" t="s">
        <v>13</v>
      </c>
      <c r="G2579" s="8">
        <v>42.43448059</v>
      </c>
      <c r="H2579" s="8">
        <v>47</v>
      </c>
      <c r="I2579" s="8">
        <v>4.5655194110000004</v>
      </c>
      <c r="J2579" s="8">
        <v>22.95596819</v>
      </c>
      <c r="K2579" s="8">
        <v>7.4662955059999998</v>
      </c>
      <c r="L2579" s="8">
        <v>38.116315640000003</v>
      </c>
      <c r="M2579" s="9" t="str">
        <f>IF(A2579="",M2580,A2579)</f>
        <v>Monaco</v>
      </c>
      <c r="N2579" s="3" t="str">
        <f t="shared" si="81"/>
        <v>Oct-2020</v>
      </c>
    </row>
    <row r="2580" spans="1:14" x14ac:dyDescent="0.3">
      <c r="A2580" s="3" t="s">
        <v>222</v>
      </c>
      <c r="B2580" s="3" t="s">
        <v>223</v>
      </c>
      <c r="C2580" s="8">
        <v>2020</v>
      </c>
      <c r="D2580" s="8">
        <v>11</v>
      </c>
      <c r="E2580" s="3" t="str">
        <f t="shared" si="80"/>
        <v>November</v>
      </c>
      <c r="F2580" s="3" t="s">
        <v>13</v>
      </c>
      <c r="G2580" s="8">
        <v>44.172919780000001</v>
      </c>
      <c r="H2580" s="8">
        <v>42</v>
      </c>
      <c r="I2580" s="8">
        <v>-2.1729197760000001</v>
      </c>
      <c r="J2580" s="8">
        <v>20.78304842</v>
      </c>
      <c r="K2580" s="8">
        <v>4.6034690810000001</v>
      </c>
      <c r="L2580" s="8">
        <v>37.775699930000002</v>
      </c>
      <c r="M2580" s="9" t="str">
        <f>IF(A2580="",M2581,A2580)</f>
        <v>Monaco</v>
      </c>
      <c r="N2580" s="3" t="str">
        <f t="shared" si="81"/>
        <v>Nov-2020</v>
      </c>
    </row>
    <row r="2581" spans="1:14" x14ac:dyDescent="0.3">
      <c r="A2581" s="3" t="s">
        <v>222</v>
      </c>
      <c r="B2581" s="3" t="s">
        <v>223</v>
      </c>
      <c r="C2581" s="8">
        <v>2020</v>
      </c>
      <c r="D2581" s="8">
        <v>12</v>
      </c>
      <c r="E2581" s="3" t="str">
        <f t="shared" si="80"/>
        <v>December</v>
      </c>
      <c r="F2581" s="3" t="s">
        <v>13</v>
      </c>
      <c r="G2581" s="8">
        <v>44.277551330000001</v>
      </c>
      <c r="H2581" s="8">
        <v>51</v>
      </c>
      <c r="I2581" s="8">
        <v>6.7224486649999999</v>
      </c>
      <c r="J2581" s="8">
        <v>27.505497080000001</v>
      </c>
      <c r="K2581" s="8">
        <v>9.8635387090000002</v>
      </c>
      <c r="L2581" s="8">
        <v>45.499409319999998</v>
      </c>
      <c r="M2581" s="9" t="str">
        <f>IF(A2581="",M2582,A2581)</f>
        <v>Monaco</v>
      </c>
      <c r="N2581" s="3" t="str">
        <f t="shared" si="81"/>
        <v>Dec-2020</v>
      </c>
    </row>
    <row r="2582" spans="1:14" x14ac:dyDescent="0.3">
      <c r="A2582" s="3" t="s">
        <v>222</v>
      </c>
      <c r="B2582" s="3" t="s">
        <v>223</v>
      </c>
      <c r="C2582" s="8">
        <v>2021</v>
      </c>
      <c r="D2582" s="8">
        <v>1</v>
      </c>
      <c r="E2582" s="3" t="str">
        <f t="shared" si="80"/>
        <v>January</v>
      </c>
      <c r="F2582" s="3" t="s">
        <v>13</v>
      </c>
      <c r="G2582" s="8">
        <v>44.260738920000001</v>
      </c>
      <c r="H2582" s="8">
        <v>58</v>
      </c>
      <c r="I2582" s="8">
        <v>13.73926108</v>
      </c>
      <c r="J2582" s="8">
        <v>41.244758160000003</v>
      </c>
      <c r="K2582" s="8">
        <v>22.142405180000001</v>
      </c>
      <c r="L2582" s="8">
        <v>59.71796423</v>
      </c>
      <c r="M2582" s="9" t="str">
        <f>IF(A2582="",M2583,A2582)</f>
        <v>Monaco</v>
      </c>
      <c r="N2582" s="3" t="str">
        <f t="shared" si="81"/>
        <v>Jan-2021</v>
      </c>
    </row>
    <row r="2583" spans="1:14" x14ac:dyDescent="0.3">
      <c r="A2583" s="3" t="s">
        <v>222</v>
      </c>
      <c r="B2583" s="3" t="s">
        <v>223</v>
      </c>
      <c r="C2583" s="8">
        <v>2021</v>
      </c>
      <c r="D2583" s="8">
        <v>2</v>
      </c>
      <c r="E2583" s="3" t="str">
        <f t="shared" si="80"/>
        <v>February</v>
      </c>
      <c r="F2583" s="3" t="s">
        <v>13</v>
      </c>
      <c r="G2583" s="8">
        <v>42.930439610000001</v>
      </c>
      <c r="H2583" s="8">
        <v>70</v>
      </c>
      <c r="I2583" s="8">
        <v>27.069560389999999</v>
      </c>
      <c r="J2583" s="8">
        <v>68.314318549999996</v>
      </c>
      <c r="K2583" s="8">
        <v>49.166831860000002</v>
      </c>
      <c r="L2583" s="8">
        <v>87.122830859999993</v>
      </c>
      <c r="M2583" s="9" t="str">
        <f>IF(A2583="",M2584,A2583)</f>
        <v>Monaco</v>
      </c>
      <c r="N2583" s="3" t="str">
        <f t="shared" si="81"/>
        <v>Feb-2021</v>
      </c>
    </row>
    <row r="2584" spans="1:14" x14ac:dyDescent="0.3">
      <c r="A2584" s="3" t="s">
        <v>222</v>
      </c>
      <c r="B2584" s="3" t="s">
        <v>223</v>
      </c>
      <c r="C2584" s="8">
        <v>2021</v>
      </c>
      <c r="D2584" s="8">
        <v>3</v>
      </c>
      <c r="E2584" s="3" t="str">
        <f t="shared" si="80"/>
        <v>March</v>
      </c>
      <c r="F2584" s="3" t="s">
        <v>13</v>
      </c>
      <c r="G2584" s="8">
        <v>40.919442099999998</v>
      </c>
      <c r="H2584" s="8">
        <v>66</v>
      </c>
      <c r="I2584" s="8">
        <v>25.080557899999999</v>
      </c>
      <c r="J2584" s="8">
        <v>93.394876449999998</v>
      </c>
      <c r="K2584" s="8">
        <v>74.09959259</v>
      </c>
      <c r="L2584" s="8">
        <v>113.05877150000001</v>
      </c>
      <c r="M2584" s="9" t="str">
        <f>IF(A2584="",M2585,A2584)</f>
        <v>Monaco</v>
      </c>
      <c r="N2584" s="3" t="str">
        <f t="shared" si="81"/>
        <v>Mar-2021</v>
      </c>
    </row>
    <row r="2585" spans="1:14" x14ac:dyDescent="0.3">
      <c r="A2585" s="3" t="s">
        <v>222</v>
      </c>
      <c r="B2585" s="3" t="s">
        <v>223</v>
      </c>
      <c r="C2585" s="8">
        <v>2021</v>
      </c>
      <c r="D2585" s="8">
        <v>4</v>
      </c>
      <c r="E2585" s="3" t="str">
        <f t="shared" si="80"/>
        <v>April</v>
      </c>
      <c r="F2585" s="3" t="s">
        <v>13</v>
      </c>
      <c r="G2585" s="8">
        <v>38.89825381</v>
      </c>
      <c r="H2585" s="8">
        <v>40</v>
      </c>
      <c r="I2585" s="8">
        <v>1.101746187</v>
      </c>
      <c r="J2585" s="8">
        <v>94.496622639999998</v>
      </c>
      <c r="K2585" s="8">
        <v>73.985844880000002</v>
      </c>
      <c r="L2585" s="8">
        <v>116.342646</v>
      </c>
      <c r="M2585" s="9" t="str">
        <f>IF(A2585="",M2586,A2585)</f>
        <v>Monaco</v>
      </c>
      <c r="N2585" s="3" t="str">
        <f t="shared" si="81"/>
        <v>Apr-2021</v>
      </c>
    </row>
    <row r="2586" spans="1:14" x14ac:dyDescent="0.3">
      <c r="A2586" s="3" t="s">
        <v>222</v>
      </c>
      <c r="B2586" s="3" t="s">
        <v>223</v>
      </c>
      <c r="C2586" s="8">
        <v>2021</v>
      </c>
      <c r="D2586" s="8">
        <v>5</v>
      </c>
      <c r="E2586" s="3" t="str">
        <f t="shared" si="80"/>
        <v>May</v>
      </c>
      <c r="F2586" s="3" t="s">
        <v>13</v>
      </c>
      <c r="G2586" s="8">
        <v>37.57505106</v>
      </c>
      <c r="H2586" s="8">
        <v>58</v>
      </c>
      <c r="I2586" s="8">
        <v>20.42494894</v>
      </c>
      <c r="J2586" s="8">
        <v>114.92157159999999</v>
      </c>
      <c r="K2586" s="8">
        <v>94.147316320000002</v>
      </c>
      <c r="L2586" s="8">
        <v>136.6019733</v>
      </c>
      <c r="M2586" s="9" t="str">
        <f>IF(A2586="",M2587,A2586)</f>
        <v>Monaco</v>
      </c>
      <c r="N2586" s="3" t="str">
        <f t="shared" si="81"/>
        <v>May-2021</v>
      </c>
    </row>
    <row r="2587" spans="1:14" x14ac:dyDescent="0.3">
      <c r="A2587" s="3" t="s">
        <v>222</v>
      </c>
      <c r="B2587" s="3" t="s">
        <v>223</v>
      </c>
      <c r="C2587" s="8">
        <v>2021</v>
      </c>
      <c r="D2587" s="8">
        <v>6</v>
      </c>
      <c r="E2587" s="3" t="str">
        <f t="shared" si="80"/>
        <v>June</v>
      </c>
      <c r="F2587" s="3" t="s">
        <v>13</v>
      </c>
      <c r="G2587" s="8">
        <v>36.826469779999996</v>
      </c>
      <c r="H2587" s="8">
        <v>27</v>
      </c>
      <c r="I2587" s="8">
        <v>-9.8264697830000003</v>
      </c>
      <c r="J2587" s="8">
        <v>105.09510179999999</v>
      </c>
      <c r="K2587" s="8">
        <v>83.727382210000002</v>
      </c>
      <c r="L2587" s="8">
        <v>127.29993399999999</v>
      </c>
      <c r="M2587" s="9" t="str">
        <f>IF(A2587="",M2588,A2587)</f>
        <v>Monaco</v>
      </c>
      <c r="N2587" s="3" t="str">
        <f t="shared" si="81"/>
        <v>Jun-2021</v>
      </c>
    </row>
    <row r="2588" spans="1:14" x14ac:dyDescent="0.3">
      <c r="A2588" s="3" t="s">
        <v>222</v>
      </c>
      <c r="B2588" s="3" t="s">
        <v>223</v>
      </c>
      <c r="C2588" s="8">
        <v>2021</v>
      </c>
      <c r="D2588" s="8">
        <v>7</v>
      </c>
      <c r="E2588" s="3" t="str">
        <f t="shared" si="80"/>
        <v>July</v>
      </c>
      <c r="F2588" s="3" t="s">
        <v>13</v>
      </c>
      <c r="G2588" s="8">
        <v>36.926334560000001</v>
      </c>
      <c r="H2588" s="8">
        <v>39</v>
      </c>
      <c r="I2588" s="8">
        <v>2.073665444</v>
      </c>
      <c r="J2588" s="8">
        <v>107.1687672</v>
      </c>
      <c r="K2588" s="8">
        <v>84.213224409999995</v>
      </c>
      <c r="L2588" s="8">
        <v>130.32158860000001</v>
      </c>
      <c r="M2588" s="9" t="str">
        <f>IF(A2588="",M2589,A2588)</f>
        <v>Monaco</v>
      </c>
      <c r="N2588" s="3" t="str">
        <f t="shared" si="81"/>
        <v>Jul-2021</v>
      </c>
    </row>
    <row r="2589" spans="1:14" x14ac:dyDescent="0.3">
      <c r="A2589" s="3" t="s">
        <v>222</v>
      </c>
      <c r="B2589" s="3" t="s">
        <v>223</v>
      </c>
      <c r="C2589" s="8">
        <v>2021</v>
      </c>
      <c r="D2589" s="8">
        <v>8</v>
      </c>
      <c r="E2589" s="3" t="str">
        <f t="shared" si="80"/>
        <v>August</v>
      </c>
      <c r="F2589" s="3" t="s">
        <v>13</v>
      </c>
      <c r="G2589" s="8">
        <v>37.780345709999999</v>
      </c>
      <c r="H2589" s="8">
        <v>45</v>
      </c>
      <c r="I2589" s="8">
        <v>7.2196542929999996</v>
      </c>
      <c r="J2589" s="8">
        <v>114.38842150000001</v>
      </c>
      <c r="K2589" s="8">
        <v>90.688683089999998</v>
      </c>
      <c r="L2589" s="8">
        <v>137.97489179999999</v>
      </c>
      <c r="M2589" s="9" t="str">
        <f>IF(A2589="",M2590,A2589)</f>
        <v>Monaco</v>
      </c>
      <c r="N2589" s="3" t="str">
        <f t="shared" si="81"/>
        <v>Aug-2021</v>
      </c>
    </row>
    <row r="2590" spans="1:14" x14ac:dyDescent="0.3">
      <c r="A2590" s="3" t="s">
        <v>222</v>
      </c>
      <c r="B2590" s="3" t="s">
        <v>223</v>
      </c>
      <c r="C2590" s="8">
        <v>2021</v>
      </c>
      <c r="D2590" s="8">
        <v>9</v>
      </c>
      <c r="E2590" s="3" t="str">
        <f t="shared" si="80"/>
        <v>September</v>
      </c>
      <c r="F2590" s="3" t="s">
        <v>13</v>
      </c>
      <c r="G2590" s="8">
        <v>39.165039909999997</v>
      </c>
      <c r="H2590" s="8">
        <v>46</v>
      </c>
      <c r="I2590" s="8">
        <v>6.8349600879999999</v>
      </c>
      <c r="J2590" s="8">
        <v>121.2233816</v>
      </c>
      <c r="K2590" s="8">
        <v>97.735375660000003</v>
      </c>
      <c r="L2590" s="8">
        <v>145.9879363</v>
      </c>
      <c r="M2590" s="9" t="str">
        <f>IF(A2590="",M2591,A2590)</f>
        <v>Monaco</v>
      </c>
      <c r="N2590" s="3" t="str">
        <f t="shared" si="81"/>
        <v>Sep-2021</v>
      </c>
    </row>
    <row r="2591" spans="1:14" x14ac:dyDescent="0.3">
      <c r="A2591" s="3" t="s">
        <v>222</v>
      </c>
      <c r="B2591" s="3" t="s">
        <v>223</v>
      </c>
      <c r="C2591" s="8">
        <v>2021</v>
      </c>
      <c r="D2591" s="8">
        <v>10</v>
      </c>
      <c r="E2591" s="3" t="str">
        <f t="shared" si="80"/>
        <v>October</v>
      </c>
      <c r="F2591" s="3" t="s">
        <v>13</v>
      </c>
      <c r="G2591" s="8">
        <v>41.698466590000002</v>
      </c>
      <c r="H2591" s="8">
        <v>50</v>
      </c>
      <c r="I2591" s="8">
        <v>8.3015334119999995</v>
      </c>
      <c r="J2591" s="8">
        <v>129.52491499999999</v>
      </c>
      <c r="K2591" s="8">
        <v>105.1190347</v>
      </c>
      <c r="L2591" s="8">
        <v>154.2775044</v>
      </c>
      <c r="M2591" s="9" t="str">
        <f>IF(A2591="",M2592,A2591)</f>
        <v>Monaco</v>
      </c>
      <c r="N2591" s="3" t="str">
        <f t="shared" si="81"/>
        <v>Oct-2021</v>
      </c>
    </row>
    <row r="2592" spans="1:14" x14ac:dyDescent="0.3">
      <c r="A2592" s="3" t="s">
        <v>222</v>
      </c>
      <c r="B2592" s="3" t="s">
        <v>223</v>
      </c>
      <c r="C2592" s="8">
        <v>2021</v>
      </c>
      <c r="D2592" s="8">
        <v>11</v>
      </c>
      <c r="E2592" s="3" t="str">
        <f t="shared" si="80"/>
        <v>November</v>
      </c>
      <c r="F2592" s="3" t="s">
        <v>13</v>
      </c>
      <c r="G2592" s="8">
        <v>43.009153169999998</v>
      </c>
      <c r="H2592" s="8">
        <v>36</v>
      </c>
      <c r="I2592" s="8">
        <v>-7.0091531700000003</v>
      </c>
      <c r="J2592" s="8">
        <v>122.5157619</v>
      </c>
      <c r="K2592" s="8">
        <v>97.996510040000004</v>
      </c>
      <c r="L2592" s="8">
        <v>147.90231449999999</v>
      </c>
      <c r="M2592" s="9" t="str">
        <f>IF(A2592="",M2593,A2592)</f>
        <v>Monaco</v>
      </c>
      <c r="N2592" s="3" t="str">
        <f t="shared" si="81"/>
        <v>Nov-2021</v>
      </c>
    </row>
    <row r="2593" spans="1:14" x14ac:dyDescent="0.3">
      <c r="A2593" s="3" t="s">
        <v>222</v>
      </c>
      <c r="B2593" s="3" t="s">
        <v>223</v>
      </c>
      <c r="C2593" s="8">
        <v>2021</v>
      </c>
      <c r="D2593" s="8">
        <v>12</v>
      </c>
      <c r="E2593" s="3" t="str">
        <f t="shared" si="80"/>
        <v>December</v>
      </c>
      <c r="F2593" s="3" t="s">
        <v>13</v>
      </c>
      <c r="G2593" s="8">
        <v>43.33714432</v>
      </c>
      <c r="H2593" s="8">
        <v>58</v>
      </c>
      <c r="I2593" s="8">
        <v>14.66285568</v>
      </c>
      <c r="J2593" s="8">
        <v>137.1786175</v>
      </c>
      <c r="K2593" s="8">
        <v>110.6344809</v>
      </c>
      <c r="L2593" s="8">
        <v>161.93087499999999</v>
      </c>
      <c r="M2593" s="9" t="str">
        <f>IF(A2593="",M2594,A2593)</f>
        <v>Monaco</v>
      </c>
      <c r="N2593" s="3" t="str">
        <f t="shared" si="81"/>
        <v>Dec-2021</v>
      </c>
    </row>
    <row r="2594" spans="1:14" x14ac:dyDescent="0.3">
      <c r="A2594" s="3" t="s">
        <v>224</v>
      </c>
      <c r="B2594" s="3" t="s">
        <v>225</v>
      </c>
      <c r="C2594" s="8">
        <v>2020</v>
      </c>
      <c r="D2594" s="8">
        <v>1</v>
      </c>
      <c r="E2594" s="3" t="str">
        <f t="shared" si="80"/>
        <v>January</v>
      </c>
      <c r="F2594" s="3" t="s">
        <v>13</v>
      </c>
      <c r="G2594" s="8">
        <v>3315.7409720000001</v>
      </c>
      <c r="H2594" s="8">
        <v>3477</v>
      </c>
      <c r="I2594" s="8">
        <v>161.25902780000001</v>
      </c>
      <c r="J2594" s="8">
        <v>161.25902780000001</v>
      </c>
      <c r="K2594" s="8">
        <v>3.7278900930000001</v>
      </c>
      <c r="L2594" s="8">
        <v>311.6804133</v>
      </c>
      <c r="M2594" s="9" t="str">
        <f>IF(A2594="",M2595,A2594)</f>
        <v>Republic of Moldova</v>
      </c>
      <c r="N2594" s="3" t="str">
        <f t="shared" si="81"/>
        <v>Jan-2020</v>
      </c>
    </row>
    <row r="2595" spans="1:14" x14ac:dyDescent="0.3">
      <c r="A2595" s="3" t="s">
        <v>224</v>
      </c>
      <c r="B2595" s="3" t="s">
        <v>225</v>
      </c>
      <c r="C2595" s="8">
        <v>2020</v>
      </c>
      <c r="D2595" s="8">
        <v>2</v>
      </c>
      <c r="E2595" s="3" t="str">
        <f t="shared" si="80"/>
        <v>February</v>
      </c>
      <c r="F2595" s="3" t="s">
        <v>13</v>
      </c>
      <c r="G2595" s="8">
        <v>3213.7387039999999</v>
      </c>
      <c r="H2595" s="8">
        <v>3098</v>
      </c>
      <c r="I2595" s="8">
        <v>-115.7387039</v>
      </c>
      <c r="J2595" s="8">
        <v>45.52032389</v>
      </c>
      <c r="K2595" s="8">
        <v>-186.05449110000001</v>
      </c>
      <c r="L2595" s="8">
        <v>276.8110168</v>
      </c>
      <c r="M2595" s="9" t="str">
        <f>IF(A2595="",M2596,A2595)</f>
        <v>Republic of Moldova</v>
      </c>
      <c r="N2595" s="3" t="str">
        <f t="shared" si="81"/>
        <v>Feb-2020</v>
      </c>
    </row>
    <row r="2596" spans="1:14" x14ac:dyDescent="0.3">
      <c r="A2596" s="3" t="s">
        <v>224</v>
      </c>
      <c r="B2596" s="3" t="s">
        <v>225</v>
      </c>
      <c r="C2596" s="8">
        <v>2020</v>
      </c>
      <c r="D2596" s="8">
        <v>3</v>
      </c>
      <c r="E2596" s="3" t="str">
        <f t="shared" si="80"/>
        <v>March</v>
      </c>
      <c r="F2596" s="3" t="s">
        <v>13</v>
      </c>
      <c r="G2596" s="8">
        <v>3099.825319</v>
      </c>
      <c r="H2596" s="8">
        <v>2708</v>
      </c>
      <c r="I2596" s="8">
        <v>-391.82531899999998</v>
      </c>
      <c r="J2596" s="8">
        <v>-346.30499509999999</v>
      </c>
      <c r="K2596" s="8">
        <v>-643.65333940000005</v>
      </c>
      <c r="L2596" s="8">
        <v>-59.552981269999997</v>
      </c>
      <c r="M2596" s="9" t="str">
        <f>IF(A2596="",M2597,A2596)</f>
        <v>Republic of Moldova</v>
      </c>
      <c r="N2596" s="3" t="str">
        <f t="shared" si="81"/>
        <v>Mar-2020</v>
      </c>
    </row>
    <row r="2597" spans="1:14" x14ac:dyDescent="0.3">
      <c r="A2597" s="3" t="s">
        <v>224</v>
      </c>
      <c r="B2597" s="3" t="s">
        <v>225</v>
      </c>
      <c r="C2597" s="8">
        <v>2020</v>
      </c>
      <c r="D2597" s="8">
        <v>4</v>
      </c>
      <c r="E2597" s="3" t="str">
        <f t="shared" si="80"/>
        <v>April</v>
      </c>
      <c r="F2597" s="3" t="s">
        <v>13</v>
      </c>
      <c r="G2597" s="8">
        <v>2979.7678259999998</v>
      </c>
      <c r="H2597" s="8">
        <v>2275</v>
      </c>
      <c r="I2597" s="8">
        <v>-704.76782649999996</v>
      </c>
      <c r="J2597" s="8">
        <v>-1051.0728220000001</v>
      </c>
      <c r="K2597" s="8">
        <v>-1387.703761</v>
      </c>
      <c r="L2597" s="8">
        <v>-724.78731089999997</v>
      </c>
      <c r="M2597" s="9" t="str">
        <f>IF(A2597="",M2598,A2597)</f>
        <v>Republic of Moldova</v>
      </c>
      <c r="N2597" s="3" t="str">
        <f t="shared" si="81"/>
        <v>Apr-2020</v>
      </c>
    </row>
    <row r="2598" spans="1:14" x14ac:dyDescent="0.3">
      <c r="A2598" s="3" t="s">
        <v>224</v>
      </c>
      <c r="B2598" s="3" t="s">
        <v>225</v>
      </c>
      <c r="C2598" s="8">
        <v>2020</v>
      </c>
      <c r="D2598" s="8">
        <v>5</v>
      </c>
      <c r="E2598" s="3" t="str">
        <f t="shared" si="80"/>
        <v>May</v>
      </c>
      <c r="F2598" s="3" t="s">
        <v>13</v>
      </c>
      <c r="G2598" s="8">
        <v>2903.9339089999999</v>
      </c>
      <c r="H2598" s="8">
        <v>3873</v>
      </c>
      <c r="I2598" s="8">
        <v>969.06609060000005</v>
      </c>
      <c r="J2598" s="8">
        <v>-82.00673089</v>
      </c>
      <c r="K2598" s="8">
        <v>-443.24136270000002</v>
      </c>
      <c r="L2598" s="8">
        <v>293.78854849999999</v>
      </c>
      <c r="M2598" s="9" t="str">
        <f>IF(A2598="",M2599,A2598)</f>
        <v>Republic of Moldova</v>
      </c>
      <c r="N2598" s="3" t="str">
        <f t="shared" si="81"/>
        <v>May-2020</v>
      </c>
    </row>
    <row r="2599" spans="1:14" x14ac:dyDescent="0.3">
      <c r="A2599" s="3" t="s">
        <v>224</v>
      </c>
      <c r="B2599" s="3" t="s">
        <v>225</v>
      </c>
      <c r="C2599" s="8">
        <v>2020</v>
      </c>
      <c r="D2599" s="8">
        <v>6</v>
      </c>
      <c r="E2599" s="3" t="str">
        <f t="shared" si="80"/>
        <v>June</v>
      </c>
      <c r="F2599" s="3" t="s">
        <v>13</v>
      </c>
      <c r="G2599" s="8">
        <v>2750.5998709999999</v>
      </c>
      <c r="H2599" s="8">
        <v>3339</v>
      </c>
      <c r="I2599" s="8">
        <v>588.40012950000005</v>
      </c>
      <c r="J2599" s="8">
        <v>506.39339860000001</v>
      </c>
      <c r="K2599" s="8">
        <v>109.9372855</v>
      </c>
      <c r="L2599" s="8">
        <v>879.36498900000004</v>
      </c>
      <c r="M2599" s="9" t="str">
        <f>IF(A2599="",M2600,A2599)</f>
        <v>Republic of Moldova</v>
      </c>
      <c r="N2599" s="3" t="str">
        <f t="shared" si="81"/>
        <v>Jun-2020</v>
      </c>
    </row>
    <row r="2600" spans="1:14" x14ac:dyDescent="0.3">
      <c r="A2600" s="3" t="s">
        <v>224</v>
      </c>
      <c r="B2600" s="3" t="s">
        <v>225</v>
      </c>
      <c r="C2600" s="8">
        <v>2020</v>
      </c>
      <c r="D2600" s="8">
        <v>7</v>
      </c>
      <c r="E2600" s="3" t="str">
        <f t="shared" si="80"/>
        <v>July</v>
      </c>
      <c r="F2600" s="3" t="s">
        <v>13</v>
      </c>
      <c r="G2600" s="8">
        <v>2587.9508470000001</v>
      </c>
      <c r="H2600" s="8">
        <v>3355</v>
      </c>
      <c r="I2600" s="8">
        <v>767.04915300000005</v>
      </c>
      <c r="J2600" s="8">
        <v>1273.442552</v>
      </c>
      <c r="K2600" s="8">
        <v>853.76268149999999</v>
      </c>
      <c r="L2600" s="8">
        <v>1685.18164</v>
      </c>
      <c r="M2600" s="9" t="str">
        <f>IF(A2600="",M2601,A2600)</f>
        <v>Republic of Moldova</v>
      </c>
      <c r="N2600" s="3" t="str">
        <f t="shared" si="81"/>
        <v>Jul-2020</v>
      </c>
    </row>
    <row r="2601" spans="1:14" x14ac:dyDescent="0.3">
      <c r="A2601" s="3" t="s">
        <v>224</v>
      </c>
      <c r="B2601" s="3" t="s">
        <v>225</v>
      </c>
      <c r="C2601" s="8">
        <v>2020</v>
      </c>
      <c r="D2601" s="8">
        <v>8</v>
      </c>
      <c r="E2601" s="3" t="str">
        <f t="shared" si="80"/>
        <v>August</v>
      </c>
      <c r="F2601" s="3" t="s">
        <v>13</v>
      </c>
      <c r="G2601" s="8">
        <v>2529.1618859999999</v>
      </c>
      <c r="H2601" s="8">
        <v>2707</v>
      </c>
      <c r="I2601" s="8">
        <v>177.8381143</v>
      </c>
      <c r="J2601" s="8">
        <v>1451.2806660000001</v>
      </c>
      <c r="K2601" s="8">
        <v>1016.712752</v>
      </c>
      <c r="L2601" s="8">
        <v>1890.109404</v>
      </c>
      <c r="M2601" s="9" t="str">
        <f>IF(A2601="",M2602,A2601)</f>
        <v>Republic of Moldova</v>
      </c>
      <c r="N2601" s="3" t="str">
        <f t="shared" si="81"/>
        <v>Aug-2020</v>
      </c>
    </row>
    <row r="2602" spans="1:14" x14ac:dyDescent="0.3">
      <c r="A2602" s="3" t="s">
        <v>224</v>
      </c>
      <c r="B2602" s="3" t="s">
        <v>225</v>
      </c>
      <c r="C2602" s="8">
        <v>2020</v>
      </c>
      <c r="D2602" s="8">
        <v>9</v>
      </c>
      <c r="E2602" s="3" t="str">
        <f t="shared" si="80"/>
        <v>September</v>
      </c>
      <c r="F2602" s="3" t="s">
        <v>13</v>
      </c>
      <c r="G2602" s="8">
        <v>2654.4178440000001</v>
      </c>
      <c r="H2602" s="8">
        <v>3467</v>
      </c>
      <c r="I2602" s="8">
        <v>812.58215580000001</v>
      </c>
      <c r="J2602" s="8">
        <v>2263.8628220000001</v>
      </c>
      <c r="K2602" s="8">
        <v>1784.9427499999999</v>
      </c>
      <c r="L2602" s="8">
        <v>2718.3497619999998</v>
      </c>
      <c r="M2602" s="9" t="str">
        <f>IF(A2602="",M2603,A2602)</f>
        <v>Republic of Moldova</v>
      </c>
      <c r="N2602" s="3" t="str">
        <f t="shared" si="81"/>
        <v>Sep-2020</v>
      </c>
    </row>
    <row r="2603" spans="1:14" x14ac:dyDescent="0.3">
      <c r="A2603" s="3" t="s">
        <v>224</v>
      </c>
      <c r="B2603" s="3" t="s">
        <v>225</v>
      </c>
      <c r="C2603" s="8">
        <v>2020</v>
      </c>
      <c r="D2603" s="8">
        <v>10</v>
      </c>
      <c r="E2603" s="3" t="str">
        <f t="shared" si="80"/>
        <v>October</v>
      </c>
      <c r="F2603" s="3" t="s">
        <v>13</v>
      </c>
      <c r="G2603" s="8">
        <v>2888.114423</v>
      </c>
      <c r="H2603" s="8">
        <v>3829</v>
      </c>
      <c r="I2603" s="8">
        <v>940.88557660000004</v>
      </c>
      <c r="J2603" s="8">
        <v>3204.7483980000002</v>
      </c>
      <c r="K2603" s="8">
        <v>2695.2725089999999</v>
      </c>
      <c r="L2603" s="8">
        <v>3689.68995</v>
      </c>
      <c r="M2603" s="9" t="str">
        <f>IF(A2603="",M2604,A2603)</f>
        <v>Republic of Moldova</v>
      </c>
      <c r="N2603" s="3" t="str">
        <f t="shared" si="81"/>
        <v>Oct-2020</v>
      </c>
    </row>
    <row r="2604" spans="1:14" x14ac:dyDescent="0.3">
      <c r="A2604" s="3" t="s">
        <v>224</v>
      </c>
      <c r="B2604" s="3" t="s">
        <v>225</v>
      </c>
      <c r="C2604" s="8">
        <v>2020</v>
      </c>
      <c r="D2604" s="8">
        <v>11</v>
      </c>
      <c r="E2604" s="3" t="str">
        <f t="shared" si="80"/>
        <v>November</v>
      </c>
      <c r="F2604" s="3" t="s">
        <v>13</v>
      </c>
      <c r="G2604" s="8">
        <v>3113.090287</v>
      </c>
      <c r="H2604" s="8">
        <v>3736</v>
      </c>
      <c r="I2604" s="8">
        <v>622.90971339999999</v>
      </c>
      <c r="J2604" s="8">
        <v>3827.6581120000001</v>
      </c>
      <c r="K2604" s="8">
        <v>3263.6545369999999</v>
      </c>
      <c r="L2604" s="8">
        <v>4344.8034470000002</v>
      </c>
      <c r="M2604" s="9" t="str">
        <f>IF(A2604="",M2605,A2604)</f>
        <v>Republic of Moldova</v>
      </c>
      <c r="N2604" s="3" t="str">
        <f t="shared" si="81"/>
        <v>Nov-2020</v>
      </c>
    </row>
    <row r="2605" spans="1:14" x14ac:dyDescent="0.3">
      <c r="A2605" s="3" t="s">
        <v>224</v>
      </c>
      <c r="B2605" s="3" t="s">
        <v>225</v>
      </c>
      <c r="C2605" s="8">
        <v>2020</v>
      </c>
      <c r="D2605" s="8">
        <v>12</v>
      </c>
      <c r="E2605" s="3" t="str">
        <f t="shared" si="80"/>
        <v>December</v>
      </c>
      <c r="F2605" s="3" t="s">
        <v>13</v>
      </c>
      <c r="G2605" s="8">
        <v>3243.3066570000001</v>
      </c>
      <c r="H2605" s="8">
        <v>4852</v>
      </c>
      <c r="I2605" s="8">
        <v>1608.6933429999999</v>
      </c>
      <c r="J2605" s="8">
        <v>5436.351455</v>
      </c>
      <c r="K2605" s="8">
        <v>4893.2950179999998</v>
      </c>
      <c r="L2605" s="8">
        <v>5967.7838119999997</v>
      </c>
      <c r="M2605" s="9" t="str">
        <f>IF(A2605="",M2606,A2605)</f>
        <v>Republic of Moldova</v>
      </c>
      <c r="N2605" s="3" t="str">
        <f t="shared" si="81"/>
        <v>Dec-2020</v>
      </c>
    </row>
    <row r="2606" spans="1:14" x14ac:dyDescent="0.3">
      <c r="A2606" s="3" t="s">
        <v>224</v>
      </c>
      <c r="B2606" s="3" t="s">
        <v>225</v>
      </c>
      <c r="C2606" s="8">
        <v>2021</v>
      </c>
      <c r="D2606" s="8">
        <v>1</v>
      </c>
      <c r="E2606" s="3" t="str">
        <f t="shared" si="80"/>
        <v>January</v>
      </c>
      <c r="F2606" s="3" t="s">
        <v>13</v>
      </c>
      <c r="G2606" s="8">
        <v>3239.5286729999998</v>
      </c>
      <c r="H2606" s="8">
        <v>4128</v>
      </c>
      <c r="I2606" s="8">
        <v>888.47132650000003</v>
      </c>
      <c r="J2606" s="8">
        <v>6324.8227809999998</v>
      </c>
      <c r="K2606" s="8">
        <v>5736.6369809999997</v>
      </c>
      <c r="L2606" s="8">
        <v>6897.78442</v>
      </c>
      <c r="M2606" s="9" t="str">
        <f>IF(A2606="",M2607,A2606)</f>
        <v>Republic of Moldova</v>
      </c>
      <c r="N2606" s="3" t="str">
        <f t="shared" si="81"/>
        <v>Jan-2021</v>
      </c>
    </row>
    <row r="2607" spans="1:14" x14ac:dyDescent="0.3">
      <c r="A2607" s="3" t="s">
        <v>224</v>
      </c>
      <c r="B2607" s="3" t="s">
        <v>225</v>
      </c>
      <c r="C2607" s="8">
        <v>2021</v>
      </c>
      <c r="D2607" s="8">
        <v>2</v>
      </c>
      <c r="E2607" s="3" t="str">
        <f t="shared" si="80"/>
        <v>February</v>
      </c>
      <c r="F2607" s="3" t="s">
        <v>13</v>
      </c>
      <c r="G2607" s="8">
        <v>3140.5583080000001</v>
      </c>
      <c r="H2607" s="8">
        <v>3691</v>
      </c>
      <c r="I2607" s="8">
        <v>550.44169169999998</v>
      </c>
      <c r="J2607" s="8">
        <v>6875.2644730000002</v>
      </c>
      <c r="K2607" s="8">
        <v>6249.3193220000003</v>
      </c>
      <c r="L2607" s="8">
        <v>7478.4899230000001</v>
      </c>
      <c r="M2607" s="9" t="str">
        <f>IF(A2607="",M2608,A2607)</f>
        <v>Republic of Moldova</v>
      </c>
      <c r="N2607" s="3" t="str">
        <f t="shared" si="81"/>
        <v>Feb-2021</v>
      </c>
    </row>
    <row r="2608" spans="1:14" x14ac:dyDescent="0.3">
      <c r="A2608" s="3" t="s">
        <v>224</v>
      </c>
      <c r="B2608" s="3" t="s">
        <v>225</v>
      </c>
      <c r="C2608" s="8">
        <v>2021</v>
      </c>
      <c r="D2608" s="8">
        <v>3</v>
      </c>
      <c r="E2608" s="3" t="str">
        <f t="shared" si="80"/>
        <v>March</v>
      </c>
      <c r="F2608" s="3" t="s">
        <v>13</v>
      </c>
      <c r="G2608" s="8">
        <v>3029.8744099999999</v>
      </c>
      <c r="H2608" s="8">
        <v>4908</v>
      </c>
      <c r="I2608" s="8">
        <v>1878.1255900000001</v>
      </c>
      <c r="J2608" s="8">
        <v>8753.3900630000007</v>
      </c>
      <c r="K2608" s="8">
        <v>8122.8132539999997</v>
      </c>
      <c r="L2608" s="8">
        <v>9403.4417150000008</v>
      </c>
      <c r="M2608" s="9" t="str">
        <f>IF(A2608="",M2609,A2608)</f>
        <v>Republic of Moldova</v>
      </c>
      <c r="N2608" s="3" t="str">
        <f t="shared" si="81"/>
        <v>Mar-2021</v>
      </c>
    </row>
    <row r="2609" spans="1:14" x14ac:dyDescent="0.3">
      <c r="A2609" s="3" t="s">
        <v>224</v>
      </c>
      <c r="B2609" s="3" t="s">
        <v>225</v>
      </c>
      <c r="C2609" s="8">
        <v>2021</v>
      </c>
      <c r="D2609" s="8">
        <v>4</v>
      </c>
      <c r="E2609" s="3" t="str">
        <f t="shared" si="80"/>
        <v>April</v>
      </c>
      <c r="F2609" s="3" t="s">
        <v>13</v>
      </c>
      <c r="G2609" s="8">
        <v>2915.6119250000002</v>
      </c>
      <c r="H2609" s="8">
        <v>4345</v>
      </c>
      <c r="I2609" s="8">
        <v>1429.3880750000001</v>
      </c>
      <c r="J2609" s="8">
        <v>10182.77814</v>
      </c>
      <c r="K2609" s="8">
        <v>9524.6331900000005</v>
      </c>
      <c r="L2609" s="8">
        <v>10851.85304</v>
      </c>
      <c r="M2609" s="9" t="str">
        <f>IF(A2609="",M2610,A2609)</f>
        <v>Republic of Moldova</v>
      </c>
      <c r="N2609" s="3" t="str">
        <f t="shared" si="81"/>
        <v>Apr-2021</v>
      </c>
    </row>
    <row r="2610" spans="1:14" x14ac:dyDescent="0.3">
      <c r="A2610" s="3" t="s">
        <v>224</v>
      </c>
      <c r="B2610" s="3" t="s">
        <v>225</v>
      </c>
      <c r="C2610" s="8">
        <v>2021</v>
      </c>
      <c r="D2610" s="8">
        <v>5</v>
      </c>
      <c r="E2610" s="3" t="str">
        <f t="shared" si="80"/>
        <v>May</v>
      </c>
      <c r="F2610" s="3" t="s">
        <v>13</v>
      </c>
      <c r="G2610" s="8">
        <v>2835.9849819999999</v>
      </c>
      <c r="H2610" s="8">
        <v>3378</v>
      </c>
      <c r="I2610" s="8">
        <v>542.01501770000004</v>
      </c>
      <c r="J2610" s="8">
        <v>10724.793159999999</v>
      </c>
      <c r="K2610" s="8">
        <v>10040.44003</v>
      </c>
      <c r="L2610" s="8">
        <v>11435.11032</v>
      </c>
      <c r="M2610" s="9" t="str">
        <f>IF(A2610="",M2611,A2610)</f>
        <v>Republic of Moldova</v>
      </c>
      <c r="N2610" s="3" t="str">
        <f t="shared" si="81"/>
        <v>May-2021</v>
      </c>
    </row>
    <row r="2611" spans="1:14" x14ac:dyDescent="0.3">
      <c r="A2611" s="3" t="s">
        <v>224</v>
      </c>
      <c r="B2611" s="3" t="s">
        <v>225</v>
      </c>
      <c r="C2611" s="8">
        <v>2021</v>
      </c>
      <c r="D2611" s="8">
        <v>6</v>
      </c>
      <c r="E2611" s="3" t="str">
        <f t="shared" si="80"/>
        <v>June</v>
      </c>
      <c r="F2611" s="3" t="s">
        <v>13</v>
      </c>
      <c r="G2611" s="8">
        <v>2689.0311400000001</v>
      </c>
      <c r="H2611" s="8">
        <v>3024</v>
      </c>
      <c r="I2611" s="8">
        <v>334.96886019999999</v>
      </c>
      <c r="J2611" s="8">
        <v>11059.76202</v>
      </c>
      <c r="K2611" s="8">
        <v>10333.90437</v>
      </c>
      <c r="L2611" s="8">
        <v>11793.55106</v>
      </c>
      <c r="M2611" s="9" t="str">
        <f>IF(A2611="",M2612,A2611)</f>
        <v>Republic of Moldova</v>
      </c>
      <c r="N2611" s="3" t="str">
        <f t="shared" si="81"/>
        <v>Jun-2021</v>
      </c>
    </row>
    <row r="2612" spans="1:14" x14ac:dyDescent="0.3">
      <c r="A2612" s="3" t="s">
        <v>224</v>
      </c>
      <c r="B2612" s="3" t="s">
        <v>225</v>
      </c>
      <c r="C2612" s="8">
        <v>2021</v>
      </c>
      <c r="D2612" s="8">
        <v>7</v>
      </c>
      <c r="E2612" s="3" t="str">
        <f t="shared" si="80"/>
        <v>July</v>
      </c>
      <c r="F2612" s="3" t="s">
        <v>13</v>
      </c>
      <c r="G2612" s="8">
        <v>2524.9675339999999</v>
      </c>
      <c r="H2612" s="8">
        <v>2946</v>
      </c>
      <c r="I2612" s="8">
        <v>421.03246560000002</v>
      </c>
      <c r="J2612" s="8">
        <v>11480.79448</v>
      </c>
      <c r="K2612" s="8">
        <v>10739.65633</v>
      </c>
      <c r="L2612" s="8">
        <v>12209.55443</v>
      </c>
      <c r="M2612" s="9" t="str">
        <f>IF(A2612="",M2613,A2612)</f>
        <v>Republic of Moldova</v>
      </c>
      <c r="N2612" s="3" t="str">
        <f t="shared" si="81"/>
        <v>Jul-2021</v>
      </c>
    </row>
    <row r="2613" spans="1:14" x14ac:dyDescent="0.3">
      <c r="A2613" s="3" t="s">
        <v>224</v>
      </c>
      <c r="B2613" s="3" t="s">
        <v>225</v>
      </c>
      <c r="C2613" s="8">
        <v>2021</v>
      </c>
      <c r="D2613" s="8">
        <v>8</v>
      </c>
      <c r="E2613" s="3" t="str">
        <f t="shared" si="80"/>
        <v>August</v>
      </c>
      <c r="F2613" s="3" t="s">
        <v>13</v>
      </c>
      <c r="G2613" s="8">
        <v>2474.7580330000001</v>
      </c>
      <c r="H2613" s="8">
        <v>2499</v>
      </c>
      <c r="I2613" s="8">
        <v>24.241967320000001</v>
      </c>
      <c r="J2613" s="8">
        <v>11505.03645</v>
      </c>
      <c r="K2613" s="8">
        <v>10734.5537</v>
      </c>
      <c r="L2613" s="8">
        <v>12239.14378</v>
      </c>
      <c r="M2613" s="9" t="str">
        <f>IF(A2613="",M2614,A2613)</f>
        <v>Republic of Moldova</v>
      </c>
      <c r="N2613" s="3" t="str">
        <f t="shared" si="81"/>
        <v>Aug-2021</v>
      </c>
    </row>
    <row r="2614" spans="1:14" x14ac:dyDescent="0.3">
      <c r="A2614" s="3" t="s">
        <v>224</v>
      </c>
      <c r="B2614" s="3" t="s">
        <v>225</v>
      </c>
      <c r="C2614" s="8">
        <v>2021</v>
      </c>
      <c r="D2614" s="8">
        <v>9</v>
      </c>
      <c r="E2614" s="3" t="str">
        <f t="shared" si="80"/>
        <v>September</v>
      </c>
      <c r="F2614" s="3" t="s">
        <v>13</v>
      </c>
      <c r="G2614" s="8">
        <v>2589.3569470000002</v>
      </c>
      <c r="H2614" s="8">
        <v>3574</v>
      </c>
      <c r="I2614" s="8">
        <v>984.64305339999999</v>
      </c>
      <c r="J2614" s="8">
        <v>12489.6795</v>
      </c>
      <c r="K2614" s="8">
        <v>11721.5563</v>
      </c>
      <c r="L2614" s="8">
        <v>13263.754929999999</v>
      </c>
      <c r="M2614" s="9" t="str">
        <f>IF(A2614="",M2615,A2614)</f>
        <v>Republic of Moldova</v>
      </c>
      <c r="N2614" s="3" t="str">
        <f t="shared" si="81"/>
        <v>Sep-2021</v>
      </c>
    </row>
    <row r="2615" spans="1:14" x14ac:dyDescent="0.3">
      <c r="A2615" s="3" t="s">
        <v>224</v>
      </c>
      <c r="B2615" s="3" t="s">
        <v>225</v>
      </c>
      <c r="C2615" s="8">
        <v>2021</v>
      </c>
      <c r="D2615" s="8">
        <v>10</v>
      </c>
      <c r="E2615" s="3" t="str">
        <f t="shared" si="80"/>
        <v>October</v>
      </c>
      <c r="F2615" s="3" t="s">
        <v>13</v>
      </c>
      <c r="G2615" s="8">
        <v>2819.2860059999998</v>
      </c>
      <c r="H2615" s="8">
        <v>4764</v>
      </c>
      <c r="I2615" s="8">
        <v>1944.713994</v>
      </c>
      <c r="J2615" s="8">
        <v>14434.3935</v>
      </c>
      <c r="K2615" s="8">
        <v>13648.157730000001</v>
      </c>
      <c r="L2615" s="8">
        <v>15227.606949999999</v>
      </c>
      <c r="M2615" s="9" t="str">
        <f>IF(A2615="",M2616,A2615)</f>
        <v>Republic of Moldova</v>
      </c>
      <c r="N2615" s="3" t="str">
        <f t="shared" si="81"/>
        <v>Oct-2021</v>
      </c>
    </row>
    <row r="2616" spans="1:14" x14ac:dyDescent="0.3">
      <c r="A2616" s="3" t="s">
        <v>224</v>
      </c>
      <c r="B2616" s="3" t="s">
        <v>225</v>
      </c>
      <c r="C2616" s="8">
        <v>2021</v>
      </c>
      <c r="D2616" s="8">
        <v>11</v>
      </c>
      <c r="E2616" s="3" t="str">
        <f t="shared" si="80"/>
        <v>November</v>
      </c>
      <c r="F2616" s="3" t="s">
        <v>13</v>
      </c>
      <c r="G2616" s="8">
        <v>3043.8084100000001</v>
      </c>
      <c r="H2616" s="8">
        <v>4713</v>
      </c>
      <c r="I2616" s="8">
        <v>1669.1915899999999</v>
      </c>
      <c r="J2616" s="8">
        <v>16103.58509</v>
      </c>
      <c r="K2616" s="8">
        <v>15293.0152</v>
      </c>
      <c r="L2616" s="8">
        <v>16949.82789</v>
      </c>
      <c r="M2616" s="9" t="str">
        <f>IF(A2616="",M2617,A2616)</f>
        <v>Republic of Moldova</v>
      </c>
      <c r="N2616" s="3" t="str">
        <f t="shared" si="81"/>
        <v>Nov-2021</v>
      </c>
    </row>
    <row r="2617" spans="1:14" x14ac:dyDescent="0.3">
      <c r="A2617" s="3" t="s">
        <v>224</v>
      </c>
      <c r="B2617" s="3" t="s">
        <v>225</v>
      </c>
      <c r="C2617" s="8">
        <v>2021</v>
      </c>
      <c r="D2617" s="8">
        <v>12</v>
      </c>
      <c r="E2617" s="3" t="str">
        <f t="shared" si="80"/>
        <v>December</v>
      </c>
      <c r="F2617" s="3" t="s">
        <v>13</v>
      </c>
      <c r="G2617" s="8">
        <v>3177.7706109999999</v>
      </c>
      <c r="H2617" s="8">
        <v>3416</v>
      </c>
      <c r="I2617" s="8">
        <v>238.22938920000001</v>
      </c>
      <c r="J2617" s="8">
        <v>16341.814479999999</v>
      </c>
      <c r="K2617" s="8">
        <v>15508.742980000001</v>
      </c>
      <c r="L2617" s="8">
        <v>17186.231230000001</v>
      </c>
      <c r="M2617" s="9" t="str">
        <f>IF(A2617="",M2618,A2617)</f>
        <v>Republic of Moldova</v>
      </c>
      <c r="N2617" s="3" t="str">
        <f t="shared" si="81"/>
        <v>Dec-2021</v>
      </c>
    </row>
    <row r="2618" spans="1:14" x14ac:dyDescent="0.3">
      <c r="A2618" s="3" t="s">
        <v>226</v>
      </c>
      <c r="B2618" s="3" t="s">
        <v>227</v>
      </c>
      <c r="C2618" s="8">
        <v>2020</v>
      </c>
      <c r="D2618" s="8">
        <v>1</v>
      </c>
      <c r="E2618" s="3" t="str">
        <f t="shared" si="80"/>
        <v>January</v>
      </c>
      <c r="F2618" s="3" t="s">
        <v>8</v>
      </c>
      <c r="G2618" s="8">
        <v>14807.02232</v>
      </c>
      <c r="H2618" s="8">
        <v>14942.89</v>
      </c>
      <c r="I2618" s="8">
        <v>135.86767710000001</v>
      </c>
      <c r="J2618" s="8">
        <v>135.86767710000001</v>
      </c>
      <c r="K2618" s="8">
        <v>-3409.4706120000001</v>
      </c>
      <c r="L2618" s="8">
        <v>4466.6607020000001</v>
      </c>
      <c r="M2618" s="9" t="str">
        <f>IF(A2618="",M2619,A2618)</f>
        <v>Madagascar</v>
      </c>
      <c r="N2618" s="3" t="str">
        <f t="shared" si="81"/>
        <v>Jan-2020</v>
      </c>
    </row>
    <row r="2619" spans="1:14" x14ac:dyDescent="0.3">
      <c r="A2619" s="3" t="s">
        <v>226</v>
      </c>
      <c r="B2619" s="3" t="s">
        <v>227</v>
      </c>
      <c r="C2619" s="8">
        <v>2020</v>
      </c>
      <c r="D2619" s="8">
        <v>2</v>
      </c>
      <c r="E2619" s="3" t="str">
        <f t="shared" si="80"/>
        <v>February</v>
      </c>
      <c r="F2619" s="3" t="s">
        <v>8</v>
      </c>
      <c r="G2619" s="8">
        <v>14790.060820000001</v>
      </c>
      <c r="H2619" s="8">
        <v>14864.050999999999</v>
      </c>
      <c r="I2619" s="8">
        <v>73.990176590000004</v>
      </c>
      <c r="J2619" s="8">
        <v>209.85785369999999</v>
      </c>
      <c r="K2619" s="8">
        <v>-5111.7460410000003</v>
      </c>
      <c r="L2619" s="8">
        <v>6563.8486679999996</v>
      </c>
      <c r="M2619" s="9" t="str">
        <f>IF(A2619="",M2620,A2619)</f>
        <v>Madagascar</v>
      </c>
      <c r="N2619" s="3" t="str">
        <f t="shared" si="81"/>
        <v>Feb-2020</v>
      </c>
    </row>
    <row r="2620" spans="1:14" x14ac:dyDescent="0.3">
      <c r="A2620" s="3" t="s">
        <v>226</v>
      </c>
      <c r="B2620" s="3" t="s">
        <v>227</v>
      </c>
      <c r="C2620" s="8">
        <v>2020</v>
      </c>
      <c r="D2620" s="8">
        <v>3</v>
      </c>
      <c r="E2620" s="3" t="str">
        <f t="shared" si="80"/>
        <v>March</v>
      </c>
      <c r="F2620" s="3" t="s">
        <v>8</v>
      </c>
      <c r="G2620" s="8">
        <v>14837.931549999999</v>
      </c>
      <c r="H2620" s="8">
        <v>15074.151</v>
      </c>
      <c r="I2620" s="8">
        <v>236.21945210000001</v>
      </c>
      <c r="J2620" s="8">
        <v>446.07730570000001</v>
      </c>
      <c r="K2620" s="8">
        <v>-6527.4110140000003</v>
      </c>
      <c r="L2620" s="8">
        <v>7992.5229929999996</v>
      </c>
      <c r="M2620" s="9" t="str">
        <f>IF(A2620="",M2621,A2620)</f>
        <v>Madagascar</v>
      </c>
      <c r="N2620" s="3" t="str">
        <f t="shared" si="81"/>
        <v>Mar-2020</v>
      </c>
    </row>
    <row r="2621" spans="1:14" x14ac:dyDescent="0.3">
      <c r="A2621" s="3" t="s">
        <v>226</v>
      </c>
      <c r="B2621" s="3" t="s">
        <v>227</v>
      </c>
      <c r="C2621" s="8">
        <v>2020</v>
      </c>
      <c r="D2621" s="8">
        <v>4</v>
      </c>
      <c r="E2621" s="3" t="str">
        <f t="shared" si="80"/>
        <v>April</v>
      </c>
      <c r="F2621" s="3" t="s">
        <v>8</v>
      </c>
      <c r="G2621" s="8">
        <v>14904.78335</v>
      </c>
      <c r="H2621" s="8">
        <v>13482.536</v>
      </c>
      <c r="I2621" s="8">
        <v>-1422.247353</v>
      </c>
      <c r="J2621" s="8">
        <v>-976.17004750000001</v>
      </c>
      <c r="K2621" s="8">
        <v>-8899.7729820000004</v>
      </c>
      <c r="L2621" s="8">
        <v>7804.8944499999998</v>
      </c>
      <c r="M2621" s="9" t="str">
        <f>IF(A2621="",M2622,A2621)</f>
        <v>Madagascar</v>
      </c>
      <c r="N2621" s="3" t="str">
        <f t="shared" si="81"/>
        <v>Apr-2020</v>
      </c>
    </row>
    <row r="2622" spans="1:14" x14ac:dyDescent="0.3">
      <c r="A2622" s="3" t="s">
        <v>226</v>
      </c>
      <c r="B2622" s="3" t="s">
        <v>227</v>
      </c>
      <c r="C2622" s="8">
        <v>2020</v>
      </c>
      <c r="D2622" s="8">
        <v>5</v>
      </c>
      <c r="E2622" s="3" t="str">
        <f t="shared" si="80"/>
        <v>May</v>
      </c>
      <c r="F2622" s="3" t="s">
        <v>8</v>
      </c>
      <c r="G2622" s="8">
        <v>15083.276260000001</v>
      </c>
      <c r="H2622" s="8">
        <v>14965.63</v>
      </c>
      <c r="I2622" s="8">
        <v>-117.6462617</v>
      </c>
      <c r="J2622" s="8">
        <v>-1093.816309</v>
      </c>
      <c r="K2622" s="8">
        <v>-9903.7204710000005</v>
      </c>
      <c r="L2622" s="8">
        <v>9093.2315749999998</v>
      </c>
      <c r="M2622" s="9" t="str">
        <f>IF(A2622="",M2623,A2622)</f>
        <v>Madagascar</v>
      </c>
      <c r="N2622" s="3" t="str">
        <f t="shared" si="81"/>
        <v>May-2020</v>
      </c>
    </row>
    <row r="2623" spans="1:14" x14ac:dyDescent="0.3">
      <c r="A2623" s="3" t="s">
        <v>226</v>
      </c>
      <c r="B2623" s="3" t="s">
        <v>227</v>
      </c>
      <c r="C2623" s="8">
        <v>2020</v>
      </c>
      <c r="D2623" s="8">
        <v>6</v>
      </c>
      <c r="E2623" s="3" t="str">
        <f t="shared" si="80"/>
        <v>June</v>
      </c>
      <c r="F2623" s="3" t="s">
        <v>8</v>
      </c>
      <c r="G2623" s="8">
        <v>15260.57944</v>
      </c>
      <c r="H2623" s="8">
        <v>16012.115</v>
      </c>
      <c r="I2623" s="8">
        <v>751.53556219999996</v>
      </c>
      <c r="J2623" s="8">
        <v>-342.28074700000002</v>
      </c>
      <c r="K2623" s="8">
        <v>-9934.5574350000006</v>
      </c>
      <c r="L2623" s="8">
        <v>11242.82279</v>
      </c>
      <c r="M2623" s="9" t="str">
        <f>IF(A2623="",M2624,A2623)</f>
        <v>Madagascar</v>
      </c>
      <c r="N2623" s="3" t="str">
        <f t="shared" si="81"/>
        <v>Jun-2020</v>
      </c>
    </row>
    <row r="2624" spans="1:14" x14ac:dyDescent="0.3">
      <c r="A2624" s="3" t="s">
        <v>226</v>
      </c>
      <c r="B2624" s="3" t="s">
        <v>227</v>
      </c>
      <c r="C2624" s="8">
        <v>2020</v>
      </c>
      <c r="D2624" s="8">
        <v>7</v>
      </c>
      <c r="E2624" s="3" t="str">
        <f t="shared" si="80"/>
        <v>July</v>
      </c>
      <c r="F2624" s="3" t="s">
        <v>8</v>
      </c>
      <c r="G2624" s="8">
        <v>15315.492630000001</v>
      </c>
      <c r="H2624" s="8">
        <v>19258.035</v>
      </c>
      <c r="I2624" s="8">
        <v>3942.5423679999999</v>
      </c>
      <c r="J2624" s="8">
        <v>3600.2616210000001</v>
      </c>
      <c r="K2624" s="8">
        <v>-7132.9187110000003</v>
      </c>
      <c r="L2624" s="8">
        <v>17552.980820000001</v>
      </c>
      <c r="M2624" s="9" t="str">
        <f>IF(A2624="",M2625,A2624)</f>
        <v>Madagascar</v>
      </c>
      <c r="N2624" s="3" t="str">
        <f t="shared" si="81"/>
        <v>Jul-2020</v>
      </c>
    </row>
    <row r="2625" spans="1:14" x14ac:dyDescent="0.3">
      <c r="A2625" s="3" t="s">
        <v>226</v>
      </c>
      <c r="B2625" s="3" t="s">
        <v>227</v>
      </c>
      <c r="C2625" s="8">
        <v>2020</v>
      </c>
      <c r="D2625" s="8">
        <v>8</v>
      </c>
      <c r="E2625" s="3" t="str">
        <f t="shared" si="80"/>
        <v>August</v>
      </c>
      <c r="F2625" s="3" t="s">
        <v>8</v>
      </c>
      <c r="G2625" s="8">
        <v>15259.49259</v>
      </c>
      <c r="H2625" s="8">
        <v>17796.792000000001</v>
      </c>
      <c r="I2625" s="8">
        <v>2537.2994060000001</v>
      </c>
      <c r="J2625" s="8">
        <v>6137.5610280000001</v>
      </c>
      <c r="K2625" s="8">
        <v>-5681.2933659999999</v>
      </c>
      <c r="L2625" s="8">
        <v>20080.725709999999</v>
      </c>
      <c r="M2625" s="9" t="str">
        <f>IF(A2625="",M2626,A2625)</f>
        <v>Madagascar</v>
      </c>
      <c r="N2625" s="3" t="str">
        <f t="shared" si="81"/>
        <v>Aug-2020</v>
      </c>
    </row>
    <row r="2626" spans="1:14" x14ac:dyDescent="0.3">
      <c r="A2626" s="3" t="s">
        <v>226</v>
      </c>
      <c r="B2626" s="3" t="s">
        <v>227</v>
      </c>
      <c r="C2626" s="8">
        <v>2020</v>
      </c>
      <c r="D2626" s="8">
        <v>9</v>
      </c>
      <c r="E2626" s="3" t="str">
        <f t="shared" ref="E2626:E2689" si="82">TEXT(DATE(C2626,D2626,1),"MMMM")</f>
        <v>September</v>
      </c>
      <c r="F2626" s="3" t="s">
        <v>8</v>
      </c>
      <c r="G2626" s="8">
        <v>15166.63989</v>
      </c>
      <c r="H2626" s="8">
        <v>16859.769</v>
      </c>
      <c r="I2626" s="8">
        <v>1693.129105</v>
      </c>
      <c r="J2626" s="8">
        <v>7830.6901330000001</v>
      </c>
      <c r="K2626" s="8">
        <v>-5246.3181860000004</v>
      </c>
      <c r="L2626" s="8">
        <v>22208.792280000001</v>
      </c>
      <c r="M2626" s="9" t="str">
        <f>IF(A2626="",M2627,A2626)</f>
        <v>Madagascar</v>
      </c>
      <c r="N2626" s="3" t="str">
        <f t="shared" ref="N2626:N2689" si="83">TEXT(DATE(C2626,D2626,1),"MMM-YYYY")</f>
        <v>Sep-2020</v>
      </c>
    </row>
    <row r="2627" spans="1:14" x14ac:dyDescent="0.3">
      <c r="A2627" s="3" t="s">
        <v>226</v>
      </c>
      <c r="B2627" s="3" t="s">
        <v>227</v>
      </c>
      <c r="C2627" s="8">
        <v>2020</v>
      </c>
      <c r="D2627" s="8">
        <v>10</v>
      </c>
      <c r="E2627" s="3" t="str">
        <f t="shared" si="82"/>
        <v>October</v>
      </c>
      <c r="F2627" s="3" t="s">
        <v>8</v>
      </c>
      <c r="G2627" s="8">
        <v>14980.672210000001</v>
      </c>
      <c r="H2627" s="8">
        <v>16172.94</v>
      </c>
      <c r="I2627" s="8">
        <v>1192.2677859999999</v>
      </c>
      <c r="J2627" s="8">
        <v>9022.9579190000004</v>
      </c>
      <c r="K2627" s="8">
        <v>-4776.9695179999999</v>
      </c>
      <c r="L2627" s="8">
        <v>24244.940139999999</v>
      </c>
      <c r="M2627" s="9" t="str">
        <f>IF(A2627="",M2628,A2627)</f>
        <v>Madagascar</v>
      </c>
      <c r="N2627" s="3" t="str">
        <f t="shared" si="83"/>
        <v>Oct-2020</v>
      </c>
    </row>
    <row r="2628" spans="1:14" x14ac:dyDescent="0.3">
      <c r="A2628" s="3" t="s">
        <v>226</v>
      </c>
      <c r="B2628" s="3" t="s">
        <v>227</v>
      </c>
      <c r="C2628" s="8">
        <v>2020</v>
      </c>
      <c r="D2628" s="8">
        <v>11</v>
      </c>
      <c r="E2628" s="3" t="str">
        <f t="shared" si="82"/>
        <v>November</v>
      </c>
      <c r="F2628" s="3" t="s">
        <v>8</v>
      </c>
      <c r="G2628" s="8">
        <v>14918.79414</v>
      </c>
      <c r="H2628" s="8">
        <v>15590.540999999999</v>
      </c>
      <c r="I2628" s="8">
        <v>671.74686329999997</v>
      </c>
      <c r="J2628" s="8">
        <v>9694.7047820000007</v>
      </c>
      <c r="K2628" s="8">
        <v>-4491.244584</v>
      </c>
      <c r="L2628" s="8">
        <v>25592.029589999998</v>
      </c>
      <c r="M2628" s="9" t="str">
        <f>IF(A2628="",M2629,A2628)</f>
        <v>Madagascar</v>
      </c>
      <c r="N2628" s="3" t="str">
        <f t="shared" si="83"/>
        <v>Nov-2020</v>
      </c>
    </row>
    <row r="2629" spans="1:14" x14ac:dyDescent="0.3">
      <c r="A2629" s="3" t="s">
        <v>226</v>
      </c>
      <c r="B2629" s="3" t="s">
        <v>227</v>
      </c>
      <c r="C2629" s="8">
        <v>2020</v>
      </c>
      <c r="D2629" s="8">
        <v>12</v>
      </c>
      <c r="E2629" s="3" t="str">
        <f t="shared" si="82"/>
        <v>December</v>
      </c>
      <c r="F2629" s="3" t="s">
        <v>8</v>
      </c>
      <c r="G2629" s="8">
        <v>14805.99344</v>
      </c>
      <c r="H2629" s="8">
        <v>15478.959000000001</v>
      </c>
      <c r="I2629" s="8">
        <v>672.96555599999999</v>
      </c>
      <c r="J2629" s="8">
        <v>10367.670340000001</v>
      </c>
      <c r="K2629" s="8">
        <v>-4398.1241309999996</v>
      </c>
      <c r="L2629" s="8">
        <v>26229.749530000001</v>
      </c>
      <c r="M2629" s="9" t="str">
        <f>IF(A2629="",M2630,A2629)</f>
        <v>Madagascar</v>
      </c>
      <c r="N2629" s="3" t="str">
        <f t="shared" si="83"/>
        <v>Dec-2020</v>
      </c>
    </row>
    <row r="2630" spans="1:14" x14ac:dyDescent="0.3">
      <c r="A2630" s="3" t="s">
        <v>226</v>
      </c>
      <c r="B2630" s="3" t="s">
        <v>227</v>
      </c>
      <c r="C2630" s="8">
        <v>2021</v>
      </c>
      <c r="D2630" s="8">
        <v>1</v>
      </c>
      <c r="E2630" s="3" t="str">
        <f t="shared" si="82"/>
        <v>January</v>
      </c>
      <c r="F2630" s="3" t="s">
        <v>8</v>
      </c>
      <c r="G2630" s="8">
        <v>14968.795319999999</v>
      </c>
      <c r="H2630" s="8">
        <v>16060.338</v>
      </c>
      <c r="I2630" s="8">
        <v>1091.5426769999999</v>
      </c>
      <c r="J2630" s="8">
        <v>11459.213019999999</v>
      </c>
      <c r="K2630" s="8">
        <v>-3025.0764210000002</v>
      </c>
      <c r="L2630" s="8">
        <v>28580.302589999999</v>
      </c>
      <c r="M2630" s="9" t="str">
        <f>IF(A2630="",M2631,A2630)</f>
        <v>Madagascar</v>
      </c>
      <c r="N2630" s="3" t="str">
        <f t="shared" si="83"/>
        <v>Jan-2021</v>
      </c>
    </row>
    <row r="2631" spans="1:14" x14ac:dyDescent="0.3">
      <c r="A2631" s="3" t="s">
        <v>226</v>
      </c>
      <c r="B2631" s="3" t="s">
        <v>227</v>
      </c>
      <c r="C2631" s="8">
        <v>2021</v>
      </c>
      <c r="D2631" s="8">
        <v>2</v>
      </c>
      <c r="E2631" s="3" t="str">
        <f t="shared" si="82"/>
        <v>February</v>
      </c>
      <c r="F2631" s="3" t="s">
        <v>8</v>
      </c>
      <c r="G2631" s="8">
        <v>14956.467070000001</v>
      </c>
      <c r="H2631" s="8">
        <v>16114.347</v>
      </c>
      <c r="I2631" s="8">
        <v>1157.8799300000001</v>
      </c>
      <c r="J2631" s="8">
        <v>12617.09295</v>
      </c>
      <c r="K2631" s="8">
        <v>-2848.8472149999998</v>
      </c>
      <c r="L2631" s="8">
        <v>29796.522659999999</v>
      </c>
      <c r="M2631" s="9" t="str">
        <f>IF(A2631="",M2632,A2631)</f>
        <v>Madagascar</v>
      </c>
      <c r="N2631" s="3" t="str">
        <f t="shared" si="83"/>
        <v>Feb-2021</v>
      </c>
    </row>
    <row r="2632" spans="1:14" x14ac:dyDescent="0.3">
      <c r="A2632" s="3" t="s">
        <v>226</v>
      </c>
      <c r="B2632" s="3" t="s">
        <v>227</v>
      </c>
      <c r="C2632" s="8">
        <v>2021</v>
      </c>
      <c r="D2632" s="8">
        <v>3</v>
      </c>
      <c r="E2632" s="3" t="str">
        <f t="shared" si="82"/>
        <v>March</v>
      </c>
      <c r="F2632" s="3" t="s">
        <v>8</v>
      </c>
      <c r="G2632" s="8">
        <v>15006.826639999999</v>
      </c>
      <c r="H2632" s="8">
        <v>17370.751</v>
      </c>
      <c r="I2632" s="8">
        <v>2363.9243609999999</v>
      </c>
      <c r="J2632" s="8">
        <v>14981.017309999999</v>
      </c>
      <c r="K2632" s="8">
        <v>-1420.4549790000001</v>
      </c>
      <c r="L2632" s="8">
        <v>32949.731529999997</v>
      </c>
      <c r="M2632" s="9" t="str">
        <f>IF(A2632="",M2633,A2632)</f>
        <v>Madagascar</v>
      </c>
      <c r="N2632" s="3" t="str">
        <f t="shared" si="83"/>
        <v>Mar-2021</v>
      </c>
    </row>
    <row r="2633" spans="1:14" x14ac:dyDescent="0.3">
      <c r="A2633" s="3" t="s">
        <v>226</v>
      </c>
      <c r="B2633" s="3" t="s">
        <v>227</v>
      </c>
      <c r="C2633" s="8">
        <v>2021</v>
      </c>
      <c r="D2633" s="8">
        <v>4</v>
      </c>
      <c r="E2633" s="3" t="str">
        <f t="shared" si="82"/>
        <v>April</v>
      </c>
      <c r="F2633" s="3" t="s">
        <v>8</v>
      </c>
      <c r="G2633" s="8">
        <v>15073.57538</v>
      </c>
      <c r="H2633" s="8">
        <v>18158.971000000001</v>
      </c>
      <c r="I2633" s="8">
        <v>3085.395618</v>
      </c>
      <c r="J2633" s="8">
        <v>18066.412919999999</v>
      </c>
      <c r="K2633" s="8">
        <v>-211.98433299999999</v>
      </c>
      <c r="L2633" s="8">
        <v>36378.245540000004</v>
      </c>
      <c r="M2633" s="9" t="str">
        <f>IF(A2633="",M2634,A2633)</f>
        <v>Madagascar</v>
      </c>
      <c r="N2633" s="3" t="str">
        <f t="shared" si="83"/>
        <v>Apr-2021</v>
      </c>
    </row>
    <row r="2634" spans="1:14" x14ac:dyDescent="0.3">
      <c r="A2634" s="3" t="s">
        <v>226</v>
      </c>
      <c r="B2634" s="3" t="s">
        <v>227</v>
      </c>
      <c r="C2634" s="8">
        <v>2021</v>
      </c>
      <c r="D2634" s="8">
        <v>5</v>
      </c>
      <c r="E2634" s="3" t="str">
        <f t="shared" si="82"/>
        <v>May</v>
      </c>
      <c r="F2634" s="3" t="s">
        <v>8</v>
      </c>
      <c r="G2634" s="8">
        <v>15254.28369</v>
      </c>
      <c r="H2634" s="8">
        <v>17550.194</v>
      </c>
      <c r="I2634" s="8">
        <v>2295.9103049999999</v>
      </c>
      <c r="J2634" s="8">
        <v>20362.323230000002</v>
      </c>
      <c r="K2634" s="8">
        <v>1840.3975909999999</v>
      </c>
      <c r="L2634" s="8">
        <v>39236.007940000003</v>
      </c>
      <c r="M2634" s="9" t="str">
        <f>IF(A2634="",M2635,A2634)</f>
        <v>Madagascar</v>
      </c>
      <c r="N2634" s="3" t="str">
        <f t="shared" si="83"/>
        <v>May-2021</v>
      </c>
    </row>
    <row r="2635" spans="1:14" x14ac:dyDescent="0.3">
      <c r="A2635" s="3" t="s">
        <v>226</v>
      </c>
      <c r="B2635" s="3" t="s">
        <v>227</v>
      </c>
      <c r="C2635" s="8">
        <v>2021</v>
      </c>
      <c r="D2635" s="8">
        <v>6</v>
      </c>
      <c r="E2635" s="3" t="str">
        <f t="shared" si="82"/>
        <v>June</v>
      </c>
      <c r="F2635" s="3" t="s">
        <v>8</v>
      </c>
      <c r="G2635" s="8">
        <v>15438.503790000001</v>
      </c>
      <c r="H2635" s="8">
        <v>16051.772000000001</v>
      </c>
      <c r="I2635" s="8">
        <v>613.2682125</v>
      </c>
      <c r="J2635" s="8">
        <v>20975.59144</v>
      </c>
      <c r="K2635" s="8">
        <v>2082.350946</v>
      </c>
      <c r="L2635" s="8">
        <v>40795.624230000001</v>
      </c>
      <c r="M2635" s="9" t="str">
        <f>IF(A2635="",M2636,A2635)</f>
        <v>Madagascar</v>
      </c>
      <c r="N2635" s="3" t="str">
        <f t="shared" si="83"/>
        <v>Jun-2021</v>
      </c>
    </row>
    <row r="2636" spans="1:14" x14ac:dyDescent="0.3">
      <c r="A2636" s="3" t="s">
        <v>226</v>
      </c>
      <c r="B2636" s="3" t="s">
        <v>227</v>
      </c>
      <c r="C2636" s="8">
        <v>2021</v>
      </c>
      <c r="D2636" s="8">
        <v>7</v>
      </c>
      <c r="E2636" s="3" t="str">
        <f t="shared" si="82"/>
        <v>July</v>
      </c>
      <c r="F2636" s="3" t="s">
        <v>8</v>
      </c>
      <c r="G2636" s="8">
        <v>15489.47971</v>
      </c>
      <c r="H2636" s="8">
        <v>15927.888999999999</v>
      </c>
      <c r="I2636" s="8">
        <v>438.40929119999998</v>
      </c>
      <c r="J2636" s="8">
        <v>21414.00073</v>
      </c>
      <c r="K2636" s="8">
        <v>2377.8770939999999</v>
      </c>
      <c r="L2636" s="8">
        <v>41739.598610000001</v>
      </c>
      <c r="M2636" s="9" t="str">
        <f>IF(A2636="",M2637,A2636)</f>
        <v>Madagascar</v>
      </c>
      <c r="N2636" s="3" t="str">
        <f t="shared" si="83"/>
        <v>Jul-2021</v>
      </c>
    </row>
    <row r="2637" spans="1:14" x14ac:dyDescent="0.3">
      <c r="A2637" s="3" t="s">
        <v>226</v>
      </c>
      <c r="B2637" s="3" t="s">
        <v>227</v>
      </c>
      <c r="C2637" s="8">
        <v>2021</v>
      </c>
      <c r="D2637" s="8">
        <v>8</v>
      </c>
      <c r="E2637" s="3" t="str">
        <f t="shared" si="82"/>
        <v>August</v>
      </c>
      <c r="F2637" s="3" t="s">
        <v>8</v>
      </c>
      <c r="G2637" s="8">
        <v>15430.6129</v>
      </c>
      <c r="H2637" s="8">
        <v>15381.288</v>
      </c>
      <c r="I2637" s="8">
        <v>-49.324902659999999</v>
      </c>
      <c r="J2637" s="8">
        <v>21364.67583</v>
      </c>
      <c r="K2637" s="8">
        <v>2520.5515569999998</v>
      </c>
      <c r="L2637" s="8">
        <v>42255.64544</v>
      </c>
      <c r="M2637" s="9" t="str">
        <f>IF(A2637="",M2638,A2637)</f>
        <v>Madagascar</v>
      </c>
      <c r="N2637" s="3" t="str">
        <f t="shared" si="83"/>
        <v>Aug-2021</v>
      </c>
    </row>
    <row r="2638" spans="1:14" x14ac:dyDescent="0.3">
      <c r="A2638" s="3" t="s">
        <v>226</v>
      </c>
      <c r="B2638" s="3" t="s">
        <v>227</v>
      </c>
      <c r="C2638" s="8">
        <v>2021</v>
      </c>
      <c r="D2638" s="8">
        <v>9</v>
      </c>
      <c r="E2638" s="3" t="str">
        <f t="shared" si="82"/>
        <v>September</v>
      </c>
      <c r="F2638" s="3" t="s">
        <v>8</v>
      </c>
      <c r="G2638" s="8">
        <v>15332.696470000001</v>
      </c>
      <c r="H2638" s="8">
        <v>15397.575000000001</v>
      </c>
      <c r="I2638" s="8">
        <v>64.878531339999995</v>
      </c>
      <c r="J2638" s="8">
        <v>21429.554359999998</v>
      </c>
      <c r="K2638" s="8">
        <v>1791.935021</v>
      </c>
      <c r="L2638" s="8">
        <v>42701.288589999996</v>
      </c>
      <c r="M2638" s="9" t="str">
        <f>IF(A2638="",M2639,A2638)</f>
        <v>Madagascar</v>
      </c>
      <c r="N2638" s="3" t="str">
        <f t="shared" si="83"/>
        <v>Sep-2021</v>
      </c>
    </row>
    <row r="2639" spans="1:14" x14ac:dyDescent="0.3">
      <c r="A2639" s="3" t="s">
        <v>226</v>
      </c>
      <c r="B2639" s="3" t="s">
        <v>227</v>
      </c>
      <c r="C2639" s="8">
        <v>2021</v>
      </c>
      <c r="D2639" s="8">
        <v>10</v>
      </c>
      <c r="E2639" s="3" t="str">
        <f t="shared" si="82"/>
        <v>October</v>
      </c>
      <c r="F2639" s="3" t="s">
        <v>8</v>
      </c>
      <c r="G2639" s="8">
        <v>15147.196309999999</v>
      </c>
      <c r="H2639" s="8">
        <v>15311.174000000001</v>
      </c>
      <c r="I2639" s="8">
        <v>163.97768669999999</v>
      </c>
      <c r="J2639" s="8">
        <v>21593.532050000002</v>
      </c>
      <c r="K2639" s="8">
        <v>2045.8551640000001</v>
      </c>
      <c r="L2639" s="8">
        <v>42964.003689999998</v>
      </c>
      <c r="M2639" s="9" t="str">
        <f>IF(A2639="",M2640,A2639)</f>
        <v>Madagascar</v>
      </c>
      <c r="N2639" s="3" t="str">
        <f t="shared" si="83"/>
        <v>Oct-2021</v>
      </c>
    </row>
    <row r="2640" spans="1:14" x14ac:dyDescent="0.3">
      <c r="A2640" s="3" t="s">
        <v>226</v>
      </c>
      <c r="B2640" s="3" t="s">
        <v>227</v>
      </c>
      <c r="C2640" s="8">
        <v>2021</v>
      </c>
      <c r="D2640" s="8">
        <v>11</v>
      </c>
      <c r="E2640" s="3" t="str">
        <f t="shared" si="82"/>
        <v>November</v>
      </c>
      <c r="F2640" s="3" t="s">
        <v>8</v>
      </c>
      <c r="G2640" s="8">
        <v>15082.32173</v>
      </c>
      <c r="H2640" s="8">
        <v>15467.413</v>
      </c>
      <c r="I2640" s="8">
        <v>385.0912659</v>
      </c>
      <c r="J2640" s="8">
        <v>21978.623309999999</v>
      </c>
      <c r="K2640" s="8">
        <v>2037.2553640000001</v>
      </c>
      <c r="L2640" s="8">
        <v>43479.259120000002</v>
      </c>
      <c r="M2640" s="9" t="str">
        <f>IF(A2640="",M2641,A2640)</f>
        <v>Madagascar</v>
      </c>
      <c r="N2640" s="3" t="str">
        <f t="shared" si="83"/>
        <v>Nov-2021</v>
      </c>
    </row>
    <row r="2641" spans="1:14" x14ac:dyDescent="0.3">
      <c r="A2641" s="3" t="s">
        <v>226</v>
      </c>
      <c r="B2641" s="3" t="s">
        <v>227</v>
      </c>
      <c r="C2641" s="8">
        <v>2021</v>
      </c>
      <c r="D2641" s="8">
        <v>12</v>
      </c>
      <c r="E2641" s="3" t="str">
        <f t="shared" si="82"/>
        <v>December</v>
      </c>
      <c r="F2641" s="3" t="s">
        <v>8</v>
      </c>
      <c r="G2641" s="8">
        <v>14974.70571</v>
      </c>
      <c r="H2641" s="8">
        <v>16496.914000000001</v>
      </c>
      <c r="I2641" s="8">
        <v>1522.2082889999999</v>
      </c>
      <c r="J2641" s="8">
        <v>23500.831600000001</v>
      </c>
      <c r="K2641" s="8">
        <v>2883.1112149999999</v>
      </c>
      <c r="L2641" s="8">
        <v>46641.72928</v>
      </c>
      <c r="M2641" s="9" t="str">
        <f>IF(A2641="",M2642,A2641)</f>
        <v>Madagascar</v>
      </c>
      <c r="N2641" s="3" t="str">
        <f t="shared" si="83"/>
        <v>Dec-2021</v>
      </c>
    </row>
    <row r="2642" spans="1:14" x14ac:dyDescent="0.3">
      <c r="A2642" s="3" t="s">
        <v>228</v>
      </c>
      <c r="B2642" s="3" t="s">
        <v>229</v>
      </c>
      <c r="C2642" s="8">
        <v>2020</v>
      </c>
      <c r="D2642" s="8">
        <v>1</v>
      </c>
      <c r="E2642" s="3" t="str">
        <f t="shared" si="82"/>
        <v>January</v>
      </c>
      <c r="F2642" s="3" t="s">
        <v>13</v>
      </c>
      <c r="G2642" s="8">
        <v>95.518185489999993</v>
      </c>
      <c r="H2642" s="8">
        <v>114</v>
      </c>
      <c r="I2642" s="8">
        <v>18.48181451</v>
      </c>
      <c r="J2642" s="8">
        <v>18.48181451</v>
      </c>
      <c r="K2642" s="8">
        <v>11.31116153</v>
      </c>
      <c r="L2642" s="8">
        <v>26.13369372</v>
      </c>
      <c r="M2642" s="9" t="str">
        <f>IF(A2642="",M2643,A2642)</f>
        <v>Maldives</v>
      </c>
      <c r="N2642" s="3" t="str">
        <f t="shared" si="83"/>
        <v>Jan-2020</v>
      </c>
    </row>
    <row r="2643" spans="1:14" x14ac:dyDescent="0.3">
      <c r="A2643" s="3" t="s">
        <v>228</v>
      </c>
      <c r="B2643" s="3" t="s">
        <v>229</v>
      </c>
      <c r="C2643" s="8">
        <v>2020</v>
      </c>
      <c r="D2643" s="8">
        <v>2</v>
      </c>
      <c r="E2643" s="3" t="str">
        <f t="shared" si="82"/>
        <v>February</v>
      </c>
      <c r="F2643" s="3" t="s">
        <v>13</v>
      </c>
      <c r="G2643" s="8">
        <v>98.502045589999994</v>
      </c>
      <c r="H2643" s="8">
        <v>96</v>
      </c>
      <c r="I2643" s="8">
        <v>-2.5020455909999999</v>
      </c>
      <c r="J2643" s="8">
        <v>15.97976892</v>
      </c>
      <c r="K2643" s="8">
        <v>5.0388177540000001</v>
      </c>
      <c r="L2643" s="8">
        <v>27.157446239999999</v>
      </c>
      <c r="M2643" s="9" t="str">
        <f>IF(A2643="",M2644,A2643)</f>
        <v>Maldives</v>
      </c>
      <c r="N2643" s="3" t="str">
        <f t="shared" si="83"/>
        <v>Feb-2020</v>
      </c>
    </row>
    <row r="2644" spans="1:14" x14ac:dyDescent="0.3">
      <c r="A2644" s="3" t="s">
        <v>228</v>
      </c>
      <c r="B2644" s="3" t="s">
        <v>229</v>
      </c>
      <c r="C2644" s="8">
        <v>2020</v>
      </c>
      <c r="D2644" s="8">
        <v>3</v>
      </c>
      <c r="E2644" s="3" t="str">
        <f t="shared" si="82"/>
        <v>March</v>
      </c>
      <c r="F2644" s="3" t="s">
        <v>13</v>
      </c>
      <c r="G2644" s="8">
        <v>99.424584499999995</v>
      </c>
      <c r="H2644" s="8">
        <v>109</v>
      </c>
      <c r="I2644" s="8">
        <v>9.5754155020000002</v>
      </c>
      <c r="J2644" s="8">
        <v>25.55518442</v>
      </c>
      <c r="K2644" s="8">
        <v>12.05334197</v>
      </c>
      <c r="L2644" s="8">
        <v>39.043497700000003</v>
      </c>
      <c r="M2644" s="9" t="str">
        <f>IF(A2644="",M2645,A2644)</f>
        <v>Maldives</v>
      </c>
      <c r="N2644" s="3" t="str">
        <f t="shared" si="83"/>
        <v>Mar-2020</v>
      </c>
    </row>
    <row r="2645" spans="1:14" x14ac:dyDescent="0.3">
      <c r="A2645" s="3" t="s">
        <v>228</v>
      </c>
      <c r="B2645" s="3" t="s">
        <v>229</v>
      </c>
      <c r="C2645" s="8">
        <v>2020</v>
      </c>
      <c r="D2645" s="8">
        <v>4</v>
      </c>
      <c r="E2645" s="3" t="str">
        <f t="shared" si="82"/>
        <v>April</v>
      </c>
      <c r="F2645" s="3" t="s">
        <v>13</v>
      </c>
      <c r="G2645" s="8">
        <v>97.21078507</v>
      </c>
      <c r="H2645" s="8">
        <v>91</v>
      </c>
      <c r="I2645" s="8">
        <v>-6.2107850679999999</v>
      </c>
      <c r="J2645" s="8">
        <v>19.34439935</v>
      </c>
      <c r="K2645" s="8">
        <v>2.9724716139999998</v>
      </c>
      <c r="L2645" s="8">
        <v>35.42970845</v>
      </c>
      <c r="M2645" s="9" t="str">
        <f>IF(A2645="",M2646,A2645)</f>
        <v>Maldives</v>
      </c>
      <c r="N2645" s="3" t="str">
        <f t="shared" si="83"/>
        <v>Apr-2020</v>
      </c>
    </row>
    <row r="2646" spans="1:14" x14ac:dyDescent="0.3">
      <c r="A2646" s="3" t="s">
        <v>228</v>
      </c>
      <c r="B2646" s="3" t="s">
        <v>229</v>
      </c>
      <c r="C2646" s="8">
        <v>2020</v>
      </c>
      <c r="D2646" s="8">
        <v>5</v>
      </c>
      <c r="E2646" s="3" t="str">
        <f t="shared" si="82"/>
        <v>May</v>
      </c>
      <c r="F2646" s="3" t="s">
        <v>13</v>
      </c>
      <c r="G2646" s="8">
        <v>93.337115409999996</v>
      </c>
      <c r="H2646" s="8">
        <v>109</v>
      </c>
      <c r="I2646" s="8">
        <v>15.662884590000001</v>
      </c>
      <c r="J2646" s="8">
        <v>35.007283950000001</v>
      </c>
      <c r="K2646" s="8">
        <v>16.798857269999999</v>
      </c>
      <c r="L2646" s="8">
        <v>52.68963497</v>
      </c>
      <c r="M2646" s="9" t="str">
        <f>IF(A2646="",M2647,A2646)</f>
        <v>Maldives</v>
      </c>
      <c r="N2646" s="3" t="str">
        <f t="shared" si="83"/>
        <v>May-2020</v>
      </c>
    </row>
    <row r="2647" spans="1:14" x14ac:dyDescent="0.3">
      <c r="A2647" s="3" t="s">
        <v>228</v>
      </c>
      <c r="B2647" s="3" t="s">
        <v>229</v>
      </c>
      <c r="C2647" s="8">
        <v>2020</v>
      </c>
      <c r="D2647" s="8">
        <v>6</v>
      </c>
      <c r="E2647" s="3" t="str">
        <f t="shared" si="82"/>
        <v>June</v>
      </c>
      <c r="F2647" s="3" t="s">
        <v>13</v>
      </c>
      <c r="G2647" s="8">
        <v>89.54507658</v>
      </c>
      <c r="H2647" s="8">
        <v>91</v>
      </c>
      <c r="I2647" s="8">
        <v>1.454923424</v>
      </c>
      <c r="J2647" s="8">
        <v>36.462207370000002</v>
      </c>
      <c r="K2647" s="8">
        <v>15.920814590000001</v>
      </c>
      <c r="L2647" s="8">
        <v>56.327243979999999</v>
      </c>
      <c r="M2647" s="9" t="str">
        <f>IF(A2647="",M2648,A2647)</f>
        <v>Maldives</v>
      </c>
      <c r="N2647" s="3" t="str">
        <f t="shared" si="83"/>
        <v>Jun-2020</v>
      </c>
    </row>
    <row r="2648" spans="1:14" x14ac:dyDescent="0.3">
      <c r="A2648" s="3" t="s">
        <v>228</v>
      </c>
      <c r="B2648" s="3" t="s">
        <v>229</v>
      </c>
      <c r="C2648" s="8">
        <v>2020</v>
      </c>
      <c r="D2648" s="8">
        <v>7</v>
      </c>
      <c r="E2648" s="3" t="str">
        <f t="shared" si="82"/>
        <v>July</v>
      </c>
      <c r="F2648" s="3" t="s">
        <v>13</v>
      </c>
      <c r="G2648" s="8">
        <v>87.468609189999995</v>
      </c>
      <c r="H2648" s="8">
        <v>115</v>
      </c>
      <c r="I2648" s="8">
        <v>27.531390810000001</v>
      </c>
      <c r="J2648" s="8">
        <v>63.993598179999999</v>
      </c>
      <c r="K2648" s="8">
        <v>41.31037663</v>
      </c>
      <c r="L2648" s="8">
        <v>86.054045110000004</v>
      </c>
      <c r="M2648" s="9" t="str">
        <f>IF(A2648="",M2649,A2648)</f>
        <v>Maldives</v>
      </c>
      <c r="N2648" s="3" t="str">
        <f t="shared" si="83"/>
        <v>Jul-2020</v>
      </c>
    </row>
    <row r="2649" spans="1:14" x14ac:dyDescent="0.3">
      <c r="A2649" s="3" t="s">
        <v>228</v>
      </c>
      <c r="B2649" s="3" t="s">
        <v>229</v>
      </c>
      <c r="C2649" s="8">
        <v>2020</v>
      </c>
      <c r="D2649" s="8">
        <v>8</v>
      </c>
      <c r="E2649" s="3" t="str">
        <f t="shared" si="82"/>
        <v>August</v>
      </c>
      <c r="F2649" s="3" t="s">
        <v>13</v>
      </c>
      <c r="G2649" s="8">
        <v>86.29397204</v>
      </c>
      <c r="H2649" s="8">
        <v>129</v>
      </c>
      <c r="I2649" s="8">
        <v>42.70602796</v>
      </c>
      <c r="J2649" s="8">
        <v>106.6996261</v>
      </c>
      <c r="K2649" s="8">
        <v>83.017547690000001</v>
      </c>
      <c r="L2649" s="8">
        <v>129.46858940000001</v>
      </c>
      <c r="M2649" s="9" t="str">
        <f>IF(A2649="",M2650,A2649)</f>
        <v>Maldives</v>
      </c>
      <c r="N2649" s="3" t="str">
        <f t="shared" si="83"/>
        <v>Aug-2020</v>
      </c>
    </row>
    <row r="2650" spans="1:14" x14ac:dyDescent="0.3">
      <c r="A2650" s="3" t="s">
        <v>228</v>
      </c>
      <c r="B2650" s="3" t="s">
        <v>229</v>
      </c>
      <c r="C2650" s="8">
        <v>2020</v>
      </c>
      <c r="D2650" s="8">
        <v>9</v>
      </c>
      <c r="E2650" s="3" t="str">
        <f t="shared" si="82"/>
        <v>September</v>
      </c>
      <c r="F2650" s="3" t="s">
        <v>13</v>
      </c>
      <c r="G2650" s="8">
        <v>86.495225379999994</v>
      </c>
      <c r="H2650" s="8">
        <v>112</v>
      </c>
      <c r="I2650" s="8">
        <v>25.504774619999999</v>
      </c>
      <c r="J2650" s="8">
        <v>132.2044008</v>
      </c>
      <c r="K2650" s="8">
        <v>107.5604001</v>
      </c>
      <c r="L2650" s="8">
        <v>156.52267330000001</v>
      </c>
      <c r="M2650" s="9" t="str">
        <f>IF(A2650="",M2651,A2650)</f>
        <v>Maldives</v>
      </c>
      <c r="N2650" s="3" t="str">
        <f t="shared" si="83"/>
        <v>Sep-2020</v>
      </c>
    </row>
    <row r="2651" spans="1:14" x14ac:dyDescent="0.3">
      <c r="A2651" s="3" t="s">
        <v>228</v>
      </c>
      <c r="B2651" s="3" t="s">
        <v>229</v>
      </c>
      <c r="C2651" s="8">
        <v>2020</v>
      </c>
      <c r="D2651" s="8">
        <v>10</v>
      </c>
      <c r="E2651" s="3" t="str">
        <f t="shared" si="82"/>
        <v>October</v>
      </c>
      <c r="F2651" s="3" t="s">
        <v>13</v>
      </c>
      <c r="G2651" s="8">
        <v>88.291501069999995</v>
      </c>
      <c r="H2651" s="8">
        <v>103</v>
      </c>
      <c r="I2651" s="8">
        <v>14.708498929999999</v>
      </c>
      <c r="J2651" s="8">
        <v>146.9128997</v>
      </c>
      <c r="K2651" s="8">
        <v>121.3791415</v>
      </c>
      <c r="L2651" s="8">
        <v>171.08359580000001</v>
      </c>
      <c r="M2651" s="9" t="str">
        <f>IF(A2651="",M2652,A2651)</f>
        <v>Maldives</v>
      </c>
      <c r="N2651" s="3" t="str">
        <f t="shared" si="83"/>
        <v>Oct-2020</v>
      </c>
    </row>
    <row r="2652" spans="1:14" x14ac:dyDescent="0.3">
      <c r="A2652" s="3" t="s">
        <v>228</v>
      </c>
      <c r="B2652" s="3" t="s">
        <v>229</v>
      </c>
      <c r="C2652" s="8">
        <v>2020</v>
      </c>
      <c r="D2652" s="8">
        <v>11</v>
      </c>
      <c r="E2652" s="3" t="str">
        <f t="shared" si="82"/>
        <v>November</v>
      </c>
      <c r="F2652" s="3" t="s">
        <v>13</v>
      </c>
      <c r="G2652" s="8">
        <v>90.634970080000002</v>
      </c>
      <c r="H2652" s="8">
        <v>110</v>
      </c>
      <c r="I2652" s="8">
        <v>19.365029920000001</v>
      </c>
      <c r="J2652" s="8">
        <v>166.27792959999999</v>
      </c>
      <c r="K2652" s="8">
        <v>139.4862464</v>
      </c>
      <c r="L2652" s="8">
        <v>192.03462450000001</v>
      </c>
      <c r="M2652" s="9" t="str">
        <f>IF(A2652="",M2653,A2652)</f>
        <v>Maldives</v>
      </c>
      <c r="N2652" s="3" t="str">
        <f t="shared" si="83"/>
        <v>Nov-2020</v>
      </c>
    </row>
    <row r="2653" spans="1:14" x14ac:dyDescent="0.3">
      <c r="A2653" s="3" t="s">
        <v>228</v>
      </c>
      <c r="B2653" s="3" t="s">
        <v>229</v>
      </c>
      <c r="C2653" s="8">
        <v>2020</v>
      </c>
      <c r="D2653" s="8">
        <v>12</v>
      </c>
      <c r="E2653" s="3" t="str">
        <f t="shared" si="82"/>
        <v>December</v>
      </c>
      <c r="F2653" s="3" t="s">
        <v>13</v>
      </c>
      <c r="G2653" s="8">
        <v>94.169871369999996</v>
      </c>
      <c r="H2653" s="8">
        <v>96</v>
      </c>
      <c r="I2653" s="8">
        <v>1.830128631</v>
      </c>
      <c r="J2653" s="8">
        <v>168.10805819999999</v>
      </c>
      <c r="K2653" s="8">
        <v>139.48111639999999</v>
      </c>
      <c r="L2653" s="8">
        <v>195.4119857</v>
      </c>
      <c r="M2653" s="9" t="str">
        <f>IF(A2653="",M2654,A2653)</f>
        <v>Maldives</v>
      </c>
      <c r="N2653" s="3" t="str">
        <f t="shared" si="83"/>
        <v>Dec-2020</v>
      </c>
    </row>
    <row r="2654" spans="1:14" x14ac:dyDescent="0.3">
      <c r="A2654" s="3" t="s">
        <v>228</v>
      </c>
      <c r="B2654" s="3" t="s">
        <v>229</v>
      </c>
      <c r="C2654" s="8">
        <v>2021</v>
      </c>
      <c r="D2654" s="8">
        <v>1</v>
      </c>
      <c r="E2654" s="3" t="str">
        <f t="shared" si="82"/>
        <v>January</v>
      </c>
      <c r="F2654" s="3" t="s">
        <v>13</v>
      </c>
      <c r="G2654" s="8">
        <v>93.955134760000007</v>
      </c>
      <c r="H2654" s="8">
        <v>146</v>
      </c>
      <c r="I2654" s="8">
        <v>52.04486524</v>
      </c>
      <c r="J2654" s="8">
        <v>220.15292349999999</v>
      </c>
      <c r="K2654" s="8">
        <v>190.02616939999999</v>
      </c>
      <c r="L2654" s="8">
        <v>249.27844279999999</v>
      </c>
      <c r="M2654" s="9" t="str">
        <f>IF(A2654="",M2655,A2654)</f>
        <v>Maldives</v>
      </c>
      <c r="N2654" s="3" t="str">
        <f t="shared" si="83"/>
        <v>Jan-2021</v>
      </c>
    </row>
    <row r="2655" spans="1:14" x14ac:dyDescent="0.3">
      <c r="A2655" s="3" t="s">
        <v>228</v>
      </c>
      <c r="B2655" s="3" t="s">
        <v>229</v>
      </c>
      <c r="C2655" s="8">
        <v>2021</v>
      </c>
      <c r="D2655" s="8">
        <v>2</v>
      </c>
      <c r="E2655" s="3" t="str">
        <f t="shared" si="82"/>
        <v>February</v>
      </c>
      <c r="F2655" s="3" t="s">
        <v>13</v>
      </c>
      <c r="G2655" s="8">
        <v>96.386891039999995</v>
      </c>
      <c r="H2655" s="8">
        <v>142</v>
      </c>
      <c r="I2655" s="8">
        <v>45.613108959999998</v>
      </c>
      <c r="J2655" s="8">
        <v>265.76603239999997</v>
      </c>
      <c r="K2655" s="8">
        <v>233.61306920000001</v>
      </c>
      <c r="L2655" s="8">
        <v>296.16452620000001</v>
      </c>
      <c r="M2655" s="9" t="str">
        <f>IF(A2655="",M2656,A2655)</f>
        <v>Maldives</v>
      </c>
      <c r="N2655" s="3" t="str">
        <f t="shared" si="83"/>
        <v>Feb-2021</v>
      </c>
    </row>
    <row r="2656" spans="1:14" x14ac:dyDescent="0.3">
      <c r="A2656" s="3" t="s">
        <v>228</v>
      </c>
      <c r="B2656" s="3" t="s">
        <v>229</v>
      </c>
      <c r="C2656" s="8">
        <v>2021</v>
      </c>
      <c r="D2656" s="8">
        <v>3</v>
      </c>
      <c r="E2656" s="3" t="str">
        <f t="shared" si="82"/>
        <v>March</v>
      </c>
      <c r="F2656" s="3" t="s">
        <v>13</v>
      </c>
      <c r="G2656" s="8">
        <v>97.631735430000006</v>
      </c>
      <c r="H2656" s="8">
        <v>127</v>
      </c>
      <c r="I2656" s="8">
        <v>29.368264570000001</v>
      </c>
      <c r="J2656" s="8">
        <v>295.134297</v>
      </c>
      <c r="K2656" s="8">
        <v>262.47841089999997</v>
      </c>
      <c r="L2656" s="8">
        <v>326.9948412</v>
      </c>
      <c r="M2656" s="9" t="str">
        <f>IF(A2656="",M2657,A2656)</f>
        <v>Maldives</v>
      </c>
      <c r="N2656" s="3" t="str">
        <f t="shared" si="83"/>
        <v>Mar-2021</v>
      </c>
    </row>
    <row r="2657" spans="1:14" x14ac:dyDescent="0.3">
      <c r="A2657" s="3" t="s">
        <v>228</v>
      </c>
      <c r="B2657" s="3" t="s">
        <v>229</v>
      </c>
      <c r="C2657" s="8">
        <v>2021</v>
      </c>
      <c r="D2657" s="8">
        <v>4</v>
      </c>
      <c r="E2657" s="3" t="str">
        <f t="shared" si="82"/>
        <v>April</v>
      </c>
      <c r="F2657" s="3" t="s">
        <v>13</v>
      </c>
      <c r="G2657" s="8">
        <v>95.498028919999996</v>
      </c>
      <c r="H2657" s="8">
        <v>145</v>
      </c>
      <c r="I2657" s="8">
        <v>49.501971079999997</v>
      </c>
      <c r="J2657" s="8">
        <v>344.6362681</v>
      </c>
      <c r="K2657" s="8">
        <v>308.99787270000002</v>
      </c>
      <c r="L2657" s="8">
        <v>377.87970719999998</v>
      </c>
      <c r="M2657" s="9" t="str">
        <f>IF(A2657="",M2658,A2657)</f>
        <v>Maldives</v>
      </c>
      <c r="N2657" s="3" t="str">
        <f t="shared" si="83"/>
        <v>Apr-2021</v>
      </c>
    </row>
    <row r="2658" spans="1:14" x14ac:dyDescent="0.3">
      <c r="A2658" s="3" t="s">
        <v>228</v>
      </c>
      <c r="B2658" s="3" t="s">
        <v>229</v>
      </c>
      <c r="C2658" s="8">
        <v>2021</v>
      </c>
      <c r="D2658" s="8">
        <v>5</v>
      </c>
      <c r="E2658" s="3" t="str">
        <f t="shared" si="82"/>
        <v>May</v>
      </c>
      <c r="F2658" s="3" t="s">
        <v>13</v>
      </c>
      <c r="G2658" s="8">
        <v>91.765634149999997</v>
      </c>
      <c r="H2658" s="8">
        <v>191</v>
      </c>
      <c r="I2658" s="8">
        <v>99.234365850000003</v>
      </c>
      <c r="J2658" s="8">
        <v>443.87063389999997</v>
      </c>
      <c r="K2658" s="8">
        <v>408.76254690000002</v>
      </c>
      <c r="L2658" s="8">
        <v>480.35142910000002</v>
      </c>
      <c r="M2658" s="9" t="str">
        <f>IF(A2658="",M2659,A2658)</f>
        <v>Maldives</v>
      </c>
      <c r="N2658" s="3" t="str">
        <f t="shared" si="83"/>
        <v>May-2021</v>
      </c>
    </row>
    <row r="2659" spans="1:14" x14ac:dyDescent="0.3">
      <c r="A2659" s="3" t="s">
        <v>228</v>
      </c>
      <c r="B2659" s="3" t="s">
        <v>229</v>
      </c>
      <c r="C2659" s="8">
        <v>2021</v>
      </c>
      <c r="D2659" s="8">
        <v>6</v>
      </c>
      <c r="E2659" s="3" t="str">
        <f t="shared" si="82"/>
        <v>June</v>
      </c>
      <c r="F2659" s="3" t="s">
        <v>13</v>
      </c>
      <c r="G2659" s="8">
        <v>87.795508859999998</v>
      </c>
      <c r="H2659" s="8">
        <v>161</v>
      </c>
      <c r="I2659" s="8">
        <v>73.204491140000002</v>
      </c>
      <c r="J2659" s="8">
        <v>517.07512510000004</v>
      </c>
      <c r="K2659" s="8">
        <v>479.33503730000001</v>
      </c>
      <c r="L2659" s="8">
        <v>555.16754800000001</v>
      </c>
      <c r="M2659" s="9" t="str">
        <f>IF(A2659="",M2660,A2659)</f>
        <v>Maldives</v>
      </c>
      <c r="N2659" s="3" t="str">
        <f t="shared" si="83"/>
        <v>Jun-2021</v>
      </c>
    </row>
    <row r="2660" spans="1:14" x14ac:dyDescent="0.3">
      <c r="A2660" s="3" t="s">
        <v>228</v>
      </c>
      <c r="B2660" s="3" t="s">
        <v>229</v>
      </c>
      <c r="C2660" s="8">
        <v>2021</v>
      </c>
      <c r="D2660" s="8">
        <v>7</v>
      </c>
      <c r="E2660" s="3" t="str">
        <f t="shared" si="82"/>
        <v>July</v>
      </c>
      <c r="F2660" s="3" t="s">
        <v>13</v>
      </c>
      <c r="G2660" s="8">
        <v>85.655514539999999</v>
      </c>
      <c r="H2660" s="8">
        <v>93</v>
      </c>
      <c r="I2660" s="8">
        <v>7.3444854560000001</v>
      </c>
      <c r="J2660" s="8">
        <v>524.41961049999998</v>
      </c>
      <c r="K2660" s="8">
        <v>486.03494560000001</v>
      </c>
      <c r="L2660" s="8">
        <v>562.97058240000001</v>
      </c>
      <c r="M2660" s="9" t="str">
        <f>IF(A2660="",M2661,A2660)</f>
        <v>Maldives</v>
      </c>
      <c r="N2660" s="3" t="str">
        <f t="shared" si="83"/>
        <v>Jul-2021</v>
      </c>
    </row>
    <row r="2661" spans="1:14" x14ac:dyDescent="0.3">
      <c r="A2661" s="3" t="s">
        <v>228</v>
      </c>
      <c r="B2661" s="3" t="s">
        <v>229</v>
      </c>
      <c r="C2661" s="8">
        <v>2021</v>
      </c>
      <c r="D2661" s="8">
        <v>8</v>
      </c>
      <c r="E2661" s="3" t="str">
        <f t="shared" si="82"/>
        <v>August</v>
      </c>
      <c r="F2661" s="3" t="s">
        <v>13</v>
      </c>
      <c r="G2661" s="8">
        <v>84.723206779999998</v>
      </c>
      <c r="H2661" s="8">
        <v>70</v>
      </c>
      <c r="I2661" s="8">
        <v>-14.72320678</v>
      </c>
      <c r="J2661" s="8">
        <v>509.69640379999998</v>
      </c>
      <c r="K2661" s="8">
        <v>471.45240480000001</v>
      </c>
      <c r="L2661" s="8">
        <v>548.91180610000004</v>
      </c>
      <c r="M2661" s="9" t="str">
        <f>IF(A2661="",M2662,A2661)</f>
        <v>Maldives</v>
      </c>
      <c r="N2661" s="3" t="str">
        <f t="shared" si="83"/>
        <v>Aug-2021</v>
      </c>
    </row>
    <row r="2662" spans="1:14" x14ac:dyDescent="0.3">
      <c r="A2662" s="3" t="s">
        <v>228</v>
      </c>
      <c r="B2662" s="3" t="s">
        <v>229</v>
      </c>
      <c r="C2662" s="8">
        <v>2021</v>
      </c>
      <c r="D2662" s="8">
        <v>9</v>
      </c>
      <c r="E2662" s="3" t="str">
        <f t="shared" si="82"/>
        <v>September</v>
      </c>
      <c r="F2662" s="3" t="s">
        <v>13</v>
      </c>
      <c r="G2662" s="8">
        <v>84.723357089999993</v>
      </c>
      <c r="H2662" s="8">
        <v>70</v>
      </c>
      <c r="I2662" s="8">
        <v>-14.72335709</v>
      </c>
      <c r="J2662" s="8">
        <v>494.9730467</v>
      </c>
      <c r="K2662" s="8">
        <v>456.07361359999999</v>
      </c>
      <c r="L2662" s="8">
        <v>534.60273919999997</v>
      </c>
      <c r="M2662" s="9" t="str">
        <f>IF(A2662="",M2663,A2662)</f>
        <v>Maldives</v>
      </c>
      <c r="N2662" s="3" t="str">
        <f t="shared" si="83"/>
        <v>Sep-2021</v>
      </c>
    </row>
    <row r="2663" spans="1:14" x14ac:dyDescent="0.3">
      <c r="A2663" s="3" t="s">
        <v>228</v>
      </c>
      <c r="B2663" s="3" t="s">
        <v>229</v>
      </c>
      <c r="C2663" s="8">
        <v>2021</v>
      </c>
      <c r="D2663" s="8">
        <v>10</v>
      </c>
      <c r="E2663" s="3" t="str">
        <f t="shared" si="82"/>
        <v>October</v>
      </c>
      <c r="F2663" s="3" t="s">
        <v>13</v>
      </c>
      <c r="G2663" s="8">
        <v>86.275281930000006</v>
      </c>
      <c r="H2663" s="8">
        <v>80</v>
      </c>
      <c r="I2663" s="8">
        <v>-6.275281927</v>
      </c>
      <c r="J2663" s="8">
        <v>488.69776469999999</v>
      </c>
      <c r="K2663" s="8">
        <v>446.84472970000002</v>
      </c>
      <c r="L2663" s="8">
        <v>530.41933440000003</v>
      </c>
      <c r="M2663" s="9" t="str">
        <f>IF(A2663="",M2664,A2663)</f>
        <v>Maldives</v>
      </c>
      <c r="N2663" s="3" t="str">
        <f t="shared" si="83"/>
        <v>Oct-2021</v>
      </c>
    </row>
    <row r="2664" spans="1:14" x14ac:dyDescent="0.3">
      <c r="A2664" s="3" t="s">
        <v>228</v>
      </c>
      <c r="B2664" s="3" t="s">
        <v>229</v>
      </c>
      <c r="C2664" s="8">
        <v>2021</v>
      </c>
      <c r="D2664" s="8">
        <v>11</v>
      </c>
      <c r="E2664" s="3" t="str">
        <f t="shared" si="82"/>
        <v>November</v>
      </c>
      <c r="F2664" s="3" t="s">
        <v>13</v>
      </c>
      <c r="G2664" s="8">
        <v>89.087221670000005</v>
      </c>
      <c r="H2664" s="8">
        <v>146</v>
      </c>
      <c r="I2664" s="8">
        <v>56.912778330000002</v>
      </c>
      <c r="J2664" s="8">
        <v>545.61054309999997</v>
      </c>
      <c r="K2664" s="8">
        <v>500.93044420000001</v>
      </c>
      <c r="L2664" s="8">
        <v>588.73036960000002</v>
      </c>
      <c r="M2664" s="9" t="str">
        <f>IF(A2664="",M2665,A2664)</f>
        <v>Maldives</v>
      </c>
      <c r="N2664" s="3" t="str">
        <f t="shared" si="83"/>
        <v>Nov-2021</v>
      </c>
    </row>
    <row r="2665" spans="1:14" x14ac:dyDescent="0.3">
      <c r="A2665" s="3" t="s">
        <v>228</v>
      </c>
      <c r="B2665" s="3" t="s">
        <v>229</v>
      </c>
      <c r="C2665" s="8">
        <v>2021</v>
      </c>
      <c r="D2665" s="8">
        <v>12</v>
      </c>
      <c r="E2665" s="3" t="str">
        <f t="shared" si="82"/>
        <v>December</v>
      </c>
      <c r="F2665" s="3" t="s">
        <v>13</v>
      </c>
      <c r="G2665" s="8">
        <v>92.654634139999999</v>
      </c>
      <c r="H2665" s="8">
        <v>181</v>
      </c>
      <c r="I2665" s="8">
        <v>88.345365860000001</v>
      </c>
      <c r="J2665" s="8">
        <v>633.95590890000005</v>
      </c>
      <c r="K2665" s="8">
        <v>588.29312340000001</v>
      </c>
      <c r="L2665" s="8">
        <v>678.65583509999999</v>
      </c>
      <c r="M2665" s="9" t="str">
        <f>IF(A2665="",M2666,A2665)</f>
        <v>Maldives</v>
      </c>
      <c r="N2665" s="3" t="str">
        <f t="shared" si="83"/>
        <v>Dec-2021</v>
      </c>
    </row>
    <row r="2666" spans="1:14" x14ac:dyDescent="0.3">
      <c r="A2666" s="3" t="s">
        <v>230</v>
      </c>
      <c r="B2666" s="3" t="s">
        <v>231</v>
      </c>
      <c r="C2666" s="8">
        <v>2020</v>
      </c>
      <c r="D2666" s="8">
        <v>1</v>
      </c>
      <c r="E2666" s="3" t="str">
        <f t="shared" si="82"/>
        <v>January</v>
      </c>
      <c r="F2666" s="3" t="s">
        <v>13</v>
      </c>
      <c r="G2666" s="8">
        <v>70247.133319999994</v>
      </c>
      <c r="H2666" s="8">
        <v>72329</v>
      </c>
      <c r="I2666" s="8">
        <v>709.61667929999999</v>
      </c>
      <c r="J2666" s="8">
        <v>709.61667929999999</v>
      </c>
      <c r="K2666" s="8">
        <v>-1145.5333109999999</v>
      </c>
      <c r="L2666" s="8">
        <v>2621.7744600000001</v>
      </c>
      <c r="M2666" s="9" t="str">
        <f>IF(A2666="",M2667,A2666)</f>
        <v>Mexico</v>
      </c>
      <c r="N2666" s="3" t="str">
        <f t="shared" si="83"/>
        <v>Jan-2020</v>
      </c>
    </row>
    <row r="2667" spans="1:14" x14ac:dyDescent="0.3">
      <c r="A2667" s="3" t="s">
        <v>230</v>
      </c>
      <c r="B2667" s="3" t="s">
        <v>231</v>
      </c>
      <c r="C2667" s="8">
        <v>2020</v>
      </c>
      <c r="D2667" s="8">
        <v>2</v>
      </c>
      <c r="E2667" s="3" t="str">
        <f t="shared" si="82"/>
        <v>February</v>
      </c>
      <c r="F2667" s="3" t="s">
        <v>13</v>
      </c>
      <c r="G2667" s="8">
        <v>64987.804929999998</v>
      </c>
      <c r="H2667" s="8">
        <v>62320</v>
      </c>
      <c r="I2667" s="8">
        <v>-4040.0549339999998</v>
      </c>
      <c r="J2667" s="8">
        <v>-3330.438255</v>
      </c>
      <c r="K2667" s="8">
        <v>-6233.5783009999996</v>
      </c>
      <c r="L2667" s="8">
        <v>-620.23983599999997</v>
      </c>
      <c r="M2667" s="9" t="str">
        <f>IF(A2667="",M2668,A2667)</f>
        <v>Mexico</v>
      </c>
      <c r="N2667" s="3" t="str">
        <f t="shared" si="83"/>
        <v>Feb-2020</v>
      </c>
    </row>
    <row r="2668" spans="1:14" x14ac:dyDescent="0.3">
      <c r="A2668" s="3" t="s">
        <v>230</v>
      </c>
      <c r="B2668" s="3" t="s">
        <v>231</v>
      </c>
      <c r="C2668" s="8">
        <v>2020</v>
      </c>
      <c r="D2668" s="8">
        <v>3</v>
      </c>
      <c r="E2668" s="3" t="str">
        <f t="shared" si="82"/>
        <v>March</v>
      </c>
      <c r="F2668" s="3" t="s">
        <v>13</v>
      </c>
      <c r="G2668" s="8">
        <v>64659.670590000002</v>
      </c>
      <c r="H2668" s="8">
        <v>61368</v>
      </c>
      <c r="I2668" s="8">
        <v>-4663.9205860000002</v>
      </c>
      <c r="J2668" s="8">
        <v>-7994.3588410000002</v>
      </c>
      <c r="K2668" s="8">
        <v>-11642.78969</v>
      </c>
      <c r="L2668" s="8">
        <v>-4437.303363</v>
      </c>
      <c r="M2668" s="9" t="str">
        <f>IF(A2668="",M2669,A2668)</f>
        <v>Mexico</v>
      </c>
      <c r="N2668" s="3" t="str">
        <f t="shared" si="83"/>
        <v>Mar-2020</v>
      </c>
    </row>
    <row r="2669" spans="1:14" x14ac:dyDescent="0.3">
      <c r="A2669" s="3" t="s">
        <v>230</v>
      </c>
      <c r="B2669" s="3" t="s">
        <v>231</v>
      </c>
      <c r="C2669" s="8">
        <v>2020</v>
      </c>
      <c r="D2669" s="8">
        <v>4</v>
      </c>
      <c r="E2669" s="3" t="str">
        <f t="shared" si="82"/>
        <v>April</v>
      </c>
      <c r="F2669" s="3" t="s">
        <v>13</v>
      </c>
      <c r="G2669" s="8">
        <v>60735.525009999998</v>
      </c>
      <c r="H2669" s="8">
        <v>67115</v>
      </c>
      <c r="I2669" s="8">
        <v>5007.2249860000002</v>
      </c>
      <c r="J2669" s="8">
        <v>-2987.133855</v>
      </c>
      <c r="K2669" s="8">
        <v>-6943.7219599999999</v>
      </c>
      <c r="L2669" s="8">
        <v>1047.5586820000001</v>
      </c>
      <c r="M2669" s="9" t="str">
        <f>IF(A2669="",M2670,A2669)</f>
        <v>Mexico</v>
      </c>
      <c r="N2669" s="3" t="str">
        <f t="shared" si="83"/>
        <v>Apr-2020</v>
      </c>
    </row>
    <row r="2670" spans="1:14" x14ac:dyDescent="0.3">
      <c r="A2670" s="3" t="s">
        <v>230</v>
      </c>
      <c r="B2670" s="3" t="s">
        <v>231</v>
      </c>
      <c r="C2670" s="8">
        <v>2020</v>
      </c>
      <c r="D2670" s="8">
        <v>5</v>
      </c>
      <c r="E2670" s="3" t="str">
        <f t="shared" si="82"/>
        <v>May</v>
      </c>
      <c r="F2670" s="3" t="s">
        <v>13</v>
      </c>
      <c r="G2670" s="8">
        <v>61328.99267</v>
      </c>
      <c r="H2670" s="8">
        <v>98105</v>
      </c>
      <c r="I2670" s="8">
        <v>35403.75733</v>
      </c>
      <c r="J2670" s="8">
        <v>32416.623479999998</v>
      </c>
      <c r="K2670" s="8">
        <v>27757.580470000001</v>
      </c>
      <c r="L2670" s="8">
        <v>36949.103080000001</v>
      </c>
      <c r="M2670" s="9" t="str">
        <f>IF(A2670="",M2671,A2670)</f>
        <v>Mexico</v>
      </c>
      <c r="N2670" s="3" t="str">
        <f t="shared" si="83"/>
        <v>May-2020</v>
      </c>
    </row>
    <row r="2671" spans="1:14" x14ac:dyDescent="0.3">
      <c r="A2671" s="3" t="s">
        <v>230</v>
      </c>
      <c r="B2671" s="3" t="s">
        <v>231</v>
      </c>
      <c r="C2671" s="8">
        <v>2020</v>
      </c>
      <c r="D2671" s="8">
        <v>6</v>
      </c>
      <c r="E2671" s="3" t="str">
        <f t="shared" si="82"/>
        <v>June</v>
      </c>
      <c r="F2671" s="3" t="s">
        <v>13</v>
      </c>
      <c r="G2671" s="8">
        <v>58671.141439999999</v>
      </c>
      <c r="H2671" s="8">
        <v>107148</v>
      </c>
      <c r="I2671" s="8">
        <v>47104.608560000001</v>
      </c>
      <c r="J2671" s="8">
        <v>79521.232040000003</v>
      </c>
      <c r="K2671" s="8">
        <v>74339.977150000006</v>
      </c>
      <c r="L2671" s="8">
        <v>84681.905459999994</v>
      </c>
      <c r="M2671" s="9" t="str">
        <f>IF(A2671="",M2672,A2671)</f>
        <v>Mexico</v>
      </c>
      <c r="N2671" s="3" t="str">
        <f t="shared" si="83"/>
        <v>Jun-2020</v>
      </c>
    </row>
    <row r="2672" spans="1:14" x14ac:dyDescent="0.3">
      <c r="A2672" s="3" t="s">
        <v>230</v>
      </c>
      <c r="B2672" s="3" t="s">
        <v>231</v>
      </c>
      <c r="C2672" s="8">
        <v>2020</v>
      </c>
      <c r="D2672" s="8">
        <v>7</v>
      </c>
      <c r="E2672" s="3" t="str">
        <f t="shared" si="82"/>
        <v>July</v>
      </c>
      <c r="F2672" s="3" t="s">
        <v>13</v>
      </c>
      <c r="G2672" s="8">
        <v>60538.713230000001</v>
      </c>
      <c r="H2672" s="8">
        <v>116138</v>
      </c>
      <c r="I2672" s="8">
        <v>54227.036769999999</v>
      </c>
      <c r="J2672" s="8">
        <v>133748.26879999999</v>
      </c>
      <c r="K2672" s="8">
        <v>128385.008</v>
      </c>
      <c r="L2672" s="8">
        <v>139262.87090000001</v>
      </c>
      <c r="M2672" s="9" t="str">
        <f>IF(A2672="",M2673,A2672)</f>
        <v>Mexico</v>
      </c>
      <c r="N2672" s="3" t="str">
        <f t="shared" si="83"/>
        <v>Jul-2020</v>
      </c>
    </row>
    <row r="2673" spans="1:14" x14ac:dyDescent="0.3">
      <c r="A2673" s="3" t="s">
        <v>230</v>
      </c>
      <c r="B2673" s="3" t="s">
        <v>231</v>
      </c>
      <c r="C2673" s="8">
        <v>2020</v>
      </c>
      <c r="D2673" s="8">
        <v>8</v>
      </c>
      <c r="E2673" s="3" t="str">
        <f t="shared" si="82"/>
        <v>August</v>
      </c>
      <c r="F2673" s="3" t="s">
        <v>13</v>
      </c>
      <c r="G2673" s="8">
        <v>60104.092040000003</v>
      </c>
      <c r="H2673" s="8">
        <v>100088</v>
      </c>
      <c r="I2673" s="8">
        <v>38611.657959999997</v>
      </c>
      <c r="J2673" s="8">
        <v>172359.92679999999</v>
      </c>
      <c r="K2673" s="8">
        <v>166316.4412</v>
      </c>
      <c r="L2673" s="8">
        <v>178559.4767</v>
      </c>
      <c r="M2673" s="9" t="str">
        <f>IF(A2673="",M2674,A2673)</f>
        <v>Mexico</v>
      </c>
      <c r="N2673" s="3" t="str">
        <f t="shared" si="83"/>
        <v>Aug-2020</v>
      </c>
    </row>
    <row r="2674" spans="1:14" x14ac:dyDescent="0.3">
      <c r="A2674" s="3" t="s">
        <v>230</v>
      </c>
      <c r="B2674" s="3" t="s">
        <v>231</v>
      </c>
      <c r="C2674" s="8">
        <v>2020</v>
      </c>
      <c r="D2674" s="8">
        <v>9</v>
      </c>
      <c r="E2674" s="3" t="str">
        <f t="shared" si="82"/>
        <v>September</v>
      </c>
      <c r="F2674" s="3" t="s">
        <v>13</v>
      </c>
      <c r="G2674" s="8">
        <v>59026.834949999997</v>
      </c>
      <c r="H2674" s="8">
        <v>83267</v>
      </c>
      <c r="I2674" s="8">
        <v>22867.91505</v>
      </c>
      <c r="J2674" s="8">
        <v>195227.84179999999</v>
      </c>
      <c r="K2674" s="8">
        <v>188989.01459999999</v>
      </c>
      <c r="L2674" s="8">
        <v>201632.1905</v>
      </c>
      <c r="M2674" s="9" t="str">
        <f>IF(A2674="",M2675,A2674)</f>
        <v>Mexico</v>
      </c>
      <c r="N2674" s="3" t="str">
        <f t="shared" si="83"/>
        <v>Sep-2020</v>
      </c>
    </row>
    <row r="2675" spans="1:14" x14ac:dyDescent="0.3">
      <c r="A2675" s="3" t="s">
        <v>230</v>
      </c>
      <c r="B2675" s="3" t="s">
        <v>231</v>
      </c>
      <c r="C2675" s="8">
        <v>2020</v>
      </c>
      <c r="D2675" s="8">
        <v>10</v>
      </c>
      <c r="E2675" s="3" t="str">
        <f t="shared" si="82"/>
        <v>October</v>
      </c>
      <c r="F2675" s="3" t="s">
        <v>13</v>
      </c>
      <c r="G2675" s="8">
        <v>61620.346290000001</v>
      </c>
      <c r="H2675" s="8">
        <v>86374</v>
      </c>
      <c r="I2675" s="8">
        <v>23381.403709999999</v>
      </c>
      <c r="J2675" s="8">
        <v>218609.24549999999</v>
      </c>
      <c r="K2675" s="8">
        <v>211766.2757</v>
      </c>
      <c r="L2675" s="8">
        <v>225535.22880000001</v>
      </c>
      <c r="M2675" s="9" t="str">
        <f>IF(A2675="",M2676,A2675)</f>
        <v>Mexico</v>
      </c>
      <c r="N2675" s="3" t="str">
        <f t="shared" si="83"/>
        <v>Oct-2020</v>
      </c>
    </row>
    <row r="2676" spans="1:14" x14ac:dyDescent="0.3">
      <c r="A2676" s="3" t="s">
        <v>230</v>
      </c>
      <c r="B2676" s="3" t="s">
        <v>231</v>
      </c>
      <c r="C2676" s="8">
        <v>2020</v>
      </c>
      <c r="D2676" s="8">
        <v>11</v>
      </c>
      <c r="E2676" s="3" t="str">
        <f t="shared" si="82"/>
        <v>November</v>
      </c>
      <c r="F2676" s="3" t="s">
        <v>13</v>
      </c>
      <c r="G2676" s="8">
        <v>63632.643109999997</v>
      </c>
      <c r="H2676" s="8">
        <v>95508</v>
      </c>
      <c r="I2676" s="8">
        <v>30503.106889999999</v>
      </c>
      <c r="J2676" s="8">
        <v>249112.3524</v>
      </c>
      <c r="K2676" s="8">
        <v>241943.7323</v>
      </c>
      <c r="L2676" s="8">
        <v>256550.82819999999</v>
      </c>
      <c r="M2676" s="9" t="str">
        <f>IF(A2676="",M2677,A2676)</f>
        <v>Mexico</v>
      </c>
      <c r="N2676" s="3" t="str">
        <f t="shared" si="83"/>
        <v>Nov-2020</v>
      </c>
    </row>
    <row r="2677" spans="1:14" x14ac:dyDescent="0.3">
      <c r="A2677" s="3" t="s">
        <v>230</v>
      </c>
      <c r="B2677" s="3" t="s">
        <v>231</v>
      </c>
      <c r="C2677" s="8">
        <v>2020</v>
      </c>
      <c r="D2677" s="8">
        <v>12</v>
      </c>
      <c r="E2677" s="3" t="str">
        <f t="shared" si="82"/>
        <v>December</v>
      </c>
      <c r="F2677" s="3" t="s">
        <v>13</v>
      </c>
      <c r="G2677" s="8">
        <v>72069.071160000007</v>
      </c>
      <c r="H2677" s="8">
        <v>121483</v>
      </c>
      <c r="I2677" s="8">
        <v>48041.67884</v>
      </c>
      <c r="J2677" s="8">
        <v>297154.03129999997</v>
      </c>
      <c r="K2677" s="8">
        <v>289565.5735</v>
      </c>
      <c r="L2677" s="8">
        <v>305289.37520000001</v>
      </c>
      <c r="M2677" s="9" t="str">
        <f>IF(A2677="",M2678,A2677)</f>
        <v>Mexico</v>
      </c>
      <c r="N2677" s="3" t="str">
        <f t="shared" si="83"/>
        <v>Dec-2020</v>
      </c>
    </row>
    <row r="2678" spans="1:14" x14ac:dyDescent="0.3">
      <c r="A2678" s="3" t="s">
        <v>230</v>
      </c>
      <c r="B2678" s="3" t="s">
        <v>231</v>
      </c>
      <c r="C2678" s="8">
        <v>2021</v>
      </c>
      <c r="D2678" s="8">
        <v>1</v>
      </c>
      <c r="E2678" s="3" t="str">
        <f t="shared" si="82"/>
        <v>January</v>
      </c>
      <c r="F2678" s="3" t="s">
        <v>13</v>
      </c>
      <c r="G2678" s="8">
        <v>72209.253519999998</v>
      </c>
      <c r="H2678" s="8">
        <v>177091</v>
      </c>
      <c r="I2678" s="8">
        <v>104176.49649999999</v>
      </c>
      <c r="J2678" s="8">
        <v>401330.52769999998</v>
      </c>
      <c r="K2678" s="8">
        <v>393777.63589999999</v>
      </c>
      <c r="L2678" s="8">
        <v>409473.17820000002</v>
      </c>
      <c r="M2678" s="9" t="str">
        <f>IF(A2678="",M2679,A2678)</f>
        <v>Mexico</v>
      </c>
      <c r="N2678" s="3" t="str">
        <f t="shared" si="83"/>
        <v>Jan-2021</v>
      </c>
    </row>
    <row r="2679" spans="1:14" x14ac:dyDescent="0.3">
      <c r="A2679" s="3" t="s">
        <v>230</v>
      </c>
      <c r="B2679" s="3" t="s">
        <v>231</v>
      </c>
      <c r="C2679" s="8">
        <v>2021</v>
      </c>
      <c r="D2679" s="8">
        <v>2</v>
      </c>
      <c r="E2679" s="3" t="str">
        <f t="shared" si="82"/>
        <v>February</v>
      </c>
      <c r="F2679" s="3" t="s">
        <v>13</v>
      </c>
      <c r="G2679" s="8">
        <v>66735.642770000006</v>
      </c>
      <c r="H2679" s="8">
        <v>109601</v>
      </c>
      <c r="I2679" s="8">
        <v>42160.107230000001</v>
      </c>
      <c r="J2679" s="8">
        <v>443490.63500000001</v>
      </c>
      <c r="K2679" s="8">
        <v>435180.69319999998</v>
      </c>
      <c r="L2679" s="8">
        <v>452496.8173</v>
      </c>
      <c r="M2679" s="9" t="str">
        <f>IF(A2679="",M2680,A2679)</f>
        <v>Mexico</v>
      </c>
      <c r="N2679" s="3" t="str">
        <f t="shared" si="83"/>
        <v>Feb-2021</v>
      </c>
    </row>
    <row r="2680" spans="1:14" x14ac:dyDescent="0.3">
      <c r="A2680" s="3" t="s">
        <v>230</v>
      </c>
      <c r="B2680" s="3" t="s">
        <v>231</v>
      </c>
      <c r="C2680" s="8">
        <v>2021</v>
      </c>
      <c r="D2680" s="8">
        <v>3</v>
      </c>
      <c r="E2680" s="3" t="str">
        <f t="shared" si="82"/>
        <v>March</v>
      </c>
      <c r="F2680" s="3" t="s">
        <v>13</v>
      </c>
      <c r="G2680" s="8">
        <v>66524.577690000006</v>
      </c>
      <c r="H2680" s="8">
        <v>85605</v>
      </c>
      <c r="I2680" s="8">
        <v>18375.172310000002</v>
      </c>
      <c r="J2680" s="8">
        <v>461865.80729999999</v>
      </c>
      <c r="K2680" s="8">
        <v>452861.15330000001</v>
      </c>
      <c r="L2680" s="8">
        <v>471312.33299999998</v>
      </c>
      <c r="M2680" s="9" t="str">
        <f>IF(A2680="",M2681,A2680)</f>
        <v>Mexico</v>
      </c>
      <c r="N2680" s="3" t="str">
        <f t="shared" si="83"/>
        <v>Mar-2021</v>
      </c>
    </row>
    <row r="2681" spans="1:14" x14ac:dyDescent="0.3">
      <c r="A2681" s="3" t="s">
        <v>230</v>
      </c>
      <c r="B2681" s="3" t="s">
        <v>231</v>
      </c>
      <c r="C2681" s="8">
        <v>2021</v>
      </c>
      <c r="D2681" s="8">
        <v>4</v>
      </c>
      <c r="E2681" s="3" t="str">
        <f t="shared" si="82"/>
        <v>April</v>
      </c>
      <c r="F2681" s="3" t="s">
        <v>13</v>
      </c>
      <c r="G2681" s="8">
        <v>62372.379580000001</v>
      </c>
      <c r="H2681" s="8">
        <v>72722</v>
      </c>
      <c r="I2681" s="8">
        <v>9644.3704180000004</v>
      </c>
      <c r="J2681" s="8">
        <v>471510.1777</v>
      </c>
      <c r="K2681" s="8">
        <v>462333.96399999998</v>
      </c>
      <c r="L2681" s="8">
        <v>480546.5147</v>
      </c>
      <c r="M2681" s="9" t="str">
        <f>IF(A2681="",M2682,A2681)</f>
        <v>Mexico</v>
      </c>
      <c r="N2681" s="3" t="str">
        <f t="shared" si="83"/>
        <v>Apr-2021</v>
      </c>
    </row>
    <row r="2682" spans="1:14" x14ac:dyDescent="0.3">
      <c r="A2682" s="3" t="s">
        <v>230</v>
      </c>
      <c r="B2682" s="3" t="s">
        <v>231</v>
      </c>
      <c r="C2682" s="8">
        <v>2021</v>
      </c>
      <c r="D2682" s="8">
        <v>5</v>
      </c>
      <c r="E2682" s="3" t="str">
        <f t="shared" si="82"/>
        <v>May</v>
      </c>
      <c r="F2682" s="3" t="s">
        <v>13</v>
      </c>
      <c r="G2682" s="8">
        <v>62930.685210000003</v>
      </c>
      <c r="H2682" s="8">
        <v>66793</v>
      </c>
      <c r="I2682" s="8">
        <v>3157.0647880000001</v>
      </c>
      <c r="J2682" s="8">
        <v>474667.24249999999</v>
      </c>
      <c r="K2682" s="8">
        <v>464740.49400000001</v>
      </c>
      <c r="L2682" s="8">
        <v>483957.25109999999</v>
      </c>
      <c r="M2682" s="9" t="str">
        <f>IF(A2682="",M2683,A2682)</f>
        <v>Mexico</v>
      </c>
      <c r="N2682" s="3" t="str">
        <f t="shared" si="83"/>
        <v>May-2021</v>
      </c>
    </row>
    <row r="2683" spans="1:14" x14ac:dyDescent="0.3">
      <c r="A2683" s="3" t="s">
        <v>230</v>
      </c>
      <c r="B2683" s="3" t="s">
        <v>231</v>
      </c>
      <c r="C2683" s="8">
        <v>2021</v>
      </c>
      <c r="D2683" s="8">
        <v>6</v>
      </c>
      <c r="E2683" s="3" t="str">
        <f t="shared" si="82"/>
        <v>June</v>
      </c>
      <c r="F2683" s="3" t="s">
        <v>13</v>
      </c>
      <c r="G2683" s="8">
        <v>60391.329169999997</v>
      </c>
      <c r="H2683" s="8">
        <v>63187</v>
      </c>
      <c r="I2683" s="8">
        <v>2090.42083</v>
      </c>
      <c r="J2683" s="8">
        <v>476757.66330000001</v>
      </c>
      <c r="K2683" s="8">
        <v>467299.99959999998</v>
      </c>
      <c r="L2683" s="8">
        <v>486445.27730000002</v>
      </c>
      <c r="M2683" s="9" t="str">
        <f>IF(A2683="",M2684,A2683)</f>
        <v>Mexico</v>
      </c>
      <c r="N2683" s="3" t="str">
        <f t="shared" si="83"/>
        <v>Jun-2021</v>
      </c>
    </row>
    <row r="2684" spans="1:14" x14ac:dyDescent="0.3">
      <c r="A2684" s="3" t="s">
        <v>230</v>
      </c>
      <c r="B2684" s="3" t="s">
        <v>231</v>
      </c>
      <c r="C2684" s="8">
        <v>2021</v>
      </c>
      <c r="D2684" s="8">
        <v>7</v>
      </c>
      <c r="E2684" s="3" t="str">
        <f t="shared" si="82"/>
        <v>July</v>
      </c>
      <c r="F2684" s="3" t="s">
        <v>13</v>
      </c>
      <c r="G2684" s="8">
        <v>62155.884839999999</v>
      </c>
      <c r="H2684" s="8">
        <v>79599</v>
      </c>
      <c r="I2684" s="8">
        <v>16737.865160000001</v>
      </c>
      <c r="J2684" s="8">
        <v>493495.52850000001</v>
      </c>
      <c r="K2684" s="8">
        <v>483537.84659999999</v>
      </c>
      <c r="L2684" s="8">
        <v>503124.84659999999</v>
      </c>
      <c r="M2684" s="9" t="str">
        <f>IF(A2684="",M2685,A2684)</f>
        <v>Mexico</v>
      </c>
      <c r="N2684" s="3" t="str">
        <f t="shared" si="83"/>
        <v>Jul-2021</v>
      </c>
    </row>
    <row r="2685" spans="1:14" x14ac:dyDescent="0.3">
      <c r="A2685" s="3" t="s">
        <v>230</v>
      </c>
      <c r="B2685" s="3" t="s">
        <v>231</v>
      </c>
      <c r="C2685" s="8">
        <v>2021</v>
      </c>
      <c r="D2685" s="8">
        <v>8</v>
      </c>
      <c r="E2685" s="3" t="str">
        <f t="shared" si="82"/>
        <v>August</v>
      </c>
      <c r="F2685" s="3" t="s">
        <v>13</v>
      </c>
      <c r="G2685" s="8">
        <v>61858.395380000002</v>
      </c>
      <c r="H2685" s="8">
        <v>118559</v>
      </c>
      <c r="I2685" s="8">
        <v>55995.354619999998</v>
      </c>
      <c r="J2685" s="8">
        <v>549490.88309999998</v>
      </c>
      <c r="K2685" s="8">
        <v>539161.24080000003</v>
      </c>
      <c r="L2685" s="8">
        <v>559595.37679999997</v>
      </c>
      <c r="M2685" s="9" t="str">
        <f>IF(A2685="",M2686,A2685)</f>
        <v>Mexico</v>
      </c>
      <c r="N2685" s="3" t="str">
        <f t="shared" si="83"/>
        <v>Aug-2021</v>
      </c>
    </row>
    <row r="2686" spans="1:14" x14ac:dyDescent="0.3">
      <c r="A2686" s="3" t="s">
        <v>230</v>
      </c>
      <c r="B2686" s="3" t="s">
        <v>231</v>
      </c>
      <c r="C2686" s="8">
        <v>2021</v>
      </c>
      <c r="D2686" s="8">
        <v>9</v>
      </c>
      <c r="E2686" s="3" t="str">
        <f t="shared" si="82"/>
        <v>September</v>
      </c>
      <c r="F2686" s="3" t="s">
        <v>13</v>
      </c>
      <c r="G2686" s="8">
        <v>60608.631439999997</v>
      </c>
      <c r="H2686" s="8">
        <v>102972</v>
      </c>
      <c r="I2686" s="8">
        <v>41658.118560000003</v>
      </c>
      <c r="J2686" s="8">
        <v>591149.00170000002</v>
      </c>
      <c r="K2686" s="8">
        <v>580886.35979999998</v>
      </c>
      <c r="L2686" s="8">
        <v>601342.50430000003</v>
      </c>
      <c r="M2686" s="9" t="str">
        <f>IF(A2686="",M2687,A2686)</f>
        <v>Mexico</v>
      </c>
      <c r="N2686" s="3" t="str">
        <f t="shared" si="83"/>
        <v>Sep-2021</v>
      </c>
    </row>
    <row r="2687" spans="1:14" x14ac:dyDescent="0.3">
      <c r="A2687" s="3" t="s">
        <v>230</v>
      </c>
      <c r="B2687" s="3" t="s">
        <v>231</v>
      </c>
      <c r="C2687" s="8">
        <v>2021</v>
      </c>
      <c r="D2687" s="8">
        <v>10</v>
      </c>
      <c r="E2687" s="3" t="str">
        <f t="shared" si="82"/>
        <v>October</v>
      </c>
      <c r="F2687" s="3" t="s">
        <v>13</v>
      </c>
      <c r="G2687" s="8">
        <v>63272.183830000002</v>
      </c>
      <c r="H2687" s="8">
        <v>80556</v>
      </c>
      <c r="I2687" s="8">
        <v>16578.566169999998</v>
      </c>
      <c r="J2687" s="8">
        <v>607727.56779999996</v>
      </c>
      <c r="K2687" s="8">
        <v>596536.60470000003</v>
      </c>
      <c r="L2687" s="8">
        <v>618114.01679999998</v>
      </c>
      <c r="M2687" s="9" t="str">
        <f>IF(A2687="",M2688,A2687)</f>
        <v>Mexico</v>
      </c>
      <c r="N2687" s="3" t="str">
        <f t="shared" si="83"/>
        <v>Oct-2021</v>
      </c>
    </row>
    <row r="2688" spans="1:14" x14ac:dyDescent="0.3">
      <c r="A2688" s="3" t="s">
        <v>230</v>
      </c>
      <c r="B2688" s="3" t="s">
        <v>231</v>
      </c>
      <c r="C2688" s="8">
        <v>2021</v>
      </c>
      <c r="D2688" s="8">
        <v>11</v>
      </c>
      <c r="E2688" s="3" t="str">
        <f t="shared" si="82"/>
        <v>November</v>
      </c>
      <c r="F2688" s="3" t="s">
        <v>13</v>
      </c>
      <c r="G2688" s="8">
        <v>65429.631300000001</v>
      </c>
      <c r="H2688" s="8">
        <v>70992</v>
      </c>
      <c r="I2688" s="8">
        <v>4857.1186980000002</v>
      </c>
      <c r="J2688" s="8">
        <v>612584.68649999995</v>
      </c>
      <c r="K2688" s="8">
        <v>600868.64659999998</v>
      </c>
      <c r="L2688" s="8">
        <v>623631.71169999999</v>
      </c>
      <c r="M2688" s="9" t="str">
        <f>IF(A2688="",M2689,A2688)</f>
        <v>Mexico</v>
      </c>
      <c r="N2688" s="3" t="str">
        <f t="shared" si="83"/>
        <v>Nov-2021</v>
      </c>
    </row>
    <row r="2689" spans="1:14" x14ac:dyDescent="0.3">
      <c r="A2689" s="3" t="s">
        <v>230</v>
      </c>
      <c r="B2689" s="3" t="s">
        <v>231</v>
      </c>
      <c r="C2689" s="8">
        <v>2021</v>
      </c>
      <c r="D2689" s="8">
        <v>12</v>
      </c>
      <c r="E2689" s="3" t="str">
        <f t="shared" si="82"/>
        <v>December</v>
      </c>
      <c r="F2689" s="3" t="s">
        <v>13</v>
      </c>
      <c r="G2689" s="8">
        <v>73955.358179999996</v>
      </c>
      <c r="H2689" s="8">
        <v>74446</v>
      </c>
      <c r="I2689" s="8">
        <v>-214.6081782</v>
      </c>
      <c r="J2689" s="8">
        <v>612370.07830000005</v>
      </c>
      <c r="K2689" s="8">
        <v>600708.62679999997</v>
      </c>
      <c r="L2689" s="8">
        <v>623852.06550000003</v>
      </c>
      <c r="M2689" s="9" t="str">
        <f>IF(A2689="",M2690,A2689)</f>
        <v>Mexico</v>
      </c>
      <c r="N2689" s="3" t="str">
        <f t="shared" si="83"/>
        <v>Dec-2021</v>
      </c>
    </row>
    <row r="2690" spans="1:14" x14ac:dyDescent="0.3">
      <c r="A2690" s="3" t="s">
        <v>232</v>
      </c>
      <c r="B2690" s="3" t="s">
        <v>233</v>
      </c>
      <c r="C2690" s="8">
        <v>2020</v>
      </c>
      <c r="D2690" s="8">
        <v>1</v>
      </c>
      <c r="E2690" s="3" t="str">
        <f t="shared" ref="E2690:E2753" si="84">TEXT(DATE(C2690,D2690,1),"MMMM")</f>
        <v>January</v>
      </c>
      <c r="F2690" s="3" t="s">
        <v>8</v>
      </c>
      <c r="G2690" s="8">
        <v>27.15379587</v>
      </c>
      <c r="H2690" s="8">
        <v>26.478000000000002</v>
      </c>
      <c r="I2690" s="8">
        <v>-0.67579586700000005</v>
      </c>
      <c r="J2690" s="8">
        <v>-0.67579586700000005</v>
      </c>
      <c r="K2690" s="8">
        <v>-12.55871499</v>
      </c>
      <c r="L2690" s="8">
        <v>12.85568336</v>
      </c>
      <c r="M2690" s="9" t="str">
        <f>IF(A2690="",M2691,A2690)</f>
        <v>Marshall Islands</v>
      </c>
      <c r="N2690" s="3" t="str">
        <f t="shared" ref="N2690:N2753" si="85">TEXT(DATE(C2690,D2690,1),"MMM-YYYY")</f>
        <v>Jan-2020</v>
      </c>
    </row>
    <row r="2691" spans="1:14" x14ac:dyDescent="0.3">
      <c r="A2691" s="3" t="s">
        <v>232</v>
      </c>
      <c r="B2691" s="3" t="s">
        <v>233</v>
      </c>
      <c r="C2691" s="8">
        <v>2020</v>
      </c>
      <c r="D2691" s="8">
        <v>2</v>
      </c>
      <c r="E2691" s="3" t="str">
        <f t="shared" si="84"/>
        <v>February</v>
      </c>
      <c r="F2691" s="3" t="s">
        <v>8</v>
      </c>
      <c r="G2691" s="8">
        <v>27.244930950000001</v>
      </c>
      <c r="H2691" s="8">
        <v>27.234999999999999</v>
      </c>
      <c r="I2691" s="8">
        <v>-9.930955E-3</v>
      </c>
      <c r="J2691" s="8">
        <v>-0.68572682200000001</v>
      </c>
      <c r="K2691" s="8">
        <v>-18.39683591</v>
      </c>
      <c r="L2691" s="8">
        <v>17.527474560000002</v>
      </c>
      <c r="M2691" s="9" t="str">
        <f>IF(A2691="",M2692,A2691)</f>
        <v>Marshall Islands</v>
      </c>
      <c r="N2691" s="3" t="str">
        <f t="shared" si="85"/>
        <v>Feb-2020</v>
      </c>
    </row>
    <row r="2692" spans="1:14" x14ac:dyDescent="0.3">
      <c r="A2692" s="3" t="s">
        <v>232</v>
      </c>
      <c r="B2692" s="3" t="s">
        <v>233</v>
      </c>
      <c r="C2692" s="8">
        <v>2020</v>
      </c>
      <c r="D2692" s="8">
        <v>3</v>
      </c>
      <c r="E2692" s="3" t="str">
        <f t="shared" si="84"/>
        <v>March</v>
      </c>
      <c r="F2692" s="3" t="s">
        <v>8</v>
      </c>
      <c r="G2692" s="8">
        <v>27.235286779999999</v>
      </c>
      <c r="H2692" s="8">
        <v>27.402999999999999</v>
      </c>
      <c r="I2692" s="8">
        <v>0.16771322399999999</v>
      </c>
      <c r="J2692" s="8">
        <v>-0.51801359800000002</v>
      </c>
      <c r="K2692" s="8">
        <v>-23.83146253</v>
      </c>
      <c r="L2692" s="8">
        <v>22.133544709999999</v>
      </c>
      <c r="M2692" s="9" t="str">
        <f>IF(A2692="",M2693,A2692)</f>
        <v>Marshall Islands</v>
      </c>
      <c r="N2692" s="3" t="str">
        <f t="shared" si="85"/>
        <v>Mar-2020</v>
      </c>
    </row>
    <row r="2693" spans="1:14" x14ac:dyDescent="0.3">
      <c r="A2693" s="3" t="s">
        <v>232</v>
      </c>
      <c r="B2693" s="3" t="s">
        <v>233</v>
      </c>
      <c r="C2693" s="8">
        <v>2020</v>
      </c>
      <c r="D2693" s="8">
        <v>4</v>
      </c>
      <c r="E2693" s="3" t="str">
        <f t="shared" si="84"/>
        <v>April</v>
      </c>
      <c r="F2693" s="3" t="s">
        <v>8</v>
      </c>
      <c r="G2693" s="8">
        <v>27.294638150000001</v>
      </c>
      <c r="H2693" s="8">
        <v>28.946999999999999</v>
      </c>
      <c r="I2693" s="8">
        <v>1.6523618449999999</v>
      </c>
      <c r="J2693" s="8">
        <v>1.1343482469999999</v>
      </c>
      <c r="K2693" s="8">
        <v>-24.395663620000001</v>
      </c>
      <c r="L2693" s="8">
        <v>29.951102930000001</v>
      </c>
      <c r="M2693" s="9" t="str">
        <f>IF(A2693="",M2694,A2693)</f>
        <v>Marshall Islands</v>
      </c>
      <c r="N2693" s="3" t="str">
        <f t="shared" si="85"/>
        <v>Apr-2020</v>
      </c>
    </row>
    <row r="2694" spans="1:14" x14ac:dyDescent="0.3">
      <c r="A2694" s="3" t="s">
        <v>232</v>
      </c>
      <c r="B2694" s="3" t="s">
        <v>233</v>
      </c>
      <c r="C2694" s="8">
        <v>2020</v>
      </c>
      <c r="D2694" s="8">
        <v>5</v>
      </c>
      <c r="E2694" s="3" t="str">
        <f t="shared" si="84"/>
        <v>May</v>
      </c>
      <c r="F2694" s="3" t="s">
        <v>8</v>
      </c>
      <c r="G2694" s="8">
        <v>27.176476310000002</v>
      </c>
      <c r="H2694" s="8">
        <v>30.178999999999998</v>
      </c>
      <c r="I2694" s="8">
        <v>3.0025236909999999</v>
      </c>
      <c r="J2694" s="8">
        <v>4.1368719379999996</v>
      </c>
      <c r="K2694" s="8">
        <v>-26.915190559999999</v>
      </c>
      <c r="L2694" s="8">
        <v>37.480638849999998</v>
      </c>
      <c r="M2694" s="9" t="str">
        <f>IF(A2694="",M2695,A2694)</f>
        <v>Marshall Islands</v>
      </c>
      <c r="N2694" s="3" t="str">
        <f t="shared" si="85"/>
        <v>May-2020</v>
      </c>
    </row>
    <row r="2695" spans="1:14" x14ac:dyDescent="0.3">
      <c r="A2695" s="3" t="s">
        <v>232</v>
      </c>
      <c r="B2695" s="3" t="s">
        <v>233</v>
      </c>
      <c r="C2695" s="8">
        <v>2020</v>
      </c>
      <c r="D2695" s="8">
        <v>6</v>
      </c>
      <c r="E2695" s="3" t="str">
        <f t="shared" si="84"/>
        <v>June</v>
      </c>
      <c r="F2695" s="3" t="s">
        <v>8</v>
      </c>
      <c r="G2695" s="8">
        <v>27.207997729999999</v>
      </c>
      <c r="H2695" s="8">
        <v>30.151</v>
      </c>
      <c r="I2695" s="8">
        <v>2.9430022679999999</v>
      </c>
      <c r="J2695" s="8">
        <v>7.0798742060000004</v>
      </c>
      <c r="K2695" s="8">
        <v>-27.283345740000001</v>
      </c>
      <c r="L2695" s="8">
        <v>44.692697750000001</v>
      </c>
      <c r="M2695" s="9" t="str">
        <f>IF(A2695="",M2696,A2695)</f>
        <v>Marshall Islands</v>
      </c>
      <c r="N2695" s="3" t="str">
        <f t="shared" si="85"/>
        <v>Jun-2020</v>
      </c>
    </row>
    <row r="2696" spans="1:14" x14ac:dyDescent="0.3">
      <c r="A2696" s="3" t="s">
        <v>232</v>
      </c>
      <c r="B2696" s="3" t="s">
        <v>233</v>
      </c>
      <c r="C2696" s="8">
        <v>2020</v>
      </c>
      <c r="D2696" s="8">
        <v>7</v>
      </c>
      <c r="E2696" s="3" t="str">
        <f t="shared" si="84"/>
        <v>July</v>
      </c>
      <c r="F2696" s="3" t="s">
        <v>8</v>
      </c>
      <c r="G2696" s="8">
        <v>27.194247709999999</v>
      </c>
      <c r="H2696" s="8">
        <v>29.904</v>
      </c>
      <c r="I2696" s="8">
        <v>2.7097522870000001</v>
      </c>
      <c r="J2696" s="8">
        <v>9.7896264930000001</v>
      </c>
      <c r="K2696" s="8">
        <v>-26.069854150000001</v>
      </c>
      <c r="L2696" s="8">
        <v>47.716707120000002</v>
      </c>
      <c r="M2696" s="9" t="str">
        <f>IF(A2696="",M2697,A2696)</f>
        <v>Marshall Islands</v>
      </c>
      <c r="N2696" s="3" t="str">
        <f t="shared" si="85"/>
        <v>Jul-2020</v>
      </c>
    </row>
    <row r="2697" spans="1:14" x14ac:dyDescent="0.3">
      <c r="A2697" s="3" t="s">
        <v>232</v>
      </c>
      <c r="B2697" s="3" t="s">
        <v>233</v>
      </c>
      <c r="C2697" s="8">
        <v>2020</v>
      </c>
      <c r="D2697" s="8">
        <v>8</v>
      </c>
      <c r="E2697" s="3" t="str">
        <f t="shared" si="84"/>
        <v>August</v>
      </c>
      <c r="F2697" s="3" t="s">
        <v>8</v>
      </c>
      <c r="G2697" s="8">
        <v>27.203711739999999</v>
      </c>
      <c r="H2697" s="8">
        <v>29.420999999999999</v>
      </c>
      <c r="I2697" s="8">
        <v>2.2172882559999998</v>
      </c>
      <c r="J2697" s="8">
        <v>12.00691475</v>
      </c>
      <c r="K2697" s="8">
        <v>-24.64614482</v>
      </c>
      <c r="L2697" s="8">
        <v>52.816830369999998</v>
      </c>
      <c r="M2697" s="9" t="str">
        <f>IF(A2697="",M2698,A2697)</f>
        <v>Marshall Islands</v>
      </c>
      <c r="N2697" s="3" t="str">
        <f t="shared" si="85"/>
        <v>Aug-2020</v>
      </c>
    </row>
    <row r="2698" spans="1:14" x14ac:dyDescent="0.3">
      <c r="A2698" s="3" t="s">
        <v>232</v>
      </c>
      <c r="B2698" s="3" t="s">
        <v>233</v>
      </c>
      <c r="C2698" s="8">
        <v>2020</v>
      </c>
      <c r="D2698" s="8">
        <v>9</v>
      </c>
      <c r="E2698" s="3" t="str">
        <f t="shared" si="84"/>
        <v>September</v>
      </c>
      <c r="F2698" s="3" t="s">
        <v>8</v>
      </c>
      <c r="G2698" s="8">
        <v>27.157428599999999</v>
      </c>
      <c r="H2698" s="8">
        <v>29.545000000000002</v>
      </c>
      <c r="I2698" s="8">
        <v>2.3875713969999999</v>
      </c>
      <c r="J2698" s="8">
        <v>14.394486150000001</v>
      </c>
      <c r="K2698" s="8">
        <v>-26.04810105</v>
      </c>
      <c r="L2698" s="8">
        <v>57.113712499999998</v>
      </c>
      <c r="M2698" s="9" t="str">
        <f>IF(A2698="",M2699,A2698)</f>
        <v>Marshall Islands</v>
      </c>
      <c r="N2698" s="3" t="str">
        <f t="shared" si="85"/>
        <v>Sep-2020</v>
      </c>
    </row>
    <row r="2699" spans="1:14" x14ac:dyDescent="0.3">
      <c r="A2699" s="3" t="s">
        <v>232</v>
      </c>
      <c r="B2699" s="3" t="s">
        <v>233</v>
      </c>
      <c r="C2699" s="8">
        <v>2020</v>
      </c>
      <c r="D2699" s="8">
        <v>10</v>
      </c>
      <c r="E2699" s="3" t="str">
        <f t="shared" si="84"/>
        <v>October</v>
      </c>
      <c r="F2699" s="3" t="s">
        <v>8</v>
      </c>
      <c r="G2699" s="8">
        <v>27.300400029999999</v>
      </c>
      <c r="H2699" s="8">
        <v>29.178999999999998</v>
      </c>
      <c r="I2699" s="8">
        <v>1.87859997</v>
      </c>
      <c r="J2699" s="8">
        <v>16.273086119999999</v>
      </c>
      <c r="K2699" s="8">
        <v>-25.42267623</v>
      </c>
      <c r="L2699" s="8">
        <v>61.239357030000001</v>
      </c>
      <c r="M2699" s="9" t="str">
        <f>IF(A2699="",M2700,A2699)</f>
        <v>Marshall Islands</v>
      </c>
      <c r="N2699" s="3" t="str">
        <f t="shared" si="85"/>
        <v>Oct-2020</v>
      </c>
    </row>
    <row r="2700" spans="1:14" x14ac:dyDescent="0.3">
      <c r="A2700" s="3" t="s">
        <v>232</v>
      </c>
      <c r="B2700" s="3" t="s">
        <v>233</v>
      </c>
      <c r="C2700" s="8">
        <v>2020</v>
      </c>
      <c r="D2700" s="8">
        <v>11</v>
      </c>
      <c r="E2700" s="3" t="str">
        <f t="shared" si="84"/>
        <v>November</v>
      </c>
      <c r="F2700" s="3" t="s">
        <v>8</v>
      </c>
      <c r="G2700" s="8">
        <v>27.29288991</v>
      </c>
      <c r="H2700" s="8">
        <v>29.03</v>
      </c>
      <c r="I2700" s="8">
        <v>1.7371100909999999</v>
      </c>
      <c r="J2700" s="8">
        <v>18.01019621</v>
      </c>
      <c r="K2700" s="8">
        <v>-24.063405459999998</v>
      </c>
      <c r="L2700" s="8">
        <v>64.243962429999996</v>
      </c>
      <c r="M2700" s="9" t="str">
        <f>IF(A2700="",M2701,A2700)</f>
        <v>Marshall Islands</v>
      </c>
      <c r="N2700" s="3" t="str">
        <f t="shared" si="85"/>
        <v>Nov-2020</v>
      </c>
    </row>
    <row r="2701" spans="1:14" x14ac:dyDescent="0.3">
      <c r="A2701" s="3" t="s">
        <v>232</v>
      </c>
      <c r="B2701" s="3" t="s">
        <v>233</v>
      </c>
      <c r="C2701" s="8">
        <v>2020</v>
      </c>
      <c r="D2701" s="8">
        <v>12</v>
      </c>
      <c r="E2701" s="3" t="str">
        <f t="shared" si="84"/>
        <v>December</v>
      </c>
      <c r="F2701" s="3" t="s">
        <v>8</v>
      </c>
      <c r="G2701" s="8">
        <v>27.22239901</v>
      </c>
      <c r="H2701" s="8">
        <v>29.216000000000001</v>
      </c>
      <c r="I2701" s="8">
        <v>1.9936009859999999</v>
      </c>
      <c r="J2701" s="8">
        <v>20.00379719</v>
      </c>
      <c r="K2701" s="8">
        <v>-26.56662206</v>
      </c>
      <c r="L2701" s="8">
        <v>71.15852434</v>
      </c>
      <c r="M2701" s="9" t="str">
        <f>IF(A2701="",M2702,A2701)</f>
        <v>Marshall Islands</v>
      </c>
      <c r="N2701" s="3" t="str">
        <f t="shared" si="85"/>
        <v>Dec-2020</v>
      </c>
    </row>
    <row r="2702" spans="1:14" x14ac:dyDescent="0.3">
      <c r="A2702" s="3" t="s">
        <v>232</v>
      </c>
      <c r="B2702" s="3" t="s">
        <v>233</v>
      </c>
      <c r="C2702" s="8">
        <v>2021</v>
      </c>
      <c r="D2702" s="8">
        <v>1</v>
      </c>
      <c r="E2702" s="3" t="str">
        <f t="shared" si="84"/>
        <v>January</v>
      </c>
      <c r="F2702" s="3" t="s">
        <v>8</v>
      </c>
      <c r="G2702" s="8">
        <v>26.745076820000001</v>
      </c>
      <c r="H2702" s="8">
        <v>27.449000000000002</v>
      </c>
      <c r="I2702" s="8">
        <v>0.70392318300000001</v>
      </c>
      <c r="J2702" s="8">
        <v>20.707720380000001</v>
      </c>
      <c r="K2702" s="8">
        <v>-29.445287310000001</v>
      </c>
      <c r="L2702" s="8">
        <v>72.668088729999994</v>
      </c>
      <c r="M2702" s="9" t="str">
        <f>IF(A2702="",M2703,A2702)</f>
        <v>Marshall Islands</v>
      </c>
      <c r="N2702" s="3" t="str">
        <f t="shared" si="85"/>
        <v>Jan-2021</v>
      </c>
    </row>
    <row r="2703" spans="1:14" x14ac:dyDescent="0.3">
      <c r="A2703" s="3" t="s">
        <v>232</v>
      </c>
      <c r="B2703" s="3" t="s">
        <v>233</v>
      </c>
      <c r="C2703" s="8">
        <v>2021</v>
      </c>
      <c r="D2703" s="8">
        <v>2</v>
      </c>
      <c r="E2703" s="3" t="str">
        <f t="shared" si="84"/>
        <v>February</v>
      </c>
      <c r="F2703" s="3" t="s">
        <v>8</v>
      </c>
      <c r="G2703" s="8">
        <v>26.814868180000001</v>
      </c>
      <c r="H2703" s="8">
        <v>27.225999999999999</v>
      </c>
      <c r="I2703" s="8">
        <v>0.41113182399999998</v>
      </c>
      <c r="J2703" s="8">
        <v>21.118852199999999</v>
      </c>
      <c r="K2703" s="8">
        <v>-31.647017030000001</v>
      </c>
      <c r="L2703" s="8">
        <v>73.609161169999993</v>
      </c>
      <c r="M2703" s="9" t="str">
        <f>IF(A2703="",M2704,A2703)</f>
        <v>Marshall Islands</v>
      </c>
      <c r="N2703" s="3" t="str">
        <f t="shared" si="85"/>
        <v>Feb-2021</v>
      </c>
    </row>
    <row r="2704" spans="1:14" x14ac:dyDescent="0.3">
      <c r="A2704" s="3" t="s">
        <v>232</v>
      </c>
      <c r="B2704" s="3" t="s">
        <v>233</v>
      </c>
      <c r="C2704" s="8">
        <v>2021</v>
      </c>
      <c r="D2704" s="8">
        <v>3</v>
      </c>
      <c r="E2704" s="3" t="str">
        <f t="shared" si="84"/>
        <v>March</v>
      </c>
      <c r="F2704" s="3" t="s">
        <v>8</v>
      </c>
      <c r="G2704" s="8">
        <v>26.724308919999999</v>
      </c>
      <c r="H2704" s="8">
        <v>27.004999999999999</v>
      </c>
      <c r="I2704" s="8">
        <v>0.28069108500000001</v>
      </c>
      <c r="J2704" s="8">
        <v>21.39954329</v>
      </c>
      <c r="K2704" s="8">
        <v>-32.262773230000001</v>
      </c>
      <c r="L2704" s="8">
        <v>76.40677977</v>
      </c>
      <c r="M2704" s="9" t="str">
        <f>IF(A2704="",M2705,A2704)</f>
        <v>Marshall Islands</v>
      </c>
      <c r="N2704" s="3" t="str">
        <f t="shared" si="85"/>
        <v>Mar-2021</v>
      </c>
    </row>
    <row r="2705" spans="1:14" x14ac:dyDescent="0.3">
      <c r="A2705" s="3" t="s">
        <v>232</v>
      </c>
      <c r="B2705" s="3" t="s">
        <v>233</v>
      </c>
      <c r="C2705" s="8">
        <v>2021</v>
      </c>
      <c r="D2705" s="8">
        <v>4</v>
      </c>
      <c r="E2705" s="3" t="str">
        <f t="shared" si="84"/>
        <v>April</v>
      </c>
      <c r="F2705" s="3" t="s">
        <v>8</v>
      </c>
      <c r="G2705" s="8">
        <v>26.734967919999999</v>
      </c>
      <c r="H2705" s="8">
        <v>27.027000000000001</v>
      </c>
      <c r="I2705" s="8">
        <v>0.292032081</v>
      </c>
      <c r="J2705" s="8">
        <v>21.691575369999999</v>
      </c>
      <c r="K2705" s="8">
        <v>-33.462995190000001</v>
      </c>
      <c r="L2705" s="8">
        <v>76.954606060000003</v>
      </c>
      <c r="M2705" s="9" t="str">
        <f>IF(A2705="",M2706,A2705)</f>
        <v>Marshall Islands</v>
      </c>
      <c r="N2705" s="3" t="str">
        <f t="shared" si="85"/>
        <v>Apr-2021</v>
      </c>
    </row>
    <row r="2706" spans="1:14" x14ac:dyDescent="0.3">
      <c r="A2706" s="3" t="s">
        <v>232</v>
      </c>
      <c r="B2706" s="3" t="s">
        <v>233</v>
      </c>
      <c r="C2706" s="8">
        <v>2021</v>
      </c>
      <c r="D2706" s="8">
        <v>5</v>
      </c>
      <c r="E2706" s="3" t="str">
        <f t="shared" si="84"/>
        <v>May</v>
      </c>
      <c r="F2706" s="3" t="s">
        <v>8</v>
      </c>
      <c r="G2706" s="8">
        <v>26.773459800000001</v>
      </c>
      <c r="H2706" s="8">
        <v>27.399000000000001</v>
      </c>
      <c r="I2706" s="8">
        <v>0.62554020300000002</v>
      </c>
      <c r="J2706" s="8">
        <v>22.317115569999999</v>
      </c>
      <c r="K2706" s="8">
        <v>-32.203042269999997</v>
      </c>
      <c r="L2706" s="8">
        <v>81.049908049999999</v>
      </c>
      <c r="M2706" s="9" t="str">
        <f>IF(A2706="",M2707,A2706)</f>
        <v>Marshall Islands</v>
      </c>
      <c r="N2706" s="3" t="str">
        <f t="shared" si="85"/>
        <v>May-2021</v>
      </c>
    </row>
    <row r="2707" spans="1:14" x14ac:dyDescent="0.3">
      <c r="A2707" s="3" t="s">
        <v>232</v>
      </c>
      <c r="B2707" s="3" t="s">
        <v>233</v>
      </c>
      <c r="C2707" s="8">
        <v>2021</v>
      </c>
      <c r="D2707" s="8">
        <v>6</v>
      </c>
      <c r="E2707" s="3" t="str">
        <f t="shared" si="84"/>
        <v>June</v>
      </c>
      <c r="F2707" s="3" t="s">
        <v>8</v>
      </c>
      <c r="G2707" s="8">
        <v>26.74642347</v>
      </c>
      <c r="H2707" s="8">
        <v>28.349</v>
      </c>
      <c r="I2707" s="8">
        <v>1.6025765300000001</v>
      </c>
      <c r="J2707" s="8">
        <v>23.919692099999999</v>
      </c>
      <c r="K2707" s="8">
        <v>-32.659873529999999</v>
      </c>
      <c r="L2707" s="8">
        <v>86.185941299999996</v>
      </c>
      <c r="M2707" s="9" t="str">
        <f>IF(A2707="",M2708,A2707)</f>
        <v>Marshall Islands</v>
      </c>
      <c r="N2707" s="3" t="str">
        <f t="shared" si="85"/>
        <v>Jun-2021</v>
      </c>
    </row>
    <row r="2708" spans="1:14" x14ac:dyDescent="0.3">
      <c r="A2708" s="3" t="s">
        <v>232</v>
      </c>
      <c r="B2708" s="3" t="s">
        <v>233</v>
      </c>
      <c r="C2708" s="8">
        <v>2021</v>
      </c>
      <c r="D2708" s="8">
        <v>7</v>
      </c>
      <c r="E2708" s="3" t="str">
        <f t="shared" si="84"/>
        <v>July</v>
      </c>
      <c r="F2708" s="3" t="s">
        <v>8</v>
      </c>
      <c r="G2708" s="8">
        <v>26.761659510000001</v>
      </c>
      <c r="H2708" s="8">
        <v>29.596</v>
      </c>
      <c r="I2708" s="8">
        <v>2.8343404890000001</v>
      </c>
      <c r="J2708" s="8">
        <v>26.754032590000001</v>
      </c>
      <c r="K2708" s="8">
        <v>-29.25975262</v>
      </c>
      <c r="L2708" s="8">
        <v>91.8788275</v>
      </c>
      <c r="M2708" s="9" t="str">
        <f>IF(A2708="",M2709,A2708)</f>
        <v>Marshall Islands</v>
      </c>
      <c r="N2708" s="3" t="str">
        <f t="shared" si="85"/>
        <v>Jul-2021</v>
      </c>
    </row>
    <row r="2709" spans="1:14" x14ac:dyDescent="0.3">
      <c r="A2709" s="3" t="s">
        <v>232</v>
      </c>
      <c r="B2709" s="3" t="s">
        <v>233</v>
      </c>
      <c r="C2709" s="8">
        <v>2021</v>
      </c>
      <c r="D2709" s="8">
        <v>8</v>
      </c>
      <c r="E2709" s="3" t="str">
        <f t="shared" si="84"/>
        <v>August</v>
      </c>
      <c r="F2709" s="3" t="s">
        <v>8</v>
      </c>
      <c r="G2709" s="8">
        <v>26.754307170000001</v>
      </c>
      <c r="H2709" s="8">
        <v>29.640999999999998</v>
      </c>
      <c r="I2709" s="8">
        <v>2.8866928280000002</v>
      </c>
      <c r="J2709" s="8">
        <v>29.640725419999999</v>
      </c>
      <c r="K2709" s="8">
        <v>-27.078875979999999</v>
      </c>
      <c r="L2709" s="8">
        <v>94.812705050000005</v>
      </c>
      <c r="M2709" s="9" t="str">
        <f>IF(A2709="",M2710,A2709)</f>
        <v>Marshall Islands</v>
      </c>
      <c r="N2709" s="3" t="str">
        <f t="shared" si="85"/>
        <v>Aug-2021</v>
      </c>
    </row>
    <row r="2710" spans="1:14" x14ac:dyDescent="0.3">
      <c r="A2710" s="3" t="s">
        <v>232</v>
      </c>
      <c r="B2710" s="3" t="s">
        <v>233</v>
      </c>
      <c r="C2710" s="8">
        <v>2021</v>
      </c>
      <c r="D2710" s="8">
        <v>9</v>
      </c>
      <c r="E2710" s="3" t="str">
        <f t="shared" si="84"/>
        <v>September</v>
      </c>
      <c r="F2710" s="3" t="s">
        <v>8</v>
      </c>
      <c r="G2710" s="8">
        <v>26.70272082</v>
      </c>
      <c r="H2710" s="8">
        <v>30.067</v>
      </c>
      <c r="I2710" s="8">
        <v>3.3642791829999998</v>
      </c>
      <c r="J2710" s="8">
        <v>33.005004599999999</v>
      </c>
      <c r="K2710" s="8">
        <v>-25.81518865</v>
      </c>
      <c r="L2710" s="8">
        <v>100.1212592</v>
      </c>
      <c r="M2710" s="9" t="str">
        <f>IF(A2710="",M2711,A2710)</f>
        <v>Marshall Islands</v>
      </c>
      <c r="N2710" s="3" t="str">
        <f t="shared" si="85"/>
        <v>Sep-2021</v>
      </c>
    </row>
    <row r="2711" spans="1:14" x14ac:dyDescent="0.3">
      <c r="A2711" s="3" t="s">
        <v>232</v>
      </c>
      <c r="B2711" s="3" t="s">
        <v>233</v>
      </c>
      <c r="C2711" s="8">
        <v>2021</v>
      </c>
      <c r="D2711" s="8">
        <v>10</v>
      </c>
      <c r="E2711" s="3" t="str">
        <f t="shared" si="84"/>
        <v>October</v>
      </c>
      <c r="F2711" s="3" t="s">
        <v>8</v>
      </c>
      <c r="G2711" s="8">
        <v>26.868777829999999</v>
      </c>
      <c r="H2711" s="8">
        <v>30.306999999999999</v>
      </c>
      <c r="I2711" s="8">
        <v>3.4382221660000001</v>
      </c>
      <c r="J2711" s="8">
        <v>36.443226770000003</v>
      </c>
      <c r="K2711" s="8">
        <v>-25.44676127</v>
      </c>
      <c r="L2711" s="8">
        <v>105.2770951</v>
      </c>
      <c r="M2711" s="9" t="str">
        <f>IF(A2711="",M2712,A2711)</f>
        <v>Marshall Islands</v>
      </c>
      <c r="N2711" s="3" t="str">
        <f t="shared" si="85"/>
        <v>Oct-2021</v>
      </c>
    </row>
    <row r="2712" spans="1:14" x14ac:dyDescent="0.3">
      <c r="A2712" s="3" t="s">
        <v>232</v>
      </c>
      <c r="B2712" s="3" t="s">
        <v>233</v>
      </c>
      <c r="C2712" s="8">
        <v>2021</v>
      </c>
      <c r="D2712" s="8">
        <v>11</v>
      </c>
      <c r="E2712" s="3" t="str">
        <f t="shared" si="84"/>
        <v>November</v>
      </c>
      <c r="F2712" s="3" t="s">
        <v>8</v>
      </c>
      <c r="G2712" s="8">
        <v>26.806314149999999</v>
      </c>
      <c r="H2712" s="8">
        <v>31.538</v>
      </c>
      <c r="I2712" s="8">
        <v>4.7316858469999996</v>
      </c>
      <c r="J2712" s="8">
        <v>41.17491261</v>
      </c>
      <c r="K2712" s="8">
        <v>-24.305525320000001</v>
      </c>
      <c r="L2712" s="8">
        <v>109.7608328</v>
      </c>
      <c r="M2712" s="9" t="str">
        <f>IF(A2712="",M2713,A2712)</f>
        <v>Marshall Islands</v>
      </c>
      <c r="N2712" s="3" t="str">
        <f t="shared" si="85"/>
        <v>Nov-2021</v>
      </c>
    </row>
    <row r="2713" spans="1:14" x14ac:dyDescent="0.3">
      <c r="A2713" s="3" t="s">
        <v>232</v>
      </c>
      <c r="B2713" s="3" t="s">
        <v>233</v>
      </c>
      <c r="C2713" s="8">
        <v>2021</v>
      </c>
      <c r="D2713" s="8">
        <v>12</v>
      </c>
      <c r="E2713" s="3" t="str">
        <f t="shared" si="84"/>
        <v>December</v>
      </c>
      <c r="F2713" s="3" t="s">
        <v>8</v>
      </c>
      <c r="G2713" s="8">
        <v>26.820675949999998</v>
      </c>
      <c r="H2713" s="8">
        <v>31.954999999999998</v>
      </c>
      <c r="I2713" s="8">
        <v>5.1343240489999999</v>
      </c>
      <c r="J2713" s="8">
        <v>46.309236660000003</v>
      </c>
      <c r="K2713" s="8">
        <v>-20.65889288</v>
      </c>
      <c r="L2713" s="8">
        <v>117.7024452</v>
      </c>
      <c r="M2713" s="9" t="str">
        <f>IF(A2713="",M2714,A2713)</f>
        <v>Marshall Islands</v>
      </c>
      <c r="N2713" s="3" t="str">
        <f t="shared" si="85"/>
        <v>Dec-2021</v>
      </c>
    </row>
    <row r="2714" spans="1:14" x14ac:dyDescent="0.3">
      <c r="A2714" s="3" t="s">
        <v>234</v>
      </c>
      <c r="B2714" s="3" t="s">
        <v>235</v>
      </c>
      <c r="C2714" s="8">
        <v>2020</v>
      </c>
      <c r="D2714" s="8">
        <v>1</v>
      </c>
      <c r="E2714" s="3" t="str">
        <f t="shared" si="84"/>
        <v>January</v>
      </c>
      <c r="F2714" s="3" t="s">
        <v>13</v>
      </c>
      <c r="G2714" s="8">
        <v>2200.788348</v>
      </c>
      <c r="H2714" s="8">
        <v>2120</v>
      </c>
      <c r="I2714" s="8">
        <v>-80.788348490000004</v>
      </c>
      <c r="J2714" s="8">
        <v>-80.788348490000004</v>
      </c>
      <c r="K2714" s="8">
        <v>-196.32255119999999</v>
      </c>
      <c r="L2714" s="8">
        <v>31.47351007</v>
      </c>
      <c r="M2714" s="9" t="str">
        <f>IF(A2714="",M2715,A2714)</f>
        <v>North Macedonia</v>
      </c>
      <c r="N2714" s="3" t="str">
        <f t="shared" si="85"/>
        <v>Jan-2020</v>
      </c>
    </row>
    <row r="2715" spans="1:14" x14ac:dyDescent="0.3">
      <c r="A2715" s="3" t="s">
        <v>234</v>
      </c>
      <c r="B2715" s="3" t="s">
        <v>235</v>
      </c>
      <c r="C2715" s="8">
        <v>2020</v>
      </c>
      <c r="D2715" s="8">
        <v>2</v>
      </c>
      <c r="E2715" s="3" t="str">
        <f t="shared" si="84"/>
        <v>February</v>
      </c>
      <c r="F2715" s="3" t="s">
        <v>13</v>
      </c>
      <c r="G2715" s="8">
        <v>2167.518419</v>
      </c>
      <c r="H2715" s="8">
        <v>1976</v>
      </c>
      <c r="I2715" s="8">
        <v>-191.51841899999999</v>
      </c>
      <c r="J2715" s="8">
        <v>-272.30676749999998</v>
      </c>
      <c r="K2715" s="8">
        <v>-445.46045500000002</v>
      </c>
      <c r="L2715" s="8">
        <v>-107.879741</v>
      </c>
      <c r="M2715" s="9" t="str">
        <f>IF(A2715="",M2716,A2715)</f>
        <v>North Macedonia</v>
      </c>
      <c r="N2715" s="3" t="str">
        <f t="shared" si="85"/>
        <v>Feb-2020</v>
      </c>
    </row>
    <row r="2716" spans="1:14" x14ac:dyDescent="0.3">
      <c r="A2716" s="3" t="s">
        <v>234</v>
      </c>
      <c r="B2716" s="3" t="s">
        <v>235</v>
      </c>
      <c r="C2716" s="8">
        <v>2020</v>
      </c>
      <c r="D2716" s="8">
        <v>3</v>
      </c>
      <c r="E2716" s="3" t="str">
        <f t="shared" si="84"/>
        <v>March</v>
      </c>
      <c r="F2716" s="3" t="s">
        <v>13</v>
      </c>
      <c r="G2716" s="8">
        <v>2072.2522370000002</v>
      </c>
      <c r="H2716" s="8">
        <v>2001</v>
      </c>
      <c r="I2716" s="8">
        <v>-71.252237100000002</v>
      </c>
      <c r="J2716" s="8">
        <v>-343.55900459999998</v>
      </c>
      <c r="K2716" s="8">
        <v>-554.09677950000003</v>
      </c>
      <c r="L2716" s="8">
        <v>-133.4349885</v>
      </c>
      <c r="M2716" s="9" t="str">
        <f>IF(A2716="",M2717,A2716)</f>
        <v>North Macedonia</v>
      </c>
      <c r="N2716" s="3" t="str">
        <f t="shared" si="85"/>
        <v>Mar-2020</v>
      </c>
    </row>
    <row r="2717" spans="1:14" x14ac:dyDescent="0.3">
      <c r="A2717" s="3" t="s">
        <v>234</v>
      </c>
      <c r="B2717" s="3" t="s">
        <v>235</v>
      </c>
      <c r="C2717" s="8">
        <v>2020</v>
      </c>
      <c r="D2717" s="8">
        <v>4</v>
      </c>
      <c r="E2717" s="3" t="str">
        <f t="shared" si="84"/>
        <v>April</v>
      </c>
      <c r="F2717" s="3" t="s">
        <v>13</v>
      </c>
      <c r="G2717" s="8">
        <v>1957.0726179999999</v>
      </c>
      <c r="H2717" s="8">
        <v>2095</v>
      </c>
      <c r="I2717" s="8">
        <v>137.92738170000001</v>
      </c>
      <c r="J2717" s="8">
        <v>-205.6316229</v>
      </c>
      <c r="K2717" s="8">
        <v>-459.29788819999999</v>
      </c>
      <c r="L2717" s="8">
        <v>43.813484520000003</v>
      </c>
      <c r="M2717" s="9" t="str">
        <f>IF(A2717="",M2718,A2717)</f>
        <v>North Macedonia</v>
      </c>
      <c r="N2717" s="3" t="str">
        <f t="shared" si="85"/>
        <v>Apr-2020</v>
      </c>
    </row>
    <row r="2718" spans="1:14" x14ac:dyDescent="0.3">
      <c r="A2718" s="3" t="s">
        <v>234</v>
      </c>
      <c r="B2718" s="3" t="s">
        <v>235</v>
      </c>
      <c r="C2718" s="8">
        <v>2020</v>
      </c>
      <c r="D2718" s="8">
        <v>5</v>
      </c>
      <c r="E2718" s="3" t="str">
        <f t="shared" si="84"/>
        <v>May</v>
      </c>
      <c r="F2718" s="3" t="s">
        <v>13</v>
      </c>
      <c r="G2718" s="8">
        <v>1884.8717349999999</v>
      </c>
      <c r="H2718" s="8">
        <v>1981</v>
      </c>
      <c r="I2718" s="8">
        <v>96.128264580000007</v>
      </c>
      <c r="J2718" s="8">
        <v>-109.5033583</v>
      </c>
      <c r="K2718" s="8">
        <v>-392.56507470000003</v>
      </c>
      <c r="L2718" s="8">
        <v>166.17659330000001</v>
      </c>
      <c r="M2718" s="9" t="str">
        <f>IF(A2718="",M2719,A2718)</f>
        <v>North Macedonia</v>
      </c>
      <c r="N2718" s="3" t="str">
        <f t="shared" si="85"/>
        <v>May-2020</v>
      </c>
    </row>
    <row r="2719" spans="1:14" x14ac:dyDescent="0.3">
      <c r="A2719" s="3" t="s">
        <v>234</v>
      </c>
      <c r="B2719" s="3" t="s">
        <v>235</v>
      </c>
      <c r="C2719" s="8">
        <v>2020</v>
      </c>
      <c r="D2719" s="8">
        <v>6</v>
      </c>
      <c r="E2719" s="3" t="str">
        <f t="shared" si="84"/>
        <v>June</v>
      </c>
      <c r="F2719" s="3" t="s">
        <v>13</v>
      </c>
      <c r="G2719" s="8">
        <v>1838.087293</v>
      </c>
      <c r="H2719" s="8">
        <v>2315</v>
      </c>
      <c r="I2719" s="8">
        <v>476.91270739999999</v>
      </c>
      <c r="J2719" s="8">
        <v>367.40934909999999</v>
      </c>
      <c r="K2719" s="8">
        <v>66.338976970000004</v>
      </c>
      <c r="L2719" s="8">
        <v>656.62792760000002</v>
      </c>
      <c r="M2719" s="9" t="str">
        <f>IF(A2719="",M2720,A2719)</f>
        <v>North Macedonia</v>
      </c>
      <c r="N2719" s="3" t="str">
        <f t="shared" si="85"/>
        <v>Jun-2020</v>
      </c>
    </row>
    <row r="2720" spans="1:14" x14ac:dyDescent="0.3">
      <c r="A2720" s="3" t="s">
        <v>234</v>
      </c>
      <c r="B2720" s="3" t="s">
        <v>235</v>
      </c>
      <c r="C2720" s="8">
        <v>2020</v>
      </c>
      <c r="D2720" s="8">
        <v>7</v>
      </c>
      <c r="E2720" s="3" t="str">
        <f t="shared" si="84"/>
        <v>July</v>
      </c>
      <c r="F2720" s="3" t="s">
        <v>13</v>
      </c>
      <c r="G2720" s="8">
        <v>1827.3776760000001</v>
      </c>
      <c r="H2720" s="8">
        <v>2275</v>
      </c>
      <c r="I2720" s="8">
        <v>447.62232360000002</v>
      </c>
      <c r="J2720" s="8">
        <v>815.03167269999994</v>
      </c>
      <c r="K2720" s="8">
        <v>466.42828359999999</v>
      </c>
      <c r="L2720" s="8">
        <v>1125.371269</v>
      </c>
      <c r="M2720" s="9" t="str">
        <f>IF(A2720="",M2721,A2720)</f>
        <v>North Macedonia</v>
      </c>
      <c r="N2720" s="3" t="str">
        <f t="shared" si="85"/>
        <v>Jul-2020</v>
      </c>
    </row>
    <row r="2721" spans="1:14" x14ac:dyDescent="0.3">
      <c r="A2721" s="3" t="s">
        <v>234</v>
      </c>
      <c r="B2721" s="3" t="s">
        <v>235</v>
      </c>
      <c r="C2721" s="8">
        <v>2020</v>
      </c>
      <c r="D2721" s="8">
        <v>8</v>
      </c>
      <c r="E2721" s="3" t="str">
        <f t="shared" si="84"/>
        <v>August</v>
      </c>
      <c r="F2721" s="3" t="s">
        <v>13</v>
      </c>
      <c r="G2721" s="8">
        <v>1821.504711</v>
      </c>
      <c r="H2721" s="8">
        <v>2206</v>
      </c>
      <c r="I2721" s="8">
        <v>384.49528880000003</v>
      </c>
      <c r="J2721" s="8">
        <v>1199.5269619999999</v>
      </c>
      <c r="K2721" s="8">
        <v>844.14143039999999</v>
      </c>
      <c r="L2721" s="8">
        <v>1522.952215</v>
      </c>
      <c r="M2721" s="9" t="str">
        <f>IF(A2721="",M2722,A2721)</f>
        <v>North Macedonia</v>
      </c>
      <c r="N2721" s="3" t="str">
        <f t="shared" si="85"/>
        <v>Aug-2020</v>
      </c>
    </row>
    <row r="2722" spans="1:14" x14ac:dyDescent="0.3">
      <c r="A2722" s="3" t="s">
        <v>234</v>
      </c>
      <c r="B2722" s="3" t="s">
        <v>235</v>
      </c>
      <c r="C2722" s="8">
        <v>2020</v>
      </c>
      <c r="D2722" s="8">
        <v>9</v>
      </c>
      <c r="E2722" s="3" t="str">
        <f t="shared" si="84"/>
        <v>September</v>
      </c>
      <c r="F2722" s="3" t="s">
        <v>13</v>
      </c>
      <c r="G2722" s="8">
        <v>1843.3380420000001</v>
      </c>
      <c r="H2722" s="8">
        <v>2110</v>
      </c>
      <c r="I2722" s="8">
        <v>266.6619584</v>
      </c>
      <c r="J2722" s="8">
        <v>1466.1889200000001</v>
      </c>
      <c r="K2722" s="8">
        <v>1106.130322</v>
      </c>
      <c r="L2722" s="8">
        <v>1808.120279</v>
      </c>
      <c r="M2722" s="9" t="str">
        <f>IF(A2722="",M2723,A2722)</f>
        <v>North Macedonia</v>
      </c>
      <c r="N2722" s="3" t="str">
        <f t="shared" si="85"/>
        <v>Sep-2020</v>
      </c>
    </row>
    <row r="2723" spans="1:14" x14ac:dyDescent="0.3">
      <c r="A2723" s="3" t="s">
        <v>234</v>
      </c>
      <c r="B2723" s="3" t="s">
        <v>235</v>
      </c>
      <c r="C2723" s="8">
        <v>2020</v>
      </c>
      <c r="D2723" s="8">
        <v>10</v>
      </c>
      <c r="E2723" s="3" t="str">
        <f t="shared" si="84"/>
        <v>October</v>
      </c>
      <c r="F2723" s="3" t="s">
        <v>13</v>
      </c>
      <c r="G2723" s="8">
        <v>1943.359774</v>
      </c>
      <c r="H2723" s="8">
        <v>2764</v>
      </c>
      <c r="I2723" s="8">
        <v>820.64022609999995</v>
      </c>
      <c r="J2723" s="8">
        <v>2286.829146</v>
      </c>
      <c r="K2723" s="8">
        <v>1914.294574</v>
      </c>
      <c r="L2723" s="8">
        <v>2634.4014400000001</v>
      </c>
      <c r="M2723" s="9" t="str">
        <f>IF(A2723="",M2724,A2723)</f>
        <v>North Macedonia</v>
      </c>
      <c r="N2723" s="3" t="str">
        <f t="shared" si="85"/>
        <v>Oct-2020</v>
      </c>
    </row>
    <row r="2724" spans="1:14" x14ac:dyDescent="0.3">
      <c r="A2724" s="3" t="s">
        <v>234</v>
      </c>
      <c r="B2724" s="3" t="s">
        <v>235</v>
      </c>
      <c r="C2724" s="8">
        <v>2020</v>
      </c>
      <c r="D2724" s="8">
        <v>11</v>
      </c>
      <c r="E2724" s="3" t="str">
        <f t="shared" si="84"/>
        <v>November</v>
      </c>
      <c r="F2724" s="3" t="s">
        <v>13</v>
      </c>
      <c r="G2724" s="8">
        <v>2067.6980309999999</v>
      </c>
      <c r="H2724" s="8">
        <v>4599</v>
      </c>
      <c r="I2724" s="8">
        <v>2531.3019690000001</v>
      </c>
      <c r="J2724" s="8">
        <v>4818.1311150000001</v>
      </c>
      <c r="K2724" s="8">
        <v>4424.1890489999996</v>
      </c>
      <c r="L2724" s="8">
        <v>5190.7611790000001</v>
      </c>
      <c r="M2724" s="9" t="str">
        <f>IF(A2724="",M2725,A2724)</f>
        <v>North Macedonia</v>
      </c>
      <c r="N2724" s="3" t="str">
        <f t="shared" si="85"/>
        <v>Nov-2020</v>
      </c>
    </row>
    <row r="2725" spans="1:14" x14ac:dyDescent="0.3">
      <c r="A2725" s="3" t="s">
        <v>234</v>
      </c>
      <c r="B2725" s="3" t="s">
        <v>235</v>
      </c>
      <c r="C2725" s="8">
        <v>2020</v>
      </c>
      <c r="D2725" s="8">
        <v>12</v>
      </c>
      <c r="E2725" s="3" t="str">
        <f t="shared" si="84"/>
        <v>December</v>
      </c>
      <c r="F2725" s="3" t="s">
        <v>13</v>
      </c>
      <c r="G2725" s="8">
        <v>2184.635104</v>
      </c>
      <c r="H2725" s="8">
        <v>3929</v>
      </c>
      <c r="I2725" s="8">
        <v>1744.364896</v>
      </c>
      <c r="J2725" s="8">
        <v>6562.4960110000002</v>
      </c>
      <c r="K2725" s="8">
        <v>6156.6943389999997</v>
      </c>
      <c r="L2725" s="8">
        <v>6967.7898590000004</v>
      </c>
      <c r="M2725" s="9" t="str">
        <f>IF(A2725="",M2726,A2725)</f>
        <v>North Macedonia</v>
      </c>
      <c r="N2725" s="3" t="str">
        <f t="shared" si="85"/>
        <v>Dec-2020</v>
      </c>
    </row>
    <row r="2726" spans="1:14" x14ac:dyDescent="0.3">
      <c r="A2726" s="3" t="s">
        <v>234</v>
      </c>
      <c r="B2726" s="3" t="s">
        <v>235</v>
      </c>
      <c r="C2726" s="8">
        <v>2021</v>
      </c>
      <c r="D2726" s="8">
        <v>1</v>
      </c>
      <c r="E2726" s="3" t="str">
        <f t="shared" si="84"/>
        <v>January</v>
      </c>
      <c r="F2726" s="3" t="s">
        <v>13</v>
      </c>
      <c r="G2726" s="8">
        <v>2186.460474</v>
      </c>
      <c r="H2726" s="8">
        <v>2954</v>
      </c>
      <c r="I2726" s="8">
        <v>766.04508980000003</v>
      </c>
      <c r="J2726" s="8">
        <v>7328.5411009999998</v>
      </c>
      <c r="K2726" s="8">
        <v>6885.5342389999996</v>
      </c>
      <c r="L2726" s="8">
        <v>7738.6242949999996</v>
      </c>
      <c r="M2726" s="9" t="str">
        <f>IF(A2726="",M2727,A2726)</f>
        <v>North Macedonia</v>
      </c>
      <c r="N2726" s="3" t="str">
        <f t="shared" si="85"/>
        <v>Jan-2021</v>
      </c>
    </row>
    <row r="2727" spans="1:14" x14ac:dyDescent="0.3">
      <c r="A2727" s="3" t="s">
        <v>234</v>
      </c>
      <c r="B2727" s="3" t="s">
        <v>235</v>
      </c>
      <c r="C2727" s="8">
        <v>2021</v>
      </c>
      <c r="D2727" s="8">
        <v>2</v>
      </c>
      <c r="E2727" s="3" t="str">
        <f t="shared" si="84"/>
        <v>February</v>
      </c>
      <c r="F2727" s="3" t="s">
        <v>13</v>
      </c>
      <c r="G2727" s="8">
        <v>2157.0312050000002</v>
      </c>
      <c r="H2727" s="8">
        <v>2412</v>
      </c>
      <c r="I2727" s="8">
        <v>253.4743584</v>
      </c>
      <c r="J2727" s="8">
        <v>7582.0154599999996</v>
      </c>
      <c r="K2727" s="8">
        <v>7104.779552</v>
      </c>
      <c r="L2727" s="8">
        <v>8012.2749039999999</v>
      </c>
      <c r="M2727" s="9" t="str">
        <f>IF(A2727="",M2728,A2727)</f>
        <v>North Macedonia</v>
      </c>
      <c r="N2727" s="3" t="str">
        <f t="shared" si="85"/>
        <v>Feb-2021</v>
      </c>
    </row>
    <row r="2728" spans="1:14" x14ac:dyDescent="0.3">
      <c r="A2728" s="3" t="s">
        <v>234</v>
      </c>
      <c r="B2728" s="3" t="s">
        <v>235</v>
      </c>
      <c r="C2728" s="8">
        <v>2021</v>
      </c>
      <c r="D2728" s="8">
        <v>3</v>
      </c>
      <c r="E2728" s="3" t="str">
        <f t="shared" si="84"/>
        <v>March</v>
      </c>
      <c r="F2728" s="3" t="s">
        <v>13</v>
      </c>
      <c r="G2728" s="8">
        <v>2061.7617110000001</v>
      </c>
      <c r="H2728" s="8">
        <v>3296</v>
      </c>
      <c r="I2728" s="8">
        <v>1232.7438529999999</v>
      </c>
      <c r="J2728" s="8">
        <v>8814.7593120000001</v>
      </c>
      <c r="K2728" s="8">
        <v>8330.0944799999997</v>
      </c>
      <c r="L2728" s="8">
        <v>9292.8483629999992</v>
      </c>
      <c r="M2728" s="9" t="str">
        <f>IF(A2728="",M2729,A2728)</f>
        <v>North Macedonia</v>
      </c>
      <c r="N2728" s="3" t="str">
        <f t="shared" si="85"/>
        <v>Mar-2021</v>
      </c>
    </row>
    <row r="2729" spans="1:14" x14ac:dyDescent="0.3">
      <c r="A2729" s="3" t="s">
        <v>234</v>
      </c>
      <c r="B2729" s="3" t="s">
        <v>235</v>
      </c>
      <c r="C2729" s="8">
        <v>2021</v>
      </c>
      <c r="D2729" s="8">
        <v>4</v>
      </c>
      <c r="E2729" s="3" t="str">
        <f t="shared" si="84"/>
        <v>April</v>
      </c>
      <c r="F2729" s="3" t="s">
        <v>13</v>
      </c>
      <c r="G2729" s="8">
        <v>1950.5642519999999</v>
      </c>
      <c r="H2729" s="8">
        <v>3840</v>
      </c>
      <c r="I2729" s="8">
        <v>1887.9413119999999</v>
      </c>
      <c r="J2729" s="8">
        <v>10702.70062</v>
      </c>
      <c r="K2729" s="8">
        <v>10189.901470000001</v>
      </c>
      <c r="L2729" s="8">
        <v>11203.218929999999</v>
      </c>
      <c r="M2729" s="9" t="str">
        <f>IF(A2729="",M2730,A2729)</f>
        <v>North Macedonia</v>
      </c>
      <c r="N2729" s="3" t="str">
        <f t="shared" si="85"/>
        <v>Apr-2021</v>
      </c>
    </row>
    <row r="2730" spans="1:14" x14ac:dyDescent="0.3">
      <c r="A2730" s="3" t="s">
        <v>234</v>
      </c>
      <c r="B2730" s="3" t="s">
        <v>235</v>
      </c>
      <c r="C2730" s="8">
        <v>2021</v>
      </c>
      <c r="D2730" s="8">
        <v>5</v>
      </c>
      <c r="E2730" s="3" t="str">
        <f t="shared" si="84"/>
        <v>May</v>
      </c>
      <c r="F2730" s="3" t="s">
        <v>13</v>
      </c>
      <c r="G2730" s="8">
        <v>1872.3267149999999</v>
      </c>
      <c r="H2730" s="8">
        <v>2589</v>
      </c>
      <c r="I2730" s="8">
        <v>715.1788487</v>
      </c>
      <c r="J2730" s="8">
        <v>11417.87947</v>
      </c>
      <c r="K2730" s="8">
        <v>10871.883669999999</v>
      </c>
      <c r="L2730" s="8">
        <v>11941.842769999999</v>
      </c>
      <c r="M2730" s="9" t="str">
        <f>IF(A2730="",M2731,A2730)</f>
        <v>North Macedonia</v>
      </c>
      <c r="N2730" s="3" t="str">
        <f t="shared" si="85"/>
        <v>May-2021</v>
      </c>
    </row>
    <row r="2731" spans="1:14" x14ac:dyDescent="0.3">
      <c r="A2731" s="3" t="s">
        <v>234</v>
      </c>
      <c r="B2731" s="3" t="s">
        <v>235</v>
      </c>
      <c r="C2731" s="8">
        <v>2021</v>
      </c>
      <c r="D2731" s="8">
        <v>6</v>
      </c>
      <c r="E2731" s="3" t="str">
        <f t="shared" si="84"/>
        <v>June</v>
      </c>
      <c r="F2731" s="3" t="s">
        <v>13</v>
      </c>
      <c r="G2731" s="8">
        <v>1822.1564370000001</v>
      </c>
      <c r="H2731" s="8">
        <v>2117</v>
      </c>
      <c r="I2731" s="8">
        <v>293.34912689999999</v>
      </c>
      <c r="J2731" s="8">
        <v>11711.2286</v>
      </c>
      <c r="K2731" s="8">
        <v>11167.87386</v>
      </c>
      <c r="L2731" s="8">
        <v>12266.237279999999</v>
      </c>
      <c r="M2731" s="9" t="str">
        <f>IF(A2731="",M2732,A2731)</f>
        <v>North Macedonia</v>
      </c>
      <c r="N2731" s="3" t="str">
        <f t="shared" si="85"/>
        <v>Jun-2021</v>
      </c>
    </row>
    <row r="2732" spans="1:14" x14ac:dyDescent="0.3">
      <c r="A2732" s="3" t="s">
        <v>234</v>
      </c>
      <c r="B2732" s="3" t="s">
        <v>235</v>
      </c>
      <c r="C2732" s="8">
        <v>2021</v>
      </c>
      <c r="D2732" s="8">
        <v>7</v>
      </c>
      <c r="E2732" s="3" t="str">
        <f t="shared" si="84"/>
        <v>July</v>
      </c>
      <c r="F2732" s="3" t="s">
        <v>13</v>
      </c>
      <c r="G2732" s="8">
        <v>1821.458615</v>
      </c>
      <c r="H2732" s="8">
        <v>2061</v>
      </c>
      <c r="I2732" s="8">
        <v>238.04694850000001</v>
      </c>
      <c r="J2732" s="8">
        <v>11949.27555</v>
      </c>
      <c r="K2732" s="8">
        <v>11397.83916</v>
      </c>
      <c r="L2732" s="8">
        <v>12520.81776</v>
      </c>
      <c r="M2732" s="9" t="str">
        <f>IF(A2732="",M2733,A2732)</f>
        <v>North Macedonia</v>
      </c>
      <c r="N2732" s="3" t="str">
        <f t="shared" si="85"/>
        <v>Jul-2021</v>
      </c>
    </row>
    <row r="2733" spans="1:14" x14ac:dyDescent="0.3">
      <c r="A2733" s="3" t="s">
        <v>234</v>
      </c>
      <c r="B2733" s="3" t="s">
        <v>235</v>
      </c>
      <c r="C2733" s="8">
        <v>2021</v>
      </c>
      <c r="D2733" s="8">
        <v>8</v>
      </c>
      <c r="E2733" s="3" t="str">
        <f t="shared" si="84"/>
        <v>August</v>
      </c>
      <c r="F2733" s="3" t="s">
        <v>13</v>
      </c>
      <c r="G2733" s="8">
        <v>1810.25971</v>
      </c>
      <c r="H2733" s="8">
        <v>3315</v>
      </c>
      <c r="I2733" s="8">
        <v>1503.2458529999999</v>
      </c>
      <c r="J2733" s="8">
        <v>13452.5214</v>
      </c>
      <c r="K2733" s="8">
        <v>12878.41301</v>
      </c>
      <c r="L2733" s="8">
        <v>14030.64853</v>
      </c>
      <c r="M2733" s="9" t="str">
        <f>IF(A2733="",M2734,A2733)</f>
        <v>North Macedonia</v>
      </c>
      <c r="N2733" s="3" t="str">
        <f t="shared" si="85"/>
        <v>Aug-2021</v>
      </c>
    </row>
    <row r="2734" spans="1:14" x14ac:dyDescent="0.3">
      <c r="A2734" s="3" t="s">
        <v>234</v>
      </c>
      <c r="B2734" s="3" t="s">
        <v>235</v>
      </c>
      <c r="C2734" s="8">
        <v>2021</v>
      </c>
      <c r="D2734" s="8">
        <v>9</v>
      </c>
      <c r="E2734" s="3" t="str">
        <f t="shared" si="84"/>
        <v>September</v>
      </c>
      <c r="F2734" s="3" t="s">
        <v>13</v>
      </c>
      <c r="G2734" s="8">
        <v>1830.160881</v>
      </c>
      <c r="H2734" s="8">
        <v>3271</v>
      </c>
      <c r="I2734" s="8">
        <v>1439.3446819999999</v>
      </c>
      <c r="J2734" s="8">
        <v>14891.86608</v>
      </c>
      <c r="K2734" s="8">
        <v>14303.929179999999</v>
      </c>
      <c r="L2734" s="8">
        <v>15471.19803</v>
      </c>
      <c r="M2734" s="9" t="str">
        <f>IF(A2734="",M2735,A2734)</f>
        <v>North Macedonia</v>
      </c>
      <c r="N2734" s="3" t="str">
        <f t="shared" si="85"/>
        <v>Sep-2021</v>
      </c>
    </row>
    <row r="2735" spans="1:14" x14ac:dyDescent="0.3">
      <c r="A2735" s="3" t="s">
        <v>234</v>
      </c>
      <c r="B2735" s="3" t="s">
        <v>235</v>
      </c>
      <c r="C2735" s="8">
        <v>2021</v>
      </c>
      <c r="D2735" s="8">
        <v>10</v>
      </c>
      <c r="E2735" s="3" t="str">
        <f t="shared" si="84"/>
        <v>October</v>
      </c>
      <c r="F2735" s="3" t="s">
        <v>13</v>
      </c>
      <c r="G2735" s="8">
        <v>1930.9713979999999</v>
      </c>
      <c r="H2735" s="8">
        <v>2762</v>
      </c>
      <c r="I2735" s="8">
        <v>829.53416519999996</v>
      </c>
      <c r="J2735" s="8">
        <v>15721.400250000001</v>
      </c>
      <c r="K2735" s="8">
        <v>15120.186299999999</v>
      </c>
      <c r="L2735" s="8">
        <v>16322.4107</v>
      </c>
      <c r="M2735" s="9" t="str">
        <f>IF(A2735="",M2736,A2735)</f>
        <v>North Macedonia</v>
      </c>
      <c r="N2735" s="3" t="str">
        <f t="shared" si="85"/>
        <v>Oct-2021</v>
      </c>
    </row>
    <row r="2736" spans="1:14" x14ac:dyDescent="0.3">
      <c r="A2736" s="3" t="s">
        <v>234</v>
      </c>
      <c r="B2736" s="3" t="s">
        <v>235</v>
      </c>
      <c r="C2736" s="8">
        <v>2021</v>
      </c>
      <c r="D2736" s="8">
        <v>11</v>
      </c>
      <c r="E2736" s="3" t="str">
        <f t="shared" si="84"/>
        <v>November</v>
      </c>
      <c r="F2736" s="3" t="s">
        <v>13</v>
      </c>
      <c r="G2736" s="8">
        <v>2054.7246110000001</v>
      </c>
      <c r="H2736" s="8">
        <v>2673</v>
      </c>
      <c r="I2736" s="8">
        <v>616.78095210000004</v>
      </c>
      <c r="J2736" s="8">
        <v>16338.181200000001</v>
      </c>
      <c r="K2736" s="8">
        <v>15716.42562</v>
      </c>
      <c r="L2736" s="8">
        <v>16967.510910000001</v>
      </c>
      <c r="M2736" s="9" t="str">
        <f>IF(A2736="",M2737,A2736)</f>
        <v>North Macedonia</v>
      </c>
      <c r="N2736" s="3" t="str">
        <f t="shared" si="85"/>
        <v>Nov-2021</v>
      </c>
    </row>
    <row r="2737" spans="1:14" x14ac:dyDescent="0.3">
      <c r="A2737" s="3" t="s">
        <v>234</v>
      </c>
      <c r="B2737" s="3" t="s">
        <v>235</v>
      </c>
      <c r="C2737" s="8">
        <v>2021</v>
      </c>
      <c r="D2737" s="8">
        <v>12</v>
      </c>
      <c r="E2737" s="3" t="str">
        <f t="shared" si="84"/>
        <v>December</v>
      </c>
      <c r="F2737" s="3" t="s">
        <v>13</v>
      </c>
      <c r="G2737" s="8">
        <v>2175.8516359999999</v>
      </c>
      <c r="H2737" s="8">
        <v>2798</v>
      </c>
      <c r="I2737" s="8">
        <v>620.65392750000001</v>
      </c>
      <c r="J2737" s="8">
        <v>16958.835129999999</v>
      </c>
      <c r="K2737" s="8">
        <v>16319.84528</v>
      </c>
      <c r="L2737" s="8">
        <v>17635.067910000002</v>
      </c>
      <c r="M2737" s="9" t="str">
        <f>IF(A2737="",M2738,A2737)</f>
        <v>North Macedonia</v>
      </c>
      <c r="N2737" s="3" t="str">
        <f t="shared" si="85"/>
        <v>Dec-2021</v>
      </c>
    </row>
    <row r="2738" spans="1:14" x14ac:dyDescent="0.3">
      <c r="A2738" s="3" t="s">
        <v>236</v>
      </c>
      <c r="B2738" s="3" t="s">
        <v>237</v>
      </c>
      <c r="C2738" s="8">
        <v>2020</v>
      </c>
      <c r="D2738" s="8">
        <v>1</v>
      </c>
      <c r="E2738" s="3" t="str">
        <f t="shared" si="84"/>
        <v>January</v>
      </c>
      <c r="F2738" s="3" t="s">
        <v>8</v>
      </c>
      <c r="G2738" s="8">
        <v>13443.4935</v>
      </c>
      <c r="H2738" s="8">
        <v>14030.162</v>
      </c>
      <c r="I2738" s="8">
        <v>586.66850260000001</v>
      </c>
      <c r="J2738" s="8">
        <v>586.66850260000001</v>
      </c>
      <c r="K2738" s="8">
        <v>-2769.442278</v>
      </c>
      <c r="L2738" s="8">
        <v>4688.9171489999999</v>
      </c>
      <c r="M2738" s="9" t="str">
        <f>IF(A2738="",M2739,A2738)</f>
        <v>Mali</v>
      </c>
      <c r="N2738" s="3" t="str">
        <f t="shared" si="85"/>
        <v>Jan-2020</v>
      </c>
    </row>
    <row r="2739" spans="1:14" x14ac:dyDescent="0.3">
      <c r="A2739" s="3" t="s">
        <v>236</v>
      </c>
      <c r="B2739" s="3" t="s">
        <v>237</v>
      </c>
      <c r="C2739" s="8">
        <v>2020</v>
      </c>
      <c r="D2739" s="8">
        <v>2</v>
      </c>
      <c r="E2739" s="3" t="str">
        <f t="shared" si="84"/>
        <v>February</v>
      </c>
      <c r="F2739" s="3" t="s">
        <v>8</v>
      </c>
      <c r="G2739" s="8">
        <v>13181.06842</v>
      </c>
      <c r="H2739" s="8">
        <v>13374.344999999999</v>
      </c>
      <c r="I2739" s="8">
        <v>193.27657619999999</v>
      </c>
      <c r="J2739" s="8">
        <v>779.94507880000003</v>
      </c>
      <c r="K2739" s="8">
        <v>-4255.8893470000003</v>
      </c>
      <c r="L2739" s="8">
        <v>6309.3664630000003</v>
      </c>
      <c r="M2739" s="9" t="str">
        <f>IF(A2739="",M2740,A2739)</f>
        <v>Mali</v>
      </c>
      <c r="N2739" s="3" t="str">
        <f t="shared" si="85"/>
        <v>Feb-2020</v>
      </c>
    </row>
    <row r="2740" spans="1:14" x14ac:dyDescent="0.3">
      <c r="A2740" s="3" t="s">
        <v>236</v>
      </c>
      <c r="B2740" s="3" t="s">
        <v>237</v>
      </c>
      <c r="C2740" s="8">
        <v>2020</v>
      </c>
      <c r="D2740" s="8">
        <v>3</v>
      </c>
      <c r="E2740" s="3" t="str">
        <f t="shared" si="84"/>
        <v>March</v>
      </c>
      <c r="F2740" s="3" t="s">
        <v>8</v>
      </c>
      <c r="G2740" s="8">
        <v>12867.444450000001</v>
      </c>
      <c r="H2740" s="8">
        <v>13149.379000000001</v>
      </c>
      <c r="I2740" s="8">
        <v>281.93454989999998</v>
      </c>
      <c r="J2740" s="8">
        <v>1061.879629</v>
      </c>
      <c r="K2740" s="8">
        <v>-4930.8272909999996</v>
      </c>
      <c r="L2740" s="8">
        <v>7600.3526670000001</v>
      </c>
      <c r="M2740" s="9" t="str">
        <f>IF(A2740="",M2741,A2740)</f>
        <v>Mali</v>
      </c>
      <c r="N2740" s="3" t="str">
        <f t="shared" si="85"/>
        <v>Mar-2020</v>
      </c>
    </row>
    <row r="2741" spans="1:14" x14ac:dyDescent="0.3">
      <c r="A2741" s="3" t="s">
        <v>236</v>
      </c>
      <c r="B2741" s="3" t="s">
        <v>237</v>
      </c>
      <c r="C2741" s="8">
        <v>2020</v>
      </c>
      <c r="D2741" s="8">
        <v>4</v>
      </c>
      <c r="E2741" s="3" t="str">
        <f t="shared" si="84"/>
        <v>April</v>
      </c>
      <c r="F2741" s="3" t="s">
        <v>8</v>
      </c>
      <c r="G2741" s="8">
        <v>12625.683279999999</v>
      </c>
      <c r="H2741" s="8">
        <v>12149.816999999999</v>
      </c>
      <c r="I2741" s="8">
        <v>-475.86628180000002</v>
      </c>
      <c r="J2741" s="8">
        <v>586.01334689999999</v>
      </c>
      <c r="K2741" s="8">
        <v>-6470.1566430000003</v>
      </c>
      <c r="L2741" s="8">
        <v>8560.9056450000007</v>
      </c>
      <c r="M2741" s="9" t="str">
        <f>IF(A2741="",M2742,A2741)</f>
        <v>Mali</v>
      </c>
      <c r="N2741" s="3" t="str">
        <f t="shared" si="85"/>
        <v>Apr-2020</v>
      </c>
    </row>
    <row r="2742" spans="1:14" x14ac:dyDescent="0.3">
      <c r="A2742" s="3" t="s">
        <v>236</v>
      </c>
      <c r="B2742" s="3" t="s">
        <v>237</v>
      </c>
      <c r="C2742" s="8">
        <v>2020</v>
      </c>
      <c r="D2742" s="8">
        <v>5</v>
      </c>
      <c r="E2742" s="3" t="str">
        <f t="shared" si="84"/>
        <v>May</v>
      </c>
      <c r="F2742" s="3" t="s">
        <v>8</v>
      </c>
      <c r="G2742" s="8">
        <v>12446.90857</v>
      </c>
      <c r="H2742" s="8">
        <v>13277.891</v>
      </c>
      <c r="I2742" s="8">
        <v>830.98243390000005</v>
      </c>
      <c r="J2742" s="8">
        <v>1416.9957810000001</v>
      </c>
      <c r="K2742" s="8">
        <v>-6950.2918950000003</v>
      </c>
      <c r="L2742" s="8">
        <v>10079.52176</v>
      </c>
      <c r="M2742" s="9" t="str">
        <f>IF(A2742="",M2743,A2742)</f>
        <v>Mali</v>
      </c>
      <c r="N2742" s="3" t="str">
        <f t="shared" si="85"/>
        <v>May-2020</v>
      </c>
    </row>
    <row r="2743" spans="1:14" x14ac:dyDescent="0.3">
      <c r="A2743" s="3" t="s">
        <v>236</v>
      </c>
      <c r="B2743" s="3" t="s">
        <v>237</v>
      </c>
      <c r="C2743" s="8">
        <v>2020</v>
      </c>
      <c r="D2743" s="8">
        <v>6</v>
      </c>
      <c r="E2743" s="3" t="str">
        <f t="shared" si="84"/>
        <v>June</v>
      </c>
      <c r="F2743" s="3" t="s">
        <v>8</v>
      </c>
      <c r="G2743" s="8">
        <v>12447.066769999999</v>
      </c>
      <c r="H2743" s="8">
        <v>13920.934999999999</v>
      </c>
      <c r="I2743" s="8">
        <v>1473.8682249999999</v>
      </c>
      <c r="J2743" s="8">
        <v>2890.8640059999998</v>
      </c>
      <c r="K2743" s="8">
        <v>-5764.920271</v>
      </c>
      <c r="L2743" s="8">
        <v>12313.79581</v>
      </c>
      <c r="M2743" s="9" t="str">
        <f>IF(A2743="",M2744,A2743)</f>
        <v>Mali</v>
      </c>
      <c r="N2743" s="3" t="str">
        <f t="shared" si="85"/>
        <v>Jun-2020</v>
      </c>
    </row>
    <row r="2744" spans="1:14" x14ac:dyDescent="0.3">
      <c r="A2744" s="3" t="s">
        <v>236</v>
      </c>
      <c r="B2744" s="3" t="s">
        <v>237</v>
      </c>
      <c r="C2744" s="8">
        <v>2020</v>
      </c>
      <c r="D2744" s="8">
        <v>7</v>
      </c>
      <c r="E2744" s="3" t="str">
        <f t="shared" si="84"/>
        <v>July</v>
      </c>
      <c r="F2744" s="3" t="s">
        <v>8</v>
      </c>
      <c r="G2744" s="8">
        <v>12593.418960000001</v>
      </c>
      <c r="H2744" s="8">
        <v>13635.759</v>
      </c>
      <c r="I2744" s="8">
        <v>1042.3400449999999</v>
      </c>
      <c r="J2744" s="8">
        <v>3933.2040510000002</v>
      </c>
      <c r="K2744" s="8">
        <v>-5545.7585170000002</v>
      </c>
      <c r="L2744" s="8">
        <v>14325.95385</v>
      </c>
      <c r="M2744" s="9" t="str">
        <f>IF(A2744="",M2745,A2744)</f>
        <v>Mali</v>
      </c>
      <c r="N2744" s="3" t="str">
        <f t="shared" si="85"/>
        <v>Jul-2020</v>
      </c>
    </row>
    <row r="2745" spans="1:14" x14ac:dyDescent="0.3">
      <c r="A2745" s="3" t="s">
        <v>236</v>
      </c>
      <c r="B2745" s="3" t="s">
        <v>237</v>
      </c>
      <c r="C2745" s="8">
        <v>2020</v>
      </c>
      <c r="D2745" s="8">
        <v>8</v>
      </c>
      <c r="E2745" s="3" t="str">
        <f t="shared" si="84"/>
        <v>August</v>
      </c>
      <c r="F2745" s="3" t="s">
        <v>8</v>
      </c>
      <c r="G2745" s="8">
        <v>12717.24488</v>
      </c>
      <c r="H2745" s="8">
        <v>13251.356</v>
      </c>
      <c r="I2745" s="8">
        <v>534.11112030000004</v>
      </c>
      <c r="J2745" s="8">
        <v>4467.3151710000002</v>
      </c>
      <c r="K2745" s="8">
        <v>-5944.4981200000002</v>
      </c>
      <c r="L2745" s="8">
        <v>15261.176750000001</v>
      </c>
      <c r="M2745" s="9" t="str">
        <f>IF(A2745="",M2746,A2745)</f>
        <v>Mali</v>
      </c>
      <c r="N2745" s="3" t="str">
        <f t="shared" si="85"/>
        <v>Aug-2020</v>
      </c>
    </row>
    <row r="2746" spans="1:14" x14ac:dyDescent="0.3">
      <c r="A2746" s="3" t="s">
        <v>236</v>
      </c>
      <c r="B2746" s="3" t="s">
        <v>237</v>
      </c>
      <c r="C2746" s="8">
        <v>2020</v>
      </c>
      <c r="D2746" s="8">
        <v>9</v>
      </c>
      <c r="E2746" s="3" t="str">
        <f t="shared" si="84"/>
        <v>September</v>
      </c>
      <c r="F2746" s="3" t="s">
        <v>8</v>
      </c>
      <c r="G2746" s="8">
        <v>12725.75259</v>
      </c>
      <c r="H2746" s="8">
        <v>13059.450999999999</v>
      </c>
      <c r="I2746" s="8">
        <v>333.69840520000002</v>
      </c>
      <c r="J2746" s="8">
        <v>4801.0135760000003</v>
      </c>
      <c r="K2746" s="8">
        <v>-6482.330704</v>
      </c>
      <c r="L2746" s="8">
        <v>16692.19688</v>
      </c>
      <c r="M2746" s="9" t="str">
        <f>IF(A2746="",M2747,A2746)</f>
        <v>Mali</v>
      </c>
      <c r="N2746" s="3" t="str">
        <f t="shared" si="85"/>
        <v>Sep-2020</v>
      </c>
    </row>
    <row r="2747" spans="1:14" x14ac:dyDescent="0.3">
      <c r="A2747" s="3" t="s">
        <v>236</v>
      </c>
      <c r="B2747" s="3" t="s">
        <v>237</v>
      </c>
      <c r="C2747" s="8">
        <v>2020</v>
      </c>
      <c r="D2747" s="8">
        <v>10</v>
      </c>
      <c r="E2747" s="3" t="str">
        <f t="shared" si="84"/>
        <v>October</v>
      </c>
      <c r="F2747" s="3" t="s">
        <v>8</v>
      </c>
      <c r="G2747" s="8">
        <v>12805.45595</v>
      </c>
      <c r="H2747" s="8">
        <v>12610.107</v>
      </c>
      <c r="I2747" s="8">
        <v>-195.34895059999999</v>
      </c>
      <c r="J2747" s="8">
        <v>4605.6646250000003</v>
      </c>
      <c r="K2747" s="8">
        <v>-6756.4370449999997</v>
      </c>
      <c r="L2747" s="8">
        <v>16709.454969999999</v>
      </c>
      <c r="M2747" s="9" t="str">
        <f>IF(A2747="",M2748,A2747)</f>
        <v>Mali</v>
      </c>
      <c r="N2747" s="3" t="str">
        <f t="shared" si="85"/>
        <v>Oct-2020</v>
      </c>
    </row>
    <row r="2748" spans="1:14" x14ac:dyDescent="0.3">
      <c r="A2748" s="3" t="s">
        <v>236</v>
      </c>
      <c r="B2748" s="3" t="s">
        <v>237</v>
      </c>
      <c r="C2748" s="8">
        <v>2020</v>
      </c>
      <c r="D2748" s="8">
        <v>11</v>
      </c>
      <c r="E2748" s="3" t="str">
        <f t="shared" si="84"/>
        <v>November</v>
      </c>
      <c r="F2748" s="3" t="s">
        <v>8</v>
      </c>
      <c r="G2748" s="8">
        <v>13116.89853</v>
      </c>
      <c r="H2748" s="8">
        <v>13165.538</v>
      </c>
      <c r="I2748" s="8">
        <v>48.639466540000001</v>
      </c>
      <c r="J2748" s="8">
        <v>4654.3040920000003</v>
      </c>
      <c r="K2748" s="8">
        <v>-7506.2164430000003</v>
      </c>
      <c r="L2748" s="8">
        <v>17192.538430000001</v>
      </c>
      <c r="M2748" s="9" t="str">
        <f>IF(A2748="",M2749,A2748)</f>
        <v>Mali</v>
      </c>
      <c r="N2748" s="3" t="str">
        <f t="shared" si="85"/>
        <v>Nov-2020</v>
      </c>
    </row>
    <row r="2749" spans="1:14" x14ac:dyDescent="0.3">
      <c r="A2749" s="3" t="s">
        <v>236</v>
      </c>
      <c r="B2749" s="3" t="s">
        <v>237</v>
      </c>
      <c r="C2749" s="8">
        <v>2020</v>
      </c>
      <c r="D2749" s="8">
        <v>12</v>
      </c>
      <c r="E2749" s="3" t="str">
        <f t="shared" si="84"/>
        <v>December</v>
      </c>
      <c r="F2749" s="3" t="s">
        <v>8</v>
      </c>
      <c r="G2749" s="8">
        <v>13271.869360000001</v>
      </c>
      <c r="H2749" s="8">
        <v>14019.632</v>
      </c>
      <c r="I2749" s="8">
        <v>747.76264079999999</v>
      </c>
      <c r="J2749" s="8">
        <v>5402.0667329999997</v>
      </c>
      <c r="K2749" s="8">
        <v>-7192.8976830000001</v>
      </c>
      <c r="L2749" s="8">
        <v>18890.705880000001</v>
      </c>
      <c r="M2749" s="9" t="str">
        <f>IF(A2749="",M2750,A2749)</f>
        <v>Mali</v>
      </c>
      <c r="N2749" s="3" t="str">
        <f t="shared" si="85"/>
        <v>Dec-2020</v>
      </c>
    </row>
    <row r="2750" spans="1:14" x14ac:dyDescent="0.3">
      <c r="A2750" s="3" t="s">
        <v>236</v>
      </c>
      <c r="B2750" s="3" t="s">
        <v>237</v>
      </c>
      <c r="C2750" s="8">
        <v>2021</v>
      </c>
      <c r="D2750" s="8">
        <v>1</v>
      </c>
      <c r="E2750" s="3" t="str">
        <f t="shared" si="84"/>
        <v>January</v>
      </c>
      <c r="F2750" s="3" t="s">
        <v>8</v>
      </c>
      <c r="G2750" s="8">
        <v>13409.578750000001</v>
      </c>
      <c r="H2750" s="8">
        <v>14097.03</v>
      </c>
      <c r="I2750" s="8">
        <v>687.45124659999999</v>
      </c>
      <c r="J2750" s="8">
        <v>6089.5179790000002</v>
      </c>
      <c r="K2750" s="8">
        <v>-7384.0025580000001</v>
      </c>
      <c r="L2750" s="8">
        <v>20186.260180000001</v>
      </c>
      <c r="M2750" s="9" t="str">
        <f>IF(A2750="",M2751,A2750)</f>
        <v>Mali</v>
      </c>
      <c r="N2750" s="3" t="str">
        <f t="shared" si="85"/>
        <v>Jan-2021</v>
      </c>
    </row>
    <row r="2751" spans="1:14" x14ac:dyDescent="0.3">
      <c r="A2751" s="3" t="s">
        <v>236</v>
      </c>
      <c r="B2751" s="3" t="s">
        <v>237</v>
      </c>
      <c r="C2751" s="8">
        <v>2021</v>
      </c>
      <c r="D2751" s="8">
        <v>2</v>
      </c>
      <c r="E2751" s="3" t="str">
        <f t="shared" si="84"/>
        <v>February</v>
      </c>
      <c r="F2751" s="3" t="s">
        <v>8</v>
      </c>
      <c r="G2751" s="8">
        <v>13148.166649999999</v>
      </c>
      <c r="H2751" s="8">
        <v>13756.314</v>
      </c>
      <c r="I2751" s="8">
        <v>608.14734829999998</v>
      </c>
      <c r="J2751" s="8">
        <v>6697.665328</v>
      </c>
      <c r="K2751" s="8">
        <v>-6902.5165859999997</v>
      </c>
      <c r="L2751" s="8">
        <v>21544.271949999998</v>
      </c>
      <c r="M2751" s="9" t="str">
        <f>IF(A2751="",M2752,A2751)</f>
        <v>Mali</v>
      </c>
      <c r="N2751" s="3" t="str">
        <f t="shared" si="85"/>
        <v>Feb-2021</v>
      </c>
    </row>
    <row r="2752" spans="1:14" x14ac:dyDescent="0.3">
      <c r="A2752" s="3" t="s">
        <v>236</v>
      </c>
      <c r="B2752" s="3" t="s">
        <v>237</v>
      </c>
      <c r="C2752" s="8">
        <v>2021</v>
      </c>
      <c r="D2752" s="8">
        <v>3</v>
      </c>
      <c r="E2752" s="3" t="str">
        <f t="shared" si="84"/>
        <v>March</v>
      </c>
      <c r="F2752" s="3" t="s">
        <v>8</v>
      </c>
      <c r="G2752" s="8">
        <v>12835.94191</v>
      </c>
      <c r="H2752" s="8">
        <v>13765.1</v>
      </c>
      <c r="I2752" s="8">
        <v>929.15809249999995</v>
      </c>
      <c r="J2752" s="8">
        <v>7626.8234199999997</v>
      </c>
      <c r="K2752" s="8">
        <v>-7262.5097699999997</v>
      </c>
      <c r="L2752" s="8">
        <v>22747.03629</v>
      </c>
      <c r="M2752" s="9" t="str">
        <f>IF(A2752="",M2753,A2752)</f>
        <v>Mali</v>
      </c>
      <c r="N2752" s="3" t="str">
        <f t="shared" si="85"/>
        <v>Mar-2021</v>
      </c>
    </row>
    <row r="2753" spans="1:14" x14ac:dyDescent="0.3">
      <c r="A2753" s="3" t="s">
        <v>236</v>
      </c>
      <c r="B2753" s="3" t="s">
        <v>237</v>
      </c>
      <c r="C2753" s="8">
        <v>2021</v>
      </c>
      <c r="D2753" s="8">
        <v>4</v>
      </c>
      <c r="E2753" s="3" t="str">
        <f t="shared" si="84"/>
        <v>April</v>
      </c>
      <c r="F2753" s="3" t="s">
        <v>8</v>
      </c>
      <c r="G2753" s="8">
        <v>12593.28312</v>
      </c>
      <c r="H2753" s="8">
        <v>13561.53</v>
      </c>
      <c r="I2753" s="8">
        <v>968.24687530000006</v>
      </c>
      <c r="J2753" s="8">
        <v>8595.0702959999999</v>
      </c>
      <c r="K2753" s="8">
        <v>-6700.6482900000001</v>
      </c>
      <c r="L2753" s="8">
        <v>24249.609079999998</v>
      </c>
      <c r="M2753" s="9" t="str">
        <f>IF(A2753="",M2754,A2753)</f>
        <v>Mali</v>
      </c>
      <c r="N2753" s="3" t="str">
        <f t="shared" si="85"/>
        <v>Apr-2021</v>
      </c>
    </row>
    <row r="2754" spans="1:14" x14ac:dyDescent="0.3">
      <c r="A2754" s="3" t="s">
        <v>236</v>
      </c>
      <c r="B2754" s="3" t="s">
        <v>237</v>
      </c>
      <c r="C2754" s="8">
        <v>2021</v>
      </c>
      <c r="D2754" s="8">
        <v>5</v>
      </c>
      <c r="E2754" s="3" t="str">
        <f t="shared" ref="E2754:E2817" si="86">TEXT(DATE(C2754,D2754,1),"MMMM")</f>
        <v>May</v>
      </c>
      <c r="F2754" s="3" t="s">
        <v>8</v>
      </c>
      <c r="G2754" s="8">
        <v>12415.33743</v>
      </c>
      <c r="H2754" s="8">
        <v>13053.565000000001</v>
      </c>
      <c r="I2754" s="8">
        <v>638.22757369999999</v>
      </c>
      <c r="J2754" s="8">
        <v>9233.297869</v>
      </c>
      <c r="K2754" s="8">
        <v>-6758.168087</v>
      </c>
      <c r="L2754" s="8">
        <v>24689.655030000002</v>
      </c>
      <c r="M2754" s="9" t="str">
        <f>IF(A2754="",M2755,A2754)</f>
        <v>Mali</v>
      </c>
      <c r="N2754" s="3" t="str">
        <f t="shared" ref="N2754:N2817" si="87">TEXT(DATE(C2754,D2754,1),"MMM-YYYY")</f>
        <v>May-2021</v>
      </c>
    </row>
    <row r="2755" spans="1:14" x14ac:dyDescent="0.3">
      <c r="A2755" s="3" t="s">
        <v>236</v>
      </c>
      <c r="B2755" s="3" t="s">
        <v>237</v>
      </c>
      <c r="C2755" s="8">
        <v>2021</v>
      </c>
      <c r="D2755" s="8">
        <v>6</v>
      </c>
      <c r="E2755" s="3" t="str">
        <f t="shared" si="86"/>
        <v>June</v>
      </c>
      <c r="F2755" s="3" t="s">
        <v>8</v>
      </c>
      <c r="G2755" s="8">
        <v>12416.464459999999</v>
      </c>
      <c r="H2755" s="8">
        <v>13072.683000000001</v>
      </c>
      <c r="I2755" s="8">
        <v>656.21853920000001</v>
      </c>
      <c r="J2755" s="8">
        <v>9889.5164089999998</v>
      </c>
      <c r="K2755" s="8">
        <v>-6549.5240990000002</v>
      </c>
      <c r="L2755" s="8">
        <v>26173.267029999999</v>
      </c>
      <c r="M2755" s="9" t="str">
        <f>IF(A2755="",M2756,A2755)</f>
        <v>Mali</v>
      </c>
      <c r="N2755" s="3" t="str">
        <f t="shared" si="87"/>
        <v>Jun-2021</v>
      </c>
    </row>
    <row r="2756" spans="1:14" x14ac:dyDescent="0.3">
      <c r="A2756" s="3" t="s">
        <v>236</v>
      </c>
      <c r="B2756" s="3" t="s">
        <v>237</v>
      </c>
      <c r="C2756" s="8">
        <v>2021</v>
      </c>
      <c r="D2756" s="8">
        <v>7</v>
      </c>
      <c r="E2756" s="3" t="str">
        <f t="shared" si="86"/>
        <v>July</v>
      </c>
      <c r="F2756" s="3" t="s">
        <v>8</v>
      </c>
      <c r="G2756" s="8">
        <v>12561.555700000001</v>
      </c>
      <c r="H2756" s="8">
        <v>13429.359</v>
      </c>
      <c r="I2756" s="8">
        <v>867.80330130000004</v>
      </c>
      <c r="J2756" s="8">
        <v>10757.31971</v>
      </c>
      <c r="K2756" s="8">
        <v>-6468.5493919999999</v>
      </c>
      <c r="L2756" s="8">
        <v>27377.166880000001</v>
      </c>
      <c r="M2756" s="9" t="str">
        <f>IF(A2756="",M2757,A2756)</f>
        <v>Mali</v>
      </c>
      <c r="N2756" s="3" t="str">
        <f t="shared" si="87"/>
        <v>Jul-2021</v>
      </c>
    </row>
    <row r="2757" spans="1:14" x14ac:dyDescent="0.3">
      <c r="A2757" s="3" t="s">
        <v>236</v>
      </c>
      <c r="B2757" s="3" t="s">
        <v>237</v>
      </c>
      <c r="C2757" s="8">
        <v>2021</v>
      </c>
      <c r="D2757" s="8">
        <v>8</v>
      </c>
      <c r="E2757" s="3" t="str">
        <f t="shared" si="86"/>
        <v>August</v>
      </c>
      <c r="F2757" s="3" t="s">
        <v>8</v>
      </c>
      <c r="G2757" s="8">
        <v>12686.40552</v>
      </c>
      <c r="H2757" s="8">
        <v>13211.805</v>
      </c>
      <c r="I2757" s="8">
        <v>525.3994841</v>
      </c>
      <c r="J2757" s="8">
        <v>11282.71919</v>
      </c>
      <c r="K2757" s="8">
        <v>-5988.2115590000003</v>
      </c>
      <c r="L2757" s="8">
        <v>27500.819769999998</v>
      </c>
      <c r="M2757" s="9" t="str">
        <f>IF(A2757="",M2758,A2757)</f>
        <v>Mali</v>
      </c>
      <c r="N2757" s="3" t="str">
        <f t="shared" si="87"/>
        <v>Aug-2021</v>
      </c>
    </row>
    <row r="2758" spans="1:14" x14ac:dyDescent="0.3">
      <c r="A2758" s="3" t="s">
        <v>236</v>
      </c>
      <c r="B2758" s="3" t="s">
        <v>237</v>
      </c>
      <c r="C2758" s="8">
        <v>2021</v>
      </c>
      <c r="D2758" s="8">
        <v>9</v>
      </c>
      <c r="E2758" s="3" t="str">
        <f t="shared" si="86"/>
        <v>September</v>
      </c>
      <c r="F2758" s="3" t="s">
        <v>8</v>
      </c>
      <c r="G2758" s="8">
        <v>12695.34</v>
      </c>
      <c r="H2758" s="8">
        <v>12798.536</v>
      </c>
      <c r="I2758" s="8">
        <v>103.19599959999999</v>
      </c>
      <c r="J2758" s="8">
        <v>11385.91519</v>
      </c>
      <c r="K2758" s="8">
        <v>-6792.606812</v>
      </c>
      <c r="L2758" s="8">
        <v>28475.765179999999</v>
      </c>
      <c r="M2758" s="9" t="str">
        <f>IF(A2758="",M2759,A2758)</f>
        <v>Mali</v>
      </c>
      <c r="N2758" s="3" t="str">
        <f t="shared" si="87"/>
        <v>Sep-2021</v>
      </c>
    </row>
    <row r="2759" spans="1:14" x14ac:dyDescent="0.3">
      <c r="A2759" s="3" t="s">
        <v>236</v>
      </c>
      <c r="B2759" s="3" t="s">
        <v>237</v>
      </c>
      <c r="C2759" s="8">
        <v>2021</v>
      </c>
      <c r="D2759" s="8">
        <v>10</v>
      </c>
      <c r="E2759" s="3" t="str">
        <f t="shared" si="86"/>
        <v>October</v>
      </c>
      <c r="F2759" s="3" t="s">
        <v>8</v>
      </c>
      <c r="G2759" s="8">
        <v>12773.348459999999</v>
      </c>
      <c r="H2759" s="8">
        <v>12658.505999999999</v>
      </c>
      <c r="I2759" s="8">
        <v>-114.84246330000001</v>
      </c>
      <c r="J2759" s="8">
        <v>11271.07273</v>
      </c>
      <c r="K2759" s="8">
        <v>-7061.7436010000001</v>
      </c>
      <c r="L2759" s="8">
        <v>29604.265350000001</v>
      </c>
      <c r="M2759" s="9" t="str">
        <f>IF(A2759="",M2760,A2759)</f>
        <v>Mali</v>
      </c>
      <c r="N2759" s="3" t="str">
        <f t="shared" si="87"/>
        <v>Oct-2021</v>
      </c>
    </row>
    <row r="2760" spans="1:14" x14ac:dyDescent="0.3">
      <c r="A2760" s="3" t="s">
        <v>236</v>
      </c>
      <c r="B2760" s="3" t="s">
        <v>237</v>
      </c>
      <c r="C2760" s="8">
        <v>2021</v>
      </c>
      <c r="D2760" s="8">
        <v>11</v>
      </c>
      <c r="E2760" s="3" t="str">
        <f t="shared" si="86"/>
        <v>November</v>
      </c>
      <c r="F2760" s="3" t="s">
        <v>8</v>
      </c>
      <c r="G2760" s="8">
        <v>13081.210709999999</v>
      </c>
      <c r="H2760" s="8">
        <v>13373.892</v>
      </c>
      <c r="I2760" s="8">
        <v>292.68129379999999</v>
      </c>
      <c r="J2760" s="8">
        <v>11563.75402</v>
      </c>
      <c r="K2760" s="8">
        <v>-7976.3097239999997</v>
      </c>
      <c r="L2760" s="8">
        <v>29835.33495</v>
      </c>
      <c r="M2760" s="9" t="str">
        <f>IF(A2760="",M2761,A2760)</f>
        <v>Mali</v>
      </c>
      <c r="N2760" s="3" t="str">
        <f t="shared" si="87"/>
        <v>Nov-2021</v>
      </c>
    </row>
    <row r="2761" spans="1:14" x14ac:dyDescent="0.3">
      <c r="A2761" s="3" t="s">
        <v>236</v>
      </c>
      <c r="B2761" s="3" t="s">
        <v>237</v>
      </c>
      <c r="C2761" s="8">
        <v>2021</v>
      </c>
      <c r="D2761" s="8">
        <v>12</v>
      </c>
      <c r="E2761" s="3" t="str">
        <f t="shared" si="86"/>
        <v>December</v>
      </c>
      <c r="F2761" s="3" t="s">
        <v>8</v>
      </c>
      <c r="G2761" s="8">
        <v>13237.518830000001</v>
      </c>
      <c r="H2761" s="8">
        <v>14026.249</v>
      </c>
      <c r="I2761" s="8">
        <v>788.73016859999996</v>
      </c>
      <c r="J2761" s="8">
        <v>12352.484189999999</v>
      </c>
      <c r="K2761" s="8">
        <v>-8014.4537330000003</v>
      </c>
      <c r="L2761" s="8">
        <v>31137.595959999999</v>
      </c>
      <c r="M2761" s="9" t="str">
        <f>IF(A2761="",M2762,A2761)</f>
        <v>Mali</v>
      </c>
      <c r="N2761" s="3" t="str">
        <f t="shared" si="87"/>
        <v>Dec-2021</v>
      </c>
    </row>
    <row r="2762" spans="1:14" x14ac:dyDescent="0.3">
      <c r="A2762" s="3" t="s">
        <v>238</v>
      </c>
      <c r="B2762" s="3" t="s">
        <v>239</v>
      </c>
      <c r="C2762" s="8">
        <v>2020</v>
      </c>
      <c r="D2762" s="8">
        <v>1</v>
      </c>
      <c r="E2762" s="3" t="str">
        <f t="shared" si="86"/>
        <v>January</v>
      </c>
      <c r="F2762" s="3" t="s">
        <v>13</v>
      </c>
      <c r="G2762" s="8">
        <v>368.32965519999999</v>
      </c>
      <c r="H2762" s="8">
        <v>395</v>
      </c>
      <c r="I2762" s="8">
        <v>26.67034477</v>
      </c>
      <c r="J2762" s="8">
        <v>26.67034477</v>
      </c>
      <c r="K2762" s="8">
        <v>2.2831820650000001</v>
      </c>
      <c r="L2762" s="8">
        <v>49.688582940000003</v>
      </c>
      <c r="M2762" s="9" t="str">
        <f>IF(A2762="",M2763,A2762)</f>
        <v>Malta</v>
      </c>
      <c r="N2762" s="3" t="str">
        <f t="shared" si="87"/>
        <v>Jan-2020</v>
      </c>
    </row>
    <row r="2763" spans="1:14" x14ac:dyDescent="0.3">
      <c r="A2763" s="3" t="s">
        <v>238</v>
      </c>
      <c r="B2763" s="3" t="s">
        <v>239</v>
      </c>
      <c r="C2763" s="8">
        <v>2020</v>
      </c>
      <c r="D2763" s="8">
        <v>2</v>
      </c>
      <c r="E2763" s="3" t="str">
        <f t="shared" si="86"/>
        <v>February</v>
      </c>
      <c r="F2763" s="3" t="s">
        <v>13</v>
      </c>
      <c r="G2763" s="8">
        <v>373.2720746</v>
      </c>
      <c r="H2763" s="8">
        <v>317</v>
      </c>
      <c r="I2763" s="8">
        <v>-56.272074549999999</v>
      </c>
      <c r="J2763" s="8">
        <v>-29.601729779999999</v>
      </c>
      <c r="K2763" s="8">
        <v>-68.689750250000003</v>
      </c>
      <c r="L2763" s="8">
        <v>6.0371857660000003</v>
      </c>
      <c r="M2763" s="9" t="str">
        <f>IF(A2763="",M2764,A2763)</f>
        <v>Malta</v>
      </c>
      <c r="N2763" s="3" t="str">
        <f t="shared" si="87"/>
        <v>Feb-2020</v>
      </c>
    </row>
    <row r="2764" spans="1:14" x14ac:dyDescent="0.3">
      <c r="A2764" s="3" t="s">
        <v>238</v>
      </c>
      <c r="B2764" s="3" t="s">
        <v>239</v>
      </c>
      <c r="C2764" s="8">
        <v>2020</v>
      </c>
      <c r="D2764" s="8">
        <v>3</v>
      </c>
      <c r="E2764" s="3" t="str">
        <f t="shared" si="86"/>
        <v>March</v>
      </c>
      <c r="F2764" s="3" t="s">
        <v>13</v>
      </c>
      <c r="G2764" s="8">
        <v>343.22335629999998</v>
      </c>
      <c r="H2764" s="8">
        <v>376</v>
      </c>
      <c r="I2764" s="8">
        <v>32.776643659999998</v>
      </c>
      <c r="J2764" s="8">
        <v>3.1749138800000001</v>
      </c>
      <c r="K2764" s="8">
        <v>-44.805188180000002</v>
      </c>
      <c r="L2764" s="8">
        <v>45.191139990000003</v>
      </c>
      <c r="M2764" s="9" t="str">
        <f>IF(A2764="",M2765,A2764)</f>
        <v>Malta</v>
      </c>
      <c r="N2764" s="3" t="str">
        <f t="shared" si="87"/>
        <v>Mar-2020</v>
      </c>
    </row>
    <row r="2765" spans="1:14" x14ac:dyDescent="0.3">
      <c r="A2765" s="3" t="s">
        <v>238</v>
      </c>
      <c r="B2765" s="3" t="s">
        <v>239</v>
      </c>
      <c r="C2765" s="8">
        <v>2020</v>
      </c>
      <c r="D2765" s="8">
        <v>4</v>
      </c>
      <c r="E2765" s="3" t="str">
        <f t="shared" si="86"/>
        <v>April</v>
      </c>
      <c r="F2765" s="3" t="s">
        <v>13</v>
      </c>
      <c r="G2765" s="8">
        <v>307.84025129999998</v>
      </c>
      <c r="H2765" s="8">
        <v>325</v>
      </c>
      <c r="I2765" s="8">
        <v>17.159748700000002</v>
      </c>
      <c r="J2765" s="8">
        <v>20.33466258</v>
      </c>
      <c r="K2765" s="8">
        <v>-31.8792519</v>
      </c>
      <c r="L2765" s="8">
        <v>67.364999929999996</v>
      </c>
      <c r="M2765" s="9" t="str">
        <f>IF(A2765="",M2766,A2765)</f>
        <v>Malta</v>
      </c>
      <c r="N2765" s="3" t="str">
        <f t="shared" si="87"/>
        <v>Apr-2020</v>
      </c>
    </row>
    <row r="2766" spans="1:14" x14ac:dyDescent="0.3">
      <c r="A2766" s="3" t="s">
        <v>238</v>
      </c>
      <c r="B2766" s="3" t="s">
        <v>239</v>
      </c>
      <c r="C2766" s="8">
        <v>2020</v>
      </c>
      <c r="D2766" s="8">
        <v>5</v>
      </c>
      <c r="E2766" s="3" t="str">
        <f t="shared" si="86"/>
        <v>May</v>
      </c>
      <c r="F2766" s="3" t="s">
        <v>13</v>
      </c>
      <c r="G2766" s="8">
        <v>288.13856520000002</v>
      </c>
      <c r="H2766" s="8">
        <v>295</v>
      </c>
      <c r="I2766" s="8">
        <v>6.8614348490000001</v>
      </c>
      <c r="J2766" s="8">
        <v>27.196097429999998</v>
      </c>
      <c r="K2766" s="8">
        <v>-31.127016080000001</v>
      </c>
      <c r="L2766" s="8">
        <v>79.150769800000006</v>
      </c>
      <c r="M2766" s="9" t="str">
        <f>IF(A2766="",M2767,A2766)</f>
        <v>Malta</v>
      </c>
      <c r="N2766" s="3" t="str">
        <f t="shared" si="87"/>
        <v>May-2020</v>
      </c>
    </row>
    <row r="2767" spans="1:14" x14ac:dyDescent="0.3">
      <c r="A2767" s="3" t="s">
        <v>238</v>
      </c>
      <c r="B2767" s="3" t="s">
        <v>239</v>
      </c>
      <c r="C2767" s="8">
        <v>2020</v>
      </c>
      <c r="D2767" s="8">
        <v>6</v>
      </c>
      <c r="E2767" s="3" t="str">
        <f t="shared" si="86"/>
        <v>June</v>
      </c>
      <c r="F2767" s="3" t="s">
        <v>13</v>
      </c>
      <c r="G2767" s="8">
        <v>276.41521619999997</v>
      </c>
      <c r="H2767" s="8">
        <v>254</v>
      </c>
      <c r="I2767" s="8">
        <v>-22.415216189999999</v>
      </c>
      <c r="J2767" s="8">
        <v>4.7808812410000003</v>
      </c>
      <c r="K2767" s="8">
        <v>-58.879893500000001</v>
      </c>
      <c r="L2767" s="8">
        <v>62.280538829999998</v>
      </c>
      <c r="M2767" s="9" t="str">
        <f>IF(A2767="",M2768,A2767)</f>
        <v>Malta</v>
      </c>
      <c r="N2767" s="3" t="str">
        <f t="shared" si="87"/>
        <v>Jun-2020</v>
      </c>
    </row>
    <row r="2768" spans="1:14" x14ac:dyDescent="0.3">
      <c r="A2768" s="3" t="s">
        <v>238</v>
      </c>
      <c r="B2768" s="3" t="s">
        <v>239</v>
      </c>
      <c r="C2768" s="8">
        <v>2020</v>
      </c>
      <c r="D2768" s="8">
        <v>7</v>
      </c>
      <c r="E2768" s="3" t="str">
        <f t="shared" si="86"/>
        <v>July</v>
      </c>
      <c r="F2768" s="3" t="s">
        <v>13</v>
      </c>
      <c r="G2768" s="8">
        <v>275.2335951</v>
      </c>
      <c r="H2768" s="8">
        <v>294</v>
      </c>
      <c r="I2768" s="8">
        <v>18.766404900000001</v>
      </c>
      <c r="J2768" s="8">
        <v>23.547286150000001</v>
      </c>
      <c r="K2768" s="8">
        <v>-44.790146759999999</v>
      </c>
      <c r="L2768" s="8">
        <v>85.310449809999994</v>
      </c>
      <c r="M2768" s="9" t="str">
        <f>IF(A2768="",M2769,A2768)</f>
        <v>Malta</v>
      </c>
      <c r="N2768" s="3" t="str">
        <f t="shared" si="87"/>
        <v>Jul-2020</v>
      </c>
    </row>
    <row r="2769" spans="1:14" x14ac:dyDescent="0.3">
      <c r="A2769" s="3" t="s">
        <v>238</v>
      </c>
      <c r="B2769" s="3" t="s">
        <v>239</v>
      </c>
      <c r="C2769" s="8">
        <v>2020</v>
      </c>
      <c r="D2769" s="8">
        <v>8</v>
      </c>
      <c r="E2769" s="3" t="str">
        <f t="shared" si="86"/>
        <v>August</v>
      </c>
      <c r="F2769" s="3" t="s">
        <v>13</v>
      </c>
      <c r="G2769" s="8">
        <v>273.09458760000001</v>
      </c>
      <c r="H2769" s="8">
        <v>334</v>
      </c>
      <c r="I2769" s="8">
        <v>60.905412400000003</v>
      </c>
      <c r="J2769" s="8">
        <v>84.45269854</v>
      </c>
      <c r="K2769" s="8">
        <v>13.2741126</v>
      </c>
      <c r="L2769" s="8">
        <v>150.88829860000001</v>
      </c>
      <c r="M2769" s="9" t="str">
        <f>IF(A2769="",M2770,A2769)</f>
        <v>Malta</v>
      </c>
      <c r="N2769" s="3" t="str">
        <f t="shared" si="87"/>
        <v>Aug-2020</v>
      </c>
    </row>
    <row r="2770" spans="1:14" x14ac:dyDescent="0.3">
      <c r="A2770" s="3" t="s">
        <v>238</v>
      </c>
      <c r="B2770" s="3" t="s">
        <v>239</v>
      </c>
      <c r="C2770" s="8">
        <v>2020</v>
      </c>
      <c r="D2770" s="8">
        <v>9</v>
      </c>
      <c r="E2770" s="3" t="str">
        <f t="shared" si="86"/>
        <v>September</v>
      </c>
      <c r="F2770" s="3" t="s">
        <v>13</v>
      </c>
      <c r="G2770" s="8">
        <v>266.20721459999999</v>
      </c>
      <c r="H2770" s="8">
        <v>305</v>
      </c>
      <c r="I2770" s="8">
        <v>38.792785360000003</v>
      </c>
      <c r="J2770" s="8">
        <v>123.2454839</v>
      </c>
      <c r="K2770" s="8">
        <v>49.865043360000001</v>
      </c>
      <c r="L2770" s="8">
        <v>193.23807070000001</v>
      </c>
      <c r="M2770" s="9" t="str">
        <f>IF(A2770="",M2771,A2770)</f>
        <v>Malta</v>
      </c>
      <c r="N2770" s="3" t="str">
        <f t="shared" si="87"/>
        <v>Sep-2020</v>
      </c>
    </row>
    <row r="2771" spans="1:14" x14ac:dyDescent="0.3">
      <c r="A2771" s="3" t="s">
        <v>238</v>
      </c>
      <c r="B2771" s="3" t="s">
        <v>239</v>
      </c>
      <c r="C2771" s="8">
        <v>2020</v>
      </c>
      <c r="D2771" s="8">
        <v>10</v>
      </c>
      <c r="E2771" s="3" t="str">
        <f t="shared" si="86"/>
        <v>October</v>
      </c>
      <c r="F2771" s="3" t="s">
        <v>13</v>
      </c>
      <c r="G2771" s="8">
        <v>276.7683796</v>
      </c>
      <c r="H2771" s="8">
        <v>325</v>
      </c>
      <c r="I2771" s="8">
        <v>48.231620360000001</v>
      </c>
      <c r="J2771" s="8">
        <v>171.47710430000001</v>
      </c>
      <c r="K2771" s="8">
        <v>95.163984319999997</v>
      </c>
      <c r="L2771" s="8">
        <v>243.3362884</v>
      </c>
      <c r="M2771" s="9" t="str">
        <f>IF(A2771="",M2772,A2771)</f>
        <v>Malta</v>
      </c>
      <c r="N2771" s="3" t="str">
        <f t="shared" si="87"/>
        <v>Oct-2020</v>
      </c>
    </row>
    <row r="2772" spans="1:14" x14ac:dyDescent="0.3">
      <c r="A2772" s="3" t="s">
        <v>238</v>
      </c>
      <c r="B2772" s="3" t="s">
        <v>239</v>
      </c>
      <c r="C2772" s="8">
        <v>2020</v>
      </c>
      <c r="D2772" s="8">
        <v>11</v>
      </c>
      <c r="E2772" s="3" t="str">
        <f t="shared" si="86"/>
        <v>November</v>
      </c>
      <c r="F2772" s="3" t="s">
        <v>13</v>
      </c>
      <c r="G2772" s="8">
        <v>310.58121440000002</v>
      </c>
      <c r="H2772" s="8">
        <v>394</v>
      </c>
      <c r="I2772" s="8">
        <v>83.418785600000007</v>
      </c>
      <c r="J2772" s="8">
        <v>254.89588989999999</v>
      </c>
      <c r="K2772" s="8">
        <v>172.9453924</v>
      </c>
      <c r="L2772" s="8">
        <v>328.06579699999998</v>
      </c>
      <c r="M2772" s="9" t="str">
        <f>IF(A2772="",M2773,A2772)</f>
        <v>Malta</v>
      </c>
      <c r="N2772" s="3" t="str">
        <f t="shared" si="87"/>
        <v>Nov-2020</v>
      </c>
    </row>
    <row r="2773" spans="1:14" x14ac:dyDescent="0.3">
      <c r="A2773" s="3" t="s">
        <v>238</v>
      </c>
      <c r="B2773" s="3" t="s">
        <v>239</v>
      </c>
      <c r="C2773" s="8">
        <v>2020</v>
      </c>
      <c r="D2773" s="8">
        <v>12</v>
      </c>
      <c r="E2773" s="3" t="str">
        <f t="shared" si="86"/>
        <v>December</v>
      </c>
      <c r="F2773" s="3" t="s">
        <v>13</v>
      </c>
      <c r="G2773" s="8">
        <v>373.93539559999999</v>
      </c>
      <c r="H2773" s="8">
        <v>470</v>
      </c>
      <c r="I2773" s="8">
        <v>96.064604369999998</v>
      </c>
      <c r="J2773" s="8">
        <v>350.96049420000003</v>
      </c>
      <c r="K2773" s="8">
        <v>266.8831227</v>
      </c>
      <c r="L2773" s="8">
        <v>429.11354679999999</v>
      </c>
      <c r="M2773" s="9" t="str">
        <f>IF(A2773="",M2774,A2773)</f>
        <v>Malta</v>
      </c>
      <c r="N2773" s="3" t="str">
        <f t="shared" si="87"/>
        <v>Dec-2020</v>
      </c>
    </row>
    <row r="2774" spans="1:14" x14ac:dyDescent="0.3">
      <c r="A2774" s="3" t="s">
        <v>238</v>
      </c>
      <c r="B2774" s="3" t="s">
        <v>239</v>
      </c>
      <c r="C2774" s="8">
        <v>2021</v>
      </c>
      <c r="D2774" s="8">
        <v>1</v>
      </c>
      <c r="E2774" s="3" t="str">
        <f t="shared" si="86"/>
        <v>January</v>
      </c>
      <c r="F2774" s="3" t="s">
        <v>13</v>
      </c>
      <c r="G2774" s="8">
        <v>375.10839929999997</v>
      </c>
      <c r="H2774" s="8">
        <v>428</v>
      </c>
      <c r="I2774" s="8">
        <v>52.891600670000003</v>
      </c>
      <c r="J2774" s="8">
        <v>403.8520949</v>
      </c>
      <c r="K2774" s="8">
        <v>315.57927690000002</v>
      </c>
      <c r="L2774" s="8">
        <v>484.91039180000001</v>
      </c>
      <c r="M2774" s="9" t="str">
        <f>IF(A2774="",M2775,A2774)</f>
        <v>Malta</v>
      </c>
      <c r="N2774" s="3" t="str">
        <f t="shared" si="87"/>
        <v>Jan-2021</v>
      </c>
    </row>
    <row r="2775" spans="1:14" x14ac:dyDescent="0.3">
      <c r="A2775" s="3" t="s">
        <v>238</v>
      </c>
      <c r="B2775" s="3" t="s">
        <v>239</v>
      </c>
      <c r="C2775" s="8">
        <v>2021</v>
      </c>
      <c r="D2775" s="8">
        <v>2</v>
      </c>
      <c r="E2775" s="3" t="str">
        <f t="shared" si="86"/>
        <v>February</v>
      </c>
      <c r="F2775" s="3" t="s">
        <v>13</v>
      </c>
      <c r="G2775" s="8">
        <v>380.1712718</v>
      </c>
      <c r="H2775" s="8">
        <v>403</v>
      </c>
      <c r="I2775" s="8">
        <v>22.828728160000001</v>
      </c>
      <c r="J2775" s="8">
        <v>426.6808231</v>
      </c>
      <c r="K2775" s="8">
        <v>327.26988870000002</v>
      </c>
      <c r="L2775" s="8">
        <v>523.50958479999997</v>
      </c>
      <c r="M2775" s="9" t="str">
        <f>IF(A2775="",M2776,A2775)</f>
        <v>Malta</v>
      </c>
      <c r="N2775" s="3" t="str">
        <f t="shared" si="87"/>
        <v>Feb-2021</v>
      </c>
    </row>
    <row r="2776" spans="1:14" x14ac:dyDescent="0.3">
      <c r="A2776" s="3" t="s">
        <v>238</v>
      </c>
      <c r="B2776" s="3" t="s">
        <v>239</v>
      </c>
      <c r="C2776" s="8">
        <v>2021</v>
      </c>
      <c r="D2776" s="8">
        <v>3</v>
      </c>
      <c r="E2776" s="3" t="str">
        <f t="shared" si="86"/>
        <v>March</v>
      </c>
      <c r="F2776" s="3" t="s">
        <v>13</v>
      </c>
      <c r="G2776" s="8">
        <v>350.36568039999997</v>
      </c>
      <c r="H2776" s="8">
        <v>426</v>
      </c>
      <c r="I2776" s="8">
        <v>75.634319649999995</v>
      </c>
      <c r="J2776" s="8">
        <v>502.31514270000002</v>
      </c>
      <c r="K2776" s="8">
        <v>402.93666289999999</v>
      </c>
      <c r="L2776" s="8">
        <v>604.33664080000005</v>
      </c>
      <c r="M2776" s="9" t="str">
        <f>IF(A2776="",M2777,A2776)</f>
        <v>Malta</v>
      </c>
      <c r="N2776" s="3" t="str">
        <f t="shared" si="87"/>
        <v>Mar-2021</v>
      </c>
    </row>
    <row r="2777" spans="1:14" x14ac:dyDescent="0.3">
      <c r="A2777" s="3" t="s">
        <v>238</v>
      </c>
      <c r="B2777" s="3" t="s">
        <v>239</v>
      </c>
      <c r="C2777" s="8">
        <v>2021</v>
      </c>
      <c r="D2777" s="8">
        <v>4</v>
      </c>
      <c r="E2777" s="3" t="str">
        <f t="shared" si="86"/>
        <v>April</v>
      </c>
      <c r="F2777" s="3" t="s">
        <v>13</v>
      </c>
      <c r="G2777" s="8">
        <v>313.32998199999997</v>
      </c>
      <c r="H2777" s="8">
        <v>287</v>
      </c>
      <c r="I2777" s="8">
        <v>-26.329982009999998</v>
      </c>
      <c r="J2777" s="8">
        <v>475.98516069999999</v>
      </c>
      <c r="K2777" s="8">
        <v>369.90288529999998</v>
      </c>
      <c r="L2777" s="8">
        <v>580.96287129999996</v>
      </c>
      <c r="M2777" s="9" t="str">
        <f>IF(A2777="",M2778,A2777)</f>
        <v>Malta</v>
      </c>
      <c r="N2777" s="3" t="str">
        <f t="shared" si="87"/>
        <v>Apr-2021</v>
      </c>
    </row>
    <row r="2778" spans="1:14" x14ac:dyDescent="0.3">
      <c r="A2778" s="3" t="s">
        <v>238</v>
      </c>
      <c r="B2778" s="3" t="s">
        <v>239</v>
      </c>
      <c r="C2778" s="8">
        <v>2021</v>
      </c>
      <c r="D2778" s="8">
        <v>5</v>
      </c>
      <c r="E2778" s="3" t="str">
        <f t="shared" si="86"/>
        <v>May</v>
      </c>
      <c r="F2778" s="3" t="s">
        <v>13</v>
      </c>
      <c r="G2778" s="8">
        <v>293.14404389999999</v>
      </c>
      <c r="H2778" s="8">
        <v>324</v>
      </c>
      <c r="I2778" s="8">
        <v>30.855956110000001</v>
      </c>
      <c r="J2778" s="8">
        <v>506.84111680000001</v>
      </c>
      <c r="K2778" s="8">
        <v>396.01205640000001</v>
      </c>
      <c r="L2778" s="8">
        <v>611.82887789999995</v>
      </c>
      <c r="M2778" s="9" t="str">
        <f>IF(A2778="",M2779,A2778)</f>
        <v>Malta</v>
      </c>
      <c r="N2778" s="3" t="str">
        <f t="shared" si="87"/>
        <v>May-2021</v>
      </c>
    </row>
    <row r="2779" spans="1:14" x14ac:dyDescent="0.3">
      <c r="A2779" s="3" t="s">
        <v>238</v>
      </c>
      <c r="B2779" s="3" t="s">
        <v>239</v>
      </c>
      <c r="C2779" s="8">
        <v>2021</v>
      </c>
      <c r="D2779" s="8">
        <v>6</v>
      </c>
      <c r="E2779" s="3" t="str">
        <f t="shared" si="86"/>
        <v>June</v>
      </c>
      <c r="F2779" s="3" t="s">
        <v>13</v>
      </c>
      <c r="G2779" s="8">
        <v>281.9693795</v>
      </c>
      <c r="H2779" s="8">
        <v>271</v>
      </c>
      <c r="I2779" s="8">
        <v>-10.969379460000001</v>
      </c>
      <c r="J2779" s="8">
        <v>495.87173730000001</v>
      </c>
      <c r="K2779" s="8">
        <v>380.57401809999999</v>
      </c>
      <c r="L2779" s="8">
        <v>602.59499559999995</v>
      </c>
      <c r="M2779" s="9" t="str">
        <f>IF(A2779="",M2780,A2779)</f>
        <v>Malta</v>
      </c>
      <c r="N2779" s="3" t="str">
        <f t="shared" si="87"/>
        <v>Jun-2021</v>
      </c>
    </row>
    <row r="2780" spans="1:14" x14ac:dyDescent="0.3">
      <c r="A2780" s="3" t="s">
        <v>238</v>
      </c>
      <c r="B2780" s="3" t="s">
        <v>239</v>
      </c>
      <c r="C2780" s="8">
        <v>2021</v>
      </c>
      <c r="D2780" s="8">
        <v>7</v>
      </c>
      <c r="E2780" s="3" t="str">
        <f t="shared" si="86"/>
        <v>July</v>
      </c>
      <c r="F2780" s="3" t="s">
        <v>13</v>
      </c>
      <c r="G2780" s="8">
        <v>280.13245239999998</v>
      </c>
      <c r="H2780" s="8">
        <v>318</v>
      </c>
      <c r="I2780" s="8">
        <v>37.867547649999999</v>
      </c>
      <c r="J2780" s="8">
        <v>533.739285</v>
      </c>
      <c r="K2780" s="8">
        <v>421.30640540000002</v>
      </c>
      <c r="L2780" s="8">
        <v>642.0532657</v>
      </c>
      <c r="M2780" s="9" t="str">
        <f>IF(A2780="",M2781,A2780)</f>
        <v>Malta</v>
      </c>
      <c r="N2780" s="3" t="str">
        <f t="shared" si="87"/>
        <v>Jul-2021</v>
      </c>
    </row>
    <row r="2781" spans="1:14" x14ac:dyDescent="0.3">
      <c r="A2781" s="3" t="s">
        <v>238</v>
      </c>
      <c r="B2781" s="3" t="s">
        <v>239</v>
      </c>
      <c r="C2781" s="8">
        <v>2021</v>
      </c>
      <c r="D2781" s="8">
        <v>8</v>
      </c>
      <c r="E2781" s="3" t="str">
        <f t="shared" si="86"/>
        <v>August</v>
      </c>
      <c r="F2781" s="3" t="s">
        <v>13</v>
      </c>
      <c r="G2781" s="8">
        <v>278.59596679999999</v>
      </c>
      <c r="H2781" s="8">
        <v>374</v>
      </c>
      <c r="I2781" s="8">
        <v>95.404033159999997</v>
      </c>
      <c r="J2781" s="8">
        <v>629.14331819999995</v>
      </c>
      <c r="K2781" s="8">
        <v>514.47378979999996</v>
      </c>
      <c r="L2781" s="8">
        <v>739.79377729999999</v>
      </c>
      <c r="M2781" s="9" t="str">
        <f>IF(A2781="",M2782,A2781)</f>
        <v>Malta</v>
      </c>
      <c r="N2781" s="3" t="str">
        <f t="shared" si="87"/>
        <v>Aug-2021</v>
      </c>
    </row>
    <row r="2782" spans="1:14" x14ac:dyDescent="0.3">
      <c r="A2782" s="3" t="s">
        <v>238</v>
      </c>
      <c r="B2782" s="3" t="s">
        <v>239</v>
      </c>
      <c r="C2782" s="8">
        <v>2021</v>
      </c>
      <c r="D2782" s="8">
        <v>9</v>
      </c>
      <c r="E2782" s="3" t="str">
        <f t="shared" si="86"/>
        <v>September</v>
      </c>
      <c r="F2782" s="3" t="s">
        <v>13</v>
      </c>
      <c r="G2782" s="8">
        <v>271.47670549999998</v>
      </c>
      <c r="H2782" s="8">
        <v>294</v>
      </c>
      <c r="I2782" s="8">
        <v>22.523294539999998</v>
      </c>
      <c r="J2782" s="8">
        <v>651.66661269999997</v>
      </c>
      <c r="K2782" s="8">
        <v>533.04415449999999</v>
      </c>
      <c r="L2782" s="8">
        <v>768.65995780000003</v>
      </c>
      <c r="M2782" s="9" t="str">
        <f>IF(A2782="",M2783,A2782)</f>
        <v>Malta</v>
      </c>
      <c r="N2782" s="3" t="str">
        <f t="shared" si="87"/>
        <v>Sep-2021</v>
      </c>
    </row>
    <row r="2783" spans="1:14" x14ac:dyDescent="0.3">
      <c r="A2783" s="3" t="s">
        <v>238</v>
      </c>
      <c r="B2783" s="3" t="s">
        <v>239</v>
      </c>
      <c r="C2783" s="8">
        <v>2021</v>
      </c>
      <c r="D2783" s="8">
        <v>10</v>
      </c>
      <c r="E2783" s="3" t="str">
        <f t="shared" si="86"/>
        <v>October</v>
      </c>
      <c r="F2783" s="3" t="s">
        <v>13</v>
      </c>
      <c r="G2783" s="8">
        <v>281.79730999999998</v>
      </c>
      <c r="H2783" s="8">
        <v>300</v>
      </c>
      <c r="I2783" s="8">
        <v>18.20268999</v>
      </c>
      <c r="J2783" s="8">
        <v>669.86930270000005</v>
      </c>
      <c r="K2783" s="8">
        <v>549.98538550000001</v>
      </c>
      <c r="L2783" s="8">
        <v>790.09452499999998</v>
      </c>
      <c r="M2783" s="9" t="str">
        <f>IF(A2783="",M2784,A2783)</f>
        <v>Malta</v>
      </c>
      <c r="N2783" s="3" t="str">
        <f t="shared" si="87"/>
        <v>Oct-2021</v>
      </c>
    </row>
    <row r="2784" spans="1:14" x14ac:dyDescent="0.3">
      <c r="A2784" s="3" t="s">
        <v>238</v>
      </c>
      <c r="B2784" s="3" t="s">
        <v>239</v>
      </c>
      <c r="C2784" s="8">
        <v>2021</v>
      </c>
      <c r="D2784" s="8">
        <v>11</v>
      </c>
      <c r="E2784" s="3" t="str">
        <f t="shared" si="86"/>
        <v>November</v>
      </c>
      <c r="F2784" s="3" t="s">
        <v>13</v>
      </c>
      <c r="G2784" s="8">
        <v>316.58428170000002</v>
      </c>
      <c r="H2784" s="8">
        <v>323</v>
      </c>
      <c r="I2784" s="8">
        <v>6.4157183169999996</v>
      </c>
      <c r="J2784" s="8">
        <v>676.28502100000003</v>
      </c>
      <c r="K2784" s="8">
        <v>556.34020840000005</v>
      </c>
      <c r="L2784" s="8">
        <v>800.78709479999998</v>
      </c>
      <c r="M2784" s="9" t="str">
        <f>IF(A2784="",M2785,A2784)</f>
        <v>Malta</v>
      </c>
      <c r="N2784" s="3" t="str">
        <f t="shared" si="87"/>
        <v>Nov-2021</v>
      </c>
    </row>
    <row r="2785" spans="1:14" x14ac:dyDescent="0.3">
      <c r="A2785" s="3" t="s">
        <v>238</v>
      </c>
      <c r="B2785" s="3" t="s">
        <v>239</v>
      </c>
      <c r="C2785" s="8">
        <v>2021</v>
      </c>
      <c r="D2785" s="8">
        <v>12</v>
      </c>
      <c r="E2785" s="3" t="str">
        <f t="shared" si="86"/>
        <v>December</v>
      </c>
      <c r="F2785" s="3" t="s">
        <v>13</v>
      </c>
      <c r="G2785" s="8">
        <v>380.56857689999998</v>
      </c>
      <c r="H2785" s="8">
        <v>397</v>
      </c>
      <c r="I2785" s="8">
        <v>16.431423089999999</v>
      </c>
      <c r="J2785" s="8">
        <v>692.71644409999999</v>
      </c>
      <c r="K2785" s="8">
        <v>565.37867970000002</v>
      </c>
      <c r="L2785" s="8">
        <v>814.14281449999999</v>
      </c>
      <c r="M2785" s="9" t="str">
        <f>IF(A2785="",M2786,A2785)</f>
        <v>Malta</v>
      </c>
      <c r="N2785" s="3" t="str">
        <f t="shared" si="87"/>
        <v>Dec-2021</v>
      </c>
    </row>
    <row r="2786" spans="1:14" x14ac:dyDescent="0.3">
      <c r="A2786" s="3" t="s">
        <v>240</v>
      </c>
      <c r="B2786" s="3" t="s">
        <v>241</v>
      </c>
      <c r="C2786" s="8">
        <v>2020</v>
      </c>
      <c r="D2786" s="8">
        <v>1</v>
      </c>
      <c r="E2786" s="3" t="str">
        <f t="shared" si="86"/>
        <v>January</v>
      </c>
      <c r="F2786" s="3" t="s">
        <v>8</v>
      </c>
      <c r="G2786" s="8">
        <v>32158.22236</v>
      </c>
      <c r="H2786" s="8">
        <v>33732.552000000003</v>
      </c>
      <c r="I2786" s="8">
        <v>1574.329639</v>
      </c>
      <c r="J2786" s="8">
        <v>1574.329639</v>
      </c>
      <c r="K2786" s="8">
        <v>-6274.350332</v>
      </c>
      <c r="L2786" s="8">
        <v>12000.032950000001</v>
      </c>
      <c r="M2786" s="9" t="str">
        <f>IF(A2786="",M2787,A2786)</f>
        <v>Myanmar</v>
      </c>
      <c r="N2786" s="3" t="str">
        <f t="shared" si="87"/>
        <v>Jan-2020</v>
      </c>
    </row>
    <row r="2787" spans="1:14" x14ac:dyDescent="0.3">
      <c r="A2787" s="3" t="s">
        <v>240</v>
      </c>
      <c r="B2787" s="3" t="s">
        <v>241</v>
      </c>
      <c r="C2787" s="8">
        <v>2020</v>
      </c>
      <c r="D2787" s="8">
        <v>2</v>
      </c>
      <c r="E2787" s="3" t="str">
        <f t="shared" si="86"/>
        <v>February</v>
      </c>
      <c r="F2787" s="3" t="s">
        <v>8</v>
      </c>
      <c r="G2787" s="8">
        <v>31783.370439999999</v>
      </c>
      <c r="H2787" s="8">
        <v>32227.076000000001</v>
      </c>
      <c r="I2787" s="8">
        <v>443.70555739999998</v>
      </c>
      <c r="J2787" s="8">
        <v>2018.0351969999999</v>
      </c>
      <c r="K2787" s="8">
        <v>-10134.932210000001</v>
      </c>
      <c r="L2787" s="8">
        <v>16193.294819999999</v>
      </c>
      <c r="M2787" s="9" t="str">
        <f>IF(A2787="",M2788,A2787)</f>
        <v>Myanmar</v>
      </c>
      <c r="N2787" s="3" t="str">
        <f t="shared" si="87"/>
        <v>Feb-2020</v>
      </c>
    </row>
    <row r="2788" spans="1:14" x14ac:dyDescent="0.3">
      <c r="A2788" s="3" t="s">
        <v>240</v>
      </c>
      <c r="B2788" s="3" t="s">
        <v>241</v>
      </c>
      <c r="C2788" s="8">
        <v>2020</v>
      </c>
      <c r="D2788" s="8">
        <v>3</v>
      </c>
      <c r="E2788" s="3" t="str">
        <f t="shared" si="86"/>
        <v>March</v>
      </c>
      <c r="F2788" s="3" t="s">
        <v>8</v>
      </c>
      <c r="G2788" s="8">
        <v>31245.61693</v>
      </c>
      <c r="H2788" s="8">
        <v>30248.892</v>
      </c>
      <c r="I2788" s="8">
        <v>-996.72493340000005</v>
      </c>
      <c r="J2788" s="8">
        <v>1021.310263</v>
      </c>
      <c r="K2788" s="8">
        <v>-13630.277819999999</v>
      </c>
      <c r="L2788" s="8">
        <v>16843.4179</v>
      </c>
      <c r="M2788" s="9" t="str">
        <f>IF(A2788="",M2789,A2788)</f>
        <v>Myanmar</v>
      </c>
      <c r="N2788" s="3" t="str">
        <f t="shared" si="87"/>
        <v>Mar-2020</v>
      </c>
    </row>
    <row r="2789" spans="1:14" x14ac:dyDescent="0.3">
      <c r="A2789" s="3" t="s">
        <v>240</v>
      </c>
      <c r="B2789" s="3" t="s">
        <v>241</v>
      </c>
      <c r="C2789" s="8">
        <v>2020</v>
      </c>
      <c r="D2789" s="8">
        <v>4</v>
      </c>
      <c r="E2789" s="3" t="str">
        <f t="shared" si="86"/>
        <v>April</v>
      </c>
      <c r="F2789" s="3" t="s">
        <v>8</v>
      </c>
      <c r="G2789" s="8">
        <v>30904.025870000001</v>
      </c>
      <c r="H2789" s="8">
        <v>28262.902999999998</v>
      </c>
      <c r="I2789" s="8">
        <v>-2641.1228740000001</v>
      </c>
      <c r="J2789" s="8">
        <v>-1619.8126110000001</v>
      </c>
      <c r="K2789" s="8">
        <v>-18534.578130000002</v>
      </c>
      <c r="L2789" s="8">
        <v>16481.792099999999</v>
      </c>
      <c r="M2789" s="9" t="str">
        <f>IF(A2789="",M2790,A2789)</f>
        <v>Myanmar</v>
      </c>
      <c r="N2789" s="3" t="str">
        <f t="shared" si="87"/>
        <v>Apr-2020</v>
      </c>
    </row>
    <row r="2790" spans="1:14" x14ac:dyDescent="0.3">
      <c r="A2790" s="3" t="s">
        <v>240</v>
      </c>
      <c r="B2790" s="3" t="s">
        <v>241</v>
      </c>
      <c r="C2790" s="8">
        <v>2020</v>
      </c>
      <c r="D2790" s="8">
        <v>5</v>
      </c>
      <c r="E2790" s="3" t="str">
        <f t="shared" si="86"/>
        <v>May</v>
      </c>
      <c r="F2790" s="3" t="s">
        <v>8</v>
      </c>
      <c r="G2790" s="8">
        <v>30700.765169999999</v>
      </c>
      <c r="H2790" s="8">
        <v>28651.29</v>
      </c>
      <c r="I2790" s="8">
        <v>-2049.4751740000002</v>
      </c>
      <c r="J2790" s="8">
        <v>-3669.2877840000001</v>
      </c>
      <c r="K2790" s="8">
        <v>-23408.708340000001</v>
      </c>
      <c r="L2790" s="8">
        <v>16070.18196</v>
      </c>
      <c r="M2790" s="9" t="str">
        <f>IF(A2790="",M2791,A2790)</f>
        <v>Myanmar</v>
      </c>
      <c r="N2790" s="3" t="str">
        <f t="shared" si="87"/>
        <v>May-2020</v>
      </c>
    </row>
    <row r="2791" spans="1:14" x14ac:dyDescent="0.3">
      <c r="A2791" s="3" t="s">
        <v>240</v>
      </c>
      <c r="B2791" s="3" t="s">
        <v>241</v>
      </c>
      <c r="C2791" s="8">
        <v>2020</v>
      </c>
      <c r="D2791" s="8">
        <v>6</v>
      </c>
      <c r="E2791" s="3" t="str">
        <f t="shared" si="86"/>
        <v>June</v>
      </c>
      <c r="F2791" s="3" t="s">
        <v>8</v>
      </c>
      <c r="G2791" s="8">
        <v>30792.07591</v>
      </c>
      <c r="H2791" s="8">
        <v>30000.851999999999</v>
      </c>
      <c r="I2791" s="8">
        <v>-791.22391470000002</v>
      </c>
      <c r="J2791" s="8">
        <v>-4460.5116989999997</v>
      </c>
      <c r="K2791" s="8">
        <v>-24456.609619999999</v>
      </c>
      <c r="L2791" s="8">
        <v>17653.6885</v>
      </c>
      <c r="M2791" s="9" t="str">
        <f>IF(A2791="",M2792,A2791)</f>
        <v>Myanmar</v>
      </c>
      <c r="N2791" s="3" t="str">
        <f t="shared" si="87"/>
        <v>Jun-2020</v>
      </c>
    </row>
    <row r="2792" spans="1:14" x14ac:dyDescent="0.3">
      <c r="A2792" s="3" t="s">
        <v>240</v>
      </c>
      <c r="B2792" s="3" t="s">
        <v>241</v>
      </c>
      <c r="C2792" s="8">
        <v>2020</v>
      </c>
      <c r="D2792" s="8">
        <v>7</v>
      </c>
      <c r="E2792" s="3" t="str">
        <f t="shared" si="86"/>
        <v>July</v>
      </c>
      <c r="F2792" s="3" t="s">
        <v>8</v>
      </c>
      <c r="G2792" s="8">
        <v>30851.596539999999</v>
      </c>
      <c r="H2792" s="8">
        <v>30838.795999999998</v>
      </c>
      <c r="I2792" s="8">
        <v>-12.800542030000001</v>
      </c>
      <c r="J2792" s="8">
        <v>-4473.3122409999996</v>
      </c>
      <c r="K2792" s="8">
        <v>-26054.565719999999</v>
      </c>
      <c r="L2792" s="8">
        <v>18549.476340000001</v>
      </c>
      <c r="M2792" s="9" t="str">
        <f>IF(A2792="",M2793,A2792)</f>
        <v>Myanmar</v>
      </c>
      <c r="N2792" s="3" t="str">
        <f t="shared" si="87"/>
        <v>Jul-2020</v>
      </c>
    </row>
    <row r="2793" spans="1:14" x14ac:dyDescent="0.3">
      <c r="A2793" s="3" t="s">
        <v>240</v>
      </c>
      <c r="B2793" s="3" t="s">
        <v>241</v>
      </c>
      <c r="C2793" s="8">
        <v>2020</v>
      </c>
      <c r="D2793" s="8">
        <v>8</v>
      </c>
      <c r="E2793" s="3" t="str">
        <f t="shared" si="86"/>
        <v>August</v>
      </c>
      <c r="F2793" s="3" t="s">
        <v>8</v>
      </c>
      <c r="G2793" s="8">
        <v>30876.678500000002</v>
      </c>
      <c r="H2793" s="8">
        <v>31093.309000000001</v>
      </c>
      <c r="I2793" s="8">
        <v>216.63049659999999</v>
      </c>
      <c r="J2793" s="8">
        <v>-4256.6817440000004</v>
      </c>
      <c r="K2793" s="8">
        <v>-27109.511849999999</v>
      </c>
      <c r="L2793" s="8">
        <v>21320.591659999998</v>
      </c>
      <c r="M2793" s="9" t="str">
        <f>IF(A2793="",M2794,A2793)</f>
        <v>Myanmar</v>
      </c>
      <c r="N2793" s="3" t="str">
        <f t="shared" si="87"/>
        <v>Aug-2020</v>
      </c>
    </row>
    <row r="2794" spans="1:14" x14ac:dyDescent="0.3">
      <c r="A2794" s="3" t="s">
        <v>240</v>
      </c>
      <c r="B2794" s="3" t="s">
        <v>241</v>
      </c>
      <c r="C2794" s="8">
        <v>2020</v>
      </c>
      <c r="D2794" s="8">
        <v>9</v>
      </c>
      <c r="E2794" s="3" t="str">
        <f t="shared" si="86"/>
        <v>September</v>
      </c>
      <c r="F2794" s="3" t="s">
        <v>8</v>
      </c>
      <c r="G2794" s="8">
        <v>30842.17625</v>
      </c>
      <c r="H2794" s="8">
        <v>33476.813000000002</v>
      </c>
      <c r="I2794" s="8">
        <v>2634.636747</v>
      </c>
      <c r="J2794" s="8">
        <v>-1622.0449980000001</v>
      </c>
      <c r="K2794" s="8">
        <v>-26062.36133</v>
      </c>
      <c r="L2794" s="8">
        <v>26023.336039999998</v>
      </c>
      <c r="M2794" s="9" t="str">
        <f>IF(A2794="",M2795,A2794)</f>
        <v>Myanmar</v>
      </c>
      <c r="N2794" s="3" t="str">
        <f t="shared" si="87"/>
        <v>Sep-2020</v>
      </c>
    </row>
    <row r="2795" spans="1:14" x14ac:dyDescent="0.3">
      <c r="A2795" s="3" t="s">
        <v>240</v>
      </c>
      <c r="B2795" s="3" t="s">
        <v>241</v>
      </c>
      <c r="C2795" s="8">
        <v>2020</v>
      </c>
      <c r="D2795" s="8">
        <v>10</v>
      </c>
      <c r="E2795" s="3" t="str">
        <f t="shared" si="86"/>
        <v>October</v>
      </c>
      <c r="F2795" s="3" t="s">
        <v>8</v>
      </c>
      <c r="G2795" s="8">
        <v>30988.161080000002</v>
      </c>
      <c r="H2795" s="8">
        <v>34418.377999999997</v>
      </c>
      <c r="I2795" s="8">
        <v>3430.2169180000001</v>
      </c>
      <c r="J2795" s="8">
        <v>1808.17192</v>
      </c>
      <c r="K2795" s="8">
        <v>-24414.96644</v>
      </c>
      <c r="L2795" s="8">
        <v>31549.146560000001</v>
      </c>
      <c r="M2795" s="9" t="str">
        <f>IF(A2795="",M2796,A2795)</f>
        <v>Myanmar</v>
      </c>
      <c r="N2795" s="3" t="str">
        <f t="shared" si="87"/>
        <v>Oct-2020</v>
      </c>
    </row>
    <row r="2796" spans="1:14" x14ac:dyDescent="0.3">
      <c r="A2796" s="3" t="s">
        <v>240</v>
      </c>
      <c r="B2796" s="3" t="s">
        <v>241</v>
      </c>
      <c r="C2796" s="8">
        <v>2020</v>
      </c>
      <c r="D2796" s="8">
        <v>11</v>
      </c>
      <c r="E2796" s="3" t="str">
        <f t="shared" si="86"/>
        <v>November</v>
      </c>
      <c r="F2796" s="3" t="s">
        <v>8</v>
      </c>
      <c r="G2796" s="8">
        <v>31427.58527</v>
      </c>
      <c r="H2796" s="8">
        <v>34490.1</v>
      </c>
      <c r="I2796" s="8">
        <v>3062.5147320000001</v>
      </c>
      <c r="J2796" s="8">
        <v>4870.6866520000003</v>
      </c>
      <c r="K2796" s="8">
        <v>-22780.2372</v>
      </c>
      <c r="L2796" s="8">
        <v>35648.479630000002</v>
      </c>
      <c r="M2796" s="9" t="str">
        <f>IF(A2796="",M2797,A2796)</f>
        <v>Myanmar</v>
      </c>
      <c r="N2796" s="3" t="str">
        <f t="shared" si="87"/>
        <v>Nov-2020</v>
      </c>
    </row>
    <row r="2797" spans="1:14" x14ac:dyDescent="0.3">
      <c r="A2797" s="3" t="s">
        <v>240</v>
      </c>
      <c r="B2797" s="3" t="s">
        <v>241</v>
      </c>
      <c r="C2797" s="8">
        <v>2020</v>
      </c>
      <c r="D2797" s="8">
        <v>12</v>
      </c>
      <c r="E2797" s="3" t="str">
        <f t="shared" si="86"/>
        <v>December</v>
      </c>
      <c r="F2797" s="3" t="s">
        <v>8</v>
      </c>
      <c r="G2797" s="8">
        <v>32085.232479999999</v>
      </c>
      <c r="H2797" s="8">
        <v>35456.089999999997</v>
      </c>
      <c r="I2797" s="8">
        <v>3370.857524</v>
      </c>
      <c r="J2797" s="8">
        <v>8241.5441759999994</v>
      </c>
      <c r="K2797" s="8">
        <v>-21973.990949999999</v>
      </c>
      <c r="L2797" s="8">
        <v>40553.432390000002</v>
      </c>
      <c r="M2797" s="9" t="str">
        <f>IF(A2797="",M2798,A2797)</f>
        <v>Myanmar</v>
      </c>
      <c r="N2797" s="3" t="str">
        <f t="shared" si="87"/>
        <v>Dec-2020</v>
      </c>
    </row>
    <row r="2798" spans="1:14" x14ac:dyDescent="0.3">
      <c r="A2798" s="3" t="s">
        <v>240</v>
      </c>
      <c r="B2798" s="3" t="s">
        <v>241</v>
      </c>
      <c r="C2798" s="8">
        <v>2021</v>
      </c>
      <c r="D2798" s="8">
        <v>1</v>
      </c>
      <c r="E2798" s="3" t="str">
        <f t="shared" si="86"/>
        <v>January</v>
      </c>
      <c r="F2798" s="3" t="s">
        <v>8</v>
      </c>
      <c r="G2798" s="8">
        <v>31769.75921</v>
      </c>
      <c r="H2798" s="8">
        <v>33094.648999999998</v>
      </c>
      <c r="I2798" s="8">
        <v>1324.889788</v>
      </c>
      <c r="J2798" s="8">
        <v>9566.4339639999998</v>
      </c>
      <c r="K2798" s="8">
        <v>-22409.02836</v>
      </c>
      <c r="L2798" s="8">
        <v>43577.946799999998</v>
      </c>
      <c r="M2798" s="9" t="str">
        <f>IF(A2798="",M2799,A2798)</f>
        <v>Myanmar</v>
      </c>
      <c r="N2798" s="3" t="str">
        <f t="shared" si="87"/>
        <v>Jan-2021</v>
      </c>
    </row>
    <row r="2799" spans="1:14" x14ac:dyDescent="0.3">
      <c r="A2799" s="3" t="s">
        <v>240</v>
      </c>
      <c r="B2799" s="3" t="s">
        <v>241</v>
      </c>
      <c r="C2799" s="8">
        <v>2021</v>
      </c>
      <c r="D2799" s="8">
        <v>2</v>
      </c>
      <c r="E2799" s="3" t="str">
        <f t="shared" si="86"/>
        <v>February</v>
      </c>
      <c r="F2799" s="3" t="s">
        <v>8</v>
      </c>
      <c r="G2799" s="8">
        <v>31514.983680000001</v>
      </c>
      <c r="H2799" s="8">
        <v>31278.678</v>
      </c>
      <c r="I2799" s="8">
        <v>-236.30567669999999</v>
      </c>
      <c r="J2799" s="8">
        <v>9330.1282869999995</v>
      </c>
      <c r="K2799" s="8">
        <v>-24150.65696</v>
      </c>
      <c r="L2799" s="8">
        <v>43968.815710000003</v>
      </c>
      <c r="M2799" s="9" t="str">
        <f>IF(A2799="",M2800,A2799)</f>
        <v>Myanmar</v>
      </c>
      <c r="N2799" s="3" t="str">
        <f t="shared" si="87"/>
        <v>Feb-2021</v>
      </c>
    </row>
    <row r="2800" spans="1:14" x14ac:dyDescent="0.3">
      <c r="A2800" s="3" t="s">
        <v>240</v>
      </c>
      <c r="B2800" s="3" t="s">
        <v>241</v>
      </c>
      <c r="C2800" s="8">
        <v>2021</v>
      </c>
      <c r="D2800" s="8">
        <v>3</v>
      </c>
      <c r="E2800" s="3" t="str">
        <f t="shared" si="86"/>
        <v>March</v>
      </c>
      <c r="F2800" s="3" t="s">
        <v>8</v>
      </c>
      <c r="G2800" s="8">
        <v>30840.902750000001</v>
      </c>
      <c r="H2800" s="8">
        <v>29307.781999999999</v>
      </c>
      <c r="I2800" s="8">
        <v>-1533.1207509999999</v>
      </c>
      <c r="J2800" s="8">
        <v>7797.0075360000001</v>
      </c>
      <c r="K2800" s="8">
        <v>-26464.795160000001</v>
      </c>
      <c r="L2800" s="8">
        <v>43093.949560000001</v>
      </c>
      <c r="M2800" s="9" t="str">
        <f>IF(A2800="",M2801,A2800)</f>
        <v>Myanmar</v>
      </c>
      <c r="N2800" s="3" t="str">
        <f t="shared" si="87"/>
        <v>Mar-2021</v>
      </c>
    </row>
    <row r="2801" spans="1:14" x14ac:dyDescent="0.3">
      <c r="A2801" s="3" t="s">
        <v>240</v>
      </c>
      <c r="B2801" s="3" t="s">
        <v>241</v>
      </c>
      <c r="C2801" s="8">
        <v>2021</v>
      </c>
      <c r="D2801" s="8">
        <v>4</v>
      </c>
      <c r="E2801" s="3" t="str">
        <f t="shared" si="86"/>
        <v>April</v>
      </c>
      <c r="F2801" s="3" t="s">
        <v>8</v>
      </c>
      <c r="G2801" s="8">
        <v>30483.332890000001</v>
      </c>
      <c r="H2801" s="8">
        <v>28803.495999999999</v>
      </c>
      <c r="I2801" s="8">
        <v>-1679.83689</v>
      </c>
      <c r="J2801" s="8">
        <v>6117.1706450000001</v>
      </c>
      <c r="K2801" s="8">
        <v>-27954.346529999999</v>
      </c>
      <c r="L2801" s="8">
        <v>43133.346949999999</v>
      </c>
      <c r="M2801" s="9" t="str">
        <f>IF(A2801="",M2802,A2801)</f>
        <v>Myanmar</v>
      </c>
      <c r="N2801" s="3" t="str">
        <f t="shared" si="87"/>
        <v>Apr-2021</v>
      </c>
    </row>
    <row r="2802" spans="1:14" x14ac:dyDescent="0.3">
      <c r="A2802" s="3" t="s">
        <v>240</v>
      </c>
      <c r="B2802" s="3" t="s">
        <v>241</v>
      </c>
      <c r="C2802" s="8">
        <v>2021</v>
      </c>
      <c r="D2802" s="8">
        <v>5</v>
      </c>
      <c r="E2802" s="3" t="str">
        <f t="shared" si="86"/>
        <v>May</v>
      </c>
      <c r="F2802" s="3" t="s">
        <v>8</v>
      </c>
      <c r="G2802" s="8">
        <v>30376.444390000001</v>
      </c>
      <c r="H2802" s="8">
        <v>29282.355</v>
      </c>
      <c r="I2802" s="8">
        <v>-1094.0893920000001</v>
      </c>
      <c r="J2802" s="8">
        <v>5023.0812539999997</v>
      </c>
      <c r="K2802" s="8">
        <v>-29728.41748</v>
      </c>
      <c r="L2802" s="8">
        <v>41807.30371</v>
      </c>
      <c r="M2802" s="9" t="str">
        <f>IF(A2802="",M2803,A2802)</f>
        <v>Myanmar</v>
      </c>
      <c r="N2802" s="3" t="str">
        <f t="shared" si="87"/>
        <v>May-2021</v>
      </c>
    </row>
    <row r="2803" spans="1:14" x14ac:dyDescent="0.3">
      <c r="A2803" s="3" t="s">
        <v>240</v>
      </c>
      <c r="B2803" s="3" t="s">
        <v>241</v>
      </c>
      <c r="C2803" s="8">
        <v>2021</v>
      </c>
      <c r="D2803" s="8">
        <v>6</v>
      </c>
      <c r="E2803" s="3" t="str">
        <f t="shared" si="86"/>
        <v>June</v>
      </c>
      <c r="F2803" s="3" t="s">
        <v>8</v>
      </c>
      <c r="G2803" s="8">
        <v>30512.59836</v>
      </c>
      <c r="H2803" s="8">
        <v>31271.4</v>
      </c>
      <c r="I2803" s="8">
        <v>758.80163619999996</v>
      </c>
      <c r="J2803" s="8">
        <v>5781.8828899999999</v>
      </c>
      <c r="K2803" s="8">
        <v>-30393.857319999999</v>
      </c>
      <c r="L2803" s="8">
        <v>44124.838839999997</v>
      </c>
      <c r="M2803" s="9" t="str">
        <f>IF(A2803="",M2804,A2803)</f>
        <v>Myanmar</v>
      </c>
      <c r="N2803" s="3" t="str">
        <f t="shared" si="87"/>
        <v>Jun-2021</v>
      </c>
    </row>
    <row r="2804" spans="1:14" x14ac:dyDescent="0.3">
      <c r="A2804" s="3" t="s">
        <v>240</v>
      </c>
      <c r="B2804" s="3" t="s">
        <v>241</v>
      </c>
      <c r="C2804" s="8">
        <v>2021</v>
      </c>
      <c r="D2804" s="8">
        <v>7</v>
      </c>
      <c r="E2804" s="3" t="str">
        <f t="shared" si="86"/>
        <v>July</v>
      </c>
      <c r="F2804" s="3" t="s">
        <v>8</v>
      </c>
      <c r="G2804" s="8">
        <v>30510.95232</v>
      </c>
      <c r="H2804" s="8">
        <v>46545.86</v>
      </c>
      <c r="I2804" s="8">
        <v>16034.90768</v>
      </c>
      <c r="J2804" s="8">
        <v>21816.790570000001</v>
      </c>
      <c r="K2804" s="8">
        <v>-15304.26657</v>
      </c>
      <c r="L2804" s="8">
        <v>63376.031629999998</v>
      </c>
      <c r="M2804" s="9" t="str">
        <f>IF(A2804="",M2805,A2804)</f>
        <v>Myanmar</v>
      </c>
      <c r="N2804" s="3" t="str">
        <f t="shared" si="87"/>
        <v>Jul-2021</v>
      </c>
    </row>
    <row r="2805" spans="1:14" x14ac:dyDescent="0.3">
      <c r="A2805" s="3" t="s">
        <v>240</v>
      </c>
      <c r="B2805" s="3" t="s">
        <v>241</v>
      </c>
      <c r="C2805" s="8">
        <v>2021</v>
      </c>
      <c r="D2805" s="8">
        <v>8</v>
      </c>
      <c r="E2805" s="3" t="str">
        <f t="shared" si="86"/>
        <v>August</v>
      </c>
      <c r="F2805" s="3" t="s">
        <v>8</v>
      </c>
      <c r="G2805" s="8">
        <v>30493.102559999999</v>
      </c>
      <c r="H2805" s="8">
        <v>46223.745999999999</v>
      </c>
      <c r="I2805" s="8">
        <v>15730.64344</v>
      </c>
      <c r="J2805" s="8">
        <v>37547.434009999997</v>
      </c>
      <c r="K2805" s="8">
        <v>-2793.631277</v>
      </c>
      <c r="L2805" s="8">
        <v>81091.026970000006</v>
      </c>
      <c r="M2805" s="9" t="str">
        <f>IF(A2805="",M2806,A2805)</f>
        <v>Myanmar</v>
      </c>
      <c r="N2805" s="3" t="str">
        <f t="shared" si="87"/>
        <v>Aug-2021</v>
      </c>
    </row>
    <row r="2806" spans="1:14" x14ac:dyDescent="0.3">
      <c r="A2806" s="3" t="s">
        <v>240</v>
      </c>
      <c r="B2806" s="3" t="s">
        <v>241</v>
      </c>
      <c r="C2806" s="8">
        <v>2021</v>
      </c>
      <c r="D2806" s="8">
        <v>9</v>
      </c>
      <c r="E2806" s="3" t="str">
        <f t="shared" si="86"/>
        <v>September</v>
      </c>
      <c r="F2806" s="3" t="s">
        <v>8</v>
      </c>
      <c r="G2806" s="8">
        <v>30441.54393</v>
      </c>
      <c r="H2806" s="8">
        <v>36634.955000000002</v>
      </c>
      <c r="I2806" s="8">
        <v>6193.4110719999999</v>
      </c>
      <c r="J2806" s="8">
        <v>43740.845079999999</v>
      </c>
      <c r="K2806" s="8">
        <v>2291.8054149999998</v>
      </c>
      <c r="L2806" s="8">
        <v>87843.134090000007</v>
      </c>
      <c r="M2806" s="9" t="str">
        <f>IF(A2806="",M2807,A2806)</f>
        <v>Myanmar</v>
      </c>
      <c r="N2806" s="3" t="str">
        <f t="shared" si="87"/>
        <v>Sep-2021</v>
      </c>
    </row>
    <row r="2807" spans="1:14" x14ac:dyDescent="0.3">
      <c r="A2807" s="3" t="s">
        <v>240</v>
      </c>
      <c r="B2807" s="3" t="s">
        <v>241</v>
      </c>
      <c r="C2807" s="8">
        <v>2021</v>
      </c>
      <c r="D2807" s="8">
        <v>10</v>
      </c>
      <c r="E2807" s="3" t="str">
        <f t="shared" si="86"/>
        <v>October</v>
      </c>
      <c r="F2807" s="3" t="s">
        <v>8</v>
      </c>
      <c r="G2807" s="8">
        <v>30590.265630000002</v>
      </c>
      <c r="H2807" s="8">
        <v>34057.834000000003</v>
      </c>
      <c r="I2807" s="8">
        <v>3467.5683720000002</v>
      </c>
      <c r="J2807" s="8">
        <v>47208.41345</v>
      </c>
      <c r="K2807" s="8">
        <v>4732.3533829999997</v>
      </c>
      <c r="L2807" s="8">
        <v>92694.818539999993</v>
      </c>
      <c r="M2807" s="9" t="str">
        <f>IF(A2807="",M2808,A2807)</f>
        <v>Myanmar</v>
      </c>
      <c r="N2807" s="3" t="str">
        <f t="shared" si="87"/>
        <v>Oct-2021</v>
      </c>
    </row>
    <row r="2808" spans="1:14" x14ac:dyDescent="0.3">
      <c r="A2808" s="3" t="s">
        <v>240</v>
      </c>
      <c r="B2808" s="3" t="s">
        <v>241</v>
      </c>
      <c r="C2808" s="8">
        <v>2021</v>
      </c>
      <c r="D2808" s="8">
        <v>11</v>
      </c>
      <c r="E2808" s="3" t="str">
        <f t="shared" si="86"/>
        <v>November</v>
      </c>
      <c r="F2808" s="3" t="s">
        <v>8</v>
      </c>
      <c r="G2808" s="8">
        <v>31090.423910000001</v>
      </c>
      <c r="H2808" s="8">
        <v>33293.389000000003</v>
      </c>
      <c r="I2808" s="8">
        <v>2202.9650879999999</v>
      </c>
      <c r="J2808" s="8">
        <v>49411.378539999998</v>
      </c>
      <c r="K2808" s="8">
        <v>5005.3716690000001</v>
      </c>
      <c r="L2808" s="8">
        <v>95736.955170000001</v>
      </c>
      <c r="M2808" s="9" t="str">
        <f>IF(A2808="",M2809,A2808)</f>
        <v>Myanmar</v>
      </c>
      <c r="N2808" s="3" t="str">
        <f t="shared" si="87"/>
        <v>Nov-2021</v>
      </c>
    </row>
    <row r="2809" spans="1:14" x14ac:dyDescent="0.3">
      <c r="A2809" s="3" t="s">
        <v>240</v>
      </c>
      <c r="B2809" s="3" t="s">
        <v>241</v>
      </c>
      <c r="C2809" s="8">
        <v>2021</v>
      </c>
      <c r="D2809" s="8">
        <v>12</v>
      </c>
      <c r="E2809" s="3" t="str">
        <f t="shared" si="86"/>
        <v>December</v>
      </c>
      <c r="F2809" s="3" t="s">
        <v>8</v>
      </c>
      <c r="G2809" s="8">
        <v>31706.415150000001</v>
      </c>
      <c r="H2809" s="8">
        <v>34377.769</v>
      </c>
      <c r="I2809" s="8">
        <v>2671.3538530000001</v>
      </c>
      <c r="J2809" s="8">
        <v>52082.732389999997</v>
      </c>
      <c r="K2809" s="8">
        <v>9306.6640029999999</v>
      </c>
      <c r="L2809" s="8">
        <v>101035.69130000001</v>
      </c>
      <c r="M2809" s="9" t="str">
        <f>IF(A2809="",M2810,A2809)</f>
        <v>Myanmar</v>
      </c>
      <c r="N2809" s="3" t="str">
        <f t="shared" si="87"/>
        <v>Dec-2021</v>
      </c>
    </row>
    <row r="2810" spans="1:14" x14ac:dyDescent="0.3">
      <c r="A2810" s="3" t="s">
        <v>242</v>
      </c>
      <c r="B2810" s="3" t="s">
        <v>243</v>
      </c>
      <c r="C2810" s="8">
        <v>2020</v>
      </c>
      <c r="D2810" s="8">
        <v>1</v>
      </c>
      <c r="E2810" s="3" t="str">
        <f t="shared" si="86"/>
        <v>January</v>
      </c>
      <c r="F2810" s="3" t="s">
        <v>13</v>
      </c>
      <c r="G2810" s="8">
        <v>681.13954969999998</v>
      </c>
      <c r="H2810" s="8">
        <v>617</v>
      </c>
      <c r="I2810" s="8">
        <v>-64.139549669999994</v>
      </c>
      <c r="J2810" s="8">
        <v>-64.139549669999994</v>
      </c>
      <c r="K2810" s="8">
        <v>-100.33606</v>
      </c>
      <c r="L2810" s="8">
        <v>-29.53935663</v>
      </c>
      <c r="M2810" s="9" t="str">
        <f>IF(A2810="",M2811,A2810)</f>
        <v>Montenegro</v>
      </c>
      <c r="N2810" s="3" t="str">
        <f t="shared" si="87"/>
        <v>Jan-2020</v>
      </c>
    </row>
    <row r="2811" spans="1:14" x14ac:dyDescent="0.3">
      <c r="A2811" s="3" t="s">
        <v>242</v>
      </c>
      <c r="B2811" s="3" t="s">
        <v>243</v>
      </c>
      <c r="C2811" s="8">
        <v>2020</v>
      </c>
      <c r="D2811" s="8">
        <v>2</v>
      </c>
      <c r="E2811" s="3" t="str">
        <f t="shared" si="86"/>
        <v>February</v>
      </c>
      <c r="F2811" s="3" t="s">
        <v>13</v>
      </c>
      <c r="G2811" s="8">
        <v>661.43223860000001</v>
      </c>
      <c r="H2811" s="8">
        <v>625</v>
      </c>
      <c r="I2811" s="8">
        <v>-36.432238630000001</v>
      </c>
      <c r="J2811" s="8">
        <v>-100.57178829999999</v>
      </c>
      <c r="K2811" s="8">
        <v>-156.41816</v>
      </c>
      <c r="L2811" s="8">
        <v>-47.649118819999998</v>
      </c>
      <c r="M2811" s="9" t="str">
        <f>IF(A2811="",M2812,A2811)</f>
        <v>Montenegro</v>
      </c>
      <c r="N2811" s="3" t="str">
        <f t="shared" si="87"/>
        <v>Feb-2020</v>
      </c>
    </row>
    <row r="2812" spans="1:14" x14ac:dyDescent="0.3">
      <c r="A2812" s="3" t="s">
        <v>242</v>
      </c>
      <c r="B2812" s="3" t="s">
        <v>243</v>
      </c>
      <c r="C2812" s="8">
        <v>2020</v>
      </c>
      <c r="D2812" s="8">
        <v>3</v>
      </c>
      <c r="E2812" s="3" t="str">
        <f t="shared" si="86"/>
        <v>March</v>
      </c>
      <c r="F2812" s="3" t="s">
        <v>13</v>
      </c>
      <c r="G2812" s="8">
        <v>631.26022990000001</v>
      </c>
      <c r="H2812" s="8">
        <v>644</v>
      </c>
      <c r="I2812" s="8">
        <v>12.73977009</v>
      </c>
      <c r="J2812" s="8">
        <v>-87.832018210000001</v>
      </c>
      <c r="K2812" s="8">
        <v>-157.33055809999999</v>
      </c>
      <c r="L2812" s="8">
        <v>-18.209445219999999</v>
      </c>
      <c r="M2812" s="9" t="str">
        <f>IF(A2812="",M2813,A2812)</f>
        <v>Montenegro</v>
      </c>
      <c r="N2812" s="3" t="str">
        <f t="shared" si="87"/>
        <v>Mar-2020</v>
      </c>
    </row>
    <row r="2813" spans="1:14" x14ac:dyDescent="0.3">
      <c r="A2813" s="3" t="s">
        <v>242</v>
      </c>
      <c r="B2813" s="3" t="s">
        <v>243</v>
      </c>
      <c r="C2813" s="8">
        <v>2020</v>
      </c>
      <c r="D2813" s="8">
        <v>4</v>
      </c>
      <c r="E2813" s="3" t="str">
        <f t="shared" si="86"/>
        <v>April</v>
      </c>
      <c r="F2813" s="3" t="s">
        <v>13</v>
      </c>
      <c r="G2813" s="8">
        <v>596.40583779999997</v>
      </c>
      <c r="H2813" s="8">
        <v>536</v>
      </c>
      <c r="I2813" s="8">
        <v>-60.405837820000002</v>
      </c>
      <c r="J2813" s="8">
        <v>-148.23785599999999</v>
      </c>
      <c r="K2813" s="8">
        <v>-226.8770203</v>
      </c>
      <c r="L2813" s="8">
        <v>-74.036270079999994</v>
      </c>
      <c r="M2813" s="9" t="str">
        <f>IF(A2813="",M2814,A2813)</f>
        <v>Montenegro</v>
      </c>
      <c r="N2813" s="3" t="str">
        <f t="shared" si="87"/>
        <v>Apr-2020</v>
      </c>
    </row>
    <row r="2814" spans="1:14" x14ac:dyDescent="0.3">
      <c r="A2814" s="3" t="s">
        <v>242</v>
      </c>
      <c r="B2814" s="3" t="s">
        <v>243</v>
      </c>
      <c r="C2814" s="8">
        <v>2020</v>
      </c>
      <c r="D2814" s="8">
        <v>5</v>
      </c>
      <c r="E2814" s="3" t="str">
        <f t="shared" si="86"/>
        <v>May</v>
      </c>
      <c r="F2814" s="3" t="s">
        <v>13</v>
      </c>
      <c r="G2814" s="8">
        <v>569.40780900000004</v>
      </c>
      <c r="H2814" s="8">
        <v>539</v>
      </c>
      <c r="I2814" s="8">
        <v>-30.407808989999999</v>
      </c>
      <c r="J2814" s="8">
        <v>-178.64566500000001</v>
      </c>
      <c r="K2814" s="8">
        <v>-267.81921169999998</v>
      </c>
      <c r="L2814" s="8">
        <v>-97.675842700000004</v>
      </c>
      <c r="M2814" s="9" t="str">
        <f>IF(A2814="",M2815,A2814)</f>
        <v>Montenegro</v>
      </c>
      <c r="N2814" s="3" t="str">
        <f t="shared" si="87"/>
        <v>May-2020</v>
      </c>
    </row>
    <row r="2815" spans="1:14" x14ac:dyDescent="0.3">
      <c r="A2815" s="3" t="s">
        <v>242</v>
      </c>
      <c r="B2815" s="3" t="s">
        <v>243</v>
      </c>
      <c r="C2815" s="8">
        <v>2020</v>
      </c>
      <c r="D2815" s="8">
        <v>6</v>
      </c>
      <c r="E2815" s="3" t="str">
        <f t="shared" si="86"/>
        <v>June</v>
      </c>
      <c r="F2815" s="3" t="s">
        <v>13</v>
      </c>
      <c r="G2815" s="8">
        <v>570.63826930000005</v>
      </c>
      <c r="H2815" s="8">
        <v>537</v>
      </c>
      <c r="I2815" s="8">
        <v>-33.638269289999997</v>
      </c>
      <c r="J2815" s="8">
        <v>-212.2839343</v>
      </c>
      <c r="K2815" s="8">
        <v>-311.63048079999999</v>
      </c>
      <c r="L2815" s="8">
        <v>-119.87514349999999</v>
      </c>
      <c r="M2815" s="9" t="str">
        <f>IF(A2815="",M2816,A2815)</f>
        <v>Montenegro</v>
      </c>
      <c r="N2815" s="3" t="str">
        <f t="shared" si="87"/>
        <v>Jun-2020</v>
      </c>
    </row>
    <row r="2816" spans="1:14" x14ac:dyDescent="0.3">
      <c r="A2816" s="3" t="s">
        <v>242</v>
      </c>
      <c r="B2816" s="3" t="s">
        <v>243</v>
      </c>
      <c r="C2816" s="8">
        <v>2020</v>
      </c>
      <c r="D2816" s="8">
        <v>7</v>
      </c>
      <c r="E2816" s="3" t="str">
        <f t="shared" si="86"/>
        <v>July</v>
      </c>
      <c r="F2816" s="3" t="s">
        <v>13</v>
      </c>
      <c r="G2816" s="8">
        <v>575.06729370000005</v>
      </c>
      <c r="H2816" s="8">
        <v>728</v>
      </c>
      <c r="I2816" s="8">
        <v>152.93270630000001</v>
      </c>
      <c r="J2816" s="8">
        <v>-59.351227989999998</v>
      </c>
      <c r="K2816" s="8">
        <v>-166.97871710000001</v>
      </c>
      <c r="L2816" s="8">
        <v>41.301435570000002</v>
      </c>
      <c r="M2816" s="9" t="str">
        <f>IF(A2816="",M2817,A2816)</f>
        <v>Montenegro</v>
      </c>
      <c r="N2816" s="3" t="str">
        <f t="shared" si="87"/>
        <v>Jul-2020</v>
      </c>
    </row>
    <row r="2817" spans="1:14" x14ac:dyDescent="0.3">
      <c r="A2817" s="3" t="s">
        <v>242</v>
      </c>
      <c r="B2817" s="3" t="s">
        <v>243</v>
      </c>
      <c r="C2817" s="8">
        <v>2020</v>
      </c>
      <c r="D2817" s="8">
        <v>8</v>
      </c>
      <c r="E2817" s="3" t="str">
        <f t="shared" si="86"/>
        <v>August</v>
      </c>
      <c r="F2817" s="3" t="s">
        <v>13</v>
      </c>
      <c r="G2817" s="8">
        <v>565.10812099999998</v>
      </c>
      <c r="H2817" s="8">
        <v>644</v>
      </c>
      <c r="I2817" s="8">
        <v>78.891879029999998</v>
      </c>
      <c r="J2817" s="8">
        <v>19.54065104</v>
      </c>
      <c r="K2817" s="8">
        <v>-98.007129059999997</v>
      </c>
      <c r="L2817" s="8">
        <v>123.57415899999999</v>
      </c>
      <c r="M2817" s="9" t="str">
        <f>IF(A2817="",M2818,A2817)</f>
        <v>Montenegro</v>
      </c>
      <c r="N2817" s="3" t="str">
        <f t="shared" si="87"/>
        <v>Aug-2020</v>
      </c>
    </row>
    <row r="2818" spans="1:14" x14ac:dyDescent="0.3">
      <c r="A2818" s="3" t="s">
        <v>242</v>
      </c>
      <c r="B2818" s="3" t="s">
        <v>243</v>
      </c>
      <c r="C2818" s="8">
        <v>2020</v>
      </c>
      <c r="D2818" s="8">
        <v>9</v>
      </c>
      <c r="E2818" s="3" t="str">
        <f t="shared" ref="E2818:E2881" si="88">TEXT(DATE(C2818,D2818,1),"MMMM")</f>
        <v>September</v>
      </c>
      <c r="F2818" s="3" t="s">
        <v>13</v>
      </c>
      <c r="G2818" s="8">
        <v>559.97378700000002</v>
      </c>
      <c r="H2818" s="8">
        <v>664</v>
      </c>
      <c r="I2818" s="8">
        <v>104.026213</v>
      </c>
      <c r="J2818" s="8">
        <v>123.566864</v>
      </c>
      <c r="K2818" s="8">
        <v>9.4006204199999992</v>
      </c>
      <c r="L2818" s="8">
        <v>226.68861150000001</v>
      </c>
      <c r="M2818" s="9" t="str">
        <f>IF(A2818="",M2819,A2818)</f>
        <v>Montenegro</v>
      </c>
      <c r="N2818" s="3" t="str">
        <f t="shared" ref="N2818:N2881" si="89">TEXT(DATE(C2818,D2818,1),"MMM-YYYY")</f>
        <v>Sep-2020</v>
      </c>
    </row>
    <row r="2819" spans="1:14" x14ac:dyDescent="0.3">
      <c r="A2819" s="3" t="s">
        <v>242</v>
      </c>
      <c r="B2819" s="3" t="s">
        <v>243</v>
      </c>
      <c r="C2819" s="8">
        <v>2020</v>
      </c>
      <c r="D2819" s="8">
        <v>10</v>
      </c>
      <c r="E2819" s="3" t="str">
        <f t="shared" si="88"/>
        <v>October</v>
      </c>
      <c r="F2819" s="3" t="s">
        <v>13</v>
      </c>
      <c r="G2819" s="8">
        <v>584.32168620000004</v>
      </c>
      <c r="H2819" s="8">
        <v>804</v>
      </c>
      <c r="I2819" s="8">
        <v>219.67831380000001</v>
      </c>
      <c r="J2819" s="8">
        <v>343.24517780000002</v>
      </c>
      <c r="K2819" s="8">
        <v>224.87831879999999</v>
      </c>
      <c r="L2819" s="8">
        <v>455.07941030000001</v>
      </c>
      <c r="M2819" s="9" t="str">
        <f>IF(A2819="",M2820,A2819)</f>
        <v>Montenegro</v>
      </c>
      <c r="N2819" s="3" t="str">
        <f t="shared" si="89"/>
        <v>Oct-2020</v>
      </c>
    </row>
    <row r="2820" spans="1:14" x14ac:dyDescent="0.3">
      <c r="A2820" s="3" t="s">
        <v>242</v>
      </c>
      <c r="B2820" s="3" t="s">
        <v>243</v>
      </c>
      <c r="C2820" s="8">
        <v>2020</v>
      </c>
      <c r="D2820" s="8">
        <v>11</v>
      </c>
      <c r="E2820" s="3" t="str">
        <f t="shared" si="88"/>
        <v>November</v>
      </c>
      <c r="F2820" s="3" t="s">
        <v>13</v>
      </c>
      <c r="G2820" s="8">
        <v>625.79657080000004</v>
      </c>
      <c r="H2820" s="8">
        <v>831</v>
      </c>
      <c r="I2820" s="8">
        <v>205.20342919999999</v>
      </c>
      <c r="J2820" s="8">
        <v>548.44860700000004</v>
      </c>
      <c r="K2820" s="8">
        <v>426.18716410000002</v>
      </c>
      <c r="L2820" s="8">
        <v>668.89947370000004</v>
      </c>
      <c r="M2820" s="9" t="str">
        <f>IF(A2820="",M2821,A2820)</f>
        <v>Montenegro</v>
      </c>
      <c r="N2820" s="3" t="str">
        <f t="shared" si="89"/>
        <v>Nov-2020</v>
      </c>
    </row>
    <row r="2821" spans="1:14" x14ac:dyDescent="0.3">
      <c r="A2821" s="3" t="s">
        <v>242</v>
      </c>
      <c r="B2821" s="3" t="s">
        <v>243</v>
      </c>
      <c r="C2821" s="8">
        <v>2020</v>
      </c>
      <c r="D2821" s="8">
        <v>12</v>
      </c>
      <c r="E2821" s="3" t="str">
        <f t="shared" si="88"/>
        <v>December</v>
      </c>
      <c r="F2821" s="3" t="s">
        <v>13</v>
      </c>
      <c r="G2821" s="8">
        <v>682.42752340000004</v>
      </c>
      <c r="H2821" s="8">
        <v>871</v>
      </c>
      <c r="I2821" s="8">
        <v>188.57247659999999</v>
      </c>
      <c r="J2821" s="8">
        <v>737.0210836</v>
      </c>
      <c r="K2821" s="8">
        <v>607.15350269999999</v>
      </c>
      <c r="L2821" s="8">
        <v>858.26969429999997</v>
      </c>
      <c r="M2821" s="9" t="str">
        <f>IF(A2821="",M2822,A2821)</f>
        <v>Montenegro</v>
      </c>
      <c r="N2821" s="3" t="str">
        <f t="shared" si="89"/>
        <v>Dec-2020</v>
      </c>
    </row>
    <row r="2822" spans="1:14" x14ac:dyDescent="0.3">
      <c r="A2822" s="3" t="s">
        <v>242</v>
      </c>
      <c r="B2822" s="3" t="s">
        <v>243</v>
      </c>
      <c r="C2822" s="8">
        <v>2021</v>
      </c>
      <c r="D2822" s="8">
        <v>1</v>
      </c>
      <c r="E2822" s="3" t="str">
        <f t="shared" si="88"/>
        <v>January</v>
      </c>
      <c r="F2822" s="3" t="s">
        <v>13</v>
      </c>
      <c r="G2822" s="8">
        <v>684.48525930000005</v>
      </c>
      <c r="H2822" s="8">
        <v>906</v>
      </c>
      <c r="I2822" s="8">
        <v>221.5147407</v>
      </c>
      <c r="J2822" s="8">
        <v>958.53582429999994</v>
      </c>
      <c r="K2822" s="8">
        <v>823.93316130000005</v>
      </c>
      <c r="L2822" s="8">
        <v>1091.66515</v>
      </c>
      <c r="M2822" s="9" t="str">
        <f>IF(A2822="",M2823,A2822)</f>
        <v>Montenegro</v>
      </c>
      <c r="N2822" s="3" t="str">
        <f t="shared" si="89"/>
        <v>Jan-2021</v>
      </c>
    </row>
    <row r="2823" spans="1:14" x14ac:dyDescent="0.3">
      <c r="A2823" s="3" t="s">
        <v>242</v>
      </c>
      <c r="B2823" s="3" t="s">
        <v>243</v>
      </c>
      <c r="C2823" s="8">
        <v>2021</v>
      </c>
      <c r="D2823" s="8">
        <v>2</v>
      </c>
      <c r="E2823" s="3" t="str">
        <f t="shared" si="88"/>
        <v>February</v>
      </c>
      <c r="F2823" s="3" t="s">
        <v>13</v>
      </c>
      <c r="G2823" s="8">
        <v>663.22423500000002</v>
      </c>
      <c r="H2823" s="8">
        <v>930</v>
      </c>
      <c r="I2823" s="8">
        <v>266.77576499999998</v>
      </c>
      <c r="J2823" s="8">
        <v>1225.3115889999999</v>
      </c>
      <c r="K2823" s="8">
        <v>1088.1120980000001</v>
      </c>
      <c r="L2823" s="8">
        <v>1368.177042</v>
      </c>
      <c r="M2823" s="9" t="str">
        <f>IF(A2823="",M2824,A2823)</f>
        <v>Montenegro</v>
      </c>
      <c r="N2823" s="3" t="str">
        <f t="shared" si="89"/>
        <v>Feb-2021</v>
      </c>
    </row>
    <row r="2824" spans="1:14" x14ac:dyDescent="0.3">
      <c r="A2824" s="3" t="s">
        <v>242</v>
      </c>
      <c r="B2824" s="3" t="s">
        <v>243</v>
      </c>
      <c r="C2824" s="8">
        <v>2021</v>
      </c>
      <c r="D2824" s="8">
        <v>3</v>
      </c>
      <c r="E2824" s="3" t="str">
        <f t="shared" si="88"/>
        <v>March</v>
      </c>
      <c r="F2824" s="3" t="s">
        <v>13</v>
      </c>
      <c r="G2824" s="8">
        <v>634.36756449999996</v>
      </c>
      <c r="H2824" s="8">
        <v>1047</v>
      </c>
      <c r="I2824" s="8">
        <v>412.63243549999999</v>
      </c>
      <c r="J2824" s="8">
        <v>1637.944025</v>
      </c>
      <c r="K2824" s="8">
        <v>1489.447171</v>
      </c>
      <c r="L2824" s="8">
        <v>1785.8464369999999</v>
      </c>
      <c r="M2824" s="9" t="str">
        <f>IF(A2824="",M2825,A2824)</f>
        <v>Montenegro</v>
      </c>
      <c r="N2824" s="3" t="str">
        <f t="shared" si="89"/>
        <v>Mar-2021</v>
      </c>
    </row>
    <row r="2825" spans="1:14" x14ac:dyDescent="0.3">
      <c r="A2825" s="3" t="s">
        <v>242</v>
      </c>
      <c r="B2825" s="3" t="s">
        <v>243</v>
      </c>
      <c r="C2825" s="8">
        <v>2021</v>
      </c>
      <c r="D2825" s="8">
        <v>4</v>
      </c>
      <c r="E2825" s="3" t="str">
        <f t="shared" si="88"/>
        <v>April</v>
      </c>
      <c r="F2825" s="3" t="s">
        <v>13</v>
      </c>
      <c r="G2825" s="8">
        <v>598.26378509999995</v>
      </c>
      <c r="H2825" s="8">
        <v>930</v>
      </c>
      <c r="I2825" s="8">
        <v>331.73621489999999</v>
      </c>
      <c r="J2825" s="8">
        <v>1969.6802399999999</v>
      </c>
      <c r="K2825" s="8">
        <v>1815.101085</v>
      </c>
      <c r="L2825" s="8">
        <v>2127.564241</v>
      </c>
      <c r="M2825" s="9" t="str">
        <f>IF(A2825="",M2826,A2825)</f>
        <v>Montenegro</v>
      </c>
      <c r="N2825" s="3" t="str">
        <f t="shared" si="89"/>
        <v>Apr-2021</v>
      </c>
    </row>
    <row r="2826" spans="1:14" x14ac:dyDescent="0.3">
      <c r="A2826" s="3" t="s">
        <v>242</v>
      </c>
      <c r="B2826" s="3" t="s">
        <v>243</v>
      </c>
      <c r="C2826" s="8">
        <v>2021</v>
      </c>
      <c r="D2826" s="8">
        <v>5</v>
      </c>
      <c r="E2826" s="3" t="str">
        <f t="shared" si="88"/>
        <v>May</v>
      </c>
      <c r="F2826" s="3" t="s">
        <v>13</v>
      </c>
      <c r="G2826" s="8">
        <v>573.68186409999998</v>
      </c>
      <c r="H2826" s="8">
        <v>735</v>
      </c>
      <c r="I2826" s="8">
        <v>161.31813589999999</v>
      </c>
      <c r="J2826" s="8">
        <v>2130.998376</v>
      </c>
      <c r="K2826" s="8">
        <v>1969.9327129999999</v>
      </c>
      <c r="L2826" s="8">
        <v>2293.7100479999999</v>
      </c>
      <c r="M2826" s="9" t="str">
        <f>IF(A2826="",M2827,A2826)</f>
        <v>Montenegro</v>
      </c>
      <c r="N2826" s="3" t="str">
        <f t="shared" si="89"/>
        <v>May-2021</v>
      </c>
    </row>
    <row r="2827" spans="1:14" x14ac:dyDescent="0.3">
      <c r="A2827" s="3" t="s">
        <v>242</v>
      </c>
      <c r="B2827" s="3" t="s">
        <v>243</v>
      </c>
      <c r="C2827" s="8">
        <v>2021</v>
      </c>
      <c r="D2827" s="8">
        <v>6</v>
      </c>
      <c r="E2827" s="3" t="str">
        <f t="shared" si="88"/>
        <v>June</v>
      </c>
      <c r="F2827" s="3" t="s">
        <v>13</v>
      </c>
      <c r="G2827" s="8">
        <v>573.39013420000003</v>
      </c>
      <c r="H2827" s="8">
        <v>597</v>
      </c>
      <c r="I2827" s="8">
        <v>23.609865760000002</v>
      </c>
      <c r="J2827" s="8">
        <v>2154.6082409999999</v>
      </c>
      <c r="K2827" s="8">
        <v>1987.2976960000001</v>
      </c>
      <c r="L2827" s="8">
        <v>2322.4367940000002</v>
      </c>
      <c r="M2827" s="9" t="str">
        <f>IF(A2827="",M2828,A2827)</f>
        <v>Montenegro</v>
      </c>
      <c r="N2827" s="3" t="str">
        <f t="shared" si="89"/>
        <v>Jun-2021</v>
      </c>
    </row>
    <row r="2828" spans="1:14" x14ac:dyDescent="0.3">
      <c r="A2828" s="3" t="s">
        <v>242</v>
      </c>
      <c r="B2828" s="3" t="s">
        <v>243</v>
      </c>
      <c r="C2828" s="8">
        <v>2021</v>
      </c>
      <c r="D2828" s="8">
        <v>7</v>
      </c>
      <c r="E2828" s="3" t="str">
        <f t="shared" si="88"/>
        <v>July</v>
      </c>
      <c r="F2828" s="3" t="s">
        <v>13</v>
      </c>
      <c r="G2828" s="8">
        <v>578.97357369999997</v>
      </c>
      <c r="H2828" s="8">
        <v>649</v>
      </c>
      <c r="I2828" s="8">
        <v>70.026426349999994</v>
      </c>
      <c r="J2828" s="8">
        <v>2224.6346680000001</v>
      </c>
      <c r="K2828" s="8">
        <v>2062.037824</v>
      </c>
      <c r="L2828" s="8">
        <v>2396.0942110000001</v>
      </c>
      <c r="M2828" s="9" t="str">
        <f>IF(A2828="",M2829,A2828)</f>
        <v>Montenegro</v>
      </c>
      <c r="N2828" s="3" t="str">
        <f t="shared" si="89"/>
        <v>Jul-2021</v>
      </c>
    </row>
    <row r="2829" spans="1:14" x14ac:dyDescent="0.3">
      <c r="A2829" s="3" t="s">
        <v>242</v>
      </c>
      <c r="B2829" s="3" t="s">
        <v>243</v>
      </c>
      <c r="C2829" s="8">
        <v>2021</v>
      </c>
      <c r="D2829" s="8">
        <v>8</v>
      </c>
      <c r="E2829" s="3" t="str">
        <f t="shared" si="88"/>
        <v>August</v>
      </c>
      <c r="F2829" s="3" t="s">
        <v>13</v>
      </c>
      <c r="G2829" s="8">
        <v>569.59402829999999</v>
      </c>
      <c r="H2829" s="8">
        <v>815</v>
      </c>
      <c r="I2829" s="8">
        <v>245.40597170000001</v>
      </c>
      <c r="J2829" s="8">
        <v>2470.0406389999998</v>
      </c>
      <c r="K2829" s="8">
        <v>2293.1153319999999</v>
      </c>
      <c r="L2829" s="8">
        <v>2638.0821329999999</v>
      </c>
      <c r="M2829" s="9" t="str">
        <f>IF(A2829="",M2830,A2829)</f>
        <v>Montenegro</v>
      </c>
      <c r="N2829" s="3" t="str">
        <f t="shared" si="89"/>
        <v>Aug-2021</v>
      </c>
    </row>
    <row r="2830" spans="1:14" x14ac:dyDescent="0.3">
      <c r="A2830" s="3" t="s">
        <v>242</v>
      </c>
      <c r="B2830" s="3" t="s">
        <v>243</v>
      </c>
      <c r="C2830" s="8">
        <v>2021</v>
      </c>
      <c r="D2830" s="8">
        <v>9</v>
      </c>
      <c r="E2830" s="3" t="str">
        <f t="shared" si="88"/>
        <v>September</v>
      </c>
      <c r="F2830" s="3" t="s">
        <v>13</v>
      </c>
      <c r="G2830" s="8">
        <v>564.457312</v>
      </c>
      <c r="H2830" s="8">
        <v>870</v>
      </c>
      <c r="I2830" s="8">
        <v>305.542688</v>
      </c>
      <c r="J2830" s="8">
        <v>2775.5833269999998</v>
      </c>
      <c r="K2830" s="8">
        <v>2596.4614729999998</v>
      </c>
      <c r="L2830" s="8">
        <v>2953.4453490000001</v>
      </c>
      <c r="M2830" s="9" t="str">
        <f>IF(A2830="",M2831,A2830)</f>
        <v>Montenegro</v>
      </c>
      <c r="N2830" s="3" t="str">
        <f t="shared" si="89"/>
        <v>Sep-2021</v>
      </c>
    </row>
    <row r="2831" spans="1:14" x14ac:dyDescent="0.3">
      <c r="A2831" s="3" t="s">
        <v>242</v>
      </c>
      <c r="B2831" s="3" t="s">
        <v>243</v>
      </c>
      <c r="C2831" s="8">
        <v>2021</v>
      </c>
      <c r="D2831" s="8">
        <v>10</v>
      </c>
      <c r="E2831" s="3" t="str">
        <f t="shared" si="88"/>
        <v>October</v>
      </c>
      <c r="F2831" s="3" t="s">
        <v>13</v>
      </c>
      <c r="G2831" s="8">
        <v>585.89761280000005</v>
      </c>
      <c r="H2831" s="8">
        <v>902</v>
      </c>
      <c r="I2831" s="8">
        <v>316.10238720000001</v>
      </c>
      <c r="J2831" s="8">
        <v>3091.6857150000001</v>
      </c>
      <c r="K2831" s="8">
        <v>2901.9127990000002</v>
      </c>
      <c r="L2831" s="8">
        <v>3279.5969140000002</v>
      </c>
      <c r="M2831" s="9" t="str">
        <f>IF(A2831="",M2832,A2831)</f>
        <v>Montenegro</v>
      </c>
      <c r="N2831" s="3" t="str">
        <f t="shared" si="89"/>
        <v>Oct-2021</v>
      </c>
    </row>
    <row r="2832" spans="1:14" x14ac:dyDescent="0.3">
      <c r="A2832" s="3" t="s">
        <v>242</v>
      </c>
      <c r="B2832" s="3" t="s">
        <v>243</v>
      </c>
      <c r="C2832" s="8">
        <v>2021</v>
      </c>
      <c r="D2832" s="8">
        <v>11</v>
      </c>
      <c r="E2832" s="3" t="str">
        <f t="shared" si="88"/>
        <v>November</v>
      </c>
      <c r="F2832" s="3" t="s">
        <v>13</v>
      </c>
      <c r="G2832" s="8">
        <v>629.11529770000004</v>
      </c>
      <c r="H2832" s="8">
        <v>908</v>
      </c>
      <c r="I2832" s="8">
        <v>278.88470230000001</v>
      </c>
      <c r="J2832" s="8">
        <v>3370.5704169999999</v>
      </c>
      <c r="K2832" s="8">
        <v>3167.6426929999998</v>
      </c>
      <c r="L2832" s="8">
        <v>3564.3945060000001</v>
      </c>
      <c r="M2832" s="9" t="str">
        <f>IF(A2832="",M2833,A2832)</f>
        <v>Montenegro</v>
      </c>
      <c r="N2832" s="3" t="str">
        <f t="shared" si="89"/>
        <v>Nov-2021</v>
      </c>
    </row>
    <row r="2833" spans="1:14" x14ac:dyDescent="0.3">
      <c r="A2833" s="3" t="s">
        <v>242</v>
      </c>
      <c r="B2833" s="3" t="s">
        <v>243</v>
      </c>
      <c r="C2833" s="8">
        <v>2021</v>
      </c>
      <c r="D2833" s="8">
        <v>12</v>
      </c>
      <c r="E2833" s="3" t="str">
        <f t="shared" si="88"/>
        <v>December</v>
      </c>
      <c r="F2833" s="3" t="s">
        <v>13</v>
      </c>
      <c r="G2833" s="8">
        <v>686.69459740000002</v>
      </c>
      <c r="H2833" s="8">
        <v>840</v>
      </c>
      <c r="I2833" s="8">
        <v>153.30540260000001</v>
      </c>
      <c r="J2833" s="8">
        <v>3523.8758189999999</v>
      </c>
      <c r="K2833" s="8">
        <v>3317.6189949999998</v>
      </c>
      <c r="L2833" s="8">
        <v>3720.1943660000002</v>
      </c>
      <c r="M2833" s="9" t="str">
        <f>IF(A2833="",M2834,A2833)</f>
        <v>Montenegro</v>
      </c>
      <c r="N2833" s="3" t="str">
        <f t="shared" si="89"/>
        <v>Dec-2021</v>
      </c>
    </row>
    <row r="2834" spans="1:14" x14ac:dyDescent="0.3">
      <c r="A2834" s="3" t="s">
        <v>244</v>
      </c>
      <c r="B2834" s="3" t="s">
        <v>245</v>
      </c>
      <c r="C2834" s="8">
        <v>2020</v>
      </c>
      <c r="D2834" s="8">
        <v>1</v>
      </c>
      <c r="E2834" s="3" t="str">
        <f t="shared" si="88"/>
        <v>January</v>
      </c>
      <c r="F2834" s="3" t="s">
        <v>13</v>
      </c>
      <c r="G2834" s="8">
        <v>1704.8962059999999</v>
      </c>
      <c r="H2834" s="8">
        <v>1613</v>
      </c>
      <c r="I2834" s="8">
        <v>-92.880601310000003</v>
      </c>
      <c r="J2834" s="8">
        <v>-92.880601310000003</v>
      </c>
      <c r="K2834" s="8">
        <v>-151.86384480000001</v>
      </c>
      <c r="L2834" s="8">
        <v>-36.589020789999999</v>
      </c>
      <c r="M2834" s="9" t="str">
        <f>IF(A2834="",M2835,A2834)</f>
        <v>Mongolia</v>
      </c>
      <c r="N2834" s="3" t="str">
        <f t="shared" si="89"/>
        <v>Jan-2020</v>
      </c>
    </row>
    <row r="2835" spans="1:14" x14ac:dyDescent="0.3">
      <c r="A2835" s="3" t="s">
        <v>244</v>
      </c>
      <c r="B2835" s="3" t="s">
        <v>245</v>
      </c>
      <c r="C2835" s="8">
        <v>2020</v>
      </c>
      <c r="D2835" s="8">
        <v>2</v>
      </c>
      <c r="E2835" s="3" t="str">
        <f t="shared" si="88"/>
        <v>February</v>
      </c>
      <c r="F2835" s="3" t="s">
        <v>13</v>
      </c>
      <c r="G2835" s="8">
        <v>1706.2006690000001</v>
      </c>
      <c r="H2835" s="8">
        <v>1533</v>
      </c>
      <c r="I2835" s="8">
        <v>-174.1850642</v>
      </c>
      <c r="J2835" s="8">
        <v>-267.06566550000002</v>
      </c>
      <c r="K2835" s="8">
        <v>-353.64313340000001</v>
      </c>
      <c r="L2835" s="8">
        <v>-186.5299895</v>
      </c>
      <c r="M2835" s="9" t="str">
        <f>IF(A2835="",M2836,A2835)</f>
        <v>Mongolia</v>
      </c>
      <c r="N2835" s="3" t="str">
        <f t="shared" si="89"/>
        <v>Feb-2020</v>
      </c>
    </row>
    <row r="2836" spans="1:14" x14ac:dyDescent="0.3">
      <c r="A2836" s="3" t="s">
        <v>244</v>
      </c>
      <c r="B2836" s="3" t="s">
        <v>245</v>
      </c>
      <c r="C2836" s="8">
        <v>2020</v>
      </c>
      <c r="D2836" s="8">
        <v>3</v>
      </c>
      <c r="E2836" s="3" t="str">
        <f t="shared" si="88"/>
        <v>March</v>
      </c>
      <c r="F2836" s="3" t="s">
        <v>13</v>
      </c>
      <c r="G2836" s="8">
        <v>1709.874094</v>
      </c>
      <c r="H2836" s="8">
        <v>1526</v>
      </c>
      <c r="I2836" s="8">
        <v>-184.85848949999999</v>
      </c>
      <c r="J2836" s="8">
        <v>-451.92415490000002</v>
      </c>
      <c r="K2836" s="8">
        <v>-556.7598653</v>
      </c>
      <c r="L2836" s="8">
        <v>-341.37632910000002</v>
      </c>
      <c r="M2836" s="9" t="str">
        <f>IF(A2836="",M2837,A2836)</f>
        <v>Mongolia</v>
      </c>
      <c r="N2836" s="3" t="str">
        <f t="shared" si="89"/>
        <v>Mar-2020</v>
      </c>
    </row>
    <row r="2837" spans="1:14" x14ac:dyDescent="0.3">
      <c r="A2837" s="3" t="s">
        <v>244</v>
      </c>
      <c r="B2837" s="3" t="s">
        <v>245</v>
      </c>
      <c r="C2837" s="8">
        <v>2020</v>
      </c>
      <c r="D2837" s="8">
        <v>4</v>
      </c>
      <c r="E2837" s="3" t="str">
        <f t="shared" si="88"/>
        <v>April</v>
      </c>
      <c r="F2837" s="3" t="s">
        <v>13</v>
      </c>
      <c r="G2837" s="8">
        <v>1708.915305</v>
      </c>
      <c r="H2837" s="8">
        <v>1547</v>
      </c>
      <c r="I2837" s="8">
        <v>-162.8997009</v>
      </c>
      <c r="J2837" s="8">
        <v>-614.82385590000001</v>
      </c>
      <c r="K2837" s="8">
        <v>-739.42183899999998</v>
      </c>
      <c r="L2837" s="8">
        <v>-491.03734059999999</v>
      </c>
      <c r="M2837" s="9" t="str">
        <f>IF(A2837="",M2838,A2837)</f>
        <v>Mongolia</v>
      </c>
      <c r="N2837" s="3" t="str">
        <f t="shared" si="89"/>
        <v>Apr-2020</v>
      </c>
    </row>
    <row r="2838" spans="1:14" x14ac:dyDescent="0.3">
      <c r="A2838" s="3" t="s">
        <v>244</v>
      </c>
      <c r="B2838" s="3" t="s">
        <v>245</v>
      </c>
      <c r="C2838" s="8">
        <v>2020</v>
      </c>
      <c r="D2838" s="8">
        <v>5</v>
      </c>
      <c r="E2838" s="3" t="str">
        <f t="shared" si="88"/>
        <v>May</v>
      </c>
      <c r="F2838" s="3" t="s">
        <v>13</v>
      </c>
      <c r="G2838" s="8">
        <v>1712.038323</v>
      </c>
      <c r="H2838" s="8">
        <v>1521</v>
      </c>
      <c r="I2838" s="8">
        <v>-192.0227189</v>
      </c>
      <c r="J2838" s="8">
        <v>-806.84657470000002</v>
      </c>
      <c r="K2838" s="8">
        <v>-941.81290620000004</v>
      </c>
      <c r="L2838" s="8">
        <v>-673.52631469999994</v>
      </c>
      <c r="M2838" s="9" t="str">
        <f>IF(A2838="",M2839,A2838)</f>
        <v>Mongolia</v>
      </c>
      <c r="N2838" s="3" t="str">
        <f t="shared" si="89"/>
        <v>May-2020</v>
      </c>
    </row>
    <row r="2839" spans="1:14" x14ac:dyDescent="0.3">
      <c r="A2839" s="3" t="s">
        <v>244</v>
      </c>
      <c r="B2839" s="3" t="s">
        <v>245</v>
      </c>
      <c r="C2839" s="8">
        <v>2020</v>
      </c>
      <c r="D2839" s="8">
        <v>6</v>
      </c>
      <c r="E2839" s="3" t="str">
        <f t="shared" si="88"/>
        <v>June</v>
      </c>
      <c r="F2839" s="3" t="s">
        <v>13</v>
      </c>
      <c r="G2839" s="8">
        <v>1713.720677</v>
      </c>
      <c r="H2839" s="8">
        <v>1542</v>
      </c>
      <c r="I2839" s="8">
        <v>-172.7050725</v>
      </c>
      <c r="J2839" s="8">
        <v>-979.55164720000005</v>
      </c>
      <c r="K2839" s="8">
        <v>-1129.5163</v>
      </c>
      <c r="L2839" s="8">
        <v>-837.98057159999996</v>
      </c>
      <c r="M2839" s="9" t="str">
        <f>IF(A2839="",M2840,A2839)</f>
        <v>Mongolia</v>
      </c>
      <c r="N2839" s="3" t="str">
        <f t="shared" si="89"/>
        <v>Jun-2020</v>
      </c>
    </row>
    <row r="2840" spans="1:14" x14ac:dyDescent="0.3">
      <c r="A2840" s="3" t="s">
        <v>244</v>
      </c>
      <c r="B2840" s="3" t="s">
        <v>245</v>
      </c>
      <c r="C2840" s="8">
        <v>2020</v>
      </c>
      <c r="D2840" s="8">
        <v>7</v>
      </c>
      <c r="E2840" s="3" t="str">
        <f t="shared" si="88"/>
        <v>July</v>
      </c>
      <c r="F2840" s="3" t="s">
        <v>13</v>
      </c>
      <c r="G2840" s="8">
        <v>1715.1929479999999</v>
      </c>
      <c r="H2840" s="8">
        <v>1656</v>
      </c>
      <c r="I2840" s="8">
        <v>-60.177343350000001</v>
      </c>
      <c r="J2840" s="8">
        <v>-1039.728991</v>
      </c>
      <c r="K2840" s="8">
        <v>-1205.4642349999999</v>
      </c>
      <c r="L2840" s="8">
        <v>-883.39377439999998</v>
      </c>
      <c r="M2840" s="9" t="str">
        <f>IF(A2840="",M2841,A2840)</f>
        <v>Mongolia</v>
      </c>
      <c r="N2840" s="3" t="str">
        <f t="shared" si="89"/>
        <v>Jul-2020</v>
      </c>
    </row>
    <row r="2841" spans="1:14" x14ac:dyDescent="0.3">
      <c r="A2841" s="3" t="s">
        <v>244</v>
      </c>
      <c r="B2841" s="3" t="s">
        <v>245</v>
      </c>
      <c r="C2841" s="8">
        <v>2020</v>
      </c>
      <c r="D2841" s="8">
        <v>8</v>
      </c>
      <c r="E2841" s="3" t="str">
        <f t="shared" si="88"/>
        <v>August</v>
      </c>
      <c r="F2841" s="3" t="s">
        <v>13</v>
      </c>
      <c r="G2841" s="8">
        <v>1719.5200890000001</v>
      </c>
      <c r="H2841" s="8">
        <v>1572</v>
      </c>
      <c r="I2841" s="8">
        <v>-148.50448470000001</v>
      </c>
      <c r="J2841" s="8">
        <v>-1188.233475</v>
      </c>
      <c r="K2841" s="8">
        <v>-1374.5671420000001</v>
      </c>
      <c r="L2841" s="8">
        <v>-1017.927547</v>
      </c>
      <c r="M2841" s="9" t="str">
        <f>IF(A2841="",M2842,A2841)</f>
        <v>Mongolia</v>
      </c>
      <c r="N2841" s="3" t="str">
        <f t="shared" si="89"/>
        <v>Aug-2020</v>
      </c>
    </row>
    <row r="2842" spans="1:14" x14ac:dyDescent="0.3">
      <c r="A2842" s="3" t="s">
        <v>244</v>
      </c>
      <c r="B2842" s="3" t="s">
        <v>245</v>
      </c>
      <c r="C2842" s="8">
        <v>2020</v>
      </c>
      <c r="D2842" s="8">
        <v>9</v>
      </c>
      <c r="E2842" s="3" t="str">
        <f t="shared" si="88"/>
        <v>September</v>
      </c>
      <c r="F2842" s="3" t="s">
        <v>13</v>
      </c>
      <c r="G2842" s="8">
        <v>1720.881924</v>
      </c>
      <c r="H2842" s="8">
        <v>1659</v>
      </c>
      <c r="I2842" s="8">
        <v>-62.866319849999996</v>
      </c>
      <c r="J2842" s="8">
        <v>-1251.0997950000001</v>
      </c>
      <c r="K2842" s="8">
        <v>-1444.5209170000001</v>
      </c>
      <c r="L2842" s="8">
        <v>-1072.0457650000001</v>
      </c>
      <c r="M2842" s="9" t="str">
        <f>IF(A2842="",M2843,A2842)</f>
        <v>Mongolia</v>
      </c>
      <c r="N2842" s="3" t="str">
        <f t="shared" si="89"/>
        <v>Sep-2020</v>
      </c>
    </row>
    <row r="2843" spans="1:14" x14ac:dyDescent="0.3">
      <c r="A2843" s="3" t="s">
        <v>244</v>
      </c>
      <c r="B2843" s="3" t="s">
        <v>245</v>
      </c>
      <c r="C2843" s="8">
        <v>2020</v>
      </c>
      <c r="D2843" s="8">
        <v>10</v>
      </c>
      <c r="E2843" s="3" t="str">
        <f t="shared" si="88"/>
        <v>October</v>
      </c>
      <c r="F2843" s="3" t="s">
        <v>13</v>
      </c>
      <c r="G2843" s="8">
        <v>1722.698713</v>
      </c>
      <c r="H2843" s="8">
        <v>1685</v>
      </c>
      <c r="I2843" s="8">
        <v>-38.683108789999999</v>
      </c>
      <c r="J2843" s="8">
        <v>-1289.7829039999999</v>
      </c>
      <c r="K2843" s="8">
        <v>-1490.0639799999999</v>
      </c>
      <c r="L2843" s="8">
        <v>-1092.3309340000001</v>
      </c>
      <c r="M2843" s="9" t="str">
        <f>IF(A2843="",M2844,A2843)</f>
        <v>Mongolia</v>
      </c>
      <c r="N2843" s="3" t="str">
        <f t="shared" si="89"/>
        <v>Oct-2020</v>
      </c>
    </row>
    <row r="2844" spans="1:14" x14ac:dyDescent="0.3">
      <c r="A2844" s="3" t="s">
        <v>244</v>
      </c>
      <c r="B2844" s="3" t="s">
        <v>245</v>
      </c>
      <c r="C2844" s="8">
        <v>2020</v>
      </c>
      <c r="D2844" s="8">
        <v>11</v>
      </c>
      <c r="E2844" s="3" t="str">
        <f t="shared" si="88"/>
        <v>November</v>
      </c>
      <c r="F2844" s="3" t="s">
        <v>13</v>
      </c>
      <c r="G2844" s="8">
        <v>1728.407925</v>
      </c>
      <c r="H2844" s="8">
        <v>1509</v>
      </c>
      <c r="I2844" s="8">
        <v>-220.39232060000001</v>
      </c>
      <c r="J2844" s="8">
        <v>-1510.1752240000001</v>
      </c>
      <c r="K2844" s="8">
        <v>-1725.6613910000001</v>
      </c>
      <c r="L2844" s="8">
        <v>-1302.914904</v>
      </c>
      <c r="M2844" s="9" t="str">
        <f>IF(A2844="",M2845,A2844)</f>
        <v>Mongolia</v>
      </c>
      <c r="N2844" s="3" t="str">
        <f t="shared" si="89"/>
        <v>Nov-2020</v>
      </c>
    </row>
    <row r="2845" spans="1:14" x14ac:dyDescent="0.3">
      <c r="A2845" s="3" t="s">
        <v>244</v>
      </c>
      <c r="B2845" s="3" t="s">
        <v>245</v>
      </c>
      <c r="C2845" s="8">
        <v>2020</v>
      </c>
      <c r="D2845" s="8">
        <v>12</v>
      </c>
      <c r="E2845" s="3" t="str">
        <f t="shared" si="88"/>
        <v>December</v>
      </c>
      <c r="F2845" s="3" t="s">
        <v>13</v>
      </c>
      <c r="G2845" s="8">
        <v>1731.5334909999999</v>
      </c>
      <c r="H2845" s="8">
        <v>1439</v>
      </c>
      <c r="I2845" s="8">
        <v>-293.51788640000001</v>
      </c>
      <c r="J2845" s="8">
        <v>-1803.693111</v>
      </c>
      <c r="K2845" s="8">
        <v>-2023.5965630000001</v>
      </c>
      <c r="L2845" s="8">
        <v>-1589.9198060000001</v>
      </c>
      <c r="M2845" s="9" t="str">
        <f>IF(A2845="",M2846,A2845)</f>
        <v>Mongolia</v>
      </c>
      <c r="N2845" s="3" t="str">
        <f t="shared" si="89"/>
        <v>Dec-2020</v>
      </c>
    </row>
    <row r="2846" spans="1:14" x14ac:dyDescent="0.3">
      <c r="A2846" s="3" t="s">
        <v>244</v>
      </c>
      <c r="B2846" s="3" t="s">
        <v>245</v>
      </c>
      <c r="C2846" s="8">
        <v>2021</v>
      </c>
      <c r="D2846" s="8">
        <v>1</v>
      </c>
      <c r="E2846" s="3" t="str">
        <f t="shared" si="88"/>
        <v>January</v>
      </c>
      <c r="F2846" s="3" t="s">
        <v>13</v>
      </c>
      <c r="G2846" s="8">
        <v>1732.1869859999999</v>
      </c>
      <c r="H2846" s="8">
        <v>1359</v>
      </c>
      <c r="I2846" s="8">
        <v>-374.36826109999998</v>
      </c>
      <c r="J2846" s="8">
        <v>-2178.0613720000001</v>
      </c>
      <c r="K2846" s="8">
        <v>-2418.7902829999998</v>
      </c>
      <c r="L2846" s="8">
        <v>-1954.899394</v>
      </c>
      <c r="M2846" s="9" t="str">
        <f>IF(A2846="",M2847,A2846)</f>
        <v>Mongolia</v>
      </c>
      <c r="N2846" s="3" t="str">
        <f t="shared" si="89"/>
        <v>Jan-2021</v>
      </c>
    </row>
    <row r="2847" spans="1:14" x14ac:dyDescent="0.3">
      <c r="A2847" s="3" t="s">
        <v>244</v>
      </c>
      <c r="B2847" s="3" t="s">
        <v>245</v>
      </c>
      <c r="C2847" s="8">
        <v>2021</v>
      </c>
      <c r="D2847" s="8">
        <v>2</v>
      </c>
      <c r="E2847" s="3" t="str">
        <f t="shared" si="88"/>
        <v>February</v>
      </c>
      <c r="F2847" s="3" t="s">
        <v>13</v>
      </c>
      <c r="G2847" s="8">
        <v>1732.7393070000001</v>
      </c>
      <c r="H2847" s="8">
        <v>1461</v>
      </c>
      <c r="I2847" s="8">
        <v>-272.92058129999998</v>
      </c>
      <c r="J2847" s="8">
        <v>-2450.981953</v>
      </c>
      <c r="K2847" s="8">
        <v>-2711.7480209999999</v>
      </c>
      <c r="L2847" s="8">
        <v>-2204.8022270000001</v>
      </c>
      <c r="M2847" s="9" t="str">
        <f>IF(A2847="",M2848,A2847)</f>
        <v>Mongolia</v>
      </c>
      <c r="N2847" s="3" t="str">
        <f t="shared" si="89"/>
        <v>Feb-2021</v>
      </c>
    </row>
    <row r="2848" spans="1:14" x14ac:dyDescent="0.3">
      <c r="A2848" s="3" t="s">
        <v>244</v>
      </c>
      <c r="B2848" s="3" t="s">
        <v>245</v>
      </c>
      <c r="C2848" s="8">
        <v>2021</v>
      </c>
      <c r="D2848" s="8">
        <v>3</v>
      </c>
      <c r="E2848" s="3" t="str">
        <f t="shared" si="88"/>
        <v>March</v>
      </c>
      <c r="F2848" s="3" t="s">
        <v>13</v>
      </c>
      <c r="G2848" s="8">
        <v>1733.7329789999999</v>
      </c>
      <c r="H2848" s="8">
        <v>1631</v>
      </c>
      <c r="I2848" s="8">
        <v>-103.9142536</v>
      </c>
      <c r="J2848" s="8">
        <v>-2554.8962069999998</v>
      </c>
      <c r="K2848" s="8">
        <v>-2825.0549500000002</v>
      </c>
      <c r="L2848" s="8">
        <v>-2299.5340460000002</v>
      </c>
      <c r="M2848" s="9" t="str">
        <f>IF(A2848="",M2849,A2848)</f>
        <v>Mongolia</v>
      </c>
      <c r="N2848" s="3" t="str">
        <f t="shared" si="89"/>
        <v>Mar-2021</v>
      </c>
    </row>
    <row r="2849" spans="1:14" x14ac:dyDescent="0.3">
      <c r="A2849" s="3" t="s">
        <v>244</v>
      </c>
      <c r="B2849" s="3" t="s">
        <v>245</v>
      </c>
      <c r="C2849" s="8">
        <v>2021</v>
      </c>
      <c r="D2849" s="8">
        <v>4</v>
      </c>
      <c r="E2849" s="3" t="str">
        <f t="shared" si="88"/>
        <v>April</v>
      </c>
      <c r="F2849" s="3" t="s">
        <v>13</v>
      </c>
      <c r="G2849" s="8">
        <v>1737.897692</v>
      </c>
      <c r="H2849" s="8">
        <v>1753</v>
      </c>
      <c r="I2849" s="8">
        <v>13.921033380000001</v>
      </c>
      <c r="J2849" s="8">
        <v>-2540.9751729999998</v>
      </c>
      <c r="K2849" s="8">
        <v>-2810.9304569999999</v>
      </c>
      <c r="L2849" s="8">
        <v>-2273.1863480000002</v>
      </c>
      <c r="M2849" s="9" t="str">
        <f>IF(A2849="",M2850,A2849)</f>
        <v>Mongolia</v>
      </c>
      <c r="N2849" s="3" t="str">
        <f t="shared" si="89"/>
        <v>Apr-2021</v>
      </c>
    </row>
    <row r="2850" spans="1:14" x14ac:dyDescent="0.3">
      <c r="A2850" s="3" t="s">
        <v>244</v>
      </c>
      <c r="B2850" s="3" t="s">
        <v>245</v>
      </c>
      <c r="C2850" s="8">
        <v>2021</v>
      </c>
      <c r="D2850" s="8">
        <v>5</v>
      </c>
      <c r="E2850" s="3" t="str">
        <f t="shared" si="88"/>
        <v>May</v>
      </c>
      <c r="F2850" s="3" t="s">
        <v>13</v>
      </c>
      <c r="G2850" s="8">
        <v>1739.578984</v>
      </c>
      <c r="H2850" s="8">
        <v>1657</v>
      </c>
      <c r="I2850" s="8">
        <v>-83.760259000000005</v>
      </c>
      <c r="J2850" s="8">
        <v>-2624.7354319999999</v>
      </c>
      <c r="K2850" s="8">
        <v>-2916.3875349999998</v>
      </c>
      <c r="L2850" s="8">
        <v>-2335.0568109999999</v>
      </c>
      <c r="M2850" s="9" t="str">
        <f>IF(A2850="",M2851,A2850)</f>
        <v>Mongolia</v>
      </c>
      <c r="N2850" s="3" t="str">
        <f t="shared" si="89"/>
        <v>May-2021</v>
      </c>
    </row>
    <row r="2851" spans="1:14" x14ac:dyDescent="0.3">
      <c r="A2851" s="3" t="s">
        <v>244</v>
      </c>
      <c r="B2851" s="3" t="s">
        <v>245</v>
      </c>
      <c r="C2851" s="8">
        <v>2021</v>
      </c>
      <c r="D2851" s="8">
        <v>6</v>
      </c>
      <c r="E2851" s="3" t="str">
        <f t="shared" si="88"/>
        <v>June</v>
      </c>
      <c r="F2851" s="3" t="s">
        <v>13</v>
      </c>
      <c r="G2851" s="8">
        <v>1743.298499</v>
      </c>
      <c r="H2851" s="8">
        <v>2025</v>
      </c>
      <c r="I2851" s="8">
        <v>280.52022679999999</v>
      </c>
      <c r="J2851" s="8">
        <v>-2344.2152059999999</v>
      </c>
      <c r="K2851" s="8">
        <v>-2650.6162250000002</v>
      </c>
      <c r="L2851" s="8">
        <v>-2036.05701</v>
      </c>
      <c r="M2851" s="9" t="str">
        <f>IF(A2851="",M2852,A2851)</f>
        <v>Mongolia</v>
      </c>
      <c r="N2851" s="3" t="str">
        <f t="shared" si="89"/>
        <v>Jun-2021</v>
      </c>
    </row>
    <row r="2852" spans="1:14" x14ac:dyDescent="0.3">
      <c r="A2852" s="3" t="s">
        <v>244</v>
      </c>
      <c r="B2852" s="3" t="s">
        <v>245</v>
      </c>
      <c r="C2852" s="8">
        <v>2021</v>
      </c>
      <c r="D2852" s="8">
        <v>7</v>
      </c>
      <c r="E2852" s="3" t="str">
        <f t="shared" si="88"/>
        <v>July</v>
      </c>
      <c r="F2852" s="3" t="s">
        <v>13</v>
      </c>
      <c r="G2852" s="8">
        <v>1748.3632720000001</v>
      </c>
      <c r="H2852" s="8">
        <v>2148</v>
      </c>
      <c r="I2852" s="8">
        <v>398.45545320000002</v>
      </c>
      <c r="J2852" s="8">
        <v>-1945.7597519999999</v>
      </c>
      <c r="K2852" s="8">
        <v>-2275.0148009999998</v>
      </c>
      <c r="L2852" s="8">
        <v>-1632.6393969999999</v>
      </c>
      <c r="M2852" s="9" t="str">
        <f>IF(A2852="",M2853,A2852)</f>
        <v>Mongolia</v>
      </c>
      <c r="N2852" s="3" t="str">
        <f t="shared" si="89"/>
        <v>Jul-2021</v>
      </c>
    </row>
    <row r="2853" spans="1:14" x14ac:dyDescent="0.3">
      <c r="A2853" s="3" t="s">
        <v>244</v>
      </c>
      <c r="B2853" s="3" t="s">
        <v>245</v>
      </c>
      <c r="C2853" s="8">
        <v>2021</v>
      </c>
      <c r="D2853" s="8">
        <v>8</v>
      </c>
      <c r="E2853" s="3" t="str">
        <f t="shared" si="88"/>
        <v>August</v>
      </c>
      <c r="F2853" s="3" t="s">
        <v>13</v>
      </c>
      <c r="G2853" s="8">
        <v>1745.9943430000001</v>
      </c>
      <c r="H2853" s="8">
        <v>1982</v>
      </c>
      <c r="I2853" s="8">
        <v>234.82438260000001</v>
      </c>
      <c r="J2853" s="8">
        <v>-1710.9353699999999</v>
      </c>
      <c r="K2853" s="8">
        <v>-2053.0989519999998</v>
      </c>
      <c r="L2853" s="8">
        <v>-1389.5060739999999</v>
      </c>
      <c r="M2853" s="9" t="str">
        <f>IF(A2853="",M2854,A2853)</f>
        <v>Mongolia</v>
      </c>
      <c r="N2853" s="3" t="str">
        <f t="shared" si="89"/>
        <v>Aug-2021</v>
      </c>
    </row>
    <row r="2854" spans="1:14" x14ac:dyDescent="0.3">
      <c r="A2854" s="3" t="s">
        <v>244</v>
      </c>
      <c r="B2854" s="3" t="s">
        <v>245</v>
      </c>
      <c r="C2854" s="8">
        <v>2021</v>
      </c>
      <c r="D2854" s="8">
        <v>9</v>
      </c>
      <c r="E2854" s="3" t="str">
        <f t="shared" si="88"/>
        <v>September</v>
      </c>
      <c r="F2854" s="3" t="s">
        <v>13</v>
      </c>
      <c r="G2854" s="8">
        <v>1749.7164680000001</v>
      </c>
      <c r="H2854" s="8">
        <v>2393</v>
      </c>
      <c r="I2854" s="8">
        <v>642.10225700000001</v>
      </c>
      <c r="J2854" s="8">
        <v>-1068.8331129999999</v>
      </c>
      <c r="K2854" s="8">
        <v>-1410.0436139999999</v>
      </c>
      <c r="L2854" s="8">
        <v>-729.42730010000002</v>
      </c>
      <c r="M2854" s="9" t="str">
        <f>IF(A2854="",M2855,A2854)</f>
        <v>Mongolia</v>
      </c>
      <c r="N2854" s="3" t="str">
        <f t="shared" si="89"/>
        <v>Sep-2021</v>
      </c>
    </row>
    <row r="2855" spans="1:14" x14ac:dyDescent="0.3">
      <c r="A2855" s="3" t="s">
        <v>244</v>
      </c>
      <c r="B2855" s="3" t="s">
        <v>245</v>
      </c>
      <c r="C2855" s="8">
        <v>2021</v>
      </c>
      <c r="D2855" s="8">
        <v>10</v>
      </c>
      <c r="E2855" s="3" t="str">
        <f t="shared" si="88"/>
        <v>October</v>
      </c>
      <c r="F2855" s="3" t="s">
        <v>13</v>
      </c>
      <c r="G2855" s="8">
        <v>1750.7134940000001</v>
      </c>
      <c r="H2855" s="8">
        <v>2719</v>
      </c>
      <c r="I2855" s="8">
        <v>967.105231</v>
      </c>
      <c r="J2855" s="8">
        <v>-101.72788180000001</v>
      </c>
      <c r="K2855" s="8">
        <v>-448.72517900000003</v>
      </c>
      <c r="L2855" s="8">
        <v>236.8671434</v>
      </c>
      <c r="M2855" s="9" t="str">
        <f>IF(A2855="",M2856,A2855)</f>
        <v>Mongolia</v>
      </c>
      <c r="N2855" s="3" t="str">
        <f t="shared" si="89"/>
        <v>Oct-2021</v>
      </c>
    </row>
    <row r="2856" spans="1:14" x14ac:dyDescent="0.3">
      <c r="A2856" s="3" t="s">
        <v>244</v>
      </c>
      <c r="B2856" s="3" t="s">
        <v>245</v>
      </c>
      <c r="C2856" s="8">
        <v>2021</v>
      </c>
      <c r="D2856" s="8">
        <v>11</v>
      </c>
      <c r="E2856" s="3" t="str">
        <f t="shared" si="88"/>
        <v>November</v>
      </c>
      <c r="F2856" s="3" t="s">
        <v>13</v>
      </c>
      <c r="G2856" s="8">
        <v>1754.2068469999999</v>
      </c>
      <c r="H2856" s="8">
        <v>2303</v>
      </c>
      <c r="I2856" s="8">
        <v>547.61187829999994</v>
      </c>
      <c r="J2856" s="8">
        <v>445.88399650000002</v>
      </c>
      <c r="K2856" s="8">
        <v>93.205159609999995</v>
      </c>
      <c r="L2856" s="8">
        <v>817.70205550000003</v>
      </c>
      <c r="M2856" s="9" t="str">
        <f>IF(A2856="",M2857,A2856)</f>
        <v>Mongolia</v>
      </c>
      <c r="N2856" s="3" t="str">
        <f t="shared" si="89"/>
        <v>Nov-2021</v>
      </c>
    </row>
    <row r="2857" spans="1:14" x14ac:dyDescent="0.3">
      <c r="A2857" s="3" t="s">
        <v>244</v>
      </c>
      <c r="B2857" s="3" t="s">
        <v>245</v>
      </c>
      <c r="C2857" s="8">
        <v>2021</v>
      </c>
      <c r="D2857" s="8">
        <v>12</v>
      </c>
      <c r="E2857" s="3" t="str">
        <f t="shared" si="88"/>
        <v>December</v>
      </c>
      <c r="F2857" s="3" t="s">
        <v>13</v>
      </c>
      <c r="G2857" s="8">
        <v>1756.5287780000001</v>
      </c>
      <c r="H2857" s="8">
        <v>2108</v>
      </c>
      <c r="I2857" s="8">
        <v>350.28994729999999</v>
      </c>
      <c r="J2857" s="8">
        <v>796.17394379999996</v>
      </c>
      <c r="K2857" s="8">
        <v>420.75879609999998</v>
      </c>
      <c r="L2857" s="8">
        <v>1169.427731</v>
      </c>
      <c r="M2857" s="9" t="str">
        <f>IF(A2857="",M2858,A2857)</f>
        <v>Mongolia</v>
      </c>
      <c r="N2857" s="3" t="str">
        <f t="shared" si="89"/>
        <v>Dec-2021</v>
      </c>
    </row>
    <row r="2858" spans="1:14" x14ac:dyDescent="0.3">
      <c r="A2858" s="3" t="s">
        <v>246</v>
      </c>
      <c r="B2858" s="3" t="s">
        <v>247</v>
      </c>
      <c r="C2858" s="8">
        <v>2020</v>
      </c>
      <c r="D2858" s="8">
        <v>1</v>
      </c>
      <c r="E2858" s="3" t="str">
        <f t="shared" si="88"/>
        <v>January</v>
      </c>
      <c r="F2858" s="3" t="s">
        <v>8</v>
      </c>
      <c r="G2858" s="8">
        <v>23467.37974</v>
      </c>
      <c r="H2858" s="8">
        <v>23928.435000000001</v>
      </c>
      <c r="I2858" s="8">
        <v>461.05525640000002</v>
      </c>
      <c r="J2858" s="8">
        <v>461.05525640000002</v>
      </c>
      <c r="K2858" s="8">
        <v>-5627.2550799999999</v>
      </c>
      <c r="L2858" s="8">
        <v>7262.8676960000003</v>
      </c>
      <c r="M2858" s="9" t="str">
        <f>IF(A2858="",M2859,A2858)</f>
        <v>Mozambique</v>
      </c>
      <c r="N2858" s="3" t="str">
        <f t="shared" si="89"/>
        <v>Jan-2020</v>
      </c>
    </row>
    <row r="2859" spans="1:14" x14ac:dyDescent="0.3">
      <c r="A2859" s="3" t="s">
        <v>246</v>
      </c>
      <c r="B2859" s="3" t="s">
        <v>247</v>
      </c>
      <c r="C2859" s="8">
        <v>2020</v>
      </c>
      <c r="D2859" s="8">
        <v>2</v>
      </c>
      <c r="E2859" s="3" t="str">
        <f t="shared" si="88"/>
        <v>February</v>
      </c>
      <c r="F2859" s="3" t="s">
        <v>8</v>
      </c>
      <c r="G2859" s="8">
        <v>23458.570240000001</v>
      </c>
      <c r="H2859" s="8">
        <v>23387.413</v>
      </c>
      <c r="I2859" s="8">
        <v>-71.157237879999997</v>
      </c>
      <c r="J2859" s="8">
        <v>389.89801849999998</v>
      </c>
      <c r="K2859" s="8">
        <v>-8029.5548740000004</v>
      </c>
      <c r="L2859" s="8">
        <v>10266.693219999999</v>
      </c>
      <c r="M2859" s="9" t="str">
        <f>IF(A2859="",M2860,A2859)</f>
        <v>Mozambique</v>
      </c>
      <c r="N2859" s="3" t="str">
        <f t="shared" si="89"/>
        <v>Feb-2020</v>
      </c>
    </row>
    <row r="2860" spans="1:14" x14ac:dyDescent="0.3">
      <c r="A2860" s="3" t="s">
        <v>246</v>
      </c>
      <c r="B2860" s="3" t="s">
        <v>247</v>
      </c>
      <c r="C2860" s="8">
        <v>2020</v>
      </c>
      <c r="D2860" s="8">
        <v>3</v>
      </c>
      <c r="E2860" s="3" t="str">
        <f t="shared" si="88"/>
        <v>March</v>
      </c>
      <c r="F2860" s="3" t="s">
        <v>8</v>
      </c>
      <c r="G2860" s="8">
        <v>23545.747650000001</v>
      </c>
      <c r="H2860" s="8">
        <v>23906.482</v>
      </c>
      <c r="I2860" s="8">
        <v>360.73435260000002</v>
      </c>
      <c r="J2860" s="8">
        <v>750.63237119999997</v>
      </c>
      <c r="K2860" s="8">
        <v>-9940.6451649999999</v>
      </c>
      <c r="L2860" s="8">
        <v>12645.70478</v>
      </c>
      <c r="M2860" s="9" t="str">
        <f>IF(A2860="",M2861,A2860)</f>
        <v>Mozambique</v>
      </c>
      <c r="N2860" s="3" t="str">
        <f t="shared" si="89"/>
        <v>Mar-2020</v>
      </c>
    </row>
    <row r="2861" spans="1:14" x14ac:dyDescent="0.3">
      <c r="A2861" s="3" t="s">
        <v>246</v>
      </c>
      <c r="B2861" s="3" t="s">
        <v>247</v>
      </c>
      <c r="C2861" s="8">
        <v>2020</v>
      </c>
      <c r="D2861" s="8">
        <v>4</v>
      </c>
      <c r="E2861" s="3" t="str">
        <f t="shared" si="88"/>
        <v>April</v>
      </c>
      <c r="F2861" s="3" t="s">
        <v>8</v>
      </c>
      <c r="G2861" s="8">
        <v>23656.90869</v>
      </c>
      <c r="H2861" s="8">
        <v>22321.797999999999</v>
      </c>
      <c r="I2861" s="8">
        <v>-1335.1106890000001</v>
      </c>
      <c r="J2861" s="8">
        <v>-584.47831740000004</v>
      </c>
      <c r="K2861" s="8">
        <v>-12781.65785</v>
      </c>
      <c r="L2861" s="8">
        <v>12358.28802</v>
      </c>
      <c r="M2861" s="9" t="str">
        <f>IF(A2861="",M2862,A2861)</f>
        <v>Mozambique</v>
      </c>
      <c r="N2861" s="3" t="str">
        <f t="shared" si="89"/>
        <v>Apr-2020</v>
      </c>
    </row>
    <row r="2862" spans="1:14" x14ac:dyDescent="0.3">
      <c r="A2862" s="3" t="s">
        <v>246</v>
      </c>
      <c r="B2862" s="3" t="s">
        <v>247</v>
      </c>
      <c r="C2862" s="8">
        <v>2020</v>
      </c>
      <c r="D2862" s="8">
        <v>5</v>
      </c>
      <c r="E2862" s="3" t="str">
        <f t="shared" si="88"/>
        <v>May</v>
      </c>
      <c r="F2862" s="3" t="s">
        <v>8</v>
      </c>
      <c r="G2862" s="8">
        <v>24021.245070000001</v>
      </c>
      <c r="H2862" s="8">
        <v>23296.583999999999</v>
      </c>
      <c r="I2862" s="8">
        <v>-724.66107460000001</v>
      </c>
      <c r="J2862" s="8">
        <v>-1309.139392</v>
      </c>
      <c r="K2862" s="8">
        <v>-15220.45765</v>
      </c>
      <c r="L2862" s="8">
        <v>14050.439039999999</v>
      </c>
      <c r="M2862" s="9" t="str">
        <f>IF(A2862="",M2863,A2862)</f>
        <v>Mozambique</v>
      </c>
      <c r="N2862" s="3" t="str">
        <f t="shared" si="89"/>
        <v>May-2020</v>
      </c>
    </row>
    <row r="2863" spans="1:14" x14ac:dyDescent="0.3">
      <c r="A2863" s="3" t="s">
        <v>246</v>
      </c>
      <c r="B2863" s="3" t="s">
        <v>247</v>
      </c>
      <c r="C2863" s="8">
        <v>2020</v>
      </c>
      <c r="D2863" s="8">
        <v>6</v>
      </c>
      <c r="E2863" s="3" t="str">
        <f t="shared" si="88"/>
        <v>June</v>
      </c>
      <c r="F2863" s="3" t="s">
        <v>8</v>
      </c>
      <c r="G2863" s="8">
        <v>24261.909500000002</v>
      </c>
      <c r="H2863" s="8">
        <v>23864.223000000002</v>
      </c>
      <c r="I2863" s="8">
        <v>-397.68650100000002</v>
      </c>
      <c r="J2863" s="8">
        <v>-1706.825893</v>
      </c>
      <c r="K2863" s="8">
        <v>-16639.369149999999</v>
      </c>
      <c r="L2863" s="8">
        <v>14650.167079999999</v>
      </c>
      <c r="M2863" s="9" t="str">
        <f>IF(A2863="",M2864,A2863)</f>
        <v>Mozambique</v>
      </c>
      <c r="N2863" s="3" t="str">
        <f t="shared" si="89"/>
        <v>Jun-2020</v>
      </c>
    </row>
    <row r="2864" spans="1:14" x14ac:dyDescent="0.3">
      <c r="A2864" s="3" t="s">
        <v>246</v>
      </c>
      <c r="B2864" s="3" t="s">
        <v>247</v>
      </c>
      <c r="C2864" s="8">
        <v>2020</v>
      </c>
      <c r="D2864" s="8">
        <v>7</v>
      </c>
      <c r="E2864" s="3" t="str">
        <f t="shared" si="88"/>
        <v>July</v>
      </c>
      <c r="F2864" s="3" t="s">
        <v>8</v>
      </c>
      <c r="G2864" s="8">
        <v>24408.265609999999</v>
      </c>
      <c r="H2864" s="8">
        <v>25120.04</v>
      </c>
      <c r="I2864" s="8">
        <v>711.77439400000003</v>
      </c>
      <c r="J2864" s="8">
        <v>-995.05149900000004</v>
      </c>
      <c r="K2864" s="8">
        <v>-17611.083259999999</v>
      </c>
      <c r="L2864" s="8">
        <v>16330.47438</v>
      </c>
      <c r="M2864" s="9" t="str">
        <f>IF(A2864="",M2865,A2864)</f>
        <v>Mozambique</v>
      </c>
      <c r="N2864" s="3" t="str">
        <f t="shared" si="89"/>
        <v>Jul-2020</v>
      </c>
    </row>
    <row r="2865" spans="1:14" x14ac:dyDescent="0.3">
      <c r="A2865" s="3" t="s">
        <v>246</v>
      </c>
      <c r="B2865" s="3" t="s">
        <v>247</v>
      </c>
      <c r="C2865" s="8">
        <v>2020</v>
      </c>
      <c r="D2865" s="8">
        <v>8</v>
      </c>
      <c r="E2865" s="3" t="str">
        <f t="shared" si="88"/>
        <v>August</v>
      </c>
      <c r="F2865" s="3" t="s">
        <v>8</v>
      </c>
      <c r="G2865" s="8">
        <v>24153.576239999999</v>
      </c>
      <c r="H2865" s="8">
        <v>25680.883999999998</v>
      </c>
      <c r="I2865" s="8">
        <v>1527.3077639999999</v>
      </c>
      <c r="J2865" s="8">
        <v>532.25626509999995</v>
      </c>
      <c r="K2865" s="8">
        <v>-17799.70016</v>
      </c>
      <c r="L2865" s="8">
        <v>19165.88913</v>
      </c>
      <c r="M2865" s="9" t="str">
        <f>IF(A2865="",M2866,A2865)</f>
        <v>Mozambique</v>
      </c>
      <c r="N2865" s="3" t="str">
        <f t="shared" si="89"/>
        <v>Aug-2020</v>
      </c>
    </row>
    <row r="2866" spans="1:14" x14ac:dyDescent="0.3">
      <c r="A2866" s="3" t="s">
        <v>246</v>
      </c>
      <c r="B2866" s="3" t="s">
        <v>247</v>
      </c>
      <c r="C2866" s="8">
        <v>2020</v>
      </c>
      <c r="D2866" s="8">
        <v>9</v>
      </c>
      <c r="E2866" s="3" t="str">
        <f t="shared" si="88"/>
        <v>September</v>
      </c>
      <c r="F2866" s="3" t="s">
        <v>8</v>
      </c>
      <c r="G2866" s="8">
        <v>23893.1152</v>
      </c>
      <c r="H2866" s="8">
        <v>26262.202000000001</v>
      </c>
      <c r="I2866" s="8">
        <v>2369.0867990000002</v>
      </c>
      <c r="J2866" s="8">
        <v>2901.3430640000001</v>
      </c>
      <c r="K2866" s="8">
        <v>-15913.23328</v>
      </c>
      <c r="L2866" s="8">
        <v>23158.821169999999</v>
      </c>
      <c r="M2866" s="9" t="str">
        <f>IF(A2866="",M2867,A2866)</f>
        <v>Mozambique</v>
      </c>
      <c r="N2866" s="3" t="str">
        <f t="shared" si="89"/>
        <v>Sep-2020</v>
      </c>
    </row>
    <row r="2867" spans="1:14" x14ac:dyDescent="0.3">
      <c r="A2867" s="3" t="s">
        <v>246</v>
      </c>
      <c r="B2867" s="3" t="s">
        <v>247</v>
      </c>
      <c r="C2867" s="8">
        <v>2020</v>
      </c>
      <c r="D2867" s="8">
        <v>10</v>
      </c>
      <c r="E2867" s="3" t="str">
        <f t="shared" si="88"/>
        <v>October</v>
      </c>
      <c r="F2867" s="3" t="s">
        <v>8</v>
      </c>
      <c r="G2867" s="8">
        <v>23615.064139999999</v>
      </c>
      <c r="H2867" s="8">
        <v>24735.391</v>
      </c>
      <c r="I2867" s="8">
        <v>1120.326859</v>
      </c>
      <c r="J2867" s="8">
        <v>4021.6699229999999</v>
      </c>
      <c r="K2867" s="8">
        <v>-15978.270060000001</v>
      </c>
      <c r="L2867" s="8">
        <v>24643.25215</v>
      </c>
      <c r="M2867" s="9" t="str">
        <f>IF(A2867="",M2868,A2867)</f>
        <v>Mozambique</v>
      </c>
      <c r="N2867" s="3" t="str">
        <f t="shared" si="89"/>
        <v>Oct-2020</v>
      </c>
    </row>
    <row r="2868" spans="1:14" x14ac:dyDescent="0.3">
      <c r="A2868" s="3" t="s">
        <v>246</v>
      </c>
      <c r="B2868" s="3" t="s">
        <v>247</v>
      </c>
      <c r="C2868" s="8">
        <v>2020</v>
      </c>
      <c r="D2868" s="8">
        <v>11</v>
      </c>
      <c r="E2868" s="3" t="str">
        <f t="shared" si="88"/>
        <v>November</v>
      </c>
      <c r="F2868" s="3" t="s">
        <v>8</v>
      </c>
      <c r="G2868" s="8">
        <v>23325.73315</v>
      </c>
      <c r="H2868" s="8">
        <v>24271.654999999999</v>
      </c>
      <c r="I2868" s="8">
        <v>945.92185440000003</v>
      </c>
      <c r="J2868" s="8">
        <v>4967.591778</v>
      </c>
      <c r="K2868" s="8">
        <v>-15744.07985</v>
      </c>
      <c r="L2868" s="8">
        <v>26360.737440000001</v>
      </c>
      <c r="M2868" s="9" t="str">
        <f>IF(A2868="",M2869,A2868)</f>
        <v>Mozambique</v>
      </c>
      <c r="N2868" s="3" t="str">
        <f t="shared" si="89"/>
        <v>Nov-2020</v>
      </c>
    </row>
    <row r="2869" spans="1:14" x14ac:dyDescent="0.3">
      <c r="A2869" s="3" t="s">
        <v>246</v>
      </c>
      <c r="B2869" s="3" t="s">
        <v>247</v>
      </c>
      <c r="C2869" s="8">
        <v>2020</v>
      </c>
      <c r="D2869" s="8">
        <v>12</v>
      </c>
      <c r="E2869" s="3" t="str">
        <f t="shared" si="88"/>
        <v>December</v>
      </c>
      <c r="F2869" s="3" t="s">
        <v>8</v>
      </c>
      <c r="G2869" s="8">
        <v>23481.03889</v>
      </c>
      <c r="H2869" s="8">
        <v>24560.27</v>
      </c>
      <c r="I2869" s="8">
        <v>1079.2311130000001</v>
      </c>
      <c r="J2869" s="8">
        <v>6046.8228909999998</v>
      </c>
      <c r="K2869" s="8">
        <v>-15931.92366</v>
      </c>
      <c r="L2869" s="8">
        <v>28114.092390000002</v>
      </c>
      <c r="M2869" s="9" t="str">
        <f>IF(A2869="",M2870,A2869)</f>
        <v>Mozambique</v>
      </c>
      <c r="N2869" s="3" t="str">
        <f t="shared" si="89"/>
        <v>Dec-2020</v>
      </c>
    </row>
    <row r="2870" spans="1:14" x14ac:dyDescent="0.3">
      <c r="A2870" s="3" t="s">
        <v>246</v>
      </c>
      <c r="B2870" s="3" t="s">
        <v>247</v>
      </c>
      <c r="C2870" s="8">
        <v>2021</v>
      </c>
      <c r="D2870" s="8">
        <v>1</v>
      </c>
      <c r="E2870" s="3" t="str">
        <f t="shared" si="88"/>
        <v>January</v>
      </c>
      <c r="F2870" s="3" t="s">
        <v>8</v>
      </c>
      <c r="G2870" s="8">
        <v>23595.211340000002</v>
      </c>
      <c r="H2870" s="8">
        <v>27836.571</v>
      </c>
      <c r="I2870" s="8">
        <v>4241.3596559999996</v>
      </c>
      <c r="J2870" s="8">
        <v>10288.18255</v>
      </c>
      <c r="K2870" s="8">
        <v>-11891.18471</v>
      </c>
      <c r="L2870" s="8">
        <v>33355.40726</v>
      </c>
      <c r="M2870" s="9" t="str">
        <f>IF(A2870="",M2871,A2870)</f>
        <v>Mozambique</v>
      </c>
      <c r="N2870" s="3" t="str">
        <f t="shared" si="89"/>
        <v>Jan-2021</v>
      </c>
    </row>
    <row r="2871" spans="1:14" x14ac:dyDescent="0.3">
      <c r="A2871" s="3" t="s">
        <v>246</v>
      </c>
      <c r="B2871" s="3" t="s">
        <v>247</v>
      </c>
      <c r="C2871" s="8">
        <v>2021</v>
      </c>
      <c r="D2871" s="8">
        <v>2</v>
      </c>
      <c r="E2871" s="3" t="str">
        <f t="shared" si="88"/>
        <v>February</v>
      </c>
      <c r="F2871" s="3" t="s">
        <v>8</v>
      </c>
      <c r="G2871" s="8">
        <v>23582.133730000001</v>
      </c>
      <c r="H2871" s="8">
        <v>28017.47</v>
      </c>
      <c r="I2871" s="8">
        <v>4435.3362690000004</v>
      </c>
      <c r="J2871" s="8">
        <v>14723.518819999999</v>
      </c>
      <c r="K2871" s="8">
        <v>-9755.3394929999995</v>
      </c>
      <c r="L2871" s="8">
        <v>40317.290500000003</v>
      </c>
      <c r="M2871" s="9" t="str">
        <f>IF(A2871="",M2872,A2871)</f>
        <v>Mozambique</v>
      </c>
      <c r="N2871" s="3" t="str">
        <f t="shared" si="89"/>
        <v>Feb-2021</v>
      </c>
    </row>
    <row r="2872" spans="1:14" x14ac:dyDescent="0.3">
      <c r="A2872" s="3" t="s">
        <v>246</v>
      </c>
      <c r="B2872" s="3" t="s">
        <v>247</v>
      </c>
      <c r="C2872" s="8">
        <v>2021</v>
      </c>
      <c r="D2872" s="8">
        <v>3</v>
      </c>
      <c r="E2872" s="3" t="str">
        <f t="shared" si="88"/>
        <v>March</v>
      </c>
      <c r="F2872" s="3" t="s">
        <v>8</v>
      </c>
      <c r="G2872" s="8">
        <v>23678.542959999999</v>
      </c>
      <c r="H2872" s="8">
        <v>26517.792000000001</v>
      </c>
      <c r="I2872" s="8">
        <v>2839.2490429999998</v>
      </c>
      <c r="J2872" s="8">
        <v>17562.76786</v>
      </c>
      <c r="K2872" s="8">
        <v>-8209.0567350000001</v>
      </c>
      <c r="L2872" s="8">
        <v>42914.994019999998</v>
      </c>
      <c r="M2872" s="9" t="str">
        <f>IF(A2872="",M2873,A2872)</f>
        <v>Mozambique</v>
      </c>
      <c r="N2872" s="3" t="str">
        <f t="shared" si="89"/>
        <v>Mar-2021</v>
      </c>
    </row>
    <row r="2873" spans="1:14" x14ac:dyDescent="0.3">
      <c r="A2873" s="3" t="s">
        <v>246</v>
      </c>
      <c r="B2873" s="3" t="s">
        <v>247</v>
      </c>
      <c r="C2873" s="8">
        <v>2021</v>
      </c>
      <c r="D2873" s="8">
        <v>4</v>
      </c>
      <c r="E2873" s="3" t="str">
        <f t="shared" si="88"/>
        <v>April</v>
      </c>
      <c r="F2873" s="3" t="s">
        <v>8</v>
      </c>
      <c r="G2873" s="8">
        <v>23806.01339</v>
      </c>
      <c r="H2873" s="8">
        <v>24557.789000000001</v>
      </c>
      <c r="I2873" s="8">
        <v>751.77560540000002</v>
      </c>
      <c r="J2873" s="8">
        <v>18314.543460000001</v>
      </c>
      <c r="K2873" s="8">
        <v>-8802.1149580000001</v>
      </c>
      <c r="L2873" s="8">
        <v>45356.88409</v>
      </c>
      <c r="M2873" s="9" t="str">
        <f>IF(A2873="",M2874,A2873)</f>
        <v>Mozambique</v>
      </c>
      <c r="N2873" s="3" t="str">
        <f t="shared" si="89"/>
        <v>Apr-2021</v>
      </c>
    </row>
    <row r="2874" spans="1:14" x14ac:dyDescent="0.3">
      <c r="A2874" s="3" t="s">
        <v>246</v>
      </c>
      <c r="B2874" s="3" t="s">
        <v>247</v>
      </c>
      <c r="C2874" s="8">
        <v>2021</v>
      </c>
      <c r="D2874" s="8">
        <v>5</v>
      </c>
      <c r="E2874" s="3" t="str">
        <f t="shared" si="88"/>
        <v>May</v>
      </c>
      <c r="F2874" s="3" t="s">
        <v>8</v>
      </c>
      <c r="G2874" s="8">
        <v>24161.609100000001</v>
      </c>
      <c r="H2874" s="8">
        <v>24109.286</v>
      </c>
      <c r="I2874" s="8">
        <v>-52.323100699999998</v>
      </c>
      <c r="J2874" s="8">
        <v>18262.220359999999</v>
      </c>
      <c r="K2874" s="8">
        <v>-9579.075272</v>
      </c>
      <c r="L2874" s="8">
        <v>44787.205600000001</v>
      </c>
      <c r="M2874" s="9" t="str">
        <f>IF(A2874="",M2875,A2874)</f>
        <v>Mozambique</v>
      </c>
      <c r="N2874" s="3" t="str">
        <f t="shared" si="89"/>
        <v>May-2021</v>
      </c>
    </row>
    <row r="2875" spans="1:14" x14ac:dyDescent="0.3">
      <c r="A2875" s="3" t="s">
        <v>246</v>
      </c>
      <c r="B2875" s="3" t="s">
        <v>247</v>
      </c>
      <c r="C2875" s="8">
        <v>2021</v>
      </c>
      <c r="D2875" s="8">
        <v>6</v>
      </c>
      <c r="E2875" s="3" t="str">
        <f t="shared" si="88"/>
        <v>June</v>
      </c>
      <c r="F2875" s="3" t="s">
        <v>8</v>
      </c>
      <c r="G2875" s="8">
        <v>24394.728210000001</v>
      </c>
      <c r="H2875" s="8">
        <v>24898.134999999998</v>
      </c>
      <c r="I2875" s="8">
        <v>503.40678739999998</v>
      </c>
      <c r="J2875" s="8">
        <v>18765.62715</v>
      </c>
      <c r="K2875" s="8">
        <v>-11466.25382</v>
      </c>
      <c r="L2875" s="8">
        <v>46587.124940000002</v>
      </c>
      <c r="M2875" s="9" t="str">
        <f>IF(A2875="",M2876,A2875)</f>
        <v>Mozambique</v>
      </c>
      <c r="N2875" s="3" t="str">
        <f t="shared" si="89"/>
        <v>Jun-2021</v>
      </c>
    </row>
    <row r="2876" spans="1:14" x14ac:dyDescent="0.3">
      <c r="A2876" s="3" t="s">
        <v>246</v>
      </c>
      <c r="B2876" s="3" t="s">
        <v>247</v>
      </c>
      <c r="C2876" s="8">
        <v>2021</v>
      </c>
      <c r="D2876" s="8">
        <v>7</v>
      </c>
      <c r="E2876" s="3" t="str">
        <f t="shared" si="88"/>
        <v>July</v>
      </c>
      <c r="F2876" s="3" t="s">
        <v>8</v>
      </c>
      <c r="G2876" s="8">
        <v>24555.330870000002</v>
      </c>
      <c r="H2876" s="8">
        <v>30880.608</v>
      </c>
      <c r="I2876" s="8">
        <v>6325.2771300000004</v>
      </c>
      <c r="J2876" s="8">
        <v>25090.904279999999</v>
      </c>
      <c r="K2876" s="8">
        <v>-6086.8133340000004</v>
      </c>
      <c r="L2876" s="8">
        <v>55635.726929999997</v>
      </c>
      <c r="M2876" s="9" t="str">
        <f>IF(A2876="",M2877,A2876)</f>
        <v>Mozambique</v>
      </c>
      <c r="N2876" s="3" t="str">
        <f t="shared" si="89"/>
        <v>Jul-2021</v>
      </c>
    </row>
    <row r="2877" spans="1:14" x14ac:dyDescent="0.3">
      <c r="A2877" s="3" t="s">
        <v>246</v>
      </c>
      <c r="B2877" s="3" t="s">
        <v>247</v>
      </c>
      <c r="C2877" s="8">
        <v>2021</v>
      </c>
      <c r="D2877" s="8">
        <v>8</v>
      </c>
      <c r="E2877" s="3" t="str">
        <f t="shared" si="88"/>
        <v>August</v>
      </c>
      <c r="F2877" s="3" t="s">
        <v>8</v>
      </c>
      <c r="G2877" s="8">
        <v>24290.813440000002</v>
      </c>
      <c r="H2877" s="8">
        <v>29426.82</v>
      </c>
      <c r="I2877" s="8">
        <v>5136.0065549999999</v>
      </c>
      <c r="J2877" s="8">
        <v>30226.91084</v>
      </c>
      <c r="K2877" s="8">
        <v>-2033.126258</v>
      </c>
      <c r="L2877" s="8">
        <v>60656.491179999997</v>
      </c>
      <c r="M2877" s="9" t="str">
        <f>IF(A2877="",M2878,A2877)</f>
        <v>Mozambique</v>
      </c>
      <c r="N2877" s="3" t="str">
        <f t="shared" si="89"/>
        <v>Aug-2021</v>
      </c>
    </row>
    <row r="2878" spans="1:14" x14ac:dyDescent="0.3">
      <c r="A2878" s="3" t="s">
        <v>246</v>
      </c>
      <c r="B2878" s="3" t="s">
        <v>247</v>
      </c>
      <c r="C2878" s="8">
        <v>2021</v>
      </c>
      <c r="D2878" s="8">
        <v>9</v>
      </c>
      <c r="E2878" s="3" t="str">
        <f t="shared" si="88"/>
        <v>September</v>
      </c>
      <c r="F2878" s="3" t="s">
        <v>8</v>
      </c>
      <c r="G2878" s="8">
        <v>24026.598239999999</v>
      </c>
      <c r="H2878" s="8">
        <v>25505.294999999998</v>
      </c>
      <c r="I2878" s="8">
        <v>1478.696764</v>
      </c>
      <c r="J2878" s="8">
        <v>31705.607599999999</v>
      </c>
      <c r="K2878" s="8">
        <v>-1650.433941</v>
      </c>
      <c r="L2878" s="8">
        <v>63324.6973</v>
      </c>
      <c r="M2878" s="9" t="str">
        <f>IF(A2878="",M2879,A2878)</f>
        <v>Mozambique</v>
      </c>
      <c r="N2878" s="3" t="str">
        <f t="shared" si="89"/>
        <v>Sep-2021</v>
      </c>
    </row>
    <row r="2879" spans="1:14" x14ac:dyDescent="0.3">
      <c r="A2879" s="3" t="s">
        <v>246</v>
      </c>
      <c r="B2879" s="3" t="s">
        <v>247</v>
      </c>
      <c r="C2879" s="8">
        <v>2021</v>
      </c>
      <c r="D2879" s="8">
        <v>10</v>
      </c>
      <c r="E2879" s="3" t="str">
        <f t="shared" si="88"/>
        <v>October</v>
      </c>
      <c r="F2879" s="3" t="s">
        <v>8</v>
      </c>
      <c r="G2879" s="8">
        <v>23746.609420000001</v>
      </c>
      <c r="H2879" s="8">
        <v>23920.319</v>
      </c>
      <c r="I2879" s="8">
        <v>173.7095836</v>
      </c>
      <c r="J2879" s="8">
        <v>31879.317179999998</v>
      </c>
      <c r="K2879" s="8">
        <v>-775.3726643</v>
      </c>
      <c r="L2879" s="8">
        <v>64546.270960000002</v>
      </c>
      <c r="M2879" s="9" t="str">
        <f>IF(A2879="",M2880,A2879)</f>
        <v>Mozambique</v>
      </c>
      <c r="N2879" s="3" t="str">
        <f t="shared" si="89"/>
        <v>Oct-2021</v>
      </c>
    </row>
    <row r="2880" spans="1:14" x14ac:dyDescent="0.3">
      <c r="A2880" s="3" t="s">
        <v>246</v>
      </c>
      <c r="B2880" s="3" t="s">
        <v>247</v>
      </c>
      <c r="C2880" s="8">
        <v>2021</v>
      </c>
      <c r="D2880" s="8">
        <v>11</v>
      </c>
      <c r="E2880" s="3" t="str">
        <f t="shared" si="88"/>
        <v>November</v>
      </c>
      <c r="F2880" s="3" t="s">
        <v>8</v>
      </c>
      <c r="G2880" s="8">
        <v>23450.165489999999</v>
      </c>
      <c r="H2880" s="8">
        <v>23889.244999999999</v>
      </c>
      <c r="I2880" s="8">
        <v>439.07950510000001</v>
      </c>
      <c r="J2880" s="8">
        <v>32318.396690000001</v>
      </c>
      <c r="K2880" s="8">
        <v>-2592.5225380000002</v>
      </c>
      <c r="L2880" s="8">
        <v>66105.800059999994</v>
      </c>
      <c r="M2880" s="9" t="str">
        <f>IF(A2880="",M2881,A2880)</f>
        <v>Mozambique</v>
      </c>
      <c r="N2880" s="3" t="str">
        <f t="shared" si="89"/>
        <v>Nov-2021</v>
      </c>
    </row>
    <row r="2881" spans="1:14" x14ac:dyDescent="0.3">
      <c r="A2881" s="3" t="s">
        <v>246</v>
      </c>
      <c r="B2881" s="3" t="s">
        <v>247</v>
      </c>
      <c r="C2881" s="8">
        <v>2021</v>
      </c>
      <c r="D2881" s="8">
        <v>12</v>
      </c>
      <c r="E2881" s="3" t="str">
        <f t="shared" si="88"/>
        <v>December</v>
      </c>
      <c r="F2881" s="3" t="s">
        <v>8</v>
      </c>
      <c r="G2881" s="8">
        <v>23619.476930000001</v>
      </c>
      <c r="H2881" s="8">
        <v>26949.194</v>
      </c>
      <c r="I2881" s="8">
        <v>3329.717075</v>
      </c>
      <c r="J2881" s="8">
        <v>35648.11376</v>
      </c>
      <c r="K2881" s="8">
        <v>246.14562100000001</v>
      </c>
      <c r="L2881" s="8">
        <v>68527.552979999993</v>
      </c>
      <c r="M2881" s="9" t="str">
        <f>IF(A2881="",M2882,A2881)</f>
        <v>Mozambique</v>
      </c>
      <c r="N2881" s="3" t="str">
        <f t="shared" si="89"/>
        <v>Dec-2021</v>
      </c>
    </row>
    <row r="2882" spans="1:14" x14ac:dyDescent="0.3">
      <c r="A2882" s="3" t="s">
        <v>248</v>
      </c>
      <c r="B2882" s="3" t="s">
        <v>249</v>
      </c>
      <c r="C2882" s="8">
        <v>2020</v>
      </c>
      <c r="D2882" s="8">
        <v>1</v>
      </c>
      <c r="E2882" s="3" t="str">
        <f t="shared" ref="E2882:E2945" si="90">TEXT(DATE(C2882,D2882,1),"MMMM")</f>
        <v>January</v>
      </c>
      <c r="F2882" s="3" t="s">
        <v>8</v>
      </c>
      <c r="G2882" s="8">
        <v>2310.2505609999998</v>
      </c>
      <c r="H2882" s="8">
        <v>2394.1799999999998</v>
      </c>
      <c r="I2882" s="8">
        <v>83.929438840000003</v>
      </c>
      <c r="J2882" s="8">
        <v>83.929438840000003</v>
      </c>
      <c r="K2882" s="8">
        <v>-509.14135959999999</v>
      </c>
      <c r="L2882" s="8">
        <v>741.96786210000005</v>
      </c>
      <c r="M2882" s="9" t="str">
        <f>IF(A2882="",M2883,A2882)</f>
        <v>Mauritania</v>
      </c>
      <c r="N2882" s="3" t="str">
        <f t="shared" ref="N2882:N2945" si="91">TEXT(DATE(C2882,D2882,1),"MMM-YYYY")</f>
        <v>Jan-2020</v>
      </c>
    </row>
    <row r="2883" spans="1:14" x14ac:dyDescent="0.3">
      <c r="A2883" s="3" t="s">
        <v>248</v>
      </c>
      <c r="B2883" s="3" t="s">
        <v>249</v>
      </c>
      <c r="C2883" s="8">
        <v>2020</v>
      </c>
      <c r="D2883" s="8">
        <v>2</v>
      </c>
      <c r="E2883" s="3" t="str">
        <f t="shared" si="90"/>
        <v>February</v>
      </c>
      <c r="F2883" s="3" t="s">
        <v>8</v>
      </c>
      <c r="G2883" s="8">
        <v>2258.661454</v>
      </c>
      <c r="H2883" s="8">
        <v>2259.1030000000001</v>
      </c>
      <c r="I2883" s="8">
        <v>0.44154638099999999</v>
      </c>
      <c r="J2883" s="8">
        <v>84.370985219999994</v>
      </c>
      <c r="K2883" s="8">
        <v>-749.35688479999999</v>
      </c>
      <c r="L2883" s="8">
        <v>1040.71478</v>
      </c>
      <c r="M2883" s="9" t="str">
        <f>IF(A2883="",M2884,A2883)</f>
        <v>Mauritania</v>
      </c>
      <c r="N2883" s="3" t="str">
        <f t="shared" si="91"/>
        <v>Feb-2020</v>
      </c>
    </row>
    <row r="2884" spans="1:14" x14ac:dyDescent="0.3">
      <c r="A2884" s="3" t="s">
        <v>248</v>
      </c>
      <c r="B2884" s="3" t="s">
        <v>249</v>
      </c>
      <c r="C2884" s="8">
        <v>2020</v>
      </c>
      <c r="D2884" s="8">
        <v>3</v>
      </c>
      <c r="E2884" s="3" t="str">
        <f t="shared" si="90"/>
        <v>March</v>
      </c>
      <c r="F2884" s="3" t="s">
        <v>8</v>
      </c>
      <c r="G2884" s="8">
        <v>2236.6117429999999</v>
      </c>
      <c r="H2884" s="8">
        <v>2907.47</v>
      </c>
      <c r="I2884" s="8">
        <v>670.85825690000001</v>
      </c>
      <c r="J2884" s="8">
        <v>755.22924209999996</v>
      </c>
      <c r="K2884" s="8">
        <v>-364.36998849999998</v>
      </c>
      <c r="L2884" s="8">
        <v>1948.2285589999999</v>
      </c>
      <c r="M2884" s="9" t="str">
        <f>IF(A2884="",M2885,A2884)</f>
        <v>Mauritania</v>
      </c>
      <c r="N2884" s="3" t="str">
        <f t="shared" si="91"/>
        <v>Mar-2020</v>
      </c>
    </row>
    <row r="2885" spans="1:14" x14ac:dyDescent="0.3">
      <c r="A2885" s="3" t="s">
        <v>248</v>
      </c>
      <c r="B2885" s="3" t="s">
        <v>249</v>
      </c>
      <c r="C2885" s="8">
        <v>2020</v>
      </c>
      <c r="D2885" s="8">
        <v>4</v>
      </c>
      <c r="E2885" s="3" t="str">
        <f t="shared" si="90"/>
        <v>April</v>
      </c>
      <c r="F2885" s="3" t="s">
        <v>8</v>
      </c>
      <c r="G2885" s="8">
        <v>2190.723497</v>
      </c>
      <c r="H2885" s="8">
        <v>2019.528</v>
      </c>
      <c r="I2885" s="8">
        <v>-171.19549699999999</v>
      </c>
      <c r="J2885" s="8">
        <v>584.03374510000003</v>
      </c>
      <c r="K2885" s="8">
        <v>-615.87226629999998</v>
      </c>
      <c r="L2885" s="8">
        <v>1969.9947</v>
      </c>
      <c r="M2885" s="9" t="str">
        <f>IF(A2885="",M2886,A2885)</f>
        <v>Mauritania</v>
      </c>
      <c r="N2885" s="3" t="str">
        <f t="shared" si="91"/>
        <v>Apr-2020</v>
      </c>
    </row>
    <row r="2886" spans="1:14" x14ac:dyDescent="0.3">
      <c r="A2886" s="3" t="s">
        <v>248</v>
      </c>
      <c r="B2886" s="3" t="s">
        <v>249</v>
      </c>
      <c r="C2886" s="8">
        <v>2020</v>
      </c>
      <c r="D2886" s="8">
        <v>5</v>
      </c>
      <c r="E2886" s="3" t="str">
        <f t="shared" si="90"/>
        <v>May</v>
      </c>
      <c r="F2886" s="3" t="s">
        <v>8</v>
      </c>
      <c r="G2886" s="8">
        <v>2149.3615770000001</v>
      </c>
      <c r="H2886" s="8">
        <v>2319.0169999999998</v>
      </c>
      <c r="I2886" s="8">
        <v>169.6554228</v>
      </c>
      <c r="J2886" s="8">
        <v>753.68916790000003</v>
      </c>
      <c r="K2886" s="8">
        <v>-636.99981400000001</v>
      </c>
      <c r="L2886" s="8">
        <v>2286.4231970000001</v>
      </c>
      <c r="M2886" s="9" t="str">
        <f>IF(A2886="",M2887,A2886)</f>
        <v>Mauritania</v>
      </c>
      <c r="N2886" s="3" t="str">
        <f t="shared" si="91"/>
        <v>May-2020</v>
      </c>
    </row>
    <row r="2887" spans="1:14" x14ac:dyDescent="0.3">
      <c r="A2887" s="3" t="s">
        <v>248</v>
      </c>
      <c r="B2887" s="3" t="s">
        <v>249</v>
      </c>
      <c r="C2887" s="8">
        <v>2020</v>
      </c>
      <c r="D2887" s="8">
        <v>6</v>
      </c>
      <c r="E2887" s="3" t="str">
        <f t="shared" si="90"/>
        <v>June</v>
      </c>
      <c r="F2887" s="3" t="s">
        <v>8</v>
      </c>
      <c r="G2887" s="8">
        <v>2128.7629870000001</v>
      </c>
      <c r="H2887" s="8">
        <v>2727.971</v>
      </c>
      <c r="I2887" s="8">
        <v>599.20801259999996</v>
      </c>
      <c r="J2887" s="8">
        <v>1352.897181</v>
      </c>
      <c r="K2887" s="8">
        <v>-248.36624399999999</v>
      </c>
      <c r="L2887" s="8">
        <v>3088.1128279999998</v>
      </c>
      <c r="M2887" s="9" t="str">
        <f>IF(A2887="",M2888,A2887)</f>
        <v>Mauritania</v>
      </c>
      <c r="N2887" s="3" t="str">
        <f t="shared" si="91"/>
        <v>Jun-2020</v>
      </c>
    </row>
    <row r="2888" spans="1:14" x14ac:dyDescent="0.3">
      <c r="A2888" s="3" t="s">
        <v>248</v>
      </c>
      <c r="B2888" s="3" t="s">
        <v>249</v>
      </c>
      <c r="C2888" s="8">
        <v>2020</v>
      </c>
      <c r="D2888" s="8">
        <v>7</v>
      </c>
      <c r="E2888" s="3" t="str">
        <f t="shared" si="90"/>
        <v>July</v>
      </c>
      <c r="F2888" s="3" t="s">
        <v>8</v>
      </c>
      <c r="G2888" s="8">
        <v>2134.5283030000001</v>
      </c>
      <c r="H2888" s="8">
        <v>2524.0509999999999</v>
      </c>
      <c r="I2888" s="8">
        <v>389.52269719999998</v>
      </c>
      <c r="J2888" s="8">
        <v>1742.4198779999999</v>
      </c>
      <c r="K2888" s="8">
        <v>-34.029917079999997</v>
      </c>
      <c r="L2888" s="8">
        <v>3770.5583660000002</v>
      </c>
      <c r="M2888" s="9" t="str">
        <f>IF(A2888="",M2889,A2888)</f>
        <v>Mauritania</v>
      </c>
      <c r="N2888" s="3" t="str">
        <f t="shared" si="91"/>
        <v>Jul-2020</v>
      </c>
    </row>
    <row r="2889" spans="1:14" x14ac:dyDescent="0.3">
      <c r="A2889" s="3" t="s">
        <v>248</v>
      </c>
      <c r="B2889" s="3" t="s">
        <v>249</v>
      </c>
      <c r="C2889" s="8">
        <v>2020</v>
      </c>
      <c r="D2889" s="8">
        <v>8</v>
      </c>
      <c r="E2889" s="3" t="str">
        <f t="shared" si="90"/>
        <v>August</v>
      </c>
      <c r="F2889" s="3" t="s">
        <v>8</v>
      </c>
      <c r="G2889" s="8">
        <v>2145.3870240000001</v>
      </c>
      <c r="H2889" s="8">
        <v>2309.1790000000001</v>
      </c>
      <c r="I2889" s="8">
        <v>163.7919756</v>
      </c>
      <c r="J2889" s="8">
        <v>1906.211853</v>
      </c>
      <c r="K2889" s="8">
        <v>37.988796280000003</v>
      </c>
      <c r="L2889" s="8">
        <v>4034.3514810000001</v>
      </c>
      <c r="M2889" s="9" t="str">
        <f>IF(A2889="",M2890,A2889)</f>
        <v>Mauritania</v>
      </c>
      <c r="N2889" s="3" t="str">
        <f t="shared" si="91"/>
        <v>Aug-2020</v>
      </c>
    </row>
    <row r="2890" spans="1:14" x14ac:dyDescent="0.3">
      <c r="A2890" s="3" t="s">
        <v>248</v>
      </c>
      <c r="B2890" s="3" t="s">
        <v>249</v>
      </c>
      <c r="C2890" s="8">
        <v>2020</v>
      </c>
      <c r="D2890" s="8">
        <v>9</v>
      </c>
      <c r="E2890" s="3" t="str">
        <f t="shared" si="90"/>
        <v>September</v>
      </c>
      <c r="F2890" s="3" t="s">
        <v>8</v>
      </c>
      <c r="G2890" s="8">
        <v>2163.5967850000002</v>
      </c>
      <c r="H2890" s="8">
        <v>2206.5549999999998</v>
      </c>
      <c r="I2890" s="8">
        <v>42.958214730000002</v>
      </c>
      <c r="J2890" s="8">
        <v>1949.1700679999999</v>
      </c>
      <c r="K2890" s="8">
        <v>-33.897635940000001</v>
      </c>
      <c r="L2890" s="8">
        <v>4030.6316040000002</v>
      </c>
      <c r="M2890" s="9" t="str">
        <f>IF(A2890="",M2891,A2890)</f>
        <v>Mauritania</v>
      </c>
      <c r="N2890" s="3" t="str">
        <f t="shared" si="91"/>
        <v>Sep-2020</v>
      </c>
    </row>
    <row r="2891" spans="1:14" x14ac:dyDescent="0.3">
      <c r="A2891" s="3" t="s">
        <v>248</v>
      </c>
      <c r="B2891" s="3" t="s">
        <v>249</v>
      </c>
      <c r="C2891" s="8">
        <v>2020</v>
      </c>
      <c r="D2891" s="8">
        <v>10</v>
      </c>
      <c r="E2891" s="3" t="str">
        <f t="shared" si="90"/>
        <v>October</v>
      </c>
      <c r="F2891" s="3" t="s">
        <v>8</v>
      </c>
      <c r="G2891" s="8">
        <v>2187.1053910000001</v>
      </c>
      <c r="H2891" s="8">
        <v>2124.6889999999999</v>
      </c>
      <c r="I2891" s="8">
        <v>-62.41639138</v>
      </c>
      <c r="J2891" s="8">
        <v>1886.7536769999999</v>
      </c>
      <c r="K2891" s="8">
        <v>-102.6159401</v>
      </c>
      <c r="L2891" s="8">
        <v>4091.6792340000002</v>
      </c>
      <c r="M2891" s="9" t="str">
        <f>IF(A2891="",M2892,A2891)</f>
        <v>Mauritania</v>
      </c>
      <c r="N2891" s="3" t="str">
        <f t="shared" si="91"/>
        <v>Oct-2020</v>
      </c>
    </row>
    <row r="2892" spans="1:14" x14ac:dyDescent="0.3">
      <c r="A2892" s="3" t="s">
        <v>248</v>
      </c>
      <c r="B2892" s="3" t="s">
        <v>249</v>
      </c>
      <c r="C2892" s="8">
        <v>2020</v>
      </c>
      <c r="D2892" s="8">
        <v>11</v>
      </c>
      <c r="E2892" s="3" t="str">
        <f t="shared" si="90"/>
        <v>November</v>
      </c>
      <c r="F2892" s="3" t="s">
        <v>8</v>
      </c>
      <c r="G2892" s="8">
        <v>2246.9473149999999</v>
      </c>
      <c r="H2892" s="8">
        <v>2297.7150000000001</v>
      </c>
      <c r="I2892" s="8">
        <v>50.767685450000002</v>
      </c>
      <c r="J2892" s="8">
        <v>1937.521362</v>
      </c>
      <c r="K2892" s="8">
        <v>-168.2847184</v>
      </c>
      <c r="L2892" s="8">
        <v>4233.3146219999999</v>
      </c>
      <c r="M2892" s="9" t="str">
        <f>IF(A2892="",M2893,A2892)</f>
        <v>Mauritania</v>
      </c>
      <c r="N2892" s="3" t="str">
        <f t="shared" si="91"/>
        <v>Nov-2020</v>
      </c>
    </row>
    <row r="2893" spans="1:14" x14ac:dyDescent="0.3">
      <c r="A2893" s="3" t="s">
        <v>248</v>
      </c>
      <c r="B2893" s="3" t="s">
        <v>249</v>
      </c>
      <c r="C2893" s="8">
        <v>2020</v>
      </c>
      <c r="D2893" s="8">
        <v>12</v>
      </c>
      <c r="E2893" s="3" t="str">
        <f t="shared" si="90"/>
        <v>December</v>
      </c>
      <c r="F2893" s="3" t="s">
        <v>8</v>
      </c>
      <c r="G2893" s="8">
        <v>2296.6147810000002</v>
      </c>
      <c r="H2893" s="8">
        <v>2484.6959999999999</v>
      </c>
      <c r="I2893" s="8">
        <v>188.0812191</v>
      </c>
      <c r="J2893" s="8">
        <v>2125.6025810000001</v>
      </c>
      <c r="K2893" s="8">
        <v>-15.113824620000001</v>
      </c>
      <c r="L2893" s="8">
        <v>4485.1349630000004</v>
      </c>
      <c r="M2893" s="9" t="str">
        <f>IF(A2893="",M2894,A2893)</f>
        <v>Mauritania</v>
      </c>
      <c r="N2893" s="3" t="str">
        <f t="shared" si="91"/>
        <v>Dec-2020</v>
      </c>
    </row>
    <row r="2894" spans="1:14" x14ac:dyDescent="0.3">
      <c r="A2894" s="3" t="s">
        <v>248</v>
      </c>
      <c r="B2894" s="3" t="s">
        <v>249</v>
      </c>
      <c r="C2894" s="8">
        <v>2021</v>
      </c>
      <c r="D2894" s="8">
        <v>1</v>
      </c>
      <c r="E2894" s="3" t="str">
        <f t="shared" si="90"/>
        <v>January</v>
      </c>
      <c r="F2894" s="3" t="s">
        <v>8</v>
      </c>
      <c r="G2894" s="8">
        <v>2328.6210679999999</v>
      </c>
      <c r="H2894" s="8">
        <v>2614.6370000000002</v>
      </c>
      <c r="I2894" s="8">
        <v>286.01593209999999</v>
      </c>
      <c r="J2894" s="8">
        <v>2411.6185129999999</v>
      </c>
      <c r="K2894" s="8">
        <v>132.61165779999999</v>
      </c>
      <c r="L2894" s="8">
        <v>4772.7396150000004</v>
      </c>
      <c r="M2894" s="9" t="str">
        <f>IF(A2894="",M2895,A2894)</f>
        <v>Mauritania</v>
      </c>
      <c r="N2894" s="3" t="str">
        <f t="shared" si="91"/>
        <v>Jan-2021</v>
      </c>
    </row>
    <row r="2895" spans="1:14" x14ac:dyDescent="0.3">
      <c r="A2895" s="3" t="s">
        <v>248</v>
      </c>
      <c r="B2895" s="3" t="s">
        <v>249</v>
      </c>
      <c r="C2895" s="8">
        <v>2021</v>
      </c>
      <c r="D2895" s="8">
        <v>2</v>
      </c>
      <c r="E2895" s="3" t="str">
        <f t="shared" si="90"/>
        <v>February</v>
      </c>
      <c r="F2895" s="3" t="s">
        <v>8</v>
      </c>
      <c r="G2895" s="8">
        <v>2276.5121020000001</v>
      </c>
      <c r="H2895" s="8">
        <v>2418.15</v>
      </c>
      <c r="I2895" s="8">
        <v>141.6378982</v>
      </c>
      <c r="J2895" s="8">
        <v>2553.2564120000002</v>
      </c>
      <c r="K2895" s="8">
        <v>45.45835864</v>
      </c>
      <c r="L2895" s="8">
        <v>5035.5823440000004</v>
      </c>
      <c r="M2895" s="9" t="str">
        <f>IF(A2895="",M2896,A2895)</f>
        <v>Mauritania</v>
      </c>
      <c r="N2895" s="3" t="str">
        <f t="shared" si="91"/>
        <v>Feb-2021</v>
      </c>
    </row>
    <row r="2896" spans="1:14" x14ac:dyDescent="0.3">
      <c r="A2896" s="3" t="s">
        <v>248</v>
      </c>
      <c r="B2896" s="3" t="s">
        <v>249</v>
      </c>
      <c r="C2896" s="8">
        <v>2021</v>
      </c>
      <c r="D2896" s="8">
        <v>3</v>
      </c>
      <c r="E2896" s="3" t="str">
        <f t="shared" si="90"/>
        <v>March</v>
      </c>
      <c r="F2896" s="3" t="s">
        <v>8</v>
      </c>
      <c r="G2896" s="8">
        <v>2254.5533329999998</v>
      </c>
      <c r="H2896" s="8">
        <v>2349.5940000000001</v>
      </c>
      <c r="I2896" s="8">
        <v>95.040667069999998</v>
      </c>
      <c r="J2896" s="8">
        <v>2648.2970789999999</v>
      </c>
      <c r="K2896" s="8">
        <v>195.29440539999999</v>
      </c>
      <c r="L2896" s="8">
        <v>5255.7454820000003</v>
      </c>
      <c r="M2896" s="9" t="str">
        <f>IF(A2896="",M2897,A2896)</f>
        <v>Mauritania</v>
      </c>
      <c r="N2896" s="3" t="str">
        <f t="shared" si="91"/>
        <v>Mar-2021</v>
      </c>
    </row>
    <row r="2897" spans="1:14" x14ac:dyDescent="0.3">
      <c r="A2897" s="3" t="s">
        <v>248</v>
      </c>
      <c r="B2897" s="3" t="s">
        <v>249</v>
      </c>
      <c r="C2897" s="8">
        <v>2021</v>
      </c>
      <c r="D2897" s="8">
        <v>4</v>
      </c>
      <c r="E2897" s="3" t="str">
        <f t="shared" si="90"/>
        <v>April</v>
      </c>
      <c r="F2897" s="3" t="s">
        <v>8</v>
      </c>
      <c r="G2897" s="8">
        <v>2206.471798</v>
      </c>
      <c r="H2897" s="8">
        <v>2300.1469999999999</v>
      </c>
      <c r="I2897" s="8">
        <v>93.675202350000006</v>
      </c>
      <c r="J2897" s="8">
        <v>2741.9722809999998</v>
      </c>
      <c r="K2897" s="8">
        <v>86.085960700000001</v>
      </c>
      <c r="L2897" s="8">
        <v>5360.4915469999996</v>
      </c>
      <c r="M2897" s="9" t="str">
        <f>IF(A2897="",M2898,A2897)</f>
        <v>Mauritania</v>
      </c>
      <c r="N2897" s="3" t="str">
        <f t="shared" si="91"/>
        <v>Apr-2021</v>
      </c>
    </row>
    <row r="2898" spans="1:14" x14ac:dyDescent="0.3">
      <c r="A2898" s="3" t="s">
        <v>248</v>
      </c>
      <c r="B2898" s="3" t="s">
        <v>249</v>
      </c>
      <c r="C2898" s="8">
        <v>2021</v>
      </c>
      <c r="D2898" s="8">
        <v>5</v>
      </c>
      <c r="E2898" s="3" t="str">
        <f t="shared" si="90"/>
        <v>May</v>
      </c>
      <c r="F2898" s="3" t="s">
        <v>8</v>
      </c>
      <c r="G2898" s="8">
        <v>2166.768908</v>
      </c>
      <c r="H2898" s="8">
        <v>2304.35</v>
      </c>
      <c r="I2898" s="8">
        <v>137.58109229999999</v>
      </c>
      <c r="J2898" s="8">
        <v>2879.5533730000002</v>
      </c>
      <c r="K2898" s="8">
        <v>95.798912380000004</v>
      </c>
      <c r="L2898" s="8">
        <v>5623.3682749999998</v>
      </c>
      <c r="M2898" s="9" t="str">
        <f>IF(A2898="",M2899,A2898)</f>
        <v>Mauritania</v>
      </c>
      <c r="N2898" s="3" t="str">
        <f t="shared" si="91"/>
        <v>May-2021</v>
      </c>
    </row>
    <row r="2899" spans="1:14" x14ac:dyDescent="0.3">
      <c r="A2899" s="3" t="s">
        <v>248</v>
      </c>
      <c r="B2899" s="3" t="s">
        <v>249</v>
      </c>
      <c r="C2899" s="8">
        <v>2021</v>
      </c>
      <c r="D2899" s="8">
        <v>6</v>
      </c>
      <c r="E2899" s="3" t="str">
        <f t="shared" si="90"/>
        <v>June</v>
      </c>
      <c r="F2899" s="3" t="s">
        <v>8</v>
      </c>
      <c r="G2899" s="8">
        <v>2146.4767870000001</v>
      </c>
      <c r="H2899" s="8">
        <v>2322.8980000000001</v>
      </c>
      <c r="I2899" s="8">
        <v>176.42121349999999</v>
      </c>
      <c r="J2899" s="8">
        <v>3055.9745870000002</v>
      </c>
      <c r="K2899" s="8">
        <v>205.94613150000001</v>
      </c>
      <c r="L2899" s="8">
        <v>5793.4296759999997</v>
      </c>
      <c r="M2899" s="9" t="str">
        <f>IF(A2899="",M2900,A2899)</f>
        <v>Mauritania</v>
      </c>
      <c r="N2899" s="3" t="str">
        <f t="shared" si="91"/>
        <v>Jun-2021</v>
      </c>
    </row>
    <row r="2900" spans="1:14" x14ac:dyDescent="0.3">
      <c r="A2900" s="3" t="s">
        <v>248</v>
      </c>
      <c r="B2900" s="3" t="s">
        <v>249</v>
      </c>
      <c r="C2900" s="8">
        <v>2021</v>
      </c>
      <c r="D2900" s="8">
        <v>7</v>
      </c>
      <c r="E2900" s="3" t="str">
        <f t="shared" si="90"/>
        <v>July</v>
      </c>
      <c r="F2900" s="3" t="s">
        <v>8</v>
      </c>
      <c r="G2900" s="8">
        <v>2149.74478</v>
      </c>
      <c r="H2900" s="8">
        <v>2508.3960000000002</v>
      </c>
      <c r="I2900" s="8">
        <v>358.65122009999999</v>
      </c>
      <c r="J2900" s="8">
        <v>3414.6258069999999</v>
      </c>
      <c r="K2900" s="8">
        <v>489.03707259999999</v>
      </c>
      <c r="L2900" s="8">
        <v>6161.6043579999996</v>
      </c>
      <c r="M2900" s="9" t="str">
        <f>IF(A2900="",M2901,A2900)</f>
        <v>Mauritania</v>
      </c>
      <c r="N2900" s="3" t="str">
        <f t="shared" si="91"/>
        <v>Jul-2021</v>
      </c>
    </row>
    <row r="2901" spans="1:14" x14ac:dyDescent="0.3">
      <c r="A2901" s="3" t="s">
        <v>248</v>
      </c>
      <c r="B2901" s="3" t="s">
        <v>249</v>
      </c>
      <c r="C2901" s="8">
        <v>2021</v>
      </c>
      <c r="D2901" s="8">
        <v>8</v>
      </c>
      <c r="E2901" s="3" t="str">
        <f t="shared" si="90"/>
        <v>August</v>
      </c>
      <c r="F2901" s="3" t="s">
        <v>8</v>
      </c>
      <c r="G2901" s="8">
        <v>2161.8342210000001</v>
      </c>
      <c r="H2901" s="8">
        <v>2786.6610000000001</v>
      </c>
      <c r="I2901" s="8">
        <v>624.82677880000006</v>
      </c>
      <c r="J2901" s="8">
        <v>4039.4525859999999</v>
      </c>
      <c r="K2901" s="8">
        <v>1016.348057</v>
      </c>
      <c r="L2901" s="8">
        <v>7072.4595140000001</v>
      </c>
      <c r="M2901" s="9" t="str">
        <f>IF(A2901="",M2902,A2901)</f>
        <v>Mauritania</v>
      </c>
      <c r="N2901" s="3" t="str">
        <f t="shared" si="91"/>
        <v>Aug-2021</v>
      </c>
    </row>
    <row r="2902" spans="1:14" x14ac:dyDescent="0.3">
      <c r="A2902" s="3" t="s">
        <v>248</v>
      </c>
      <c r="B2902" s="3" t="s">
        <v>249</v>
      </c>
      <c r="C2902" s="8">
        <v>2021</v>
      </c>
      <c r="D2902" s="8">
        <v>9</v>
      </c>
      <c r="E2902" s="3" t="str">
        <f t="shared" si="90"/>
        <v>September</v>
      </c>
      <c r="F2902" s="3" t="s">
        <v>8</v>
      </c>
      <c r="G2902" s="8">
        <v>2180.6111350000001</v>
      </c>
      <c r="H2902" s="8">
        <v>2408.2080000000001</v>
      </c>
      <c r="I2902" s="8">
        <v>227.5968647</v>
      </c>
      <c r="J2902" s="8">
        <v>4267.0494500000004</v>
      </c>
      <c r="K2902" s="8">
        <v>1185.3236830000001</v>
      </c>
      <c r="L2902" s="8">
        <v>7541.9614519999996</v>
      </c>
      <c r="M2902" s="9" t="str">
        <f>IF(A2902="",M2903,A2902)</f>
        <v>Mauritania</v>
      </c>
      <c r="N2902" s="3" t="str">
        <f t="shared" si="91"/>
        <v>Sep-2021</v>
      </c>
    </row>
    <row r="2903" spans="1:14" x14ac:dyDescent="0.3">
      <c r="A2903" s="3" t="s">
        <v>248</v>
      </c>
      <c r="B2903" s="3" t="s">
        <v>249</v>
      </c>
      <c r="C2903" s="8">
        <v>2021</v>
      </c>
      <c r="D2903" s="8">
        <v>10</v>
      </c>
      <c r="E2903" s="3" t="str">
        <f t="shared" si="90"/>
        <v>October</v>
      </c>
      <c r="F2903" s="3" t="s">
        <v>8</v>
      </c>
      <c r="G2903" s="8">
        <v>2205.5355880000002</v>
      </c>
      <c r="H2903" s="8">
        <v>2253.2489999999998</v>
      </c>
      <c r="I2903" s="8">
        <v>47.71341185</v>
      </c>
      <c r="J2903" s="8">
        <v>4314.7628619999996</v>
      </c>
      <c r="K2903" s="8">
        <v>1259.0912639999999</v>
      </c>
      <c r="L2903" s="8">
        <v>7653.3394159999998</v>
      </c>
      <c r="M2903" s="9" t="str">
        <f>IF(A2903="",M2904,A2903)</f>
        <v>Mauritania</v>
      </c>
      <c r="N2903" s="3" t="str">
        <f t="shared" si="91"/>
        <v>Oct-2021</v>
      </c>
    </row>
    <row r="2904" spans="1:14" x14ac:dyDescent="0.3">
      <c r="A2904" s="3" t="s">
        <v>248</v>
      </c>
      <c r="B2904" s="3" t="s">
        <v>249</v>
      </c>
      <c r="C2904" s="8">
        <v>2021</v>
      </c>
      <c r="D2904" s="8">
        <v>11</v>
      </c>
      <c r="E2904" s="3" t="str">
        <f t="shared" si="90"/>
        <v>November</v>
      </c>
      <c r="F2904" s="3" t="s">
        <v>8</v>
      </c>
      <c r="G2904" s="8">
        <v>2265.7706450000001</v>
      </c>
      <c r="H2904" s="8">
        <v>2392.9470000000001</v>
      </c>
      <c r="I2904" s="8">
        <v>127.17635490000001</v>
      </c>
      <c r="J2904" s="8">
        <v>4441.9392170000001</v>
      </c>
      <c r="K2904" s="8">
        <v>1303.6311860000001</v>
      </c>
      <c r="L2904" s="8">
        <v>7712.5139019999997</v>
      </c>
      <c r="M2904" s="9" t="str">
        <f>IF(A2904="",M2905,A2904)</f>
        <v>Mauritania</v>
      </c>
      <c r="N2904" s="3" t="str">
        <f t="shared" si="91"/>
        <v>Nov-2021</v>
      </c>
    </row>
    <row r="2905" spans="1:14" x14ac:dyDescent="0.3">
      <c r="A2905" s="3" t="s">
        <v>248</v>
      </c>
      <c r="B2905" s="3" t="s">
        <v>249</v>
      </c>
      <c r="C2905" s="8">
        <v>2021</v>
      </c>
      <c r="D2905" s="8">
        <v>12</v>
      </c>
      <c r="E2905" s="3" t="str">
        <f t="shared" si="90"/>
        <v>December</v>
      </c>
      <c r="F2905" s="3" t="s">
        <v>8</v>
      </c>
      <c r="G2905" s="8">
        <v>2313.8541839999998</v>
      </c>
      <c r="H2905" s="8">
        <v>2430.6610000000001</v>
      </c>
      <c r="I2905" s="8">
        <v>116.80681629999999</v>
      </c>
      <c r="J2905" s="8">
        <v>4558.7460339999998</v>
      </c>
      <c r="K2905" s="8">
        <v>1398.2539859999999</v>
      </c>
      <c r="L2905" s="8">
        <v>7699.8642680000003</v>
      </c>
      <c r="M2905" s="9" t="str">
        <f>IF(A2905="",M2906,A2905)</f>
        <v>Mauritania</v>
      </c>
      <c r="N2905" s="3" t="str">
        <f t="shared" si="91"/>
        <v>Dec-2021</v>
      </c>
    </row>
    <row r="2906" spans="1:14" x14ac:dyDescent="0.3">
      <c r="A2906" s="3" t="s">
        <v>250</v>
      </c>
      <c r="B2906" s="3" t="s">
        <v>251</v>
      </c>
      <c r="C2906" s="8">
        <v>2020</v>
      </c>
      <c r="D2906" s="8">
        <v>1</v>
      </c>
      <c r="E2906" s="3" t="str">
        <f t="shared" si="90"/>
        <v>January</v>
      </c>
      <c r="F2906" s="3" t="s">
        <v>13</v>
      </c>
      <c r="G2906" s="8">
        <v>950.48900070000002</v>
      </c>
      <c r="H2906" s="8">
        <v>965</v>
      </c>
      <c r="I2906" s="8">
        <v>14.34433261</v>
      </c>
      <c r="J2906" s="8">
        <v>14.34433261</v>
      </c>
      <c r="K2906" s="8">
        <v>-24.366223170000001</v>
      </c>
      <c r="L2906" s="8">
        <v>52.944428819999999</v>
      </c>
      <c r="M2906" s="9" t="str">
        <f>IF(A2906="",M2907,A2906)</f>
        <v>Mauritius</v>
      </c>
      <c r="N2906" s="3" t="str">
        <f t="shared" si="91"/>
        <v>Jan-2020</v>
      </c>
    </row>
    <row r="2907" spans="1:14" x14ac:dyDescent="0.3">
      <c r="A2907" s="3" t="s">
        <v>250</v>
      </c>
      <c r="B2907" s="3" t="s">
        <v>251</v>
      </c>
      <c r="C2907" s="8">
        <v>2020</v>
      </c>
      <c r="D2907" s="8">
        <v>2</v>
      </c>
      <c r="E2907" s="3" t="str">
        <f t="shared" si="90"/>
        <v>February</v>
      </c>
      <c r="F2907" s="3" t="s">
        <v>13</v>
      </c>
      <c r="G2907" s="8">
        <v>882.21776399999999</v>
      </c>
      <c r="H2907" s="8">
        <v>845</v>
      </c>
      <c r="I2907" s="8">
        <v>-37.384430620000003</v>
      </c>
      <c r="J2907" s="8">
        <v>-23.040098010000001</v>
      </c>
      <c r="K2907" s="8">
        <v>-81.564941759999996</v>
      </c>
      <c r="L2907" s="8">
        <v>36.490245629999997</v>
      </c>
      <c r="M2907" s="9" t="str">
        <f>IF(A2907="",M2908,A2907)</f>
        <v>Mauritius</v>
      </c>
      <c r="N2907" s="3" t="str">
        <f t="shared" si="91"/>
        <v>Feb-2020</v>
      </c>
    </row>
    <row r="2908" spans="1:14" x14ac:dyDescent="0.3">
      <c r="A2908" s="3" t="s">
        <v>250</v>
      </c>
      <c r="B2908" s="3" t="s">
        <v>251</v>
      </c>
      <c r="C2908" s="8">
        <v>2020</v>
      </c>
      <c r="D2908" s="8">
        <v>3</v>
      </c>
      <c r="E2908" s="3" t="str">
        <f t="shared" si="90"/>
        <v>March</v>
      </c>
      <c r="F2908" s="3" t="s">
        <v>13</v>
      </c>
      <c r="G2908" s="8">
        <v>959.4905503</v>
      </c>
      <c r="H2908" s="8">
        <v>929</v>
      </c>
      <c r="I2908" s="8">
        <v>-30.657216949999999</v>
      </c>
      <c r="J2908" s="8">
        <v>-53.697314949999999</v>
      </c>
      <c r="K2908" s="8">
        <v>-131.917248</v>
      </c>
      <c r="L2908" s="8">
        <v>29.049681660000001</v>
      </c>
      <c r="M2908" s="9" t="str">
        <f>IF(A2908="",M2909,A2908)</f>
        <v>Mauritius</v>
      </c>
      <c r="N2908" s="3" t="str">
        <f t="shared" si="91"/>
        <v>Mar-2020</v>
      </c>
    </row>
    <row r="2909" spans="1:14" x14ac:dyDescent="0.3">
      <c r="A2909" s="3" t="s">
        <v>250</v>
      </c>
      <c r="B2909" s="3" t="s">
        <v>251</v>
      </c>
      <c r="C2909" s="8">
        <v>2020</v>
      </c>
      <c r="D2909" s="8">
        <v>4</v>
      </c>
      <c r="E2909" s="3" t="str">
        <f t="shared" si="90"/>
        <v>April</v>
      </c>
      <c r="F2909" s="3" t="s">
        <v>13</v>
      </c>
      <c r="G2909" s="8">
        <v>894.67652580000004</v>
      </c>
      <c r="H2909" s="8">
        <v>850</v>
      </c>
      <c r="I2909" s="8">
        <v>-44.843192479999999</v>
      </c>
      <c r="J2909" s="8">
        <v>-98.540507430000005</v>
      </c>
      <c r="K2909" s="8">
        <v>-184.94391540000001</v>
      </c>
      <c r="L2909" s="8">
        <v>-4.6280301279999998</v>
      </c>
      <c r="M2909" s="9" t="str">
        <f>IF(A2909="",M2910,A2909)</f>
        <v>Mauritius</v>
      </c>
      <c r="N2909" s="3" t="str">
        <f t="shared" si="91"/>
        <v>Apr-2020</v>
      </c>
    </row>
    <row r="2910" spans="1:14" x14ac:dyDescent="0.3">
      <c r="A2910" s="3" t="s">
        <v>250</v>
      </c>
      <c r="B2910" s="3" t="s">
        <v>251</v>
      </c>
      <c r="C2910" s="8">
        <v>2020</v>
      </c>
      <c r="D2910" s="8">
        <v>5</v>
      </c>
      <c r="E2910" s="3" t="str">
        <f t="shared" si="90"/>
        <v>May</v>
      </c>
      <c r="F2910" s="3" t="s">
        <v>13</v>
      </c>
      <c r="G2910" s="8">
        <v>915.64317119999998</v>
      </c>
      <c r="H2910" s="8">
        <v>893</v>
      </c>
      <c r="I2910" s="8">
        <v>-22.809837859999998</v>
      </c>
      <c r="J2910" s="8">
        <v>-121.3503453</v>
      </c>
      <c r="K2910" s="8">
        <v>-218.5966056</v>
      </c>
      <c r="L2910" s="8">
        <v>-14.289845</v>
      </c>
      <c r="M2910" s="9" t="str">
        <f>IF(A2910="",M2911,A2910)</f>
        <v>Mauritius</v>
      </c>
      <c r="N2910" s="3" t="str">
        <f t="shared" si="91"/>
        <v>May-2020</v>
      </c>
    </row>
    <row r="2911" spans="1:14" x14ac:dyDescent="0.3">
      <c r="A2911" s="3" t="s">
        <v>250</v>
      </c>
      <c r="B2911" s="3" t="s">
        <v>251</v>
      </c>
      <c r="C2911" s="8">
        <v>2020</v>
      </c>
      <c r="D2911" s="8">
        <v>6</v>
      </c>
      <c r="E2911" s="3" t="str">
        <f t="shared" si="90"/>
        <v>June</v>
      </c>
      <c r="F2911" s="3" t="s">
        <v>13</v>
      </c>
      <c r="G2911" s="8">
        <v>907.77183920000004</v>
      </c>
      <c r="H2911" s="8">
        <v>910</v>
      </c>
      <c r="I2911" s="8">
        <v>2.0614941739999999</v>
      </c>
      <c r="J2911" s="8">
        <v>-119.2888511</v>
      </c>
      <c r="K2911" s="8">
        <v>-223.83274950000001</v>
      </c>
      <c r="L2911" s="8">
        <v>-6.0804743380000001</v>
      </c>
      <c r="M2911" s="9" t="str">
        <f>IF(A2911="",M2912,A2911)</f>
        <v>Mauritius</v>
      </c>
      <c r="N2911" s="3" t="str">
        <f t="shared" si="91"/>
        <v>Jun-2020</v>
      </c>
    </row>
    <row r="2912" spans="1:14" x14ac:dyDescent="0.3">
      <c r="A2912" s="3" t="s">
        <v>250</v>
      </c>
      <c r="B2912" s="3" t="s">
        <v>251</v>
      </c>
      <c r="C2912" s="8">
        <v>2020</v>
      </c>
      <c r="D2912" s="8">
        <v>7</v>
      </c>
      <c r="E2912" s="3" t="str">
        <f t="shared" si="90"/>
        <v>July</v>
      </c>
      <c r="F2912" s="3" t="s">
        <v>13</v>
      </c>
      <c r="G2912" s="8">
        <v>1072.6914870000001</v>
      </c>
      <c r="H2912" s="8">
        <v>1006</v>
      </c>
      <c r="I2912" s="8">
        <v>-66.858153869999995</v>
      </c>
      <c r="J2912" s="8">
        <v>-186.14700500000001</v>
      </c>
      <c r="K2912" s="8">
        <v>-314.89101920000002</v>
      </c>
      <c r="L2912" s="8">
        <v>-61.107654969999999</v>
      </c>
      <c r="M2912" s="9" t="str">
        <f>IF(A2912="",M2913,A2912)</f>
        <v>Mauritius</v>
      </c>
      <c r="N2912" s="3" t="str">
        <f t="shared" si="91"/>
        <v>Jul-2020</v>
      </c>
    </row>
    <row r="2913" spans="1:14" x14ac:dyDescent="0.3">
      <c r="A2913" s="3" t="s">
        <v>250</v>
      </c>
      <c r="B2913" s="3" t="s">
        <v>251</v>
      </c>
      <c r="C2913" s="8">
        <v>2020</v>
      </c>
      <c r="D2913" s="8">
        <v>8</v>
      </c>
      <c r="E2913" s="3" t="str">
        <f t="shared" si="90"/>
        <v>August</v>
      </c>
      <c r="F2913" s="3" t="s">
        <v>13</v>
      </c>
      <c r="G2913" s="8">
        <v>1032.380128</v>
      </c>
      <c r="H2913" s="8">
        <v>1002</v>
      </c>
      <c r="I2913" s="8">
        <v>-30.546794370000001</v>
      </c>
      <c r="J2913" s="8">
        <v>-216.69379939999999</v>
      </c>
      <c r="K2913" s="8">
        <v>-354.073576</v>
      </c>
      <c r="L2913" s="8">
        <v>-83.519591199999994</v>
      </c>
      <c r="M2913" s="9" t="str">
        <f>IF(A2913="",M2914,A2913)</f>
        <v>Mauritius</v>
      </c>
      <c r="N2913" s="3" t="str">
        <f t="shared" si="91"/>
        <v>Aug-2020</v>
      </c>
    </row>
    <row r="2914" spans="1:14" x14ac:dyDescent="0.3">
      <c r="A2914" s="3" t="s">
        <v>250</v>
      </c>
      <c r="B2914" s="3" t="s">
        <v>251</v>
      </c>
      <c r="C2914" s="8">
        <v>2020</v>
      </c>
      <c r="D2914" s="8">
        <v>9</v>
      </c>
      <c r="E2914" s="3" t="str">
        <f t="shared" si="90"/>
        <v>September</v>
      </c>
      <c r="F2914" s="3" t="s">
        <v>13</v>
      </c>
      <c r="G2914" s="8">
        <v>994.19908480000004</v>
      </c>
      <c r="H2914" s="8">
        <v>906</v>
      </c>
      <c r="I2914" s="8">
        <v>-88.365751470000006</v>
      </c>
      <c r="J2914" s="8">
        <v>-305.05955080000001</v>
      </c>
      <c r="K2914" s="8">
        <v>-450.07242380000002</v>
      </c>
      <c r="L2914" s="8">
        <v>-161.24346689999999</v>
      </c>
      <c r="M2914" s="9" t="str">
        <f>IF(A2914="",M2915,A2914)</f>
        <v>Mauritius</v>
      </c>
      <c r="N2914" s="3" t="str">
        <f t="shared" si="91"/>
        <v>Sep-2020</v>
      </c>
    </row>
    <row r="2915" spans="1:14" x14ac:dyDescent="0.3">
      <c r="A2915" s="3" t="s">
        <v>250</v>
      </c>
      <c r="B2915" s="3" t="s">
        <v>251</v>
      </c>
      <c r="C2915" s="8">
        <v>2020</v>
      </c>
      <c r="D2915" s="8">
        <v>10</v>
      </c>
      <c r="E2915" s="3" t="str">
        <f t="shared" si="90"/>
        <v>October</v>
      </c>
      <c r="F2915" s="3" t="s">
        <v>13</v>
      </c>
      <c r="G2915" s="8">
        <v>944.70544389999998</v>
      </c>
      <c r="H2915" s="8">
        <v>932</v>
      </c>
      <c r="I2915" s="8">
        <v>-12.87211054</v>
      </c>
      <c r="J2915" s="8">
        <v>-317.9316614</v>
      </c>
      <c r="K2915" s="8">
        <v>-469.2216507</v>
      </c>
      <c r="L2915" s="8">
        <v>-167.20979030000001</v>
      </c>
      <c r="M2915" s="9" t="str">
        <f>IF(A2915="",M2916,A2915)</f>
        <v>Mauritius</v>
      </c>
      <c r="N2915" s="3" t="str">
        <f t="shared" si="91"/>
        <v>Oct-2020</v>
      </c>
    </row>
    <row r="2916" spans="1:14" x14ac:dyDescent="0.3">
      <c r="A2916" s="3" t="s">
        <v>250</v>
      </c>
      <c r="B2916" s="3" t="s">
        <v>251</v>
      </c>
      <c r="C2916" s="8">
        <v>2020</v>
      </c>
      <c r="D2916" s="8">
        <v>11</v>
      </c>
      <c r="E2916" s="3" t="str">
        <f t="shared" si="90"/>
        <v>November</v>
      </c>
      <c r="F2916" s="3" t="s">
        <v>13</v>
      </c>
      <c r="G2916" s="8">
        <v>903.34576809999999</v>
      </c>
      <c r="H2916" s="8">
        <v>899</v>
      </c>
      <c r="I2916" s="8">
        <v>-4.5124347680000003</v>
      </c>
      <c r="J2916" s="8">
        <v>-322.44409610000002</v>
      </c>
      <c r="K2916" s="8">
        <v>-480.7208948</v>
      </c>
      <c r="L2916" s="8">
        <v>-169.66209910000001</v>
      </c>
      <c r="M2916" s="9" t="str">
        <f>IF(A2916="",M2917,A2916)</f>
        <v>Mauritius</v>
      </c>
      <c r="N2916" s="3" t="str">
        <f t="shared" si="91"/>
        <v>Nov-2020</v>
      </c>
    </row>
    <row r="2917" spans="1:14" x14ac:dyDescent="0.3">
      <c r="A2917" s="3" t="s">
        <v>250</v>
      </c>
      <c r="B2917" s="3" t="s">
        <v>251</v>
      </c>
      <c r="C2917" s="8">
        <v>2020</v>
      </c>
      <c r="D2917" s="8">
        <v>12</v>
      </c>
      <c r="E2917" s="3" t="str">
        <f t="shared" si="90"/>
        <v>December</v>
      </c>
      <c r="F2917" s="3" t="s">
        <v>13</v>
      </c>
      <c r="G2917" s="8">
        <v>979.49232219999999</v>
      </c>
      <c r="H2917" s="8">
        <v>923</v>
      </c>
      <c r="I2917" s="8">
        <v>-56.658988880000003</v>
      </c>
      <c r="J2917" s="8">
        <v>-379.10308500000002</v>
      </c>
      <c r="K2917" s="8">
        <v>-539.65763219999997</v>
      </c>
      <c r="L2917" s="8">
        <v>-220.56043750000001</v>
      </c>
      <c r="M2917" s="9" t="str">
        <f>IF(A2917="",M2918,A2917)</f>
        <v>Mauritius</v>
      </c>
      <c r="N2917" s="3" t="str">
        <f t="shared" si="91"/>
        <v>Dec-2020</v>
      </c>
    </row>
    <row r="2918" spans="1:14" x14ac:dyDescent="0.3">
      <c r="A2918" s="3" t="s">
        <v>250</v>
      </c>
      <c r="B2918" s="3" t="s">
        <v>251</v>
      </c>
      <c r="C2918" s="8">
        <v>2021</v>
      </c>
      <c r="D2918" s="8">
        <v>1</v>
      </c>
      <c r="E2918" s="3" t="str">
        <f t="shared" si="90"/>
        <v>January</v>
      </c>
      <c r="F2918" s="3" t="s">
        <v>13</v>
      </c>
      <c r="G2918" s="8">
        <v>982.37089860000003</v>
      </c>
      <c r="H2918" s="8">
        <v>955</v>
      </c>
      <c r="I2918" s="8">
        <v>-27.53756525</v>
      </c>
      <c r="J2918" s="8">
        <v>-406.6406503</v>
      </c>
      <c r="K2918" s="8">
        <v>-580.82924519999995</v>
      </c>
      <c r="L2918" s="8">
        <v>-239.4023019</v>
      </c>
      <c r="M2918" s="9" t="str">
        <f>IF(A2918="",M2919,A2918)</f>
        <v>Mauritius</v>
      </c>
      <c r="N2918" s="3" t="str">
        <f t="shared" si="91"/>
        <v>Jan-2021</v>
      </c>
    </row>
    <row r="2919" spans="1:14" x14ac:dyDescent="0.3">
      <c r="A2919" s="3" t="s">
        <v>250</v>
      </c>
      <c r="B2919" s="3" t="s">
        <v>251</v>
      </c>
      <c r="C2919" s="8">
        <v>2021</v>
      </c>
      <c r="D2919" s="8">
        <v>2</v>
      </c>
      <c r="E2919" s="3" t="str">
        <f t="shared" si="90"/>
        <v>February</v>
      </c>
      <c r="F2919" s="3" t="s">
        <v>13</v>
      </c>
      <c r="G2919" s="8">
        <v>909.90207980000002</v>
      </c>
      <c r="H2919" s="8">
        <v>853</v>
      </c>
      <c r="I2919" s="8">
        <v>-57.068746439999998</v>
      </c>
      <c r="J2919" s="8">
        <v>-463.70939670000001</v>
      </c>
      <c r="K2919" s="8">
        <v>-636.2622963</v>
      </c>
      <c r="L2919" s="8">
        <v>-282.10347050000001</v>
      </c>
      <c r="M2919" s="9" t="str">
        <f>IF(A2919="",M2920,A2919)</f>
        <v>Mauritius</v>
      </c>
      <c r="N2919" s="3" t="str">
        <f t="shared" si="91"/>
        <v>Feb-2021</v>
      </c>
    </row>
    <row r="2920" spans="1:14" x14ac:dyDescent="0.3">
      <c r="A2920" s="3" t="s">
        <v>250</v>
      </c>
      <c r="B2920" s="3" t="s">
        <v>251</v>
      </c>
      <c r="C2920" s="8">
        <v>2021</v>
      </c>
      <c r="D2920" s="8">
        <v>3</v>
      </c>
      <c r="E2920" s="3" t="str">
        <f t="shared" si="90"/>
        <v>March</v>
      </c>
      <c r="F2920" s="3" t="s">
        <v>13</v>
      </c>
      <c r="G2920" s="8">
        <v>989.46419300000002</v>
      </c>
      <c r="H2920" s="8">
        <v>952</v>
      </c>
      <c r="I2920" s="8">
        <v>-37.630859690000001</v>
      </c>
      <c r="J2920" s="8">
        <v>-501.34025639999999</v>
      </c>
      <c r="K2920" s="8">
        <v>-687.22646229999998</v>
      </c>
      <c r="L2920" s="8">
        <v>-313.42615269999999</v>
      </c>
      <c r="M2920" s="9" t="str">
        <f>IF(A2920="",M2921,A2920)</f>
        <v>Mauritius</v>
      </c>
      <c r="N2920" s="3" t="str">
        <f t="shared" si="91"/>
        <v>Mar-2021</v>
      </c>
    </row>
    <row r="2921" spans="1:14" x14ac:dyDescent="0.3">
      <c r="A2921" s="3" t="s">
        <v>250</v>
      </c>
      <c r="B2921" s="3" t="s">
        <v>251</v>
      </c>
      <c r="C2921" s="8">
        <v>2021</v>
      </c>
      <c r="D2921" s="8">
        <v>4</v>
      </c>
      <c r="E2921" s="3" t="str">
        <f t="shared" si="90"/>
        <v>April</v>
      </c>
      <c r="F2921" s="3" t="s">
        <v>13</v>
      </c>
      <c r="G2921" s="8">
        <v>923.7311469</v>
      </c>
      <c r="H2921" s="8">
        <v>864</v>
      </c>
      <c r="I2921" s="8">
        <v>-59.897813569999997</v>
      </c>
      <c r="J2921" s="8">
        <v>-561.23806999999999</v>
      </c>
      <c r="K2921" s="8">
        <v>-754.96166909999999</v>
      </c>
      <c r="L2921" s="8">
        <v>-381.13863329999998</v>
      </c>
      <c r="M2921" s="9" t="str">
        <f>IF(A2921="",M2922,A2921)</f>
        <v>Mauritius</v>
      </c>
      <c r="N2921" s="3" t="str">
        <f t="shared" si="91"/>
        <v>Apr-2021</v>
      </c>
    </row>
    <row r="2922" spans="1:14" x14ac:dyDescent="0.3">
      <c r="A2922" s="3" t="s">
        <v>250</v>
      </c>
      <c r="B2922" s="3" t="s">
        <v>251</v>
      </c>
      <c r="C2922" s="8">
        <v>2021</v>
      </c>
      <c r="D2922" s="8">
        <v>5</v>
      </c>
      <c r="E2922" s="3" t="str">
        <f t="shared" si="90"/>
        <v>May</v>
      </c>
      <c r="F2922" s="3" t="s">
        <v>13</v>
      </c>
      <c r="G2922" s="8">
        <v>947.51646860000005</v>
      </c>
      <c r="H2922" s="8">
        <v>888</v>
      </c>
      <c r="I2922" s="8">
        <v>-59.683135270000001</v>
      </c>
      <c r="J2922" s="8">
        <v>-620.92120520000003</v>
      </c>
      <c r="K2922" s="8">
        <v>-830.81469379999999</v>
      </c>
      <c r="L2922" s="8">
        <v>-431.62682769999998</v>
      </c>
      <c r="M2922" s="9" t="str">
        <f>IF(A2922="",M2923,A2922)</f>
        <v>Mauritius</v>
      </c>
      <c r="N2922" s="3" t="str">
        <f t="shared" si="91"/>
        <v>May-2021</v>
      </c>
    </row>
    <row r="2923" spans="1:14" x14ac:dyDescent="0.3">
      <c r="A2923" s="3" t="s">
        <v>250</v>
      </c>
      <c r="B2923" s="3" t="s">
        <v>251</v>
      </c>
      <c r="C2923" s="8">
        <v>2021</v>
      </c>
      <c r="D2923" s="8">
        <v>6</v>
      </c>
      <c r="E2923" s="3" t="str">
        <f t="shared" si="90"/>
        <v>June</v>
      </c>
      <c r="F2923" s="3" t="s">
        <v>13</v>
      </c>
      <c r="G2923" s="8">
        <v>938.04868950000002</v>
      </c>
      <c r="H2923" s="8">
        <v>952</v>
      </c>
      <c r="I2923" s="8">
        <v>13.7846438</v>
      </c>
      <c r="J2923" s="8">
        <v>-607.13656140000001</v>
      </c>
      <c r="K2923" s="8">
        <v>-822.96316750000005</v>
      </c>
      <c r="L2923" s="8">
        <v>-398.64111530000002</v>
      </c>
      <c r="M2923" s="9" t="str">
        <f>IF(A2923="",M2924,A2923)</f>
        <v>Mauritius</v>
      </c>
      <c r="N2923" s="3" t="str">
        <f t="shared" si="91"/>
        <v>Jun-2021</v>
      </c>
    </row>
    <row r="2924" spans="1:14" x14ac:dyDescent="0.3">
      <c r="A2924" s="3" t="s">
        <v>250</v>
      </c>
      <c r="B2924" s="3" t="s">
        <v>251</v>
      </c>
      <c r="C2924" s="8">
        <v>2021</v>
      </c>
      <c r="D2924" s="8">
        <v>7</v>
      </c>
      <c r="E2924" s="3" t="str">
        <f t="shared" si="90"/>
        <v>July</v>
      </c>
      <c r="F2924" s="3" t="s">
        <v>13</v>
      </c>
      <c r="G2924" s="8">
        <v>1104.9064920000001</v>
      </c>
      <c r="H2924" s="8">
        <v>1012</v>
      </c>
      <c r="I2924" s="8">
        <v>-93.073158550000002</v>
      </c>
      <c r="J2924" s="8">
        <v>-700.20971999999995</v>
      </c>
      <c r="K2924" s="8">
        <v>-918.67221810000001</v>
      </c>
      <c r="L2924" s="8">
        <v>-497.87883049999999</v>
      </c>
      <c r="M2924" s="9" t="str">
        <f>IF(A2924="",M2925,A2924)</f>
        <v>Mauritius</v>
      </c>
      <c r="N2924" s="3" t="str">
        <f t="shared" si="91"/>
        <v>Jul-2021</v>
      </c>
    </row>
    <row r="2925" spans="1:14" x14ac:dyDescent="0.3">
      <c r="A2925" s="3" t="s">
        <v>250</v>
      </c>
      <c r="B2925" s="3" t="s">
        <v>251</v>
      </c>
      <c r="C2925" s="8">
        <v>2021</v>
      </c>
      <c r="D2925" s="8">
        <v>8</v>
      </c>
      <c r="E2925" s="3" t="str">
        <f t="shared" si="90"/>
        <v>August</v>
      </c>
      <c r="F2925" s="3" t="s">
        <v>13</v>
      </c>
      <c r="G2925" s="8">
        <v>1065.315124</v>
      </c>
      <c r="H2925" s="8">
        <v>1178</v>
      </c>
      <c r="I2925" s="8">
        <v>112.5182093</v>
      </c>
      <c r="J2925" s="8">
        <v>-587.69151069999998</v>
      </c>
      <c r="K2925" s="8">
        <v>-813.34413810000001</v>
      </c>
      <c r="L2925" s="8">
        <v>-373.51327409999999</v>
      </c>
      <c r="M2925" s="9" t="str">
        <f>IF(A2925="",M2926,A2925)</f>
        <v>Mauritius</v>
      </c>
      <c r="N2925" s="3" t="str">
        <f t="shared" si="91"/>
        <v>Aug-2021</v>
      </c>
    </row>
    <row r="2926" spans="1:14" x14ac:dyDescent="0.3">
      <c r="A2926" s="3" t="s">
        <v>250</v>
      </c>
      <c r="B2926" s="3" t="s">
        <v>251</v>
      </c>
      <c r="C2926" s="8">
        <v>2021</v>
      </c>
      <c r="D2926" s="8">
        <v>9</v>
      </c>
      <c r="E2926" s="3" t="str">
        <f t="shared" si="90"/>
        <v>September</v>
      </c>
      <c r="F2926" s="3" t="s">
        <v>13</v>
      </c>
      <c r="G2926" s="8">
        <v>1029.2083479999999</v>
      </c>
      <c r="H2926" s="8">
        <v>1203</v>
      </c>
      <c r="I2926" s="8">
        <v>173.6249851</v>
      </c>
      <c r="J2926" s="8">
        <v>-414.06652559999998</v>
      </c>
      <c r="K2926" s="8">
        <v>-652.65620560000002</v>
      </c>
      <c r="L2926" s="8">
        <v>-200.03460659999999</v>
      </c>
      <c r="M2926" s="9" t="str">
        <f>IF(A2926="",M2927,A2926)</f>
        <v>Mauritius</v>
      </c>
      <c r="N2926" s="3" t="str">
        <f t="shared" si="91"/>
        <v>Sep-2021</v>
      </c>
    </row>
    <row r="2927" spans="1:14" x14ac:dyDescent="0.3">
      <c r="A2927" s="3" t="s">
        <v>250</v>
      </c>
      <c r="B2927" s="3" t="s">
        <v>251</v>
      </c>
      <c r="C2927" s="8">
        <v>2021</v>
      </c>
      <c r="D2927" s="8">
        <v>10</v>
      </c>
      <c r="E2927" s="3" t="str">
        <f t="shared" si="90"/>
        <v>October</v>
      </c>
      <c r="F2927" s="3" t="s">
        <v>13</v>
      </c>
      <c r="G2927" s="8">
        <v>974.34958640000002</v>
      </c>
      <c r="H2927" s="8">
        <v>1220</v>
      </c>
      <c r="I2927" s="8">
        <v>245.4837469</v>
      </c>
      <c r="J2927" s="8">
        <v>-168.58277870000001</v>
      </c>
      <c r="K2927" s="8">
        <v>-410.01625159999998</v>
      </c>
      <c r="L2927" s="8">
        <v>58.432854740000003</v>
      </c>
      <c r="M2927" s="9" t="str">
        <f>IF(A2927="",M2928,A2927)</f>
        <v>Mauritius</v>
      </c>
      <c r="N2927" s="3" t="str">
        <f t="shared" si="91"/>
        <v>Oct-2021</v>
      </c>
    </row>
    <row r="2928" spans="1:14" x14ac:dyDescent="0.3">
      <c r="A2928" s="3" t="s">
        <v>250</v>
      </c>
      <c r="B2928" s="3" t="s">
        <v>251</v>
      </c>
      <c r="C2928" s="8">
        <v>2021</v>
      </c>
      <c r="D2928" s="8">
        <v>11</v>
      </c>
      <c r="E2928" s="3" t="str">
        <f t="shared" si="90"/>
        <v>November</v>
      </c>
      <c r="F2928" s="3" t="s">
        <v>13</v>
      </c>
      <c r="G2928" s="8">
        <v>933.40341430000001</v>
      </c>
      <c r="H2928" s="8">
        <v>1761</v>
      </c>
      <c r="I2928" s="8">
        <v>827.42991910000001</v>
      </c>
      <c r="J2928" s="8">
        <v>658.84714029999998</v>
      </c>
      <c r="K2928" s="8">
        <v>407.72883880000001</v>
      </c>
      <c r="L2928" s="8">
        <v>888.56471250000004</v>
      </c>
      <c r="M2928" s="9" t="str">
        <f>IF(A2928="",M2929,A2928)</f>
        <v>Mauritius</v>
      </c>
      <c r="N2928" s="3" t="str">
        <f t="shared" si="91"/>
        <v>Nov-2021</v>
      </c>
    </row>
    <row r="2929" spans="1:14" x14ac:dyDescent="0.3">
      <c r="A2929" s="3" t="s">
        <v>250</v>
      </c>
      <c r="B2929" s="3" t="s">
        <v>251</v>
      </c>
      <c r="C2929" s="8">
        <v>2021</v>
      </c>
      <c r="D2929" s="8">
        <v>12</v>
      </c>
      <c r="E2929" s="3" t="str">
        <f t="shared" si="90"/>
        <v>December</v>
      </c>
      <c r="F2929" s="3" t="s">
        <v>13</v>
      </c>
      <c r="G2929" s="8">
        <v>1010.91326</v>
      </c>
      <c r="H2929" s="8">
        <v>1436</v>
      </c>
      <c r="I2929" s="8">
        <v>424.92007360000002</v>
      </c>
      <c r="J2929" s="8">
        <v>1083.767214</v>
      </c>
      <c r="K2929" s="8">
        <v>836.55561009999997</v>
      </c>
      <c r="L2929" s="8">
        <v>1322.1067</v>
      </c>
      <c r="M2929" s="9" t="str">
        <f>IF(A2929="",M2930,A2929)</f>
        <v>Mauritius</v>
      </c>
      <c r="N2929" s="3" t="str">
        <f t="shared" si="91"/>
        <v>Dec-2021</v>
      </c>
    </row>
    <row r="2930" spans="1:14" x14ac:dyDescent="0.3">
      <c r="A2930" s="3" t="s">
        <v>252</v>
      </c>
      <c r="B2930" s="3" t="s">
        <v>253</v>
      </c>
      <c r="C2930" s="8">
        <v>2020</v>
      </c>
      <c r="D2930" s="8">
        <v>1</v>
      </c>
      <c r="E2930" s="3" t="str">
        <f t="shared" si="90"/>
        <v>January</v>
      </c>
      <c r="F2930" s="3" t="s">
        <v>8</v>
      </c>
      <c r="G2930" s="8">
        <v>8851.0206610000005</v>
      </c>
      <c r="H2930" s="8">
        <v>9196.7060000000001</v>
      </c>
      <c r="I2930" s="8">
        <v>345.68533869999999</v>
      </c>
      <c r="J2930" s="8">
        <v>345.68533869999999</v>
      </c>
      <c r="K2930" s="8">
        <v>-1861.3974410000001</v>
      </c>
      <c r="L2930" s="8">
        <v>3307.7575649999999</v>
      </c>
      <c r="M2930" s="9" t="str">
        <f>IF(A2930="",M2931,A2930)</f>
        <v>Malawi</v>
      </c>
      <c r="N2930" s="3" t="str">
        <f t="shared" si="91"/>
        <v>Jan-2020</v>
      </c>
    </row>
    <row r="2931" spans="1:14" x14ac:dyDescent="0.3">
      <c r="A2931" s="3" t="s">
        <v>252</v>
      </c>
      <c r="B2931" s="3" t="s">
        <v>253</v>
      </c>
      <c r="C2931" s="8">
        <v>2020</v>
      </c>
      <c r="D2931" s="8">
        <v>2</v>
      </c>
      <c r="E2931" s="3" t="str">
        <f t="shared" si="90"/>
        <v>February</v>
      </c>
      <c r="F2931" s="3" t="s">
        <v>8</v>
      </c>
      <c r="G2931" s="8">
        <v>8836.0646899999992</v>
      </c>
      <c r="H2931" s="8">
        <v>8916.7749999999996</v>
      </c>
      <c r="I2931" s="8">
        <v>80.710309839999994</v>
      </c>
      <c r="J2931" s="8">
        <v>426.39564860000002</v>
      </c>
      <c r="K2931" s="8">
        <v>-2443.470343</v>
      </c>
      <c r="L2931" s="8">
        <v>4011.0587409999998</v>
      </c>
      <c r="M2931" s="9" t="str">
        <f>IF(A2931="",M2932,A2931)</f>
        <v>Malawi</v>
      </c>
      <c r="N2931" s="3" t="str">
        <f t="shared" si="91"/>
        <v>Feb-2020</v>
      </c>
    </row>
    <row r="2932" spans="1:14" x14ac:dyDescent="0.3">
      <c r="A2932" s="3" t="s">
        <v>252</v>
      </c>
      <c r="B2932" s="3" t="s">
        <v>253</v>
      </c>
      <c r="C2932" s="8">
        <v>2020</v>
      </c>
      <c r="D2932" s="8">
        <v>3</v>
      </c>
      <c r="E2932" s="3" t="str">
        <f t="shared" si="90"/>
        <v>March</v>
      </c>
      <c r="F2932" s="3" t="s">
        <v>8</v>
      </c>
      <c r="G2932" s="8">
        <v>8858.0980039999995</v>
      </c>
      <c r="H2932" s="8">
        <v>8808.9639999999999</v>
      </c>
      <c r="I2932" s="8">
        <v>-49.134003829999997</v>
      </c>
      <c r="J2932" s="8">
        <v>377.26164469999998</v>
      </c>
      <c r="K2932" s="8">
        <v>-3314.6911540000001</v>
      </c>
      <c r="L2932" s="8">
        <v>4692.5008250000001</v>
      </c>
      <c r="M2932" s="9" t="str">
        <f>IF(A2932="",M2933,A2932)</f>
        <v>Malawi</v>
      </c>
      <c r="N2932" s="3" t="str">
        <f t="shared" si="91"/>
        <v>Mar-2020</v>
      </c>
    </row>
    <row r="2933" spans="1:14" x14ac:dyDescent="0.3">
      <c r="A2933" s="3" t="s">
        <v>252</v>
      </c>
      <c r="B2933" s="3" t="s">
        <v>253</v>
      </c>
      <c r="C2933" s="8">
        <v>2020</v>
      </c>
      <c r="D2933" s="8">
        <v>4</v>
      </c>
      <c r="E2933" s="3" t="str">
        <f t="shared" si="90"/>
        <v>April</v>
      </c>
      <c r="F2933" s="3" t="s">
        <v>8</v>
      </c>
      <c r="G2933" s="8">
        <v>8870.3861699999998</v>
      </c>
      <c r="H2933" s="8">
        <v>8394.9380000000001</v>
      </c>
      <c r="I2933" s="8">
        <v>-475.44817019999999</v>
      </c>
      <c r="J2933" s="8">
        <v>-98.186525459999999</v>
      </c>
      <c r="K2933" s="8">
        <v>-4413.5579260000004</v>
      </c>
      <c r="L2933" s="8">
        <v>5155.8608240000003</v>
      </c>
      <c r="M2933" s="9" t="str">
        <f>IF(A2933="",M2934,A2933)</f>
        <v>Malawi</v>
      </c>
      <c r="N2933" s="3" t="str">
        <f t="shared" si="91"/>
        <v>Apr-2020</v>
      </c>
    </row>
    <row r="2934" spans="1:14" x14ac:dyDescent="0.3">
      <c r="A2934" s="3" t="s">
        <v>252</v>
      </c>
      <c r="B2934" s="3" t="s">
        <v>253</v>
      </c>
      <c r="C2934" s="8">
        <v>2020</v>
      </c>
      <c r="D2934" s="8">
        <v>5</v>
      </c>
      <c r="E2934" s="3" t="str">
        <f t="shared" si="90"/>
        <v>May</v>
      </c>
      <c r="F2934" s="3" t="s">
        <v>8</v>
      </c>
      <c r="G2934" s="8">
        <v>8990.7717260000009</v>
      </c>
      <c r="H2934" s="8">
        <v>8494.2289999999994</v>
      </c>
      <c r="I2934" s="8">
        <v>-496.54272600000002</v>
      </c>
      <c r="J2934" s="8">
        <v>-594.72925139999995</v>
      </c>
      <c r="K2934" s="8">
        <v>-5733.413466</v>
      </c>
      <c r="L2934" s="8">
        <v>5028.4190239999998</v>
      </c>
      <c r="M2934" s="9" t="str">
        <f>IF(A2934="",M2935,A2934)</f>
        <v>Malawi</v>
      </c>
      <c r="N2934" s="3" t="str">
        <f t="shared" si="91"/>
        <v>May-2020</v>
      </c>
    </row>
    <row r="2935" spans="1:14" x14ac:dyDescent="0.3">
      <c r="A2935" s="3" t="s">
        <v>252</v>
      </c>
      <c r="B2935" s="3" t="s">
        <v>253</v>
      </c>
      <c r="C2935" s="8">
        <v>2020</v>
      </c>
      <c r="D2935" s="8">
        <v>6</v>
      </c>
      <c r="E2935" s="3" t="str">
        <f t="shared" si="90"/>
        <v>June</v>
      </c>
      <c r="F2935" s="3" t="s">
        <v>8</v>
      </c>
      <c r="G2935" s="8">
        <v>9072.5881719999998</v>
      </c>
      <c r="H2935" s="8">
        <v>9059.2649999999994</v>
      </c>
      <c r="I2935" s="8">
        <v>-13.323172469999999</v>
      </c>
      <c r="J2935" s="8">
        <v>-608.05242390000001</v>
      </c>
      <c r="K2935" s="8">
        <v>-6286.5609599999998</v>
      </c>
      <c r="L2935" s="8">
        <v>5771.1488879999997</v>
      </c>
      <c r="M2935" s="9" t="str">
        <f>IF(A2935="",M2936,A2935)</f>
        <v>Malawi</v>
      </c>
      <c r="N2935" s="3" t="str">
        <f t="shared" si="91"/>
        <v>Jun-2020</v>
      </c>
    </row>
    <row r="2936" spans="1:14" x14ac:dyDescent="0.3">
      <c r="A2936" s="3" t="s">
        <v>252</v>
      </c>
      <c r="B2936" s="3" t="s">
        <v>253</v>
      </c>
      <c r="C2936" s="8">
        <v>2020</v>
      </c>
      <c r="D2936" s="8">
        <v>7</v>
      </c>
      <c r="E2936" s="3" t="str">
        <f t="shared" si="90"/>
        <v>July</v>
      </c>
      <c r="F2936" s="3" t="s">
        <v>8</v>
      </c>
      <c r="G2936" s="8">
        <v>9129.9589980000001</v>
      </c>
      <c r="H2936" s="8">
        <v>9955.1020000000008</v>
      </c>
      <c r="I2936" s="8">
        <v>825.14300160000005</v>
      </c>
      <c r="J2936" s="8">
        <v>217.09057770000001</v>
      </c>
      <c r="K2936" s="8">
        <v>-5894.3839740000003</v>
      </c>
      <c r="L2936" s="8">
        <v>7052.3710339999998</v>
      </c>
      <c r="M2936" s="9" t="str">
        <f>IF(A2936="",M2937,A2936)</f>
        <v>Malawi</v>
      </c>
      <c r="N2936" s="3" t="str">
        <f t="shared" si="91"/>
        <v>Jul-2020</v>
      </c>
    </row>
    <row r="2937" spans="1:14" x14ac:dyDescent="0.3">
      <c r="A2937" s="3" t="s">
        <v>252</v>
      </c>
      <c r="B2937" s="3" t="s">
        <v>253</v>
      </c>
      <c r="C2937" s="8">
        <v>2020</v>
      </c>
      <c r="D2937" s="8">
        <v>8</v>
      </c>
      <c r="E2937" s="3" t="str">
        <f t="shared" si="90"/>
        <v>August</v>
      </c>
      <c r="F2937" s="3" t="s">
        <v>8</v>
      </c>
      <c r="G2937" s="8">
        <v>9026.7165499999992</v>
      </c>
      <c r="H2937" s="8">
        <v>9653.7929999999997</v>
      </c>
      <c r="I2937" s="8">
        <v>627.07645019999995</v>
      </c>
      <c r="J2937" s="8">
        <v>844.16702789999999</v>
      </c>
      <c r="K2937" s="8">
        <v>-5514.6806980000001</v>
      </c>
      <c r="L2937" s="8">
        <v>7707.4380529999999</v>
      </c>
      <c r="M2937" s="9" t="str">
        <f>IF(A2937="",M2938,A2937)</f>
        <v>Malawi</v>
      </c>
      <c r="N2937" s="3" t="str">
        <f t="shared" si="91"/>
        <v>Aug-2020</v>
      </c>
    </row>
    <row r="2938" spans="1:14" x14ac:dyDescent="0.3">
      <c r="A2938" s="3" t="s">
        <v>252</v>
      </c>
      <c r="B2938" s="3" t="s">
        <v>253</v>
      </c>
      <c r="C2938" s="8">
        <v>2020</v>
      </c>
      <c r="D2938" s="8">
        <v>9</v>
      </c>
      <c r="E2938" s="3" t="str">
        <f t="shared" si="90"/>
        <v>September</v>
      </c>
      <c r="F2938" s="3" t="s">
        <v>8</v>
      </c>
      <c r="G2938" s="8">
        <v>8915.5899279999994</v>
      </c>
      <c r="H2938" s="8">
        <v>9104.7880000000005</v>
      </c>
      <c r="I2938" s="8">
        <v>189.198072</v>
      </c>
      <c r="J2938" s="8">
        <v>1033.3651</v>
      </c>
      <c r="K2938" s="8">
        <v>-5898.3391009999996</v>
      </c>
      <c r="L2938" s="8">
        <v>8447.9630359999992</v>
      </c>
      <c r="M2938" s="9" t="str">
        <f>IF(A2938="",M2939,A2938)</f>
        <v>Malawi</v>
      </c>
      <c r="N2938" s="3" t="str">
        <f t="shared" si="91"/>
        <v>Sep-2020</v>
      </c>
    </row>
    <row r="2939" spans="1:14" x14ac:dyDescent="0.3">
      <c r="A2939" s="3" t="s">
        <v>252</v>
      </c>
      <c r="B2939" s="3" t="s">
        <v>253</v>
      </c>
      <c r="C2939" s="8">
        <v>2020</v>
      </c>
      <c r="D2939" s="8">
        <v>10</v>
      </c>
      <c r="E2939" s="3" t="str">
        <f t="shared" si="90"/>
        <v>October</v>
      </c>
      <c r="F2939" s="3" t="s">
        <v>8</v>
      </c>
      <c r="G2939" s="8">
        <v>8783.5858850000004</v>
      </c>
      <c r="H2939" s="8">
        <v>8758.0059999999994</v>
      </c>
      <c r="I2939" s="8">
        <v>-25.579884929999999</v>
      </c>
      <c r="J2939" s="8">
        <v>1007.785215</v>
      </c>
      <c r="K2939" s="8">
        <v>-6406.6675670000004</v>
      </c>
      <c r="L2939" s="8">
        <v>8553.3802070000002</v>
      </c>
      <c r="M2939" s="9" t="str">
        <f>IF(A2939="",M2940,A2939)</f>
        <v>Malawi</v>
      </c>
      <c r="N2939" s="3" t="str">
        <f t="shared" si="91"/>
        <v>Oct-2020</v>
      </c>
    </row>
    <row r="2940" spans="1:14" x14ac:dyDescent="0.3">
      <c r="A2940" s="3" t="s">
        <v>252</v>
      </c>
      <c r="B2940" s="3" t="s">
        <v>253</v>
      </c>
      <c r="C2940" s="8">
        <v>2020</v>
      </c>
      <c r="D2940" s="8">
        <v>11</v>
      </c>
      <c r="E2940" s="3" t="str">
        <f t="shared" si="90"/>
        <v>November</v>
      </c>
      <c r="F2940" s="3" t="s">
        <v>8</v>
      </c>
      <c r="G2940" s="8">
        <v>8713.9305660000009</v>
      </c>
      <c r="H2940" s="8">
        <v>8557.6110000000008</v>
      </c>
      <c r="I2940" s="8">
        <v>-156.31956579999999</v>
      </c>
      <c r="J2940" s="8">
        <v>851.46564920000003</v>
      </c>
      <c r="K2940" s="8">
        <v>-6844.8414190000003</v>
      </c>
      <c r="L2940" s="8">
        <v>8296.3199299999997</v>
      </c>
      <c r="M2940" s="9" t="str">
        <f>IF(A2940="",M2941,A2940)</f>
        <v>Malawi</v>
      </c>
      <c r="N2940" s="3" t="str">
        <f t="shared" si="91"/>
        <v>Nov-2020</v>
      </c>
    </row>
    <row r="2941" spans="1:14" x14ac:dyDescent="0.3">
      <c r="A2941" s="3" t="s">
        <v>252</v>
      </c>
      <c r="B2941" s="3" t="s">
        <v>253</v>
      </c>
      <c r="C2941" s="8">
        <v>2020</v>
      </c>
      <c r="D2941" s="8">
        <v>12</v>
      </c>
      <c r="E2941" s="3" t="str">
        <f t="shared" si="90"/>
        <v>December</v>
      </c>
      <c r="F2941" s="3" t="s">
        <v>8</v>
      </c>
      <c r="G2941" s="8">
        <v>8838.2679059999991</v>
      </c>
      <c r="H2941" s="8">
        <v>8753.2209999999995</v>
      </c>
      <c r="I2941" s="8">
        <v>-85.046906149999998</v>
      </c>
      <c r="J2941" s="8">
        <v>766.41874310000003</v>
      </c>
      <c r="K2941" s="8">
        <v>-7315.8010709999999</v>
      </c>
      <c r="L2941" s="8">
        <v>8807.5716960000009</v>
      </c>
      <c r="M2941" s="9" t="str">
        <f>IF(A2941="",M2942,A2941)</f>
        <v>Malawi</v>
      </c>
      <c r="N2941" s="3" t="str">
        <f t="shared" si="91"/>
        <v>Dec-2020</v>
      </c>
    </row>
    <row r="2942" spans="1:14" x14ac:dyDescent="0.3">
      <c r="A2942" s="3" t="s">
        <v>252</v>
      </c>
      <c r="B2942" s="3" t="s">
        <v>253</v>
      </c>
      <c r="C2942" s="8">
        <v>2021</v>
      </c>
      <c r="D2942" s="8">
        <v>1</v>
      </c>
      <c r="E2942" s="3" t="str">
        <f t="shared" si="90"/>
        <v>January</v>
      </c>
      <c r="F2942" s="3" t="s">
        <v>8</v>
      </c>
      <c r="G2942" s="8">
        <v>8757.5353410000007</v>
      </c>
      <c r="H2942" s="8">
        <v>10925.739</v>
      </c>
      <c r="I2942" s="8">
        <v>2168.2036589999998</v>
      </c>
      <c r="J2942" s="8">
        <v>2934.622402</v>
      </c>
      <c r="K2942" s="8">
        <v>-5591.1895960000002</v>
      </c>
      <c r="L2942" s="8">
        <v>11800.901690000001</v>
      </c>
      <c r="M2942" s="9" t="str">
        <f>IF(A2942="",M2943,A2942)</f>
        <v>Malawi</v>
      </c>
      <c r="N2942" s="3" t="str">
        <f t="shared" si="91"/>
        <v>Jan-2021</v>
      </c>
    </row>
    <row r="2943" spans="1:14" x14ac:dyDescent="0.3">
      <c r="A2943" s="3" t="s">
        <v>252</v>
      </c>
      <c r="B2943" s="3" t="s">
        <v>253</v>
      </c>
      <c r="C2943" s="8">
        <v>2021</v>
      </c>
      <c r="D2943" s="8">
        <v>2</v>
      </c>
      <c r="E2943" s="3" t="str">
        <f t="shared" si="90"/>
        <v>February</v>
      </c>
      <c r="F2943" s="3" t="s">
        <v>8</v>
      </c>
      <c r="G2943" s="8">
        <v>8745.2707829999999</v>
      </c>
      <c r="H2943" s="8">
        <v>10426.290000000001</v>
      </c>
      <c r="I2943" s="8">
        <v>1681.019217</v>
      </c>
      <c r="J2943" s="8">
        <v>4615.641619</v>
      </c>
      <c r="K2943" s="8">
        <v>-4254.0104789999996</v>
      </c>
      <c r="L2943" s="8">
        <v>13927.58059</v>
      </c>
      <c r="M2943" s="9" t="str">
        <f>IF(A2943="",M2944,A2943)</f>
        <v>Malawi</v>
      </c>
      <c r="N2943" s="3" t="str">
        <f t="shared" si="91"/>
        <v>Feb-2021</v>
      </c>
    </row>
    <row r="2944" spans="1:14" x14ac:dyDescent="0.3">
      <c r="A2944" s="3" t="s">
        <v>252</v>
      </c>
      <c r="B2944" s="3" t="s">
        <v>253</v>
      </c>
      <c r="C2944" s="8">
        <v>2021</v>
      </c>
      <c r="D2944" s="8">
        <v>3</v>
      </c>
      <c r="E2944" s="3" t="str">
        <f t="shared" si="90"/>
        <v>March</v>
      </c>
      <c r="F2944" s="3" t="s">
        <v>8</v>
      </c>
      <c r="G2944" s="8">
        <v>8764.713248</v>
      </c>
      <c r="H2944" s="8">
        <v>9255.6440000000002</v>
      </c>
      <c r="I2944" s="8">
        <v>490.93075169999997</v>
      </c>
      <c r="J2944" s="8">
        <v>5106.5723699999999</v>
      </c>
      <c r="K2944" s="8">
        <v>-3839.6658090000001</v>
      </c>
      <c r="L2944" s="8">
        <v>14922.38479</v>
      </c>
      <c r="M2944" s="9" t="str">
        <f>IF(A2944="",M2945,A2944)</f>
        <v>Malawi</v>
      </c>
      <c r="N2944" s="3" t="str">
        <f t="shared" si="91"/>
        <v>Mar-2021</v>
      </c>
    </row>
    <row r="2945" spans="1:14" x14ac:dyDescent="0.3">
      <c r="A2945" s="3" t="s">
        <v>252</v>
      </c>
      <c r="B2945" s="3" t="s">
        <v>253</v>
      </c>
      <c r="C2945" s="8">
        <v>2021</v>
      </c>
      <c r="D2945" s="8">
        <v>4</v>
      </c>
      <c r="E2945" s="3" t="str">
        <f t="shared" si="90"/>
        <v>April</v>
      </c>
      <c r="F2945" s="3" t="s">
        <v>8</v>
      </c>
      <c r="G2945" s="8">
        <v>8783.4173630000005</v>
      </c>
      <c r="H2945" s="8">
        <v>8915.7669999999998</v>
      </c>
      <c r="I2945" s="8">
        <v>132.34963680000001</v>
      </c>
      <c r="J2945" s="8">
        <v>5238.9220070000001</v>
      </c>
      <c r="K2945" s="8">
        <v>-4049.9612160000001</v>
      </c>
      <c r="L2945" s="8">
        <v>15494.82552</v>
      </c>
      <c r="M2945" s="9" t="str">
        <f>IF(A2945="",M2946,A2945)</f>
        <v>Malawi</v>
      </c>
      <c r="N2945" s="3" t="str">
        <f t="shared" si="91"/>
        <v>Apr-2021</v>
      </c>
    </row>
    <row r="2946" spans="1:14" x14ac:dyDescent="0.3">
      <c r="A2946" s="3" t="s">
        <v>252</v>
      </c>
      <c r="B2946" s="3" t="s">
        <v>253</v>
      </c>
      <c r="C2946" s="8">
        <v>2021</v>
      </c>
      <c r="D2946" s="8">
        <v>5</v>
      </c>
      <c r="E2946" s="3" t="str">
        <f t="shared" ref="E2946:E3009" si="92">TEXT(DATE(C2946,D2946,1),"MMMM")</f>
        <v>May</v>
      </c>
      <c r="F2946" s="3" t="s">
        <v>8</v>
      </c>
      <c r="G2946" s="8">
        <v>8901.8763290000006</v>
      </c>
      <c r="H2946" s="8">
        <v>8814.9590000000007</v>
      </c>
      <c r="I2946" s="8">
        <v>-86.917329170000002</v>
      </c>
      <c r="J2946" s="8">
        <v>5152.0046780000002</v>
      </c>
      <c r="K2946" s="8">
        <v>-4136.2817869999999</v>
      </c>
      <c r="L2946" s="8">
        <v>16110.35979</v>
      </c>
      <c r="M2946" s="9" t="str">
        <f>IF(A2946="",M2947,A2946)</f>
        <v>Malawi</v>
      </c>
      <c r="N2946" s="3" t="str">
        <f t="shared" ref="N2946:N3009" si="93">TEXT(DATE(C2946,D2946,1),"MMM-YYYY")</f>
        <v>May-2021</v>
      </c>
    </row>
    <row r="2947" spans="1:14" x14ac:dyDescent="0.3">
      <c r="A2947" s="3" t="s">
        <v>252</v>
      </c>
      <c r="B2947" s="3" t="s">
        <v>253</v>
      </c>
      <c r="C2947" s="8">
        <v>2021</v>
      </c>
      <c r="D2947" s="8">
        <v>6</v>
      </c>
      <c r="E2947" s="3" t="str">
        <f t="shared" si="92"/>
        <v>June</v>
      </c>
      <c r="F2947" s="3" t="s">
        <v>8</v>
      </c>
      <c r="G2947" s="8">
        <v>8973.6852490000001</v>
      </c>
      <c r="H2947" s="8">
        <v>9311.2890000000007</v>
      </c>
      <c r="I2947" s="8">
        <v>337.60375149999999</v>
      </c>
      <c r="J2947" s="8">
        <v>5489.6084289999999</v>
      </c>
      <c r="K2947" s="8">
        <v>-4582.4791759999998</v>
      </c>
      <c r="L2947" s="8">
        <v>16396.816699999999</v>
      </c>
      <c r="M2947" s="9" t="str">
        <f>IF(A2947="",M2948,A2947)</f>
        <v>Malawi</v>
      </c>
      <c r="N2947" s="3" t="str">
        <f t="shared" si="93"/>
        <v>Jun-2021</v>
      </c>
    </row>
    <row r="2948" spans="1:14" x14ac:dyDescent="0.3">
      <c r="A2948" s="3" t="s">
        <v>252</v>
      </c>
      <c r="B2948" s="3" t="s">
        <v>253</v>
      </c>
      <c r="C2948" s="8">
        <v>2021</v>
      </c>
      <c r="D2948" s="8">
        <v>7</v>
      </c>
      <c r="E2948" s="3" t="str">
        <f t="shared" si="92"/>
        <v>July</v>
      </c>
      <c r="F2948" s="3" t="s">
        <v>8</v>
      </c>
      <c r="G2948" s="8">
        <v>9032.6738750000004</v>
      </c>
      <c r="H2948" s="8">
        <v>10952.403</v>
      </c>
      <c r="I2948" s="8">
        <v>1919.7291250000001</v>
      </c>
      <c r="J2948" s="8">
        <v>7409.3375539999997</v>
      </c>
      <c r="K2948" s="8">
        <v>-3091.7027090000001</v>
      </c>
      <c r="L2948" s="8">
        <v>19224.669010000001</v>
      </c>
      <c r="M2948" s="9" t="str">
        <f>IF(A2948="",M2949,A2948)</f>
        <v>Malawi</v>
      </c>
      <c r="N2948" s="3" t="str">
        <f t="shared" si="93"/>
        <v>Jul-2021</v>
      </c>
    </row>
    <row r="2949" spans="1:14" x14ac:dyDescent="0.3">
      <c r="A2949" s="3" t="s">
        <v>252</v>
      </c>
      <c r="B2949" s="3" t="s">
        <v>253</v>
      </c>
      <c r="C2949" s="8">
        <v>2021</v>
      </c>
      <c r="D2949" s="8">
        <v>8</v>
      </c>
      <c r="E2949" s="3" t="str">
        <f t="shared" si="92"/>
        <v>August</v>
      </c>
      <c r="F2949" s="3" t="s">
        <v>8</v>
      </c>
      <c r="G2949" s="8">
        <v>8929.5040289999997</v>
      </c>
      <c r="H2949" s="8">
        <v>11319.069</v>
      </c>
      <c r="I2949" s="8">
        <v>2389.5649709999998</v>
      </c>
      <c r="J2949" s="8">
        <v>9798.9025249999995</v>
      </c>
      <c r="K2949" s="8">
        <v>-1415.945303</v>
      </c>
      <c r="L2949" s="8">
        <v>21354.416659999999</v>
      </c>
      <c r="M2949" s="9" t="str">
        <f>IF(A2949="",M2950,A2949)</f>
        <v>Malawi</v>
      </c>
      <c r="N2949" s="3" t="str">
        <f t="shared" si="93"/>
        <v>Aug-2021</v>
      </c>
    </row>
    <row r="2950" spans="1:14" x14ac:dyDescent="0.3">
      <c r="A2950" s="3" t="s">
        <v>252</v>
      </c>
      <c r="B2950" s="3" t="s">
        <v>253</v>
      </c>
      <c r="C2950" s="8">
        <v>2021</v>
      </c>
      <c r="D2950" s="8">
        <v>9</v>
      </c>
      <c r="E2950" s="3" t="str">
        <f t="shared" si="92"/>
        <v>September</v>
      </c>
      <c r="F2950" s="3" t="s">
        <v>8</v>
      </c>
      <c r="G2950" s="8">
        <v>8826.7480959999994</v>
      </c>
      <c r="H2950" s="8">
        <v>9220.2970000000005</v>
      </c>
      <c r="I2950" s="8">
        <v>393.54890380000001</v>
      </c>
      <c r="J2950" s="8">
        <v>10192.451429999999</v>
      </c>
      <c r="K2950" s="8">
        <v>-1618.947236</v>
      </c>
      <c r="L2950" s="8">
        <v>22473.308239999998</v>
      </c>
      <c r="M2950" s="9" t="str">
        <f>IF(A2950="",M2951,A2950)</f>
        <v>Malawi</v>
      </c>
      <c r="N2950" s="3" t="str">
        <f t="shared" si="93"/>
        <v>Sep-2021</v>
      </c>
    </row>
    <row r="2951" spans="1:14" x14ac:dyDescent="0.3">
      <c r="A2951" s="3" t="s">
        <v>252</v>
      </c>
      <c r="B2951" s="3" t="s">
        <v>253</v>
      </c>
      <c r="C2951" s="8">
        <v>2021</v>
      </c>
      <c r="D2951" s="8">
        <v>10</v>
      </c>
      <c r="E2951" s="3" t="str">
        <f t="shared" si="92"/>
        <v>October</v>
      </c>
      <c r="F2951" s="3" t="s">
        <v>8</v>
      </c>
      <c r="G2951" s="8">
        <v>8693.1865140000009</v>
      </c>
      <c r="H2951" s="8">
        <v>8711.5879999999997</v>
      </c>
      <c r="I2951" s="8">
        <v>18.4014858</v>
      </c>
      <c r="J2951" s="8">
        <v>10210.85291</v>
      </c>
      <c r="K2951" s="8">
        <v>-1987.523731</v>
      </c>
      <c r="L2951" s="8">
        <v>22819.815310000002</v>
      </c>
      <c r="M2951" s="9" t="str">
        <f>IF(A2951="",M2952,A2951)</f>
        <v>Malawi</v>
      </c>
      <c r="N2951" s="3" t="str">
        <f t="shared" si="93"/>
        <v>Oct-2021</v>
      </c>
    </row>
    <row r="2952" spans="1:14" x14ac:dyDescent="0.3">
      <c r="A2952" s="3" t="s">
        <v>252</v>
      </c>
      <c r="B2952" s="3" t="s">
        <v>253</v>
      </c>
      <c r="C2952" s="8">
        <v>2021</v>
      </c>
      <c r="D2952" s="8">
        <v>11</v>
      </c>
      <c r="E2952" s="3" t="str">
        <f t="shared" si="92"/>
        <v>November</v>
      </c>
      <c r="F2952" s="3" t="s">
        <v>8</v>
      </c>
      <c r="G2952" s="8">
        <v>8625.7296819999992</v>
      </c>
      <c r="H2952" s="8">
        <v>8627.0310000000009</v>
      </c>
      <c r="I2952" s="8">
        <v>1.301318414</v>
      </c>
      <c r="J2952" s="8">
        <v>10212.15423</v>
      </c>
      <c r="K2952" s="8">
        <v>-2102.574122</v>
      </c>
      <c r="L2952" s="8">
        <v>22987.303339999999</v>
      </c>
      <c r="M2952" s="9" t="str">
        <f>IF(A2952="",M2953,A2952)</f>
        <v>Malawi</v>
      </c>
      <c r="N2952" s="3" t="str">
        <f t="shared" si="93"/>
        <v>Nov-2021</v>
      </c>
    </row>
    <row r="2953" spans="1:14" x14ac:dyDescent="0.3">
      <c r="A2953" s="3" t="s">
        <v>252</v>
      </c>
      <c r="B2953" s="3" t="s">
        <v>253</v>
      </c>
      <c r="C2953" s="8">
        <v>2021</v>
      </c>
      <c r="D2953" s="8">
        <v>12</v>
      </c>
      <c r="E2953" s="3" t="str">
        <f t="shared" si="92"/>
        <v>December</v>
      </c>
      <c r="F2953" s="3" t="s">
        <v>8</v>
      </c>
      <c r="G2953" s="8">
        <v>8740.8744150000002</v>
      </c>
      <c r="H2953" s="8">
        <v>9553.5660000000007</v>
      </c>
      <c r="I2953" s="8">
        <v>812.69158479999999</v>
      </c>
      <c r="J2953" s="8">
        <v>11024.84582</v>
      </c>
      <c r="K2953" s="8">
        <v>-1378.126737</v>
      </c>
      <c r="L2953" s="8">
        <v>24205.28124</v>
      </c>
      <c r="M2953" s="9" t="str">
        <f>IF(A2953="",M2954,A2953)</f>
        <v>Malawi</v>
      </c>
      <c r="N2953" s="3" t="str">
        <f t="shared" si="93"/>
        <v>Dec-2021</v>
      </c>
    </row>
    <row r="2954" spans="1:14" x14ac:dyDescent="0.3">
      <c r="A2954" s="3" t="s">
        <v>254</v>
      </c>
      <c r="B2954" s="3" t="s">
        <v>255</v>
      </c>
      <c r="C2954" s="8">
        <v>2020</v>
      </c>
      <c r="D2954" s="8">
        <v>1</v>
      </c>
      <c r="E2954" s="3" t="str">
        <f t="shared" si="92"/>
        <v>January</v>
      </c>
      <c r="F2954" s="3" t="s">
        <v>13</v>
      </c>
      <c r="G2954" s="8">
        <v>15361.51633</v>
      </c>
      <c r="H2954" s="8">
        <v>16028</v>
      </c>
      <c r="I2954" s="8">
        <v>666.31700160000003</v>
      </c>
      <c r="J2954" s="8">
        <v>666.31700160000003</v>
      </c>
      <c r="K2954" s="8">
        <v>366.51798730000002</v>
      </c>
      <c r="L2954" s="8">
        <v>968.82995189999997</v>
      </c>
      <c r="M2954" s="9" t="str">
        <f>IF(A2954="",M2955,A2954)</f>
        <v>Malaysia</v>
      </c>
      <c r="N2954" s="3" t="str">
        <f t="shared" si="93"/>
        <v>Jan-2020</v>
      </c>
    </row>
    <row r="2955" spans="1:14" x14ac:dyDescent="0.3">
      <c r="A2955" s="3" t="s">
        <v>254</v>
      </c>
      <c r="B2955" s="3" t="s">
        <v>255</v>
      </c>
      <c r="C2955" s="8">
        <v>2020</v>
      </c>
      <c r="D2955" s="8">
        <v>2</v>
      </c>
      <c r="E2955" s="3" t="str">
        <f t="shared" si="92"/>
        <v>February</v>
      </c>
      <c r="F2955" s="3" t="s">
        <v>13</v>
      </c>
      <c r="G2955" s="8">
        <v>14435.81115</v>
      </c>
      <c r="H2955" s="8">
        <v>13827</v>
      </c>
      <c r="I2955" s="8">
        <v>-608.9778202</v>
      </c>
      <c r="J2955" s="8">
        <v>57.339181459999999</v>
      </c>
      <c r="K2955" s="8">
        <v>-416.28901350000001</v>
      </c>
      <c r="L2955" s="8">
        <v>548.1434964</v>
      </c>
      <c r="M2955" s="9" t="str">
        <f>IF(A2955="",M2956,A2955)</f>
        <v>Malaysia</v>
      </c>
      <c r="N2955" s="3" t="str">
        <f t="shared" si="93"/>
        <v>Feb-2020</v>
      </c>
    </row>
    <row r="2956" spans="1:14" x14ac:dyDescent="0.3">
      <c r="A2956" s="3" t="s">
        <v>254</v>
      </c>
      <c r="B2956" s="3" t="s">
        <v>255</v>
      </c>
      <c r="C2956" s="8">
        <v>2020</v>
      </c>
      <c r="D2956" s="8">
        <v>3</v>
      </c>
      <c r="E2956" s="3" t="str">
        <f t="shared" si="92"/>
        <v>March</v>
      </c>
      <c r="F2956" s="3" t="s">
        <v>13</v>
      </c>
      <c r="G2956" s="8">
        <v>15564.66662</v>
      </c>
      <c r="H2956" s="8">
        <v>14676</v>
      </c>
      <c r="I2956" s="8">
        <v>-888.83328610000001</v>
      </c>
      <c r="J2956" s="8">
        <v>-831.49410469999998</v>
      </c>
      <c r="K2956" s="8">
        <v>-1484.3877649999999</v>
      </c>
      <c r="L2956" s="8">
        <v>-211.92220399999999</v>
      </c>
      <c r="M2956" s="9" t="str">
        <f>IF(A2956="",M2957,A2956)</f>
        <v>Malaysia</v>
      </c>
      <c r="N2956" s="3" t="str">
        <f t="shared" si="93"/>
        <v>Mar-2020</v>
      </c>
    </row>
    <row r="2957" spans="1:14" x14ac:dyDescent="0.3">
      <c r="A2957" s="3" t="s">
        <v>254</v>
      </c>
      <c r="B2957" s="3" t="s">
        <v>255</v>
      </c>
      <c r="C2957" s="8">
        <v>2020</v>
      </c>
      <c r="D2957" s="8">
        <v>4</v>
      </c>
      <c r="E2957" s="3" t="str">
        <f t="shared" si="92"/>
        <v>April</v>
      </c>
      <c r="F2957" s="3" t="s">
        <v>13</v>
      </c>
      <c r="G2957" s="8">
        <v>14903.472089999999</v>
      </c>
      <c r="H2957" s="8">
        <v>13038</v>
      </c>
      <c r="I2957" s="8">
        <v>-1865.638753</v>
      </c>
      <c r="J2957" s="8">
        <v>-2697.1328579999999</v>
      </c>
      <c r="K2957" s="8">
        <v>-3450.626072</v>
      </c>
      <c r="L2957" s="8">
        <v>-1961.8935180000001</v>
      </c>
      <c r="M2957" s="9" t="str">
        <f>IF(A2957="",M2958,A2957)</f>
        <v>Malaysia</v>
      </c>
      <c r="N2957" s="3" t="str">
        <f t="shared" si="93"/>
        <v>Apr-2020</v>
      </c>
    </row>
    <row r="2958" spans="1:14" x14ac:dyDescent="0.3">
      <c r="A2958" s="3" t="s">
        <v>254</v>
      </c>
      <c r="B2958" s="3" t="s">
        <v>255</v>
      </c>
      <c r="C2958" s="8">
        <v>2020</v>
      </c>
      <c r="D2958" s="8">
        <v>5</v>
      </c>
      <c r="E2958" s="3" t="str">
        <f t="shared" si="92"/>
        <v>May</v>
      </c>
      <c r="F2958" s="3" t="s">
        <v>13</v>
      </c>
      <c r="G2958" s="8">
        <v>15217.234630000001</v>
      </c>
      <c r="H2958" s="8">
        <v>13886</v>
      </c>
      <c r="I2958" s="8">
        <v>-1331.4013010000001</v>
      </c>
      <c r="J2958" s="8">
        <v>-4028.5341589999998</v>
      </c>
      <c r="K2958" s="8">
        <v>-4870.7269839999999</v>
      </c>
      <c r="L2958" s="8">
        <v>-3235.341727</v>
      </c>
      <c r="M2958" s="9" t="str">
        <f>IF(A2958="",M2959,A2958)</f>
        <v>Malaysia</v>
      </c>
      <c r="N2958" s="3" t="str">
        <f t="shared" si="93"/>
        <v>May-2020</v>
      </c>
    </row>
    <row r="2959" spans="1:14" x14ac:dyDescent="0.3">
      <c r="A2959" s="3" t="s">
        <v>254</v>
      </c>
      <c r="B2959" s="3" t="s">
        <v>255</v>
      </c>
      <c r="C2959" s="8">
        <v>2020</v>
      </c>
      <c r="D2959" s="8">
        <v>6</v>
      </c>
      <c r="E2959" s="3" t="str">
        <f t="shared" si="92"/>
        <v>June</v>
      </c>
      <c r="F2959" s="3" t="s">
        <v>13</v>
      </c>
      <c r="G2959" s="8">
        <v>14941.29441</v>
      </c>
      <c r="H2959" s="8">
        <v>13317</v>
      </c>
      <c r="I2959" s="8">
        <v>-1624.4610740000001</v>
      </c>
      <c r="J2959" s="8">
        <v>-5652.9952329999996</v>
      </c>
      <c r="K2959" s="8">
        <v>-6631.2815739999996</v>
      </c>
      <c r="L2959" s="8">
        <v>-4721.2383220000002</v>
      </c>
      <c r="M2959" s="9" t="str">
        <f>IF(A2959="",M2960,A2959)</f>
        <v>Malaysia</v>
      </c>
      <c r="N2959" s="3" t="str">
        <f t="shared" si="93"/>
        <v>Jun-2020</v>
      </c>
    </row>
    <row r="2960" spans="1:14" x14ac:dyDescent="0.3">
      <c r="A2960" s="3" t="s">
        <v>254</v>
      </c>
      <c r="B2960" s="3" t="s">
        <v>255</v>
      </c>
      <c r="C2960" s="8">
        <v>2020</v>
      </c>
      <c r="D2960" s="8">
        <v>7</v>
      </c>
      <c r="E2960" s="3" t="str">
        <f t="shared" si="92"/>
        <v>July</v>
      </c>
      <c r="F2960" s="3" t="s">
        <v>13</v>
      </c>
      <c r="G2960" s="8">
        <v>15479.080089999999</v>
      </c>
      <c r="H2960" s="8">
        <v>13659</v>
      </c>
      <c r="I2960" s="8">
        <v>-1820.24676</v>
      </c>
      <c r="J2960" s="8">
        <v>-7473.2419920000002</v>
      </c>
      <c r="K2960" s="8">
        <v>-8484.7990900000004</v>
      </c>
      <c r="L2960" s="8">
        <v>-6462.012256</v>
      </c>
      <c r="M2960" s="9" t="str">
        <f>IF(A2960="",M2961,A2960)</f>
        <v>Malaysia</v>
      </c>
      <c r="N2960" s="3" t="str">
        <f t="shared" si="93"/>
        <v>Jul-2020</v>
      </c>
    </row>
    <row r="2961" spans="1:14" x14ac:dyDescent="0.3">
      <c r="A2961" s="3" t="s">
        <v>254</v>
      </c>
      <c r="B2961" s="3" t="s">
        <v>255</v>
      </c>
      <c r="C2961" s="8">
        <v>2020</v>
      </c>
      <c r="D2961" s="8">
        <v>8</v>
      </c>
      <c r="E2961" s="3" t="str">
        <f t="shared" si="92"/>
        <v>August</v>
      </c>
      <c r="F2961" s="3" t="s">
        <v>13</v>
      </c>
      <c r="G2961" s="8">
        <v>15048.559600000001</v>
      </c>
      <c r="H2961" s="8">
        <v>13950</v>
      </c>
      <c r="I2961" s="8">
        <v>-1098.726265</v>
      </c>
      <c r="J2961" s="8">
        <v>-8571.9682570000004</v>
      </c>
      <c r="K2961" s="8">
        <v>-9689.0896499999999</v>
      </c>
      <c r="L2961" s="8">
        <v>-7487.0296559999997</v>
      </c>
      <c r="M2961" s="9" t="str">
        <f>IF(A2961="",M2962,A2961)</f>
        <v>Malaysia</v>
      </c>
      <c r="N2961" s="3" t="str">
        <f t="shared" si="93"/>
        <v>Aug-2020</v>
      </c>
    </row>
    <row r="2962" spans="1:14" x14ac:dyDescent="0.3">
      <c r="A2962" s="3" t="s">
        <v>254</v>
      </c>
      <c r="B2962" s="3" t="s">
        <v>255</v>
      </c>
      <c r="C2962" s="8">
        <v>2020</v>
      </c>
      <c r="D2962" s="8">
        <v>9</v>
      </c>
      <c r="E2962" s="3" t="str">
        <f t="shared" si="92"/>
        <v>September</v>
      </c>
      <c r="F2962" s="3" t="s">
        <v>13</v>
      </c>
      <c r="G2962" s="8">
        <v>14279.845590000001</v>
      </c>
      <c r="H2962" s="8">
        <v>13249</v>
      </c>
      <c r="I2962" s="8">
        <v>-1031.012256</v>
      </c>
      <c r="J2962" s="8">
        <v>-9602.9805130000004</v>
      </c>
      <c r="K2962" s="8">
        <v>-10802.776</v>
      </c>
      <c r="L2962" s="8">
        <v>-8511.6851829999996</v>
      </c>
      <c r="M2962" s="9" t="str">
        <f>IF(A2962="",M2963,A2962)</f>
        <v>Malaysia</v>
      </c>
      <c r="N2962" s="3" t="str">
        <f t="shared" si="93"/>
        <v>Sep-2020</v>
      </c>
    </row>
    <row r="2963" spans="1:14" x14ac:dyDescent="0.3">
      <c r="A2963" s="3" t="s">
        <v>254</v>
      </c>
      <c r="B2963" s="3" t="s">
        <v>255</v>
      </c>
      <c r="C2963" s="8">
        <v>2020</v>
      </c>
      <c r="D2963" s="8">
        <v>10</v>
      </c>
      <c r="E2963" s="3" t="str">
        <f t="shared" si="92"/>
        <v>October</v>
      </c>
      <c r="F2963" s="3" t="s">
        <v>13</v>
      </c>
      <c r="G2963" s="8">
        <v>14781.74343</v>
      </c>
      <c r="H2963" s="8">
        <v>13880</v>
      </c>
      <c r="I2963" s="8">
        <v>-901.91010110000002</v>
      </c>
      <c r="J2963" s="8">
        <v>-10504.89061</v>
      </c>
      <c r="K2963" s="8">
        <v>-11741.82944</v>
      </c>
      <c r="L2963" s="8">
        <v>-9241.9774159999997</v>
      </c>
      <c r="M2963" s="9" t="str">
        <f>IF(A2963="",M2964,A2963)</f>
        <v>Malaysia</v>
      </c>
      <c r="N2963" s="3" t="str">
        <f t="shared" si="93"/>
        <v>Oct-2020</v>
      </c>
    </row>
    <row r="2964" spans="1:14" x14ac:dyDescent="0.3">
      <c r="A2964" s="3" t="s">
        <v>254</v>
      </c>
      <c r="B2964" s="3" t="s">
        <v>255</v>
      </c>
      <c r="C2964" s="8">
        <v>2020</v>
      </c>
      <c r="D2964" s="8">
        <v>11</v>
      </c>
      <c r="E2964" s="3" t="str">
        <f t="shared" si="92"/>
        <v>November</v>
      </c>
      <c r="F2964" s="3" t="s">
        <v>13</v>
      </c>
      <c r="G2964" s="8">
        <v>14755.273020000001</v>
      </c>
      <c r="H2964" s="8">
        <v>12846</v>
      </c>
      <c r="I2964" s="8">
        <v>-1909.439689</v>
      </c>
      <c r="J2964" s="8">
        <v>-12414.3303</v>
      </c>
      <c r="K2964" s="8">
        <v>-13718.65641</v>
      </c>
      <c r="L2964" s="8">
        <v>-11163.486070000001</v>
      </c>
      <c r="M2964" s="9" t="str">
        <f>IF(A2964="",M2965,A2964)</f>
        <v>Malaysia</v>
      </c>
      <c r="N2964" s="3" t="str">
        <f t="shared" si="93"/>
        <v>Nov-2020</v>
      </c>
    </row>
    <row r="2965" spans="1:14" x14ac:dyDescent="0.3">
      <c r="A2965" s="3" t="s">
        <v>254</v>
      </c>
      <c r="B2965" s="3" t="s">
        <v>255</v>
      </c>
      <c r="C2965" s="8">
        <v>2020</v>
      </c>
      <c r="D2965" s="8">
        <v>12</v>
      </c>
      <c r="E2965" s="3" t="str">
        <f t="shared" si="92"/>
        <v>December</v>
      </c>
      <c r="F2965" s="3" t="s">
        <v>13</v>
      </c>
      <c r="G2965" s="8">
        <v>15755.111699999999</v>
      </c>
      <c r="H2965" s="8">
        <v>14151</v>
      </c>
      <c r="I2965" s="8">
        <v>-1604.2783649999999</v>
      </c>
      <c r="J2965" s="8">
        <v>-14018.60867</v>
      </c>
      <c r="K2965" s="8">
        <v>-15273.800929999999</v>
      </c>
      <c r="L2965" s="8">
        <v>-12683.38163</v>
      </c>
      <c r="M2965" s="9" t="str">
        <f>IF(A2965="",M2966,A2965)</f>
        <v>Malaysia</v>
      </c>
      <c r="N2965" s="3" t="str">
        <f t="shared" si="93"/>
        <v>Dec-2020</v>
      </c>
    </row>
    <row r="2966" spans="1:14" x14ac:dyDescent="0.3">
      <c r="A2966" s="3" t="s">
        <v>254</v>
      </c>
      <c r="B2966" s="3" t="s">
        <v>255</v>
      </c>
      <c r="C2966" s="8">
        <v>2021</v>
      </c>
      <c r="D2966" s="8">
        <v>1</v>
      </c>
      <c r="E2966" s="3" t="str">
        <f t="shared" si="92"/>
        <v>January</v>
      </c>
      <c r="F2966" s="3" t="s">
        <v>13</v>
      </c>
      <c r="G2966" s="8">
        <v>15795.529109999999</v>
      </c>
      <c r="H2966" s="8">
        <v>16184</v>
      </c>
      <c r="I2966" s="8">
        <v>380.55422190000002</v>
      </c>
      <c r="J2966" s="8">
        <v>-13638.05445</v>
      </c>
      <c r="K2966" s="8">
        <v>-14972.196180000001</v>
      </c>
      <c r="L2966" s="8">
        <v>-12239.512549999999</v>
      </c>
      <c r="M2966" s="9" t="str">
        <f>IF(A2966="",M2967,A2966)</f>
        <v>Malaysia</v>
      </c>
      <c r="N2966" s="3" t="str">
        <f t="shared" si="93"/>
        <v>Jan-2021</v>
      </c>
    </row>
    <row r="2967" spans="1:14" x14ac:dyDescent="0.3">
      <c r="A2967" s="3" t="s">
        <v>254</v>
      </c>
      <c r="B2967" s="3" t="s">
        <v>255</v>
      </c>
      <c r="C2967" s="8">
        <v>2021</v>
      </c>
      <c r="D2967" s="8">
        <v>2</v>
      </c>
      <c r="E2967" s="3" t="str">
        <f t="shared" si="92"/>
        <v>February</v>
      </c>
      <c r="F2967" s="3" t="s">
        <v>13</v>
      </c>
      <c r="G2967" s="8">
        <v>14841.3923</v>
      </c>
      <c r="H2967" s="8">
        <v>14332</v>
      </c>
      <c r="I2967" s="8">
        <v>-517.30896929999994</v>
      </c>
      <c r="J2967" s="8">
        <v>-14155.36341</v>
      </c>
      <c r="K2967" s="8">
        <v>-15521.670480000001</v>
      </c>
      <c r="L2967" s="8">
        <v>-12765.1608</v>
      </c>
      <c r="M2967" s="9" t="str">
        <f>IF(A2967="",M2968,A2967)</f>
        <v>Malaysia</v>
      </c>
      <c r="N2967" s="3" t="str">
        <f t="shared" si="93"/>
        <v>Feb-2021</v>
      </c>
    </row>
    <row r="2968" spans="1:14" x14ac:dyDescent="0.3">
      <c r="A2968" s="3" t="s">
        <v>254</v>
      </c>
      <c r="B2968" s="3" t="s">
        <v>255</v>
      </c>
      <c r="C2968" s="8">
        <v>2021</v>
      </c>
      <c r="D2968" s="8">
        <v>3</v>
      </c>
      <c r="E2968" s="3" t="str">
        <f t="shared" si="92"/>
        <v>March</v>
      </c>
      <c r="F2968" s="3" t="s">
        <v>13</v>
      </c>
      <c r="G2968" s="8">
        <v>15999.946840000001</v>
      </c>
      <c r="H2968" s="8">
        <v>15391</v>
      </c>
      <c r="I2968" s="8">
        <v>-616.86350789999995</v>
      </c>
      <c r="J2968" s="8">
        <v>-14772.226919999999</v>
      </c>
      <c r="K2968" s="8">
        <v>-16187.384529999999</v>
      </c>
      <c r="L2968" s="8">
        <v>-13281.734930000001</v>
      </c>
      <c r="M2968" s="9" t="str">
        <f>IF(A2968="",M2969,A2968)</f>
        <v>Malaysia</v>
      </c>
      <c r="N2968" s="3" t="str">
        <f t="shared" si="93"/>
        <v>Mar-2021</v>
      </c>
    </row>
    <row r="2969" spans="1:14" x14ac:dyDescent="0.3">
      <c r="A2969" s="3" t="s">
        <v>254</v>
      </c>
      <c r="B2969" s="3" t="s">
        <v>255</v>
      </c>
      <c r="C2969" s="8">
        <v>2021</v>
      </c>
      <c r="D2969" s="8">
        <v>4</v>
      </c>
      <c r="E2969" s="3" t="str">
        <f t="shared" si="92"/>
        <v>April</v>
      </c>
      <c r="F2969" s="3" t="s">
        <v>13</v>
      </c>
      <c r="G2969" s="8">
        <v>15294.73747</v>
      </c>
      <c r="H2969" s="8">
        <v>14895</v>
      </c>
      <c r="I2969" s="8">
        <v>-407.6541416</v>
      </c>
      <c r="J2969" s="8">
        <v>-15179.88106</v>
      </c>
      <c r="K2969" s="8">
        <v>-16745.0874</v>
      </c>
      <c r="L2969" s="8">
        <v>-13634.007180000001</v>
      </c>
      <c r="M2969" s="9" t="str">
        <f>IF(A2969="",M2970,A2969)</f>
        <v>Malaysia</v>
      </c>
      <c r="N2969" s="3" t="str">
        <f t="shared" si="93"/>
        <v>Apr-2021</v>
      </c>
    </row>
    <row r="2970" spans="1:14" x14ac:dyDescent="0.3">
      <c r="A2970" s="3" t="s">
        <v>254</v>
      </c>
      <c r="B2970" s="3" t="s">
        <v>255</v>
      </c>
      <c r="C2970" s="8">
        <v>2021</v>
      </c>
      <c r="D2970" s="8">
        <v>5</v>
      </c>
      <c r="E2970" s="3" t="str">
        <f t="shared" si="92"/>
        <v>May</v>
      </c>
      <c r="F2970" s="3" t="s">
        <v>13</v>
      </c>
      <c r="G2970" s="8">
        <v>15630.138580000001</v>
      </c>
      <c r="H2970" s="8">
        <v>18089</v>
      </c>
      <c r="I2970" s="8">
        <v>2450.944755</v>
      </c>
      <c r="J2970" s="8">
        <v>-12728.936309999999</v>
      </c>
      <c r="K2970" s="8">
        <v>-14322.37045</v>
      </c>
      <c r="L2970" s="8">
        <v>-11150.75813</v>
      </c>
      <c r="M2970" s="9" t="str">
        <f>IF(A2970="",M2971,A2970)</f>
        <v>Malaysia</v>
      </c>
      <c r="N2970" s="3" t="str">
        <f t="shared" si="93"/>
        <v>May-2021</v>
      </c>
    </row>
    <row r="2971" spans="1:14" x14ac:dyDescent="0.3">
      <c r="A2971" s="3" t="s">
        <v>254</v>
      </c>
      <c r="B2971" s="3" t="s">
        <v>255</v>
      </c>
      <c r="C2971" s="8">
        <v>2021</v>
      </c>
      <c r="D2971" s="8">
        <v>6</v>
      </c>
      <c r="E2971" s="3" t="str">
        <f t="shared" si="92"/>
        <v>June</v>
      </c>
      <c r="F2971" s="3" t="s">
        <v>13</v>
      </c>
      <c r="G2971" s="8">
        <v>15349.00735</v>
      </c>
      <c r="H2971" s="8">
        <v>17756</v>
      </c>
      <c r="I2971" s="8">
        <v>2399.0759870000002</v>
      </c>
      <c r="J2971" s="8">
        <v>-10329.86032</v>
      </c>
      <c r="K2971" s="8">
        <v>-12019.81407</v>
      </c>
      <c r="L2971" s="8">
        <v>-8672.5084979999992</v>
      </c>
      <c r="M2971" s="9" t="str">
        <f>IF(A2971="",M2972,A2971)</f>
        <v>Malaysia</v>
      </c>
      <c r="N2971" s="3" t="str">
        <f t="shared" si="93"/>
        <v>Jun-2021</v>
      </c>
    </row>
    <row r="2972" spans="1:14" x14ac:dyDescent="0.3">
      <c r="A2972" s="3" t="s">
        <v>254</v>
      </c>
      <c r="B2972" s="3" t="s">
        <v>255</v>
      </c>
      <c r="C2972" s="8">
        <v>2021</v>
      </c>
      <c r="D2972" s="8">
        <v>7</v>
      </c>
      <c r="E2972" s="3" t="str">
        <f t="shared" si="92"/>
        <v>July</v>
      </c>
      <c r="F2972" s="3" t="s">
        <v>13</v>
      </c>
      <c r="G2972" s="8">
        <v>15912.88762</v>
      </c>
      <c r="H2972" s="8">
        <v>24520</v>
      </c>
      <c r="I2972" s="8">
        <v>8599.1957120000006</v>
      </c>
      <c r="J2972" s="8">
        <v>-1730.66461</v>
      </c>
      <c r="K2972" s="8">
        <v>-3479.0740249999999</v>
      </c>
      <c r="L2972" s="8">
        <v>1.674000895</v>
      </c>
      <c r="M2972" s="9" t="str">
        <f>IF(A2972="",M2973,A2972)</f>
        <v>Malaysia</v>
      </c>
      <c r="N2972" s="3" t="str">
        <f t="shared" si="93"/>
        <v>Jul-2021</v>
      </c>
    </row>
    <row r="2973" spans="1:14" x14ac:dyDescent="0.3">
      <c r="A2973" s="3" t="s">
        <v>254</v>
      </c>
      <c r="B2973" s="3" t="s">
        <v>255</v>
      </c>
      <c r="C2973" s="8">
        <v>2021</v>
      </c>
      <c r="D2973" s="8">
        <v>8</v>
      </c>
      <c r="E2973" s="3" t="str">
        <f t="shared" si="92"/>
        <v>August</v>
      </c>
      <c r="F2973" s="3" t="s">
        <v>13</v>
      </c>
      <c r="G2973" s="8">
        <v>15471.66209</v>
      </c>
      <c r="H2973" s="8">
        <v>26799</v>
      </c>
      <c r="I2973" s="8">
        <v>11319.42124</v>
      </c>
      <c r="J2973" s="8">
        <v>9588.7566349999997</v>
      </c>
      <c r="K2973" s="8">
        <v>7791.4060760000002</v>
      </c>
      <c r="L2973" s="8">
        <v>11294.11169</v>
      </c>
      <c r="M2973" s="9" t="str">
        <f>IF(A2973="",M2974,A2973)</f>
        <v>Malaysia</v>
      </c>
      <c r="N2973" s="3" t="str">
        <f t="shared" si="93"/>
        <v>Aug-2021</v>
      </c>
    </row>
    <row r="2974" spans="1:14" x14ac:dyDescent="0.3">
      <c r="A2974" s="3" t="s">
        <v>254</v>
      </c>
      <c r="B2974" s="3" t="s">
        <v>255</v>
      </c>
      <c r="C2974" s="8">
        <v>2021</v>
      </c>
      <c r="D2974" s="8">
        <v>9</v>
      </c>
      <c r="E2974" s="3" t="str">
        <f t="shared" si="92"/>
        <v>September</v>
      </c>
      <c r="F2974" s="3" t="s">
        <v>13</v>
      </c>
      <c r="G2974" s="8">
        <v>14689.19839</v>
      </c>
      <c r="H2974" s="8">
        <v>22287</v>
      </c>
      <c r="I2974" s="8">
        <v>7589.8849479999999</v>
      </c>
      <c r="J2974" s="8">
        <v>17178.64158</v>
      </c>
      <c r="K2974" s="8">
        <v>15427.418110000001</v>
      </c>
      <c r="L2974" s="8">
        <v>18933.39516</v>
      </c>
      <c r="M2974" s="9" t="str">
        <f>IF(A2974="",M2975,A2974)</f>
        <v>Malaysia</v>
      </c>
      <c r="N2974" s="3" t="str">
        <f t="shared" si="93"/>
        <v>Sep-2021</v>
      </c>
    </row>
    <row r="2975" spans="1:14" x14ac:dyDescent="0.3">
      <c r="A2975" s="3" t="s">
        <v>254</v>
      </c>
      <c r="B2975" s="3" t="s">
        <v>255</v>
      </c>
      <c r="C2975" s="8">
        <v>2021</v>
      </c>
      <c r="D2975" s="8">
        <v>10</v>
      </c>
      <c r="E2975" s="3" t="str">
        <f t="shared" si="92"/>
        <v>October</v>
      </c>
      <c r="F2975" s="3" t="s">
        <v>13</v>
      </c>
      <c r="G2975" s="8">
        <v>15199.43916</v>
      </c>
      <c r="H2975" s="8">
        <v>19439</v>
      </c>
      <c r="I2975" s="8">
        <v>4231.6441779999996</v>
      </c>
      <c r="J2975" s="8">
        <v>21410.285759999999</v>
      </c>
      <c r="K2975" s="8">
        <v>19560.696550000001</v>
      </c>
      <c r="L2975" s="8">
        <v>23192.84794</v>
      </c>
      <c r="M2975" s="9" t="str">
        <f>IF(A2975="",M2976,A2975)</f>
        <v>Malaysia</v>
      </c>
      <c r="N2975" s="3" t="str">
        <f t="shared" si="93"/>
        <v>Oct-2021</v>
      </c>
    </row>
    <row r="2976" spans="1:14" x14ac:dyDescent="0.3">
      <c r="A2976" s="3" t="s">
        <v>254</v>
      </c>
      <c r="B2976" s="3" t="s">
        <v>255</v>
      </c>
      <c r="C2976" s="8">
        <v>2021</v>
      </c>
      <c r="D2976" s="8">
        <v>11</v>
      </c>
      <c r="E2976" s="3" t="str">
        <f t="shared" si="92"/>
        <v>November</v>
      </c>
      <c r="F2976" s="3" t="s">
        <v>13</v>
      </c>
      <c r="G2976" s="8">
        <v>15180.10058</v>
      </c>
      <c r="H2976" s="8">
        <v>17165</v>
      </c>
      <c r="I2976" s="8">
        <v>1976.982757</v>
      </c>
      <c r="J2976" s="8">
        <v>23387.268520000001</v>
      </c>
      <c r="K2976" s="8">
        <v>21477.362209999999</v>
      </c>
      <c r="L2976" s="8">
        <v>25227.329389999999</v>
      </c>
      <c r="M2976" s="9" t="str">
        <f>IF(A2976="",M2977,A2976)</f>
        <v>Malaysia</v>
      </c>
      <c r="N2976" s="3" t="str">
        <f t="shared" si="93"/>
        <v>Nov-2021</v>
      </c>
    </row>
    <row r="2977" spans="1:14" x14ac:dyDescent="0.3">
      <c r="A2977" s="3" t="s">
        <v>254</v>
      </c>
      <c r="B2977" s="3" t="s">
        <v>255</v>
      </c>
      <c r="C2977" s="8">
        <v>2021</v>
      </c>
      <c r="D2977" s="8">
        <v>12</v>
      </c>
      <c r="E2977" s="3" t="str">
        <f t="shared" si="92"/>
        <v>December</v>
      </c>
      <c r="F2977" s="3" t="s">
        <v>13</v>
      </c>
      <c r="G2977" s="8">
        <v>16203.94967</v>
      </c>
      <c r="H2977" s="8">
        <v>17712</v>
      </c>
      <c r="I2977" s="8">
        <v>1500.1336659999999</v>
      </c>
      <c r="J2977" s="8">
        <v>24887.402180000001</v>
      </c>
      <c r="K2977" s="8">
        <v>22875.661690000001</v>
      </c>
      <c r="L2977" s="8">
        <v>26740.113099999999</v>
      </c>
      <c r="M2977" s="9" t="str">
        <f>IF(A2977="",M2978,A2977)</f>
        <v>Malaysia</v>
      </c>
      <c r="N2977" s="3" t="str">
        <f t="shared" si="93"/>
        <v>Dec-2021</v>
      </c>
    </row>
    <row r="2978" spans="1:14" x14ac:dyDescent="0.3">
      <c r="A2978" s="3" t="s">
        <v>256</v>
      </c>
      <c r="B2978" s="3" t="s">
        <v>257</v>
      </c>
      <c r="C2978" s="8">
        <v>2020</v>
      </c>
      <c r="D2978" s="8">
        <v>1</v>
      </c>
      <c r="E2978" s="3" t="str">
        <f t="shared" si="92"/>
        <v>January</v>
      </c>
      <c r="F2978" s="3" t="s">
        <v>8</v>
      </c>
      <c r="G2978" s="8">
        <v>1460.7517760000001</v>
      </c>
      <c r="H2978" s="8">
        <v>1522.578</v>
      </c>
      <c r="I2978" s="8">
        <v>61.826223710000001</v>
      </c>
      <c r="J2978" s="8">
        <v>61.826223710000001</v>
      </c>
      <c r="K2978" s="8">
        <v>-326.4664717</v>
      </c>
      <c r="L2978" s="8">
        <v>493.24069500000002</v>
      </c>
      <c r="M2978" s="9" t="str">
        <f>IF(A2978="",M2979,A2978)</f>
        <v>Namibia</v>
      </c>
      <c r="N2978" s="3" t="str">
        <f t="shared" si="93"/>
        <v>Jan-2020</v>
      </c>
    </row>
    <row r="2979" spans="1:14" x14ac:dyDescent="0.3">
      <c r="A2979" s="3" t="s">
        <v>256</v>
      </c>
      <c r="B2979" s="3" t="s">
        <v>257</v>
      </c>
      <c r="C2979" s="8">
        <v>2020</v>
      </c>
      <c r="D2979" s="8">
        <v>2</v>
      </c>
      <c r="E2979" s="3" t="str">
        <f t="shared" si="92"/>
        <v>February</v>
      </c>
      <c r="F2979" s="3" t="s">
        <v>8</v>
      </c>
      <c r="G2979" s="8">
        <v>1464.2760350000001</v>
      </c>
      <c r="H2979" s="8">
        <v>1491.472</v>
      </c>
      <c r="I2979" s="8">
        <v>27.19596537</v>
      </c>
      <c r="J2979" s="8">
        <v>89.022189080000004</v>
      </c>
      <c r="K2979" s="8">
        <v>-463.53394279999998</v>
      </c>
      <c r="L2979" s="8">
        <v>705.77556070000003</v>
      </c>
      <c r="M2979" s="9" t="str">
        <f>IF(A2979="",M2980,A2979)</f>
        <v>Namibia</v>
      </c>
      <c r="N2979" s="3" t="str">
        <f t="shared" si="93"/>
        <v>Feb-2020</v>
      </c>
    </row>
    <row r="2980" spans="1:14" x14ac:dyDescent="0.3">
      <c r="A2980" s="3" t="s">
        <v>256</v>
      </c>
      <c r="B2980" s="3" t="s">
        <v>257</v>
      </c>
      <c r="C2980" s="8">
        <v>2020</v>
      </c>
      <c r="D2980" s="8">
        <v>3</v>
      </c>
      <c r="E2980" s="3" t="str">
        <f t="shared" si="92"/>
        <v>March</v>
      </c>
      <c r="F2980" s="3" t="s">
        <v>8</v>
      </c>
      <c r="G2980" s="8">
        <v>1475.9165149999999</v>
      </c>
      <c r="H2980" s="8">
        <v>1453.633</v>
      </c>
      <c r="I2980" s="8">
        <v>-22.283514759999999</v>
      </c>
      <c r="J2980" s="8">
        <v>66.738674320000001</v>
      </c>
      <c r="K2980" s="8">
        <v>-583.55974660000004</v>
      </c>
      <c r="L2980" s="8">
        <v>757.41055400000005</v>
      </c>
      <c r="M2980" s="9" t="str">
        <f>IF(A2980="",M2981,A2980)</f>
        <v>Namibia</v>
      </c>
      <c r="N2980" s="3" t="str">
        <f t="shared" si="93"/>
        <v>Mar-2020</v>
      </c>
    </row>
    <row r="2981" spans="1:14" x14ac:dyDescent="0.3">
      <c r="A2981" s="3" t="s">
        <v>256</v>
      </c>
      <c r="B2981" s="3" t="s">
        <v>257</v>
      </c>
      <c r="C2981" s="8">
        <v>2020</v>
      </c>
      <c r="D2981" s="8">
        <v>4</v>
      </c>
      <c r="E2981" s="3" t="str">
        <f t="shared" si="92"/>
        <v>April</v>
      </c>
      <c r="F2981" s="3" t="s">
        <v>8</v>
      </c>
      <c r="G2981" s="8">
        <v>1498.798849</v>
      </c>
      <c r="H2981" s="8">
        <v>1355.0619999999999</v>
      </c>
      <c r="I2981" s="8">
        <v>-143.73684940000001</v>
      </c>
      <c r="J2981" s="8">
        <v>-76.998175079999996</v>
      </c>
      <c r="K2981" s="8">
        <v>-809.32685990000004</v>
      </c>
      <c r="L2981" s="8">
        <v>677.64979229999994</v>
      </c>
      <c r="M2981" s="9" t="str">
        <f>IF(A2981="",M2982,A2981)</f>
        <v>Namibia</v>
      </c>
      <c r="N2981" s="3" t="str">
        <f t="shared" si="93"/>
        <v>Apr-2020</v>
      </c>
    </row>
    <row r="2982" spans="1:14" x14ac:dyDescent="0.3">
      <c r="A2982" s="3" t="s">
        <v>256</v>
      </c>
      <c r="B2982" s="3" t="s">
        <v>257</v>
      </c>
      <c r="C2982" s="8">
        <v>2020</v>
      </c>
      <c r="D2982" s="8">
        <v>5</v>
      </c>
      <c r="E2982" s="3" t="str">
        <f t="shared" si="92"/>
        <v>May</v>
      </c>
      <c r="F2982" s="3" t="s">
        <v>8</v>
      </c>
      <c r="G2982" s="8">
        <v>1525.7583709999999</v>
      </c>
      <c r="H2982" s="8">
        <v>1383.075</v>
      </c>
      <c r="I2982" s="8">
        <v>-142.6833709</v>
      </c>
      <c r="J2982" s="8">
        <v>-219.6815459</v>
      </c>
      <c r="K2982" s="8">
        <v>-1056.9092350000001</v>
      </c>
      <c r="L2982" s="8">
        <v>635.92948390000004</v>
      </c>
      <c r="M2982" s="9" t="str">
        <f>IF(A2982="",M2983,A2982)</f>
        <v>Namibia</v>
      </c>
      <c r="N2982" s="3" t="str">
        <f t="shared" si="93"/>
        <v>May-2020</v>
      </c>
    </row>
    <row r="2983" spans="1:14" x14ac:dyDescent="0.3">
      <c r="A2983" s="3" t="s">
        <v>256</v>
      </c>
      <c r="B2983" s="3" t="s">
        <v>257</v>
      </c>
      <c r="C2983" s="8">
        <v>2020</v>
      </c>
      <c r="D2983" s="8">
        <v>6</v>
      </c>
      <c r="E2983" s="3" t="str">
        <f t="shared" si="92"/>
        <v>June</v>
      </c>
      <c r="F2983" s="3" t="s">
        <v>8</v>
      </c>
      <c r="G2983" s="8">
        <v>1548.360148</v>
      </c>
      <c r="H2983" s="8">
        <v>1411.106</v>
      </c>
      <c r="I2983" s="8">
        <v>-137.2541482</v>
      </c>
      <c r="J2983" s="8">
        <v>-356.93569409999998</v>
      </c>
      <c r="K2983" s="8">
        <v>-1228.0029300000001</v>
      </c>
      <c r="L2983" s="8">
        <v>565.53961839999999</v>
      </c>
      <c r="M2983" s="9" t="str">
        <f>IF(A2983="",M2984,A2983)</f>
        <v>Namibia</v>
      </c>
      <c r="N2983" s="3" t="str">
        <f t="shared" si="93"/>
        <v>Jun-2020</v>
      </c>
    </row>
    <row r="2984" spans="1:14" x14ac:dyDescent="0.3">
      <c r="A2984" s="3" t="s">
        <v>256</v>
      </c>
      <c r="B2984" s="3" t="s">
        <v>257</v>
      </c>
      <c r="C2984" s="8">
        <v>2020</v>
      </c>
      <c r="D2984" s="8">
        <v>7</v>
      </c>
      <c r="E2984" s="3" t="str">
        <f t="shared" si="92"/>
        <v>July</v>
      </c>
      <c r="F2984" s="3" t="s">
        <v>8</v>
      </c>
      <c r="G2984" s="8">
        <v>1554.5214639999999</v>
      </c>
      <c r="H2984" s="8">
        <v>1606.24</v>
      </c>
      <c r="I2984" s="8">
        <v>51.71853608</v>
      </c>
      <c r="J2984" s="8">
        <v>-305.21715810000001</v>
      </c>
      <c r="K2984" s="8">
        <v>-1334.688915</v>
      </c>
      <c r="L2984" s="8">
        <v>751.53656669999998</v>
      </c>
      <c r="M2984" s="9" t="str">
        <f>IF(A2984="",M2985,A2984)</f>
        <v>Namibia</v>
      </c>
      <c r="N2984" s="3" t="str">
        <f t="shared" si="93"/>
        <v>Jul-2020</v>
      </c>
    </row>
    <row r="2985" spans="1:14" x14ac:dyDescent="0.3">
      <c r="A2985" s="3" t="s">
        <v>256</v>
      </c>
      <c r="B2985" s="3" t="s">
        <v>257</v>
      </c>
      <c r="C2985" s="8">
        <v>2020</v>
      </c>
      <c r="D2985" s="8">
        <v>8</v>
      </c>
      <c r="E2985" s="3" t="str">
        <f t="shared" si="92"/>
        <v>August</v>
      </c>
      <c r="F2985" s="3" t="s">
        <v>8</v>
      </c>
      <c r="G2985" s="8">
        <v>1546.966424</v>
      </c>
      <c r="H2985" s="8">
        <v>1828.326</v>
      </c>
      <c r="I2985" s="8">
        <v>281.35957610000003</v>
      </c>
      <c r="J2985" s="8">
        <v>-23.857581979999999</v>
      </c>
      <c r="K2985" s="8">
        <v>-1157.1531950000001</v>
      </c>
      <c r="L2985" s="8">
        <v>1199.562887</v>
      </c>
      <c r="M2985" s="9" t="str">
        <f>IF(A2985="",M2986,A2985)</f>
        <v>Namibia</v>
      </c>
      <c r="N2985" s="3" t="str">
        <f t="shared" si="93"/>
        <v>Aug-2020</v>
      </c>
    </row>
    <row r="2986" spans="1:14" x14ac:dyDescent="0.3">
      <c r="A2986" s="3" t="s">
        <v>256</v>
      </c>
      <c r="B2986" s="3" t="s">
        <v>257</v>
      </c>
      <c r="C2986" s="8">
        <v>2020</v>
      </c>
      <c r="D2986" s="8">
        <v>9</v>
      </c>
      <c r="E2986" s="3" t="str">
        <f t="shared" si="92"/>
        <v>September</v>
      </c>
      <c r="F2986" s="3" t="s">
        <v>8</v>
      </c>
      <c r="G2986" s="8">
        <v>1509.9133019999999</v>
      </c>
      <c r="H2986" s="8">
        <v>1735.973</v>
      </c>
      <c r="I2986" s="8">
        <v>226.0596979</v>
      </c>
      <c r="J2986" s="8">
        <v>202.20211599999999</v>
      </c>
      <c r="K2986" s="8">
        <v>-1002.173306</v>
      </c>
      <c r="L2986" s="8">
        <v>1557.598561</v>
      </c>
      <c r="M2986" s="9" t="str">
        <f>IF(A2986="",M2987,A2986)</f>
        <v>Namibia</v>
      </c>
      <c r="N2986" s="3" t="str">
        <f t="shared" si="93"/>
        <v>Sep-2020</v>
      </c>
    </row>
    <row r="2987" spans="1:14" x14ac:dyDescent="0.3">
      <c r="A2987" s="3" t="s">
        <v>256</v>
      </c>
      <c r="B2987" s="3" t="s">
        <v>257</v>
      </c>
      <c r="C2987" s="8">
        <v>2020</v>
      </c>
      <c r="D2987" s="8">
        <v>10</v>
      </c>
      <c r="E2987" s="3" t="str">
        <f t="shared" si="92"/>
        <v>October</v>
      </c>
      <c r="F2987" s="3" t="s">
        <v>8</v>
      </c>
      <c r="G2987" s="8">
        <v>1481.263416</v>
      </c>
      <c r="H2987" s="8">
        <v>1577.3309999999999</v>
      </c>
      <c r="I2987" s="8">
        <v>96.067584330000003</v>
      </c>
      <c r="J2987" s="8">
        <v>298.26970030000001</v>
      </c>
      <c r="K2987" s="8">
        <v>-987.70687799999996</v>
      </c>
      <c r="L2987" s="8">
        <v>1667.719507</v>
      </c>
      <c r="M2987" s="9" t="str">
        <f>IF(A2987="",M2988,A2987)</f>
        <v>Namibia</v>
      </c>
      <c r="N2987" s="3" t="str">
        <f t="shared" si="93"/>
        <v>Oct-2020</v>
      </c>
    </row>
    <row r="2988" spans="1:14" x14ac:dyDescent="0.3">
      <c r="A2988" s="3" t="s">
        <v>256</v>
      </c>
      <c r="B2988" s="3" t="s">
        <v>257</v>
      </c>
      <c r="C2988" s="8">
        <v>2020</v>
      </c>
      <c r="D2988" s="8">
        <v>11</v>
      </c>
      <c r="E2988" s="3" t="str">
        <f t="shared" si="92"/>
        <v>November</v>
      </c>
      <c r="F2988" s="3" t="s">
        <v>8</v>
      </c>
      <c r="G2988" s="8">
        <v>1475.4446499999999</v>
      </c>
      <c r="H2988" s="8">
        <v>1571.1980000000001</v>
      </c>
      <c r="I2988" s="8">
        <v>95.753349779999994</v>
      </c>
      <c r="J2988" s="8">
        <v>394.02305009999998</v>
      </c>
      <c r="K2988" s="8">
        <v>-957.65250830000002</v>
      </c>
      <c r="L2988" s="8">
        <v>1808.2645259999999</v>
      </c>
      <c r="M2988" s="9" t="str">
        <f>IF(A2988="",M2989,A2988)</f>
        <v>Namibia</v>
      </c>
      <c r="N2988" s="3" t="str">
        <f t="shared" si="93"/>
        <v>Nov-2020</v>
      </c>
    </row>
    <row r="2989" spans="1:14" x14ac:dyDescent="0.3">
      <c r="A2989" s="3" t="s">
        <v>256</v>
      </c>
      <c r="B2989" s="3" t="s">
        <v>257</v>
      </c>
      <c r="C2989" s="8">
        <v>2020</v>
      </c>
      <c r="D2989" s="8">
        <v>12</v>
      </c>
      <c r="E2989" s="3" t="str">
        <f t="shared" si="92"/>
        <v>December</v>
      </c>
      <c r="F2989" s="3" t="s">
        <v>8</v>
      </c>
      <c r="G2989" s="8">
        <v>1465.908821</v>
      </c>
      <c r="H2989" s="8">
        <v>1697.846</v>
      </c>
      <c r="I2989" s="8">
        <v>231.9371788</v>
      </c>
      <c r="J2989" s="8">
        <v>625.96022879999998</v>
      </c>
      <c r="K2989" s="8">
        <v>-827.48421370000005</v>
      </c>
      <c r="L2989" s="8">
        <v>2097.7252159999998</v>
      </c>
      <c r="M2989" s="9" t="str">
        <f>IF(A2989="",M2990,A2989)</f>
        <v>Namibia</v>
      </c>
      <c r="N2989" s="3" t="str">
        <f t="shared" si="93"/>
        <v>Dec-2020</v>
      </c>
    </row>
    <row r="2990" spans="1:14" x14ac:dyDescent="0.3">
      <c r="A2990" s="3" t="s">
        <v>256</v>
      </c>
      <c r="B2990" s="3" t="s">
        <v>257</v>
      </c>
      <c r="C2990" s="8">
        <v>2021</v>
      </c>
      <c r="D2990" s="8">
        <v>1</v>
      </c>
      <c r="E2990" s="3" t="str">
        <f t="shared" si="92"/>
        <v>January</v>
      </c>
      <c r="F2990" s="3" t="s">
        <v>8</v>
      </c>
      <c r="G2990" s="8">
        <v>1441.536282</v>
      </c>
      <c r="H2990" s="8">
        <v>1870.7809999999999</v>
      </c>
      <c r="I2990" s="8">
        <v>429.2447181</v>
      </c>
      <c r="J2990" s="8">
        <v>1055.2049469999999</v>
      </c>
      <c r="K2990" s="8">
        <v>-514.49257160000002</v>
      </c>
      <c r="L2990" s="8">
        <v>2669.3538149999999</v>
      </c>
      <c r="M2990" s="9" t="str">
        <f>IF(A2990="",M2991,A2990)</f>
        <v>Namibia</v>
      </c>
      <c r="N2990" s="3" t="str">
        <f t="shared" si="93"/>
        <v>Jan-2021</v>
      </c>
    </row>
    <row r="2991" spans="1:14" x14ac:dyDescent="0.3">
      <c r="A2991" s="3" t="s">
        <v>256</v>
      </c>
      <c r="B2991" s="3" t="s">
        <v>257</v>
      </c>
      <c r="C2991" s="8">
        <v>2021</v>
      </c>
      <c r="D2991" s="8">
        <v>2</v>
      </c>
      <c r="E2991" s="3" t="str">
        <f t="shared" si="92"/>
        <v>February</v>
      </c>
      <c r="F2991" s="3" t="s">
        <v>8</v>
      </c>
      <c r="G2991" s="8">
        <v>1443.076092</v>
      </c>
      <c r="H2991" s="8">
        <v>1735.8720000000001</v>
      </c>
      <c r="I2991" s="8">
        <v>292.79590789999997</v>
      </c>
      <c r="J2991" s="8">
        <v>1348.000855</v>
      </c>
      <c r="K2991" s="8">
        <v>-229.86805670000001</v>
      </c>
      <c r="L2991" s="8">
        <v>2976.447134</v>
      </c>
      <c r="M2991" s="9" t="str">
        <f>IF(A2991="",M2992,A2991)</f>
        <v>Namibia</v>
      </c>
      <c r="N2991" s="3" t="str">
        <f t="shared" si="93"/>
        <v>Feb-2021</v>
      </c>
    </row>
    <row r="2992" spans="1:14" x14ac:dyDescent="0.3">
      <c r="A2992" s="3" t="s">
        <v>256</v>
      </c>
      <c r="B2992" s="3" t="s">
        <v>257</v>
      </c>
      <c r="C2992" s="8">
        <v>2021</v>
      </c>
      <c r="D2992" s="8">
        <v>3</v>
      </c>
      <c r="E2992" s="3" t="str">
        <f t="shared" si="92"/>
        <v>March</v>
      </c>
      <c r="F2992" s="3" t="s">
        <v>8</v>
      </c>
      <c r="G2992" s="8">
        <v>1453.5701859999999</v>
      </c>
      <c r="H2992" s="8">
        <v>1793.9749999999999</v>
      </c>
      <c r="I2992" s="8">
        <v>340.4048138</v>
      </c>
      <c r="J2992" s="8">
        <v>1688.405669</v>
      </c>
      <c r="K2992" s="8">
        <v>15.761673480000001</v>
      </c>
      <c r="L2992" s="8">
        <v>3425.5024290000001</v>
      </c>
      <c r="M2992" s="9" t="str">
        <f>IF(A2992="",M2993,A2992)</f>
        <v>Namibia</v>
      </c>
      <c r="N2992" s="3" t="str">
        <f t="shared" si="93"/>
        <v>Mar-2021</v>
      </c>
    </row>
    <row r="2993" spans="1:14" x14ac:dyDescent="0.3">
      <c r="A2993" s="3" t="s">
        <v>256</v>
      </c>
      <c r="B2993" s="3" t="s">
        <v>257</v>
      </c>
      <c r="C2993" s="8">
        <v>2021</v>
      </c>
      <c r="D2993" s="8">
        <v>4</v>
      </c>
      <c r="E2993" s="3" t="str">
        <f t="shared" si="92"/>
        <v>April</v>
      </c>
      <c r="F2993" s="3" t="s">
        <v>8</v>
      </c>
      <c r="G2993" s="8">
        <v>1476.7010330000001</v>
      </c>
      <c r="H2993" s="8">
        <v>1827.8589999999999</v>
      </c>
      <c r="I2993" s="8">
        <v>351.15796749999998</v>
      </c>
      <c r="J2993" s="8">
        <v>2039.5636360000001</v>
      </c>
      <c r="K2993" s="8">
        <v>318.78172269999999</v>
      </c>
      <c r="L2993" s="8">
        <v>3790.3652999999999</v>
      </c>
      <c r="M2993" s="9" t="str">
        <f>IF(A2993="",M2994,A2993)</f>
        <v>Namibia</v>
      </c>
      <c r="N2993" s="3" t="str">
        <f t="shared" si="93"/>
        <v>Apr-2021</v>
      </c>
    </row>
    <row r="2994" spans="1:14" x14ac:dyDescent="0.3">
      <c r="A2994" s="3" t="s">
        <v>256</v>
      </c>
      <c r="B2994" s="3" t="s">
        <v>257</v>
      </c>
      <c r="C2994" s="8">
        <v>2021</v>
      </c>
      <c r="D2994" s="8">
        <v>5</v>
      </c>
      <c r="E2994" s="3" t="str">
        <f t="shared" si="92"/>
        <v>May</v>
      </c>
      <c r="F2994" s="3" t="s">
        <v>8</v>
      </c>
      <c r="G2994" s="8">
        <v>1503.5365079999999</v>
      </c>
      <c r="H2994" s="8">
        <v>1955.164</v>
      </c>
      <c r="I2994" s="8">
        <v>451.62749239999999</v>
      </c>
      <c r="J2994" s="8">
        <v>2491.1911279999999</v>
      </c>
      <c r="K2994" s="8">
        <v>630.90714700000001</v>
      </c>
      <c r="L2994" s="8">
        <v>4292.4348090000003</v>
      </c>
      <c r="M2994" s="9" t="str">
        <f>IF(A2994="",M2995,A2994)</f>
        <v>Namibia</v>
      </c>
      <c r="N2994" s="3" t="str">
        <f t="shared" si="93"/>
        <v>May-2021</v>
      </c>
    </row>
    <row r="2995" spans="1:14" x14ac:dyDescent="0.3">
      <c r="A2995" s="3" t="s">
        <v>256</v>
      </c>
      <c r="B2995" s="3" t="s">
        <v>257</v>
      </c>
      <c r="C2995" s="8">
        <v>2021</v>
      </c>
      <c r="D2995" s="8">
        <v>6</v>
      </c>
      <c r="E2995" s="3" t="str">
        <f t="shared" si="92"/>
        <v>June</v>
      </c>
      <c r="F2995" s="3" t="s">
        <v>8</v>
      </c>
      <c r="G2995" s="8">
        <v>1529.2558120000001</v>
      </c>
      <c r="H2995" s="8">
        <v>2665.7420000000002</v>
      </c>
      <c r="I2995" s="8">
        <v>1136.4861880000001</v>
      </c>
      <c r="J2995" s="8">
        <v>3627.6773170000001</v>
      </c>
      <c r="K2995" s="8">
        <v>1700.361625</v>
      </c>
      <c r="L2995" s="8">
        <v>5584.6722520000003</v>
      </c>
      <c r="M2995" s="9" t="str">
        <f>IF(A2995="",M2996,A2995)</f>
        <v>Namibia</v>
      </c>
      <c r="N2995" s="3" t="str">
        <f t="shared" si="93"/>
        <v>Jun-2021</v>
      </c>
    </row>
    <row r="2996" spans="1:14" x14ac:dyDescent="0.3">
      <c r="A2996" s="3" t="s">
        <v>256</v>
      </c>
      <c r="B2996" s="3" t="s">
        <v>257</v>
      </c>
      <c r="C2996" s="8">
        <v>2021</v>
      </c>
      <c r="D2996" s="8">
        <v>7</v>
      </c>
      <c r="E2996" s="3" t="str">
        <f t="shared" si="92"/>
        <v>July</v>
      </c>
      <c r="F2996" s="3" t="s">
        <v>8</v>
      </c>
      <c r="G2996" s="8">
        <v>1531.864941</v>
      </c>
      <c r="H2996" s="8">
        <v>3383.7849999999999</v>
      </c>
      <c r="I2996" s="8">
        <v>1851.920059</v>
      </c>
      <c r="J2996" s="8">
        <v>5479.5973750000003</v>
      </c>
      <c r="K2996" s="8">
        <v>3444.9445759999999</v>
      </c>
      <c r="L2996" s="8">
        <v>7745.2099520000002</v>
      </c>
      <c r="M2996" s="9" t="str">
        <f>IF(A2996="",M2997,A2996)</f>
        <v>Namibia</v>
      </c>
      <c r="N2996" s="3" t="str">
        <f t="shared" si="93"/>
        <v>Jul-2021</v>
      </c>
    </row>
    <row r="2997" spans="1:14" x14ac:dyDescent="0.3">
      <c r="A2997" s="3" t="s">
        <v>256</v>
      </c>
      <c r="B2997" s="3" t="s">
        <v>257</v>
      </c>
      <c r="C2997" s="8">
        <v>2021</v>
      </c>
      <c r="D2997" s="8">
        <v>8</v>
      </c>
      <c r="E2997" s="3" t="str">
        <f t="shared" si="92"/>
        <v>August</v>
      </c>
      <c r="F2997" s="3" t="s">
        <v>8</v>
      </c>
      <c r="G2997" s="8">
        <v>1524.4189329999999</v>
      </c>
      <c r="H2997" s="8">
        <v>2178.7860000000001</v>
      </c>
      <c r="I2997" s="8">
        <v>654.36706709999999</v>
      </c>
      <c r="J2997" s="8">
        <v>6133.9644420000004</v>
      </c>
      <c r="K2997" s="8">
        <v>4021.2291909999999</v>
      </c>
      <c r="L2997" s="8">
        <v>8479.2708010000006</v>
      </c>
      <c r="M2997" s="9" t="str">
        <f>IF(A2997="",M2998,A2997)</f>
        <v>Namibia</v>
      </c>
      <c r="N2997" s="3" t="str">
        <f t="shared" si="93"/>
        <v>Aug-2021</v>
      </c>
    </row>
    <row r="2998" spans="1:14" x14ac:dyDescent="0.3">
      <c r="A2998" s="3" t="s">
        <v>256</v>
      </c>
      <c r="B2998" s="3" t="s">
        <v>257</v>
      </c>
      <c r="C2998" s="8">
        <v>2021</v>
      </c>
      <c r="D2998" s="8">
        <v>9</v>
      </c>
      <c r="E2998" s="3" t="str">
        <f t="shared" si="92"/>
        <v>September</v>
      </c>
      <c r="F2998" s="3" t="s">
        <v>8</v>
      </c>
      <c r="G2998" s="8">
        <v>1488.0830289999999</v>
      </c>
      <c r="H2998" s="8">
        <v>1793.874</v>
      </c>
      <c r="I2998" s="8">
        <v>305.7909707</v>
      </c>
      <c r="J2998" s="8">
        <v>6439.7554129999999</v>
      </c>
      <c r="K2998" s="8">
        <v>4139.588812</v>
      </c>
      <c r="L2998" s="8">
        <v>8804.2232750000003</v>
      </c>
      <c r="M2998" s="9" t="str">
        <f>IF(A2998="",M2999,A2998)</f>
        <v>Namibia</v>
      </c>
      <c r="N2998" s="3" t="str">
        <f t="shared" si="93"/>
        <v>Sep-2021</v>
      </c>
    </row>
    <row r="2999" spans="1:14" x14ac:dyDescent="0.3">
      <c r="A2999" s="3" t="s">
        <v>256</v>
      </c>
      <c r="B2999" s="3" t="s">
        <v>257</v>
      </c>
      <c r="C2999" s="8">
        <v>2021</v>
      </c>
      <c r="D2999" s="8">
        <v>10</v>
      </c>
      <c r="E2999" s="3" t="str">
        <f t="shared" si="92"/>
        <v>October</v>
      </c>
      <c r="F2999" s="3" t="s">
        <v>8</v>
      </c>
      <c r="G2999" s="8">
        <v>1459.5813780000001</v>
      </c>
      <c r="H2999" s="8">
        <v>1581.5119999999999</v>
      </c>
      <c r="I2999" s="8">
        <v>121.93062159999999</v>
      </c>
      <c r="J2999" s="8">
        <v>6561.6860349999997</v>
      </c>
      <c r="K2999" s="8">
        <v>4267.3797500000001</v>
      </c>
      <c r="L2999" s="8">
        <v>8956.5261059999993</v>
      </c>
      <c r="M2999" s="9" t="str">
        <f>IF(A2999="",M3000,A2999)</f>
        <v>Namibia</v>
      </c>
      <c r="N2999" s="3" t="str">
        <f t="shared" si="93"/>
        <v>Oct-2021</v>
      </c>
    </row>
    <row r="3000" spans="1:14" x14ac:dyDescent="0.3">
      <c r="A3000" s="3" t="s">
        <v>256</v>
      </c>
      <c r="B3000" s="3" t="s">
        <v>257</v>
      </c>
      <c r="C3000" s="8">
        <v>2021</v>
      </c>
      <c r="D3000" s="8">
        <v>11</v>
      </c>
      <c r="E3000" s="3" t="str">
        <f t="shared" si="92"/>
        <v>November</v>
      </c>
      <c r="F3000" s="3" t="s">
        <v>8</v>
      </c>
      <c r="G3000" s="8">
        <v>1454.1934200000001</v>
      </c>
      <c r="H3000" s="8">
        <v>1527.3409999999999</v>
      </c>
      <c r="I3000" s="8">
        <v>73.14757951</v>
      </c>
      <c r="J3000" s="8">
        <v>6634.8336140000001</v>
      </c>
      <c r="K3000" s="8">
        <v>4366.2400740000003</v>
      </c>
      <c r="L3000" s="8">
        <v>9127.7316599999995</v>
      </c>
      <c r="M3000" s="9" t="str">
        <f>IF(A3000="",M3001,A3000)</f>
        <v>Namibia</v>
      </c>
      <c r="N3000" s="3" t="str">
        <f t="shared" si="93"/>
        <v>Nov-2021</v>
      </c>
    </row>
    <row r="3001" spans="1:14" x14ac:dyDescent="0.3">
      <c r="A3001" s="3" t="s">
        <v>256</v>
      </c>
      <c r="B3001" s="3" t="s">
        <v>257</v>
      </c>
      <c r="C3001" s="8">
        <v>2021</v>
      </c>
      <c r="D3001" s="8">
        <v>12</v>
      </c>
      <c r="E3001" s="3" t="str">
        <f t="shared" si="92"/>
        <v>December</v>
      </c>
      <c r="F3001" s="3" t="s">
        <v>8</v>
      </c>
      <c r="G3001" s="8">
        <v>1446.372513</v>
      </c>
      <c r="H3001" s="8">
        <v>1701.2729999999999</v>
      </c>
      <c r="I3001" s="8">
        <v>254.90048659999999</v>
      </c>
      <c r="J3001" s="8">
        <v>6889.734101</v>
      </c>
      <c r="K3001" s="8">
        <v>4560.9396390000002</v>
      </c>
      <c r="L3001" s="8">
        <v>9339.2242549999992</v>
      </c>
      <c r="M3001" s="9" t="str">
        <f>IF(A3001="",M3002,A3001)</f>
        <v>Namibia</v>
      </c>
      <c r="N3001" s="3" t="str">
        <f t="shared" si="93"/>
        <v>Dec-2021</v>
      </c>
    </row>
    <row r="3002" spans="1:14" x14ac:dyDescent="0.3">
      <c r="A3002" s="3" t="s">
        <v>258</v>
      </c>
      <c r="B3002" s="3" t="s">
        <v>259</v>
      </c>
      <c r="C3002" s="8">
        <v>2020</v>
      </c>
      <c r="D3002" s="8">
        <v>1</v>
      </c>
      <c r="E3002" s="3" t="str">
        <f t="shared" si="92"/>
        <v>January</v>
      </c>
      <c r="F3002" s="3" t="s">
        <v>8</v>
      </c>
      <c r="G3002" s="8">
        <v>16192.317429999999</v>
      </c>
      <c r="H3002" s="8">
        <v>16950.867999999999</v>
      </c>
      <c r="I3002" s="8">
        <v>758.55056679999996</v>
      </c>
      <c r="J3002" s="8">
        <v>758.55056679999996</v>
      </c>
      <c r="K3002" s="8">
        <v>-3438.572647</v>
      </c>
      <c r="L3002" s="8">
        <v>5722.2910430000002</v>
      </c>
      <c r="M3002" s="9" t="str">
        <f>IF(A3002="",M3003,A3002)</f>
        <v>Niger</v>
      </c>
      <c r="N3002" s="3" t="str">
        <f t="shared" si="93"/>
        <v>Jan-2020</v>
      </c>
    </row>
    <row r="3003" spans="1:14" x14ac:dyDescent="0.3">
      <c r="A3003" s="3" t="s">
        <v>258</v>
      </c>
      <c r="B3003" s="3" t="s">
        <v>259</v>
      </c>
      <c r="C3003" s="8">
        <v>2020</v>
      </c>
      <c r="D3003" s="8">
        <v>2</v>
      </c>
      <c r="E3003" s="3" t="str">
        <f t="shared" si="92"/>
        <v>February</v>
      </c>
      <c r="F3003" s="3" t="s">
        <v>8</v>
      </c>
      <c r="G3003" s="8">
        <v>15935.50448</v>
      </c>
      <c r="H3003" s="8">
        <v>16149.991</v>
      </c>
      <c r="I3003" s="8">
        <v>214.48652390000001</v>
      </c>
      <c r="J3003" s="8">
        <v>973.03709070000002</v>
      </c>
      <c r="K3003" s="8">
        <v>-5093.1315130000003</v>
      </c>
      <c r="L3003" s="8">
        <v>7807.4323549999999</v>
      </c>
      <c r="M3003" s="9" t="str">
        <f>IF(A3003="",M3004,A3003)</f>
        <v>Niger</v>
      </c>
      <c r="N3003" s="3" t="str">
        <f t="shared" si="93"/>
        <v>Feb-2020</v>
      </c>
    </row>
    <row r="3004" spans="1:14" x14ac:dyDescent="0.3">
      <c r="A3004" s="3" t="s">
        <v>258</v>
      </c>
      <c r="B3004" s="3" t="s">
        <v>259</v>
      </c>
      <c r="C3004" s="8">
        <v>2020</v>
      </c>
      <c r="D3004" s="8">
        <v>3</v>
      </c>
      <c r="E3004" s="3" t="str">
        <f t="shared" si="92"/>
        <v>March</v>
      </c>
      <c r="F3004" s="3" t="s">
        <v>8</v>
      </c>
      <c r="G3004" s="8">
        <v>15374.633680000001</v>
      </c>
      <c r="H3004" s="8">
        <v>15356.691000000001</v>
      </c>
      <c r="I3004" s="8">
        <v>-17.94268228</v>
      </c>
      <c r="J3004" s="8">
        <v>955.09440840000002</v>
      </c>
      <c r="K3004" s="8">
        <v>-6276.6455139999998</v>
      </c>
      <c r="L3004" s="8">
        <v>8990.2756580000005</v>
      </c>
      <c r="M3004" s="9" t="str">
        <f>IF(A3004="",M3005,A3004)</f>
        <v>Niger</v>
      </c>
      <c r="N3004" s="3" t="str">
        <f t="shared" si="93"/>
        <v>Mar-2020</v>
      </c>
    </row>
    <row r="3005" spans="1:14" x14ac:dyDescent="0.3">
      <c r="A3005" s="3" t="s">
        <v>258</v>
      </c>
      <c r="B3005" s="3" t="s">
        <v>259</v>
      </c>
      <c r="C3005" s="8">
        <v>2020</v>
      </c>
      <c r="D3005" s="8">
        <v>4</v>
      </c>
      <c r="E3005" s="3" t="str">
        <f t="shared" si="92"/>
        <v>April</v>
      </c>
      <c r="F3005" s="3" t="s">
        <v>8</v>
      </c>
      <c r="G3005" s="8">
        <v>15074.145570000001</v>
      </c>
      <c r="H3005" s="8">
        <v>15375.258</v>
      </c>
      <c r="I3005" s="8">
        <v>301.11242520000002</v>
      </c>
      <c r="J3005" s="8">
        <v>1256.2068340000001</v>
      </c>
      <c r="K3005" s="8">
        <v>-6600.7945419999996</v>
      </c>
      <c r="L3005" s="8">
        <v>10576.135910000001</v>
      </c>
      <c r="M3005" s="9" t="str">
        <f>IF(A3005="",M3006,A3005)</f>
        <v>Niger</v>
      </c>
      <c r="N3005" s="3" t="str">
        <f t="shared" si="93"/>
        <v>Apr-2020</v>
      </c>
    </row>
    <row r="3006" spans="1:14" x14ac:dyDescent="0.3">
      <c r="A3006" s="3" t="s">
        <v>258</v>
      </c>
      <c r="B3006" s="3" t="s">
        <v>259</v>
      </c>
      <c r="C3006" s="8">
        <v>2020</v>
      </c>
      <c r="D3006" s="8">
        <v>5</v>
      </c>
      <c r="E3006" s="3" t="str">
        <f t="shared" si="92"/>
        <v>May</v>
      </c>
      <c r="F3006" s="3" t="s">
        <v>8</v>
      </c>
      <c r="G3006" s="8">
        <v>14806.441790000001</v>
      </c>
      <c r="H3006" s="8">
        <v>15694.772999999999</v>
      </c>
      <c r="I3006" s="8">
        <v>888.33121400000005</v>
      </c>
      <c r="J3006" s="8">
        <v>2144.5380479999999</v>
      </c>
      <c r="K3006" s="8">
        <v>-6893.3139229999997</v>
      </c>
      <c r="L3006" s="8">
        <v>12763.68053</v>
      </c>
      <c r="M3006" s="9" t="str">
        <f>IF(A3006="",M3007,A3006)</f>
        <v>Niger</v>
      </c>
      <c r="N3006" s="3" t="str">
        <f t="shared" si="93"/>
        <v>May-2020</v>
      </c>
    </row>
    <row r="3007" spans="1:14" x14ac:dyDescent="0.3">
      <c r="A3007" s="3" t="s">
        <v>258</v>
      </c>
      <c r="B3007" s="3" t="s">
        <v>259</v>
      </c>
      <c r="C3007" s="8">
        <v>2020</v>
      </c>
      <c r="D3007" s="8">
        <v>6</v>
      </c>
      <c r="E3007" s="3" t="str">
        <f t="shared" si="92"/>
        <v>June</v>
      </c>
      <c r="F3007" s="3" t="s">
        <v>8</v>
      </c>
      <c r="G3007" s="8">
        <v>14741.67598</v>
      </c>
      <c r="H3007" s="8">
        <v>15707.005999999999</v>
      </c>
      <c r="I3007" s="8">
        <v>965.33002060000001</v>
      </c>
      <c r="J3007" s="8">
        <v>3109.8680680000002</v>
      </c>
      <c r="K3007" s="8">
        <v>-6899.4128380000002</v>
      </c>
      <c r="L3007" s="8">
        <v>14674.80955</v>
      </c>
      <c r="M3007" s="9" t="str">
        <f>IF(A3007="",M3008,A3007)</f>
        <v>Niger</v>
      </c>
      <c r="N3007" s="3" t="str">
        <f t="shared" si="93"/>
        <v>Jun-2020</v>
      </c>
    </row>
    <row r="3008" spans="1:14" x14ac:dyDescent="0.3">
      <c r="A3008" s="3" t="s">
        <v>258</v>
      </c>
      <c r="B3008" s="3" t="s">
        <v>259</v>
      </c>
      <c r="C3008" s="8">
        <v>2020</v>
      </c>
      <c r="D3008" s="8">
        <v>7</v>
      </c>
      <c r="E3008" s="3" t="str">
        <f t="shared" si="92"/>
        <v>July</v>
      </c>
      <c r="F3008" s="3" t="s">
        <v>8</v>
      </c>
      <c r="G3008" s="8">
        <v>14999.28883</v>
      </c>
      <c r="H3008" s="8">
        <v>15818.397000000001</v>
      </c>
      <c r="I3008" s="8">
        <v>819.10817459999998</v>
      </c>
      <c r="J3008" s="8">
        <v>3928.9762430000001</v>
      </c>
      <c r="K3008" s="8">
        <v>-7265.7523250000004</v>
      </c>
      <c r="L3008" s="8">
        <v>16908.882140000002</v>
      </c>
      <c r="M3008" s="9" t="str">
        <f>IF(A3008="",M3009,A3008)</f>
        <v>Niger</v>
      </c>
      <c r="N3008" s="3" t="str">
        <f t="shared" si="93"/>
        <v>Jul-2020</v>
      </c>
    </row>
    <row r="3009" spans="1:14" x14ac:dyDescent="0.3">
      <c r="A3009" s="3" t="s">
        <v>258</v>
      </c>
      <c r="B3009" s="3" t="s">
        <v>259</v>
      </c>
      <c r="C3009" s="8">
        <v>2020</v>
      </c>
      <c r="D3009" s="8">
        <v>8</v>
      </c>
      <c r="E3009" s="3" t="str">
        <f t="shared" si="92"/>
        <v>August</v>
      </c>
      <c r="F3009" s="3" t="s">
        <v>8</v>
      </c>
      <c r="G3009" s="8">
        <v>15138.692209999999</v>
      </c>
      <c r="H3009" s="8">
        <v>15357.442999999999</v>
      </c>
      <c r="I3009" s="8">
        <v>218.75078569999999</v>
      </c>
      <c r="J3009" s="8">
        <v>4147.7270280000002</v>
      </c>
      <c r="K3009" s="8">
        <v>-7472.4314549999999</v>
      </c>
      <c r="L3009" s="8">
        <v>17943.30975</v>
      </c>
      <c r="M3009" s="9" t="str">
        <f>IF(A3009="",M3010,A3009)</f>
        <v>Niger</v>
      </c>
      <c r="N3009" s="3" t="str">
        <f t="shared" si="93"/>
        <v>Aug-2020</v>
      </c>
    </row>
    <row r="3010" spans="1:14" x14ac:dyDescent="0.3">
      <c r="A3010" s="3" t="s">
        <v>258</v>
      </c>
      <c r="B3010" s="3" t="s">
        <v>259</v>
      </c>
      <c r="C3010" s="8">
        <v>2020</v>
      </c>
      <c r="D3010" s="8">
        <v>9</v>
      </c>
      <c r="E3010" s="3" t="str">
        <f t="shared" ref="E3010:E3073" si="94">TEXT(DATE(C3010,D3010,1),"MMMM")</f>
        <v>September</v>
      </c>
      <c r="F3010" s="3" t="s">
        <v>8</v>
      </c>
      <c r="G3010" s="8">
        <v>15123.350469999999</v>
      </c>
      <c r="H3010" s="8">
        <v>15012.036</v>
      </c>
      <c r="I3010" s="8">
        <v>-111.3144707</v>
      </c>
      <c r="J3010" s="8">
        <v>4036.412558</v>
      </c>
      <c r="K3010" s="8">
        <v>-8629.9021780000003</v>
      </c>
      <c r="L3010" s="8">
        <v>18926.20608</v>
      </c>
      <c r="M3010" s="9" t="str">
        <f>IF(A3010="",M3011,A3010)</f>
        <v>Niger</v>
      </c>
      <c r="N3010" s="3" t="str">
        <f t="shared" ref="N3010:N3073" si="95">TEXT(DATE(C3010,D3010,1),"MMM-YYYY")</f>
        <v>Sep-2020</v>
      </c>
    </row>
    <row r="3011" spans="1:14" x14ac:dyDescent="0.3">
      <c r="A3011" s="3" t="s">
        <v>258</v>
      </c>
      <c r="B3011" s="3" t="s">
        <v>259</v>
      </c>
      <c r="C3011" s="8">
        <v>2020</v>
      </c>
      <c r="D3011" s="8">
        <v>10</v>
      </c>
      <c r="E3011" s="3" t="str">
        <f t="shared" si="94"/>
        <v>October</v>
      </c>
      <c r="F3011" s="3" t="s">
        <v>8</v>
      </c>
      <c r="G3011" s="8">
        <v>15241.048510000001</v>
      </c>
      <c r="H3011" s="8">
        <v>14749.531999999999</v>
      </c>
      <c r="I3011" s="8">
        <v>-491.5165088</v>
      </c>
      <c r="J3011" s="8">
        <v>3544.8960489999999</v>
      </c>
      <c r="K3011" s="8">
        <v>-9916.0530720000006</v>
      </c>
      <c r="L3011" s="8">
        <v>19146.723890000001</v>
      </c>
      <c r="M3011" s="9" t="str">
        <f>IF(A3011="",M3012,A3011)</f>
        <v>Niger</v>
      </c>
      <c r="N3011" s="3" t="str">
        <f t="shared" si="95"/>
        <v>Oct-2020</v>
      </c>
    </row>
    <row r="3012" spans="1:14" x14ac:dyDescent="0.3">
      <c r="A3012" s="3" t="s">
        <v>258</v>
      </c>
      <c r="B3012" s="3" t="s">
        <v>259</v>
      </c>
      <c r="C3012" s="8">
        <v>2020</v>
      </c>
      <c r="D3012" s="8">
        <v>11</v>
      </c>
      <c r="E3012" s="3" t="str">
        <f t="shared" si="94"/>
        <v>November</v>
      </c>
      <c r="F3012" s="3" t="s">
        <v>8</v>
      </c>
      <c r="G3012" s="8">
        <v>15760.76605</v>
      </c>
      <c r="H3012" s="8">
        <v>15488.85</v>
      </c>
      <c r="I3012" s="8">
        <v>-271.91604710000001</v>
      </c>
      <c r="J3012" s="8">
        <v>3272.9800019999998</v>
      </c>
      <c r="K3012" s="8">
        <v>-11139.11501</v>
      </c>
      <c r="L3012" s="8">
        <v>19373.708139999999</v>
      </c>
      <c r="M3012" s="9" t="str">
        <f>IF(A3012="",M3013,A3012)</f>
        <v>Niger</v>
      </c>
      <c r="N3012" s="3" t="str">
        <f t="shared" si="95"/>
        <v>Nov-2020</v>
      </c>
    </row>
    <row r="3013" spans="1:14" x14ac:dyDescent="0.3">
      <c r="A3013" s="3" t="s">
        <v>258</v>
      </c>
      <c r="B3013" s="3" t="s">
        <v>259</v>
      </c>
      <c r="C3013" s="8">
        <v>2020</v>
      </c>
      <c r="D3013" s="8">
        <v>12</v>
      </c>
      <c r="E3013" s="3" t="str">
        <f t="shared" si="94"/>
        <v>December</v>
      </c>
      <c r="F3013" s="3" t="s">
        <v>8</v>
      </c>
      <c r="G3013" s="8">
        <v>16029.88939</v>
      </c>
      <c r="H3013" s="8">
        <v>16364.47</v>
      </c>
      <c r="I3013" s="8">
        <v>334.58060879999999</v>
      </c>
      <c r="J3013" s="8">
        <v>3607.5606109999999</v>
      </c>
      <c r="K3013" s="8">
        <v>-10884.97381</v>
      </c>
      <c r="L3013" s="8">
        <v>21128.669109999999</v>
      </c>
      <c r="M3013" s="9" t="str">
        <f>IF(A3013="",M3014,A3013)</f>
        <v>Niger</v>
      </c>
      <c r="N3013" s="3" t="str">
        <f t="shared" si="95"/>
        <v>Dec-2020</v>
      </c>
    </row>
    <row r="3014" spans="1:14" x14ac:dyDescent="0.3">
      <c r="A3014" s="3" t="s">
        <v>258</v>
      </c>
      <c r="B3014" s="3" t="s">
        <v>259</v>
      </c>
      <c r="C3014" s="8">
        <v>2021</v>
      </c>
      <c r="D3014" s="8">
        <v>1</v>
      </c>
      <c r="E3014" s="3" t="str">
        <f t="shared" si="94"/>
        <v>January</v>
      </c>
      <c r="F3014" s="3" t="s">
        <v>8</v>
      </c>
      <c r="G3014" s="8">
        <v>16292.28004</v>
      </c>
      <c r="H3014" s="8">
        <v>17437.103999999999</v>
      </c>
      <c r="I3014" s="8">
        <v>1144.8239550000001</v>
      </c>
      <c r="J3014" s="8">
        <v>4752.3845659999997</v>
      </c>
      <c r="K3014" s="8">
        <v>-10691.38078</v>
      </c>
      <c r="L3014" s="8">
        <v>22673.90294</v>
      </c>
      <c r="M3014" s="9" t="str">
        <f>IF(A3014="",M3015,A3014)</f>
        <v>Niger</v>
      </c>
      <c r="N3014" s="3" t="str">
        <f t="shared" si="95"/>
        <v>Jan-2021</v>
      </c>
    </row>
    <row r="3015" spans="1:14" x14ac:dyDescent="0.3">
      <c r="A3015" s="3" t="s">
        <v>258</v>
      </c>
      <c r="B3015" s="3" t="s">
        <v>259</v>
      </c>
      <c r="C3015" s="8">
        <v>2021</v>
      </c>
      <c r="D3015" s="8">
        <v>2</v>
      </c>
      <c r="E3015" s="3" t="str">
        <f t="shared" si="94"/>
        <v>February</v>
      </c>
      <c r="F3015" s="3" t="s">
        <v>8</v>
      </c>
      <c r="G3015" s="8">
        <v>16030.644319999999</v>
      </c>
      <c r="H3015" s="8">
        <v>17039.835999999999</v>
      </c>
      <c r="I3015" s="8">
        <v>1009.191678</v>
      </c>
      <c r="J3015" s="8">
        <v>5761.5762439999999</v>
      </c>
      <c r="K3015" s="8">
        <v>-10416.842790000001</v>
      </c>
      <c r="L3015" s="8">
        <v>24246.998950000001</v>
      </c>
      <c r="M3015" s="9" t="str">
        <f>IF(A3015="",M3016,A3015)</f>
        <v>Niger</v>
      </c>
      <c r="N3015" s="3" t="str">
        <f t="shared" si="95"/>
        <v>Feb-2021</v>
      </c>
    </row>
    <row r="3016" spans="1:14" x14ac:dyDescent="0.3">
      <c r="A3016" s="3" t="s">
        <v>258</v>
      </c>
      <c r="B3016" s="3" t="s">
        <v>259</v>
      </c>
      <c r="C3016" s="8">
        <v>2021</v>
      </c>
      <c r="D3016" s="8">
        <v>3</v>
      </c>
      <c r="E3016" s="3" t="str">
        <f t="shared" si="94"/>
        <v>March</v>
      </c>
      <c r="F3016" s="3" t="s">
        <v>8</v>
      </c>
      <c r="G3016" s="8">
        <v>15465.529039999999</v>
      </c>
      <c r="H3016" s="8">
        <v>16759.352999999999</v>
      </c>
      <c r="I3016" s="8">
        <v>1293.823963</v>
      </c>
      <c r="J3016" s="8">
        <v>7055.4002069999997</v>
      </c>
      <c r="K3016" s="8">
        <v>-9502.9596309999997</v>
      </c>
      <c r="L3016" s="8">
        <v>25375.55575</v>
      </c>
      <c r="M3016" s="9" t="str">
        <f>IF(A3016="",M3017,A3016)</f>
        <v>Niger</v>
      </c>
      <c r="N3016" s="3" t="str">
        <f t="shared" si="95"/>
        <v>Mar-2021</v>
      </c>
    </row>
    <row r="3017" spans="1:14" x14ac:dyDescent="0.3">
      <c r="A3017" s="3" t="s">
        <v>258</v>
      </c>
      <c r="B3017" s="3" t="s">
        <v>259</v>
      </c>
      <c r="C3017" s="8">
        <v>2021</v>
      </c>
      <c r="D3017" s="8">
        <v>4</v>
      </c>
      <c r="E3017" s="3" t="str">
        <f t="shared" si="94"/>
        <v>April</v>
      </c>
      <c r="F3017" s="3" t="s">
        <v>8</v>
      </c>
      <c r="G3017" s="8">
        <v>15159.25</v>
      </c>
      <c r="H3017" s="8">
        <v>16022.962</v>
      </c>
      <c r="I3017" s="8">
        <v>863.71200339999996</v>
      </c>
      <c r="J3017" s="8">
        <v>7919.1122100000002</v>
      </c>
      <c r="K3017" s="8">
        <v>-9006.201599</v>
      </c>
      <c r="L3017" s="8">
        <v>26588.97595</v>
      </c>
      <c r="M3017" s="9" t="str">
        <f>IF(A3017="",M3018,A3017)</f>
        <v>Niger</v>
      </c>
      <c r="N3017" s="3" t="str">
        <f t="shared" si="95"/>
        <v>Apr-2021</v>
      </c>
    </row>
    <row r="3018" spans="1:14" x14ac:dyDescent="0.3">
      <c r="A3018" s="3" t="s">
        <v>258</v>
      </c>
      <c r="B3018" s="3" t="s">
        <v>259</v>
      </c>
      <c r="C3018" s="8">
        <v>2021</v>
      </c>
      <c r="D3018" s="8">
        <v>5</v>
      </c>
      <c r="E3018" s="3" t="str">
        <f t="shared" si="94"/>
        <v>May</v>
      </c>
      <c r="F3018" s="3" t="s">
        <v>8</v>
      </c>
      <c r="G3018" s="8">
        <v>14899.86217</v>
      </c>
      <c r="H3018" s="8">
        <v>15661.449000000001</v>
      </c>
      <c r="I3018" s="8">
        <v>761.58682590000001</v>
      </c>
      <c r="J3018" s="8">
        <v>8680.699036</v>
      </c>
      <c r="K3018" s="8">
        <v>-9027.6517100000001</v>
      </c>
      <c r="L3018" s="8">
        <v>27517.044519999999</v>
      </c>
      <c r="M3018" s="9" t="str">
        <f>IF(A3018="",M3019,A3018)</f>
        <v>Niger</v>
      </c>
      <c r="N3018" s="3" t="str">
        <f t="shared" si="95"/>
        <v>May-2021</v>
      </c>
    </row>
    <row r="3019" spans="1:14" x14ac:dyDescent="0.3">
      <c r="A3019" s="3" t="s">
        <v>258</v>
      </c>
      <c r="B3019" s="3" t="s">
        <v>259</v>
      </c>
      <c r="C3019" s="8">
        <v>2021</v>
      </c>
      <c r="D3019" s="8">
        <v>6</v>
      </c>
      <c r="E3019" s="3" t="str">
        <f t="shared" si="94"/>
        <v>June</v>
      </c>
      <c r="F3019" s="3" t="s">
        <v>8</v>
      </c>
      <c r="G3019" s="8">
        <v>14829.877409999999</v>
      </c>
      <c r="H3019" s="8">
        <v>16074.981</v>
      </c>
      <c r="I3019" s="8">
        <v>1245.1035870000001</v>
      </c>
      <c r="J3019" s="8">
        <v>9925.8026229999996</v>
      </c>
      <c r="K3019" s="8">
        <v>-8579.0810590000001</v>
      </c>
      <c r="L3019" s="8">
        <v>30042.820400000001</v>
      </c>
      <c r="M3019" s="9" t="str">
        <f>IF(A3019="",M3020,A3019)</f>
        <v>Niger</v>
      </c>
      <c r="N3019" s="3" t="str">
        <f t="shared" si="95"/>
        <v>Jun-2021</v>
      </c>
    </row>
    <row r="3020" spans="1:14" x14ac:dyDescent="0.3">
      <c r="A3020" s="3" t="s">
        <v>258</v>
      </c>
      <c r="B3020" s="3" t="s">
        <v>259</v>
      </c>
      <c r="C3020" s="8">
        <v>2021</v>
      </c>
      <c r="D3020" s="8">
        <v>7</v>
      </c>
      <c r="E3020" s="3" t="str">
        <f t="shared" si="94"/>
        <v>July</v>
      </c>
      <c r="F3020" s="3" t="s">
        <v>8</v>
      </c>
      <c r="G3020" s="8">
        <v>15090.97068</v>
      </c>
      <c r="H3020" s="8">
        <v>16447.933000000001</v>
      </c>
      <c r="I3020" s="8">
        <v>1356.9623220000001</v>
      </c>
      <c r="J3020" s="8">
        <v>11282.764939999999</v>
      </c>
      <c r="K3020" s="8">
        <v>-7509.9567059999999</v>
      </c>
      <c r="L3020" s="8">
        <v>32658.36116</v>
      </c>
      <c r="M3020" s="9" t="str">
        <f>IF(A3020="",M3021,A3020)</f>
        <v>Niger</v>
      </c>
      <c r="N3020" s="3" t="str">
        <f t="shared" si="95"/>
        <v>Jul-2021</v>
      </c>
    </row>
    <row r="3021" spans="1:14" x14ac:dyDescent="0.3">
      <c r="A3021" s="3" t="s">
        <v>258</v>
      </c>
      <c r="B3021" s="3" t="s">
        <v>259</v>
      </c>
      <c r="C3021" s="8">
        <v>2021</v>
      </c>
      <c r="D3021" s="8">
        <v>8</v>
      </c>
      <c r="E3021" s="3" t="str">
        <f t="shared" si="94"/>
        <v>August</v>
      </c>
      <c r="F3021" s="3" t="s">
        <v>8</v>
      </c>
      <c r="G3021" s="8">
        <v>15231.557870000001</v>
      </c>
      <c r="H3021" s="8">
        <v>15998.73</v>
      </c>
      <c r="I3021" s="8">
        <v>767.17213059999995</v>
      </c>
      <c r="J3021" s="8">
        <v>12049.93708</v>
      </c>
      <c r="K3021" s="8">
        <v>-7202.2054699999999</v>
      </c>
      <c r="L3021" s="8">
        <v>33936.99437</v>
      </c>
      <c r="M3021" s="9" t="str">
        <f>IF(A3021="",M3022,A3021)</f>
        <v>Niger</v>
      </c>
      <c r="N3021" s="3" t="str">
        <f t="shared" si="95"/>
        <v>Aug-2021</v>
      </c>
    </row>
    <row r="3022" spans="1:14" x14ac:dyDescent="0.3">
      <c r="A3022" s="3" t="s">
        <v>258</v>
      </c>
      <c r="B3022" s="3" t="s">
        <v>259</v>
      </c>
      <c r="C3022" s="8">
        <v>2021</v>
      </c>
      <c r="D3022" s="8">
        <v>9</v>
      </c>
      <c r="E3022" s="3" t="str">
        <f t="shared" si="94"/>
        <v>September</v>
      </c>
      <c r="F3022" s="3" t="s">
        <v>8</v>
      </c>
      <c r="G3022" s="8">
        <v>15212.40409</v>
      </c>
      <c r="H3022" s="8">
        <v>15343.324000000001</v>
      </c>
      <c r="I3022" s="8">
        <v>130.919905</v>
      </c>
      <c r="J3022" s="8">
        <v>12180.85698</v>
      </c>
      <c r="K3022" s="8">
        <v>-7069.5832780000001</v>
      </c>
      <c r="L3022" s="8">
        <v>34199.941180000002</v>
      </c>
      <c r="M3022" s="9" t="str">
        <f>IF(A3022="",M3023,A3022)</f>
        <v>Niger</v>
      </c>
      <c r="N3022" s="3" t="str">
        <f t="shared" si="95"/>
        <v>Sep-2021</v>
      </c>
    </row>
    <row r="3023" spans="1:14" x14ac:dyDescent="0.3">
      <c r="A3023" s="3" t="s">
        <v>258</v>
      </c>
      <c r="B3023" s="3" t="s">
        <v>259</v>
      </c>
      <c r="C3023" s="8">
        <v>2021</v>
      </c>
      <c r="D3023" s="8">
        <v>10</v>
      </c>
      <c r="E3023" s="3" t="str">
        <f t="shared" si="94"/>
        <v>October</v>
      </c>
      <c r="F3023" s="3" t="s">
        <v>8</v>
      </c>
      <c r="G3023" s="8">
        <v>15333.56853</v>
      </c>
      <c r="H3023" s="8">
        <v>15098.485000000001</v>
      </c>
      <c r="I3023" s="8">
        <v>-235.0835319</v>
      </c>
      <c r="J3023" s="8">
        <v>11945.773450000001</v>
      </c>
      <c r="K3023" s="8">
        <v>-8151.0018360000004</v>
      </c>
      <c r="L3023" s="8">
        <v>34704.855170000003</v>
      </c>
      <c r="M3023" s="9" t="str">
        <f>IF(A3023="",M3024,A3023)</f>
        <v>Niger</v>
      </c>
      <c r="N3023" s="3" t="str">
        <f t="shared" si="95"/>
        <v>Oct-2021</v>
      </c>
    </row>
    <row r="3024" spans="1:14" x14ac:dyDescent="0.3">
      <c r="A3024" s="3" t="s">
        <v>258</v>
      </c>
      <c r="B3024" s="3" t="s">
        <v>259</v>
      </c>
      <c r="C3024" s="8">
        <v>2021</v>
      </c>
      <c r="D3024" s="8">
        <v>11</v>
      </c>
      <c r="E3024" s="3" t="str">
        <f t="shared" si="94"/>
        <v>November</v>
      </c>
      <c r="F3024" s="3" t="s">
        <v>8</v>
      </c>
      <c r="G3024" s="8">
        <v>15851.4962</v>
      </c>
      <c r="H3024" s="8">
        <v>15842.257</v>
      </c>
      <c r="I3024" s="8">
        <v>-9.2391962220000003</v>
      </c>
      <c r="J3024" s="8">
        <v>11936.534250000001</v>
      </c>
      <c r="K3024" s="8">
        <v>-8609.1307859999997</v>
      </c>
      <c r="L3024" s="8">
        <v>35480.606339999998</v>
      </c>
      <c r="M3024" s="9" t="str">
        <f>IF(A3024="",M3025,A3024)</f>
        <v>Niger</v>
      </c>
      <c r="N3024" s="3" t="str">
        <f t="shared" si="95"/>
        <v>Nov-2021</v>
      </c>
    </row>
    <row r="3025" spans="1:14" x14ac:dyDescent="0.3">
      <c r="A3025" s="3" t="s">
        <v>258</v>
      </c>
      <c r="B3025" s="3" t="s">
        <v>259</v>
      </c>
      <c r="C3025" s="8">
        <v>2021</v>
      </c>
      <c r="D3025" s="8">
        <v>12</v>
      </c>
      <c r="E3025" s="3" t="str">
        <f t="shared" si="94"/>
        <v>December</v>
      </c>
      <c r="F3025" s="3" t="s">
        <v>8</v>
      </c>
      <c r="G3025" s="8">
        <v>16131.938120000001</v>
      </c>
      <c r="H3025" s="8">
        <v>16472.36</v>
      </c>
      <c r="I3025" s="8">
        <v>340.42187660000002</v>
      </c>
      <c r="J3025" s="8">
        <v>12276.95613</v>
      </c>
      <c r="K3025" s="8">
        <v>-9045.4173800000008</v>
      </c>
      <c r="L3025" s="8">
        <v>36300.185519999999</v>
      </c>
      <c r="M3025" s="9" t="str">
        <f>IF(A3025="",M3026,A3025)</f>
        <v>Niger</v>
      </c>
      <c r="N3025" s="3" t="str">
        <f t="shared" si="95"/>
        <v>Dec-2021</v>
      </c>
    </row>
    <row r="3026" spans="1:14" x14ac:dyDescent="0.3">
      <c r="A3026" s="3" t="s">
        <v>260</v>
      </c>
      <c r="B3026" s="3" t="s">
        <v>261</v>
      </c>
      <c r="C3026" s="8">
        <v>2020</v>
      </c>
      <c r="D3026" s="8">
        <v>1</v>
      </c>
      <c r="E3026" s="3" t="str">
        <f t="shared" si="94"/>
        <v>January</v>
      </c>
      <c r="F3026" s="3" t="s">
        <v>8</v>
      </c>
      <c r="G3026" s="8">
        <v>139379.75099999999</v>
      </c>
      <c r="H3026" s="8">
        <v>144116.47200000001</v>
      </c>
      <c r="I3026" s="8">
        <v>4736.7210080000004</v>
      </c>
      <c r="J3026" s="8">
        <v>4736.7210080000004</v>
      </c>
      <c r="K3026" s="8">
        <v>-29517.60599</v>
      </c>
      <c r="L3026" s="8">
        <v>46594.338179999999</v>
      </c>
      <c r="M3026" s="9" t="str">
        <f>IF(A3026="",M3027,A3026)</f>
        <v>Nigeria</v>
      </c>
      <c r="N3026" s="3" t="str">
        <f t="shared" si="95"/>
        <v>Jan-2020</v>
      </c>
    </row>
    <row r="3027" spans="1:14" x14ac:dyDescent="0.3">
      <c r="A3027" s="3" t="s">
        <v>260</v>
      </c>
      <c r="B3027" s="3" t="s">
        <v>261</v>
      </c>
      <c r="C3027" s="8">
        <v>2020</v>
      </c>
      <c r="D3027" s="8">
        <v>2</v>
      </c>
      <c r="E3027" s="3" t="str">
        <f t="shared" si="94"/>
        <v>February</v>
      </c>
      <c r="F3027" s="3" t="s">
        <v>8</v>
      </c>
      <c r="G3027" s="8">
        <v>137418.8982</v>
      </c>
      <c r="H3027" s="8">
        <v>136763.05499999999</v>
      </c>
      <c r="I3027" s="8">
        <v>-655.84317439999995</v>
      </c>
      <c r="J3027" s="8">
        <v>4080.877833</v>
      </c>
      <c r="K3027" s="8">
        <v>-45661.294759999997</v>
      </c>
      <c r="L3027" s="8">
        <v>61776.83165</v>
      </c>
      <c r="M3027" s="9" t="str">
        <f>IF(A3027="",M3028,A3027)</f>
        <v>Nigeria</v>
      </c>
      <c r="N3027" s="3" t="str">
        <f t="shared" si="95"/>
        <v>Feb-2020</v>
      </c>
    </row>
    <row r="3028" spans="1:14" x14ac:dyDescent="0.3">
      <c r="A3028" s="3" t="s">
        <v>260</v>
      </c>
      <c r="B3028" s="3" t="s">
        <v>261</v>
      </c>
      <c r="C3028" s="8">
        <v>2020</v>
      </c>
      <c r="D3028" s="8">
        <v>3</v>
      </c>
      <c r="E3028" s="3" t="str">
        <f t="shared" si="94"/>
        <v>March</v>
      </c>
      <c r="F3028" s="3" t="s">
        <v>8</v>
      </c>
      <c r="G3028" s="8">
        <v>134639.84969999999</v>
      </c>
      <c r="H3028" s="8">
        <v>135331.32699999999</v>
      </c>
      <c r="I3028" s="8">
        <v>691.47729379999998</v>
      </c>
      <c r="J3028" s="8">
        <v>4772.3551269999998</v>
      </c>
      <c r="K3028" s="8">
        <v>-58137.117019999998</v>
      </c>
      <c r="L3028" s="8">
        <v>70473.292490000007</v>
      </c>
      <c r="M3028" s="9" t="str">
        <f>IF(A3028="",M3029,A3028)</f>
        <v>Nigeria</v>
      </c>
      <c r="N3028" s="3" t="str">
        <f t="shared" si="95"/>
        <v>Mar-2020</v>
      </c>
    </row>
    <row r="3029" spans="1:14" x14ac:dyDescent="0.3">
      <c r="A3029" s="3" t="s">
        <v>260</v>
      </c>
      <c r="B3029" s="3" t="s">
        <v>261</v>
      </c>
      <c r="C3029" s="8">
        <v>2020</v>
      </c>
      <c r="D3029" s="8">
        <v>4</v>
      </c>
      <c r="E3029" s="3" t="str">
        <f t="shared" si="94"/>
        <v>April</v>
      </c>
      <c r="F3029" s="3" t="s">
        <v>8</v>
      </c>
      <c r="G3029" s="8">
        <v>134479.3438</v>
      </c>
      <c r="H3029" s="8">
        <v>127047.522</v>
      </c>
      <c r="I3029" s="8">
        <v>-7431.8218120000001</v>
      </c>
      <c r="J3029" s="8">
        <v>-2659.4666849999999</v>
      </c>
      <c r="K3029" s="8">
        <v>-71812.555460000003</v>
      </c>
      <c r="L3029" s="8">
        <v>77618.716289999997</v>
      </c>
      <c r="M3029" s="9" t="str">
        <f>IF(A3029="",M3030,A3029)</f>
        <v>Nigeria</v>
      </c>
      <c r="N3029" s="3" t="str">
        <f t="shared" si="95"/>
        <v>Apr-2020</v>
      </c>
    </row>
    <row r="3030" spans="1:14" x14ac:dyDescent="0.3">
      <c r="A3030" s="3" t="s">
        <v>260</v>
      </c>
      <c r="B3030" s="3" t="s">
        <v>261</v>
      </c>
      <c r="C3030" s="8">
        <v>2020</v>
      </c>
      <c r="D3030" s="8">
        <v>5</v>
      </c>
      <c r="E3030" s="3" t="str">
        <f t="shared" si="94"/>
        <v>May</v>
      </c>
      <c r="F3030" s="3" t="s">
        <v>8</v>
      </c>
      <c r="G3030" s="8">
        <v>135044.8933</v>
      </c>
      <c r="H3030" s="8">
        <v>136282.476</v>
      </c>
      <c r="I3030" s="8">
        <v>1237.5827139999999</v>
      </c>
      <c r="J3030" s="8">
        <v>-1421.8839720000001</v>
      </c>
      <c r="K3030" s="8">
        <v>-77788.705520000003</v>
      </c>
      <c r="L3030" s="8">
        <v>91884.336800000005</v>
      </c>
      <c r="M3030" s="9" t="str">
        <f>IF(A3030="",M3031,A3030)</f>
        <v>Nigeria</v>
      </c>
      <c r="N3030" s="3" t="str">
        <f t="shared" si="95"/>
        <v>May-2020</v>
      </c>
    </row>
    <row r="3031" spans="1:14" x14ac:dyDescent="0.3">
      <c r="A3031" s="3" t="s">
        <v>260</v>
      </c>
      <c r="B3031" s="3" t="s">
        <v>261</v>
      </c>
      <c r="C3031" s="8">
        <v>2020</v>
      </c>
      <c r="D3031" s="8">
        <v>6</v>
      </c>
      <c r="E3031" s="3" t="str">
        <f t="shared" si="94"/>
        <v>June</v>
      </c>
      <c r="F3031" s="3" t="s">
        <v>8</v>
      </c>
      <c r="G3031" s="8">
        <v>136382.0729</v>
      </c>
      <c r="H3031" s="8">
        <v>149678.06700000001</v>
      </c>
      <c r="I3031" s="8">
        <v>13295.99411</v>
      </c>
      <c r="J3031" s="8">
        <v>11874.110140000001</v>
      </c>
      <c r="K3031" s="8">
        <v>-72437.193169999999</v>
      </c>
      <c r="L3031" s="8">
        <v>111565.17819999999</v>
      </c>
      <c r="M3031" s="9" t="str">
        <f>IF(A3031="",M3032,A3031)</f>
        <v>Nigeria</v>
      </c>
      <c r="N3031" s="3" t="str">
        <f t="shared" si="95"/>
        <v>Jun-2020</v>
      </c>
    </row>
    <row r="3032" spans="1:14" x14ac:dyDescent="0.3">
      <c r="A3032" s="3" t="s">
        <v>260</v>
      </c>
      <c r="B3032" s="3" t="s">
        <v>261</v>
      </c>
      <c r="C3032" s="8">
        <v>2020</v>
      </c>
      <c r="D3032" s="8">
        <v>7</v>
      </c>
      <c r="E3032" s="3" t="str">
        <f t="shared" si="94"/>
        <v>July</v>
      </c>
      <c r="F3032" s="3" t="s">
        <v>8</v>
      </c>
      <c r="G3032" s="8">
        <v>138445.15789999999</v>
      </c>
      <c r="H3032" s="8">
        <v>151649.829</v>
      </c>
      <c r="I3032" s="8">
        <v>13204.67115</v>
      </c>
      <c r="J3032" s="8">
        <v>25078.781289999999</v>
      </c>
      <c r="K3032" s="8">
        <v>-72175.162530000001</v>
      </c>
      <c r="L3032" s="8">
        <v>137212.6544</v>
      </c>
      <c r="M3032" s="9" t="str">
        <f>IF(A3032="",M3033,A3032)</f>
        <v>Nigeria</v>
      </c>
      <c r="N3032" s="3" t="str">
        <f t="shared" si="95"/>
        <v>Jul-2020</v>
      </c>
    </row>
    <row r="3033" spans="1:14" x14ac:dyDescent="0.3">
      <c r="A3033" s="3" t="s">
        <v>260</v>
      </c>
      <c r="B3033" s="3" t="s">
        <v>261</v>
      </c>
      <c r="C3033" s="8">
        <v>2020</v>
      </c>
      <c r="D3033" s="8">
        <v>8</v>
      </c>
      <c r="E3033" s="3" t="str">
        <f t="shared" si="94"/>
        <v>August</v>
      </c>
      <c r="F3033" s="3" t="s">
        <v>8</v>
      </c>
      <c r="G3033" s="8">
        <v>138934.5521</v>
      </c>
      <c r="H3033" s="8">
        <v>147028.342</v>
      </c>
      <c r="I3033" s="8">
        <v>8093.7898660000001</v>
      </c>
      <c r="J3033" s="8">
        <v>33172.571150000003</v>
      </c>
      <c r="K3033" s="8">
        <v>-72537.211679999993</v>
      </c>
      <c r="L3033" s="8">
        <v>146255.2764</v>
      </c>
      <c r="M3033" s="9" t="str">
        <f>IF(A3033="",M3034,A3033)</f>
        <v>Nigeria</v>
      </c>
      <c r="N3033" s="3" t="str">
        <f t="shared" si="95"/>
        <v>Aug-2020</v>
      </c>
    </row>
    <row r="3034" spans="1:14" x14ac:dyDescent="0.3">
      <c r="A3034" s="3" t="s">
        <v>260</v>
      </c>
      <c r="B3034" s="3" t="s">
        <v>261</v>
      </c>
      <c r="C3034" s="8">
        <v>2020</v>
      </c>
      <c r="D3034" s="8">
        <v>9</v>
      </c>
      <c r="E3034" s="3" t="str">
        <f t="shared" si="94"/>
        <v>September</v>
      </c>
      <c r="F3034" s="3" t="s">
        <v>8</v>
      </c>
      <c r="G3034" s="8">
        <v>138521.42019999999</v>
      </c>
      <c r="H3034" s="8">
        <v>141871.91200000001</v>
      </c>
      <c r="I3034" s="8">
        <v>3350.4918429999998</v>
      </c>
      <c r="J3034" s="8">
        <v>36523.063000000002</v>
      </c>
      <c r="K3034" s="8">
        <v>-80724.746750000006</v>
      </c>
      <c r="L3034" s="8">
        <v>151734.42449999999</v>
      </c>
      <c r="M3034" s="9" t="str">
        <f>IF(A3034="",M3035,A3034)</f>
        <v>Nigeria</v>
      </c>
      <c r="N3034" s="3" t="str">
        <f t="shared" si="95"/>
        <v>Sep-2020</v>
      </c>
    </row>
    <row r="3035" spans="1:14" x14ac:dyDescent="0.3">
      <c r="A3035" s="3" t="s">
        <v>260</v>
      </c>
      <c r="B3035" s="3" t="s">
        <v>261</v>
      </c>
      <c r="C3035" s="8">
        <v>2020</v>
      </c>
      <c r="D3035" s="8">
        <v>10</v>
      </c>
      <c r="E3035" s="3" t="str">
        <f t="shared" si="94"/>
        <v>October</v>
      </c>
      <c r="F3035" s="3" t="s">
        <v>8</v>
      </c>
      <c r="G3035" s="8">
        <v>137502.32620000001</v>
      </c>
      <c r="H3035" s="8">
        <v>135467.253</v>
      </c>
      <c r="I3035" s="8">
        <v>-2035.0731599999999</v>
      </c>
      <c r="J3035" s="8">
        <v>34487.989840000002</v>
      </c>
      <c r="K3035" s="8">
        <v>-86081.515249999997</v>
      </c>
      <c r="L3035" s="8">
        <v>159335.413</v>
      </c>
      <c r="M3035" s="9" t="str">
        <f>IF(A3035="",M3036,A3035)</f>
        <v>Nigeria</v>
      </c>
      <c r="N3035" s="3" t="str">
        <f t="shared" si="95"/>
        <v>Oct-2020</v>
      </c>
    </row>
    <row r="3036" spans="1:14" x14ac:dyDescent="0.3">
      <c r="A3036" s="3" t="s">
        <v>260</v>
      </c>
      <c r="B3036" s="3" t="s">
        <v>261</v>
      </c>
      <c r="C3036" s="8">
        <v>2020</v>
      </c>
      <c r="D3036" s="8">
        <v>11</v>
      </c>
      <c r="E3036" s="3" t="str">
        <f t="shared" si="94"/>
        <v>November</v>
      </c>
      <c r="F3036" s="3" t="s">
        <v>8</v>
      </c>
      <c r="G3036" s="8">
        <v>137933.5338</v>
      </c>
      <c r="H3036" s="8">
        <v>135977.47200000001</v>
      </c>
      <c r="I3036" s="8">
        <v>-1956.061833</v>
      </c>
      <c r="J3036" s="8">
        <v>32531.928</v>
      </c>
      <c r="K3036" s="8">
        <v>-93009.901419999995</v>
      </c>
      <c r="L3036" s="8">
        <v>165663.34020000001</v>
      </c>
      <c r="M3036" s="9" t="str">
        <f>IF(A3036="",M3037,A3036)</f>
        <v>Nigeria</v>
      </c>
      <c r="N3036" s="3" t="str">
        <f t="shared" si="95"/>
        <v>Nov-2020</v>
      </c>
    </row>
    <row r="3037" spans="1:14" x14ac:dyDescent="0.3">
      <c r="A3037" s="3" t="s">
        <v>260</v>
      </c>
      <c r="B3037" s="3" t="s">
        <v>261</v>
      </c>
      <c r="C3037" s="8">
        <v>2020</v>
      </c>
      <c r="D3037" s="8">
        <v>12</v>
      </c>
      <c r="E3037" s="3" t="str">
        <f t="shared" si="94"/>
        <v>December</v>
      </c>
      <c r="F3037" s="3" t="s">
        <v>8</v>
      </c>
      <c r="G3037" s="8">
        <v>138591.35870000001</v>
      </c>
      <c r="H3037" s="8">
        <v>142001.64600000001</v>
      </c>
      <c r="I3037" s="8">
        <v>3410.2872969999999</v>
      </c>
      <c r="J3037" s="8">
        <v>35942.215300000003</v>
      </c>
      <c r="K3037" s="8">
        <v>-98521.711420000007</v>
      </c>
      <c r="L3037" s="8">
        <v>170811.5583</v>
      </c>
      <c r="M3037" s="9" t="str">
        <f>IF(A3037="",M3038,A3037)</f>
        <v>Nigeria</v>
      </c>
      <c r="N3037" s="3" t="str">
        <f t="shared" si="95"/>
        <v>Dec-2020</v>
      </c>
    </row>
    <row r="3038" spans="1:14" x14ac:dyDescent="0.3">
      <c r="A3038" s="3" t="s">
        <v>260</v>
      </c>
      <c r="B3038" s="3" t="s">
        <v>261</v>
      </c>
      <c r="C3038" s="8">
        <v>2021</v>
      </c>
      <c r="D3038" s="8">
        <v>1</v>
      </c>
      <c r="E3038" s="3" t="str">
        <f t="shared" si="94"/>
        <v>January</v>
      </c>
      <c r="F3038" s="3" t="s">
        <v>8</v>
      </c>
      <c r="G3038" s="8">
        <v>139032.1986</v>
      </c>
      <c r="H3038" s="8">
        <v>145790.79999999999</v>
      </c>
      <c r="I3038" s="8">
        <v>6758.601396</v>
      </c>
      <c r="J3038" s="8">
        <v>42700.816700000003</v>
      </c>
      <c r="K3038" s="8">
        <v>-94342.410929999998</v>
      </c>
      <c r="L3038" s="8">
        <v>182016.467</v>
      </c>
      <c r="M3038" s="9" t="str">
        <f>IF(A3038="",M3039,A3038)</f>
        <v>Nigeria</v>
      </c>
      <c r="N3038" s="3" t="str">
        <f t="shared" si="95"/>
        <v>Jan-2021</v>
      </c>
    </row>
    <row r="3039" spans="1:14" x14ac:dyDescent="0.3">
      <c r="A3039" s="3" t="s">
        <v>260</v>
      </c>
      <c r="B3039" s="3" t="s">
        <v>261</v>
      </c>
      <c r="C3039" s="8">
        <v>2021</v>
      </c>
      <c r="D3039" s="8">
        <v>2</v>
      </c>
      <c r="E3039" s="3" t="str">
        <f t="shared" si="94"/>
        <v>February</v>
      </c>
      <c r="F3039" s="3" t="s">
        <v>8</v>
      </c>
      <c r="G3039" s="8">
        <v>137086.52420000001</v>
      </c>
      <c r="H3039" s="8">
        <v>148449.655</v>
      </c>
      <c r="I3039" s="8">
        <v>11363.13084</v>
      </c>
      <c r="J3039" s="8">
        <v>54063.947540000001</v>
      </c>
      <c r="K3039" s="8">
        <v>-86964.101049999997</v>
      </c>
      <c r="L3039" s="8">
        <v>197404.4754</v>
      </c>
      <c r="M3039" s="9" t="str">
        <f>IF(A3039="",M3040,A3039)</f>
        <v>Nigeria</v>
      </c>
      <c r="N3039" s="3" t="str">
        <f t="shared" si="95"/>
        <v>Feb-2021</v>
      </c>
    </row>
    <row r="3040" spans="1:14" x14ac:dyDescent="0.3">
      <c r="A3040" s="3" t="s">
        <v>260</v>
      </c>
      <c r="B3040" s="3" t="s">
        <v>261</v>
      </c>
      <c r="C3040" s="8">
        <v>2021</v>
      </c>
      <c r="D3040" s="8">
        <v>3</v>
      </c>
      <c r="E3040" s="3" t="str">
        <f t="shared" si="94"/>
        <v>March</v>
      </c>
      <c r="F3040" s="3" t="s">
        <v>8</v>
      </c>
      <c r="G3040" s="8">
        <v>134312.4241</v>
      </c>
      <c r="H3040" s="8">
        <v>139837.272</v>
      </c>
      <c r="I3040" s="8">
        <v>5524.8479129999996</v>
      </c>
      <c r="J3040" s="8">
        <v>59588.795449999998</v>
      </c>
      <c r="K3040" s="8">
        <v>-86140.881640000007</v>
      </c>
      <c r="L3040" s="8">
        <v>214361.2758</v>
      </c>
      <c r="M3040" s="9" t="str">
        <f>IF(A3040="",M3041,A3040)</f>
        <v>Nigeria</v>
      </c>
      <c r="N3040" s="3" t="str">
        <f t="shared" si="95"/>
        <v>Mar-2021</v>
      </c>
    </row>
    <row r="3041" spans="1:14" x14ac:dyDescent="0.3">
      <c r="A3041" s="3" t="s">
        <v>260</v>
      </c>
      <c r="B3041" s="3" t="s">
        <v>261</v>
      </c>
      <c r="C3041" s="8">
        <v>2021</v>
      </c>
      <c r="D3041" s="8">
        <v>4</v>
      </c>
      <c r="E3041" s="3" t="str">
        <f t="shared" si="94"/>
        <v>April</v>
      </c>
      <c r="F3041" s="3" t="s">
        <v>8</v>
      </c>
      <c r="G3041" s="8">
        <v>134125.49340000001</v>
      </c>
      <c r="H3041" s="8">
        <v>133123.269</v>
      </c>
      <c r="I3041" s="8">
        <v>-1002.224381</v>
      </c>
      <c r="J3041" s="8">
        <v>58586.571069999998</v>
      </c>
      <c r="K3041" s="8">
        <v>-93471.038440000004</v>
      </c>
      <c r="L3041" s="8">
        <v>217944.17249999999</v>
      </c>
      <c r="M3041" s="9" t="str">
        <f>IF(A3041="",M3042,A3041)</f>
        <v>Nigeria</v>
      </c>
      <c r="N3041" s="3" t="str">
        <f t="shared" si="95"/>
        <v>Apr-2021</v>
      </c>
    </row>
    <row r="3042" spans="1:14" x14ac:dyDescent="0.3">
      <c r="A3042" s="3" t="s">
        <v>260</v>
      </c>
      <c r="B3042" s="3" t="s">
        <v>261</v>
      </c>
      <c r="C3042" s="8">
        <v>2021</v>
      </c>
      <c r="D3042" s="8">
        <v>5</v>
      </c>
      <c r="E3042" s="3" t="str">
        <f t="shared" si="94"/>
        <v>May</v>
      </c>
      <c r="F3042" s="3" t="s">
        <v>8</v>
      </c>
      <c r="G3042" s="8">
        <v>134737.0577</v>
      </c>
      <c r="H3042" s="8">
        <v>135315.60699999999</v>
      </c>
      <c r="I3042" s="8">
        <v>578.54932980000001</v>
      </c>
      <c r="J3042" s="8">
        <v>59165.1204</v>
      </c>
      <c r="K3042" s="8">
        <v>-92555.651230000003</v>
      </c>
      <c r="L3042" s="8">
        <v>221275.89989999999</v>
      </c>
      <c r="M3042" s="9" t="str">
        <f>IF(A3042="",M3043,A3042)</f>
        <v>Nigeria</v>
      </c>
      <c r="N3042" s="3" t="str">
        <f t="shared" si="95"/>
        <v>May-2021</v>
      </c>
    </row>
    <row r="3043" spans="1:14" x14ac:dyDescent="0.3">
      <c r="A3043" s="3" t="s">
        <v>260</v>
      </c>
      <c r="B3043" s="3" t="s">
        <v>261</v>
      </c>
      <c r="C3043" s="8">
        <v>2021</v>
      </c>
      <c r="D3043" s="8">
        <v>6</v>
      </c>
      <c r="E3043" s="3" t="str">
        <f t="shared" si="94"/>
        <v>June</v>
      </c>
      <c r="F3043" s="3" t="s">
        <v>8</v>
      </c>
      <c r="G3043" s="8">
        <v>136053.79490000001</v>
      </c>
      <c r="H3043" s="8">
        <v>136865.128</v>
      </c>
      <c r="I3043" s="8">
        <v>811.33310080000001</v>
      </c>
      <c r="J3043" s="8">
        <v>59976.453500000003</v>
      </c>
      <c r="K3043" s="8">
        <v>-102411.4393</v>
      </c>
      <c r="L3043" s="8">
        <v>226357.7341</v>
      </c>
      <c r="M3043" s="9" t="str">
        <f>IF(A3043="",M3044,A3043)</f>
        <v>Nigeria</v>
      </c>
      <c r="N3043" s="3" t="str">
        <f t="shared" si="95"/>
        <v>Jun-2021</v>
      </c>
    </row>
    <row r="3044" spans="1:14" x14ac:dyDescent="0.3">
      <c r="A3044" s="3" t="s">
        <v>260</v>
      </c>
      <c r="B3044" s="3" t="s">
        <v>261</v>
      </c>
      <c r="C3044" s="8">
        <v>2021</v>
      </c>
      <c r="D3044" s="8">
        <v>7</v>
      </c>
      <c r="E3044" s="3" t="str">
        <f t="shared" si="94"/>
        <v>July</v>
      </c>
      <c r="F3044" s="3" t="s">
        <v>8</v>
      </c>
      <c r="G3044" s="8">
        <v>138110.57279999999</v>
      </c>
      <c r="H3044" s="8">
        <v>136337.845</v>
      </c>
      <c r="I3044" s="8">
        <v>-1772.7277939999999</v>
      </c>
      <c r="J3044" s="8">
        <v>58203.725709999999</v>
      </c>
      <c r="K3044" s="8">
        <v>-104279.2552</v>
      </c>
      <c r="L3044" s="8">
        <v>234546.27009999999</v>
      </c>
      <c r="M3044" s="9" t="str">
        <f>IF(A3044="",M3045,A3044)</f>
        <v>Nigeria</v>
      </c>
      <c r="N3044" s="3" t="str">
        <f t="shared" si="95"/>
        <v>Jul-2021</v>
      </c>
    </row>
    <row r="3045" spans="1:14" x14ac:dyDescent="0.3">
      <c r="A3045" s="3" t="s">
        <v>260</v>
      </c>
      <c r="B3045" s="3" t="s">
        <v>261</v>
      </c>
      <c r="C3045" s="8">
        <v>2021</v>
      </c>
      <c r="D3045" s="8">
        <v>8</v>
      </c>
      <c r="E3045" s="3" t="str">
        <f t="shared" si="94"/>
        <v>August</v>
      </c>
      <c r="F3045" s="3" t="s">
        <v>8</v>
      </c>
      <c r="G3045" s="8">
        <v>138588.99729999999</v>
      </c>
      <c r="H3045" s="8">
        <v>139740.389</v>
      </c>
      <c r="I3045" s="8">
        <v>1151.3916959999999</v>
      </c>
      <c r="J3045" s="8">
        <v>59355.117400000003</v>
      </c>
      <c r="K3045" s="8">
        <v>-109746.1934</v>
      </c>
      <c r="L3045" s="8">
        <v>240362.75709999999</v>
      </c>
      <c r="M3045" s="9" t="str">
        <f>IF(A3045="",M3046,A3045)</f>
        <v>Nigeria</v>
      </c>
      <c r="N3045" s="3" t="str">
        <f t="shared" si="95"/>
        <v>Aug-2021</v>
      </c>
    </row>
    <row r="3046" spans="1:14" x14ac:dyDescent="0.3">
      <c r="A3046" s="3" t="s">
        <v>260</v>
      </c>
      <c r="B3046" s="3" t="s">
        <v>261</v>
      </c>
      <c r="C3046" s="8">
        <v>2021</v>
      </c>
      <c r="D3046" s="8">
        <v>9</v>
      </c>
      <c r="E3046" s="3" t="str">
        <f t="shared" si="94"/>
        <v>September</v>
      </c>
      <c r="F3046" s="3" t="s">
        <v>8</v>
      </c>
      <c r="G3046" s="8">
        <v>138188.67679999999</v>
      </c>
      <c r="H3046" s="8">
        <v>138601.56400000001</v>
      </c>
      <c r="I3046" s="8">
        <v>412.88716799999997</v>
      </c>
      <c r="J3046" s="8">
        <v>59768.004569999997</v>
      </c>
      <c r="K3046" s="8">
        <v>-108738.2169</v>
      </c>
      <c r="L3046" s="8">
        <v>237997.6587</v>
      </c>
      <c r="M3046" s="9" t="str">
        <f>IF(A3046="",M3047,A3046)</f>
        <v>Nigeria</v>
      </c>
      <c r="N3046" s="3" t="str">
        <f t="shared" si="95"/>
        <v>Sep-2021</v>
      </c>
    </row>
    <row r="3047" spans="1:14" x14ac:dyDescent="0.3">
      <c r="A3047" s="3" t="s">
        <v>260</v>
      </c>
      <c r="B3047" s="3" t="s">
        <v>261</v>
      </c>
      <c r="C3047" s="8">
        <v>2021</v>
      </c>
      <c r="D3047" s="8">
        <v>10</v>
      </c>
      <c r="E3047" s="3" t="str">
        <f t="shared" si="94"/>
        <v>October</v>
      </c>
      <c r="F3047" s="3" t="s">
        <v>8</v>
      </c>
      <c r="G3047" s="8">
        <v>137140.80710000001</v>
      </c>
      <c r="H3047" s="8">
        <v>134013.63099999999</v>
      </c>
      <c r="I3047" s="8">
        <v>-3127.1760859999999</v>
      </c>
      <c r="J3047" s="8">
        <v>56640.82849</v>
      </c>
      <c r="K3047" s="8">
        <v>-115767.61259999999</v>
      </c>
      <c r="L3047" s="8">
        <v>237790.3273</v>
      </c>
      <c r="M3047" s="9" t="str">
        <f>IF(A3047="",M3048,A3047)</f>
        <v>Nigeria</v>
      </c>
      <c r="N3047" s="3" t="str">
        <f t="shared" si="95"/>
        <v>Oct-2021</v>
      </c>
    </row>
    <row r="3048" spans="1:14" x14ac:dyDescent="0.3">
      <c r="A3048" s="3" t="s">
        <v>260</v>
      </c>
      <c r="B3048" s="3" t="s">
        <v>261</v>
      </c>
      <c r="C3048" s="8">
        <v>2021</v>
      </c>
      <c r="D3048" s="8">
        <v>11</v>
      </c>
      <c r="E3048" s="3" t="str">
        <f t="shared" si="94"/>
        <v>November</v>
      </c>
      <c r="F3048" s="3" t="s">
        <v>8</v>
      </c>
      <c r="G3048" s="8">
        <v>137591.1127</v>
      </c>
      <c r="H3048" s="8">
        <v>135657.03599999999</v>
      </c>
      <c r="I3048" s="8">
        <v>-1934.076693</v>
      </c>
      <c r="J3048" s="8">
        <v>54706.751790000002</v>
      </c>
      <c r="K3048" s="8">
        <v>-118201.6473</v>
      </c>
      <c r="L3048" s="8">
        <v>244569.83749999999</v>
      </c>
      <c r="M3048" s="9" t="str">
        <f>IF(A3048="",M3049,A3048)</f>
        <v>Nigeria</v>
      </c>
      <c r="N3048" s="3" t="str">
        <f t="shared" si="95"/>
        <v>Nov-2021</v>
      </c>
    </row>
    <row r="3049" spans="1:14" x14ac:dyDescent="0.3">
      <c r="A3049" s="3" t="s">
        <v>260</v>
      </c>
      <c r="B3049" s="3" t="s">
        <v>261</v>
      </c>
      <c r="C3049" s="8">
        <v>2021</v>
      </c>
      <c r="D3049" s="8">
        <v>12</v>
      </c>
      <c r="E3049" s="3" t="str">
        <f t="shared" si="94"/>
        <v>December</v>
      </c>
      <c r="F3049" s="3" t="s">
        <v>8</v>
      </c>
      <c r="G3049" s="8">
        <v>138242.33470000001</v>
      </c>
      <c r="H3049" s="8">
        <v>143499.88500000001</v>
      </c>
      <c r="I3049" s="8">
        <v>5257.5502550000001</v>
      </c>
      <c r="J3049" s="8">
        <v>59964.302049999998</v>
      </c>
      <c r="K3049" s="8">
        <v>-119303.499</v>
      </c>
      <c r="L3049" s="8">
        <v>249684.14799999999</v>
      </c>
      <c r="M3049" s="9" t="str">
        <f>IF(A3049="",M3050,A3049)</f>
        <v>Nigeria</v>
      </c>
      <c r="N3049" s="3" t="str">
        <f t="shared" si="95"/>
        <v>Dec-2021</v>
      </c>
    </row>
    <row r="3050" spans="1:14" x14ac:dyDescent="0.3">
      <c r="A3050" s="3" t="s">
        <v>262</v>
      </c>
      <c r="B3050" s="3" t="s">
        <v>263</v>
      </c>
      <c r="C3050" s="8">
        <v>2020</v>
      </c>
      <c r="D3050" s="8">
        <v>1</v>
      </c>
      <c r="E3050" s="3" t="str">
        <f t="shared" si="94"/>
        <v>January</v>
      </c>
      <c r="F3050" s="3" t="s">
        <v>13</v>
      </c>
      <c r="G3050" s="8">
        <v>2162.7748230000002</v>
      </c>
      <c r="H3050" s="8">
        <v>2144</v>
      </c>
      <c r="I3050" s="8">
        <v>-21.774823420000001</v>
      </c>
      <c r="J3050" s="8">
        <v>-21.774823420000001</v>
      </c>
      <c r="K3050" s="8">
        <v>-89.851790919999999</v>
      </c>
      <c r="L3050" s="8">
        <v>42.983096949999997</v>
      </c>
      <c r="M3050" s="9" t="str">
        <f>IF(A3050="",M3051,A3050)</f>
        <v>Nicaragua</v>
      </c>
      <c r="N3050" s="3" t="str">
        <f t="shared" si="95"/>
        <v>Jan-2020</v>
      </c>
    </row>
    <row r="3051" spans="1:14" x14ac:dyDescent="0.3">
      <c r="A3051" s="3" t="s">
        <v>262</v>
      </c>
      <c r="B3051" s="3" t="s">
        <v>263</v>
      </c>
      <c r="C3051" s="8">
        <v>2020</v>
      </c>
      <c r="D3051" s="8">
        <v>2</v>
      </c>
      <c r="E3051" s="3" t="str">
        <f t="shared" si="94"/>
        <v>February</v>
      </c>
      <c r="F3051" s="3" t="s">
        <v>13</v>
      </c>
      <c r="G3051" s="8">
        <v>1888.773737</v>
      </c>
      <c r="H3051" s="8">
        <v>1942</v>
      </c>
      <c r="I3051" s="8">
        <v>50.22626348</v>
      </c>
      <c r="J3051" s="8">
        <v>28.451440059999999</v>
      </c>
      <c r="K3051" s="8">
        <v>-67.355093460000006</v>
      </c>
      <c r="L3051" s="8">
        <v>127.4461852</v>
      </c>
      <c r="M3051" s="9" t="str">
        <f>IF(A3051="",M3052,A3051)</f>
        <v>Nicaragua</v>
      </c>
      <c r="N3051" s="3" t="str">
        <f t="shared" si="95"/>
        <v>Feb-2020</v>
      </c>
    </row>
    <row r="3052" spans="1:14" x14ac:dyDescent="0.3">
      <c r="A3052" s="3" t="s">
        <v>262</v>
      </c>
      <c r="B3052" s="3" t="s">
        <v>263</v>
      </c>
      <c r="C3052" s="8">
        <v>2020</v>
      </c>
      <c r="D3052" s="8">
        <v>3</v>
      </c>
      <c r="E3052" s="3" t="str">
        <f t="shared" si="94"/>
        <v>March</v>
      </c>
      <c r="F3052" s="3" t="s">
        <v>13</v>
      </c>
      <c r="G3052" s="8">
        <v>2031.709372</v>
      </c>
      <c r="H3052" s="8">
        <v>1986</v>
      </c>
      <c r="I3052" s="8">
        <v>-48.709371830000002</v>
      </c>
      <c r="J3052" s="8">
        <v>-20.257931769999999</v>
      </c>
      <c r="K3052" s="8">
        <v>-149.71167779999999</v>
      </c>
      <c r="L3052" s="8">
        <v>104.397071</v>
      </c>
      <c r="M3052" s="9" t="str">
        <f>IF(A3052="",M3053,A3052)</f>
        <v>Nicaragua</v>
      </c>
      <c r="N3052" s="3" t="str">
        <f t="shared" si="95"/>
        <v>Mar-2020</v>
      </c>
    </row>
    <row r="3053" spans="1:14" x14ac:dyDescent="0.3">
      <c r="A3053" s="3" t="s">
        <v>262</v>
      </c>
      <c r="B3053" s="3" t="s">
        <v>263</v>
      </c>
      <c r="C3053" s="8">
        <v>2020</v>
      </c>
      <c r="D3053" s="8">
        <v>4</v>
      </c>
      <c r="E3053" s="3" t="str">
        <f t="shared" si="94"/>
        <v>April</v>
      </c>
      <c r="F3053" s="3" t="s">
        <v>13</v>
      </c>
      <c r="G3053" s="8">
        <v>2073.2888499999999</v>
      </c>
      <c r="H3053" s="8">
        <v>2122</v>
      </c>
      <c r="I3053" s="8">
        <v>45.7111503</v>
      </c>
      <c r="J3053" s="8">
        <v>25.453218530000001</v>
      </c>
      <c r="K3053" s="8">
        <v>-126.777714</v>
      </c>
      <c r="L3053" s="8">
        <v>176.75368850000001</v>
      </c>
      <c r="M3053" s="9" t="str">
        <f>IF(A3053="",M3054,A3053)</f>
        <v>Nicaragua</v>
      </c>
      <c r="N3053" s="3" t="str">
        <f t="shared" si="95"/>
        <v>Apr-2020</v>
      </c>
    </row>
    <row r="3054" spans="1:14" x14ac:dyDescent="0.3">
      <c r="A3054" s="3" t="s">
        <v>262</v>
      </c>
      <c r="B3054" s="3" t="s">
        <v>263</v>
      </c>
      <c r="C3054" s="8">
        <v>2020</v>
      </c>
      <c r="D3054" s="8">
        <v>5</v>
      </c>
      <c r="E3054" s="3" t="str">
        <f t="shared" si="94"/>
        <v>May</v>
      </c>
      <c r="F3054" s="3" t="s">
        <v>13</v>
      </c>
      <c r="G3054" s="8">
        <v>2077.7088629999998</v>
      </c>
      <c r="H3054" s="8">
        <v>5615</v>
      </c>
      <c r="I3054" s="8">
        <v>3534.2911370000002</v>
      </c>
      <c r="J3054" s="8">
        <v>3559.7443549999998</v>
      </c>
      <c r="K3054" s="8">
        <v>3379.9311080000002</v>
      </c>
      <c r="L3054" s="8">
        <v>3739.211726</v>
      </c>
      <c r="M3054" s="9" t="str">
        <f>IF(A3054="",M3055,A3054)</f>
        <v>Nicaragua</v>
      </c>
      <c r="N3054" s="3" t="str">
        <f t="shared" si="95"/>
        <v>May-2020</v>
      </c>
    </row>
    <row r="3055" spans="1:14" x14ac:dyDescent="0.3">
      <c r="A3055" s="3" t="s">
        <v>262</v>
      </c>
      <c r="B3055" s="3" t="s">
        <v>263</v>
      </c>
      <c r="C3055" s="8">
        <v>2020</v>
      </c>
      <c r="D3055" s="8">
        <v>6</v>
      </c>
      <c r="E3055" s="3" t="str">
        <f t="shared" si="94"/>
        <v>June</v>
      </c>
      <c r="F3055" s="3" t="s">
        <v>13</v>
      </c>
      <c r="G3055" s="8">
        <v>2108.2546900000002</v>
      </c>
      <c r="H3055" s="8">
        <v>5582</v>
      </c>
      <c r="I3055" s="8">
        <v>3470.7453099999998</v>
      </c>
      <c r="J3055" s="8">
        <v>7030.4896660000004</v>
      </c>
      <c r="K3055" s="8">
        <v>6837.8839310000003</v>
      </c>
      <c r="L3055" s="8">
        <v>7219.6498009999996</v>
      </c>
      <c r="M3055" s="9" t="str">
        <f>IF(A3055="",M3056,A3055)</f>
        <v>Nicaragua</v>
      </c>
      <c r="N3055" s="3" t="str">
        <f t="shared" si="95"/>
        <v>Jun-2020</v>
      </c>
    </row>
    <row r="3056" spans="1:14" x14ac:dyDescent="0.3">
      <c r="A3056" s="3" t="s">
        <v>262</v>
      </c>
      <c r="B3056" s="3" t="s">
        <v>263</v>
      </c>
      <c r="C3056" s="8">
        <v>2020</v>
      </c>
      <c r="D3056" s="8">
        <v>7</v>
      </c>
      <c r="E3056" s="3" t="str">
        <f t="shared" si="94"/>
        <v>July</v>
      </c>
      <c r="F3056" s="3" t="s">
        <v>13</v>
      </c>
      <c r="G3056" s="8">
        <v>2207.6361999999999</v>
      </c>
      <c r="H3056" s="8">
        <v>3207</v>
      </c>
      <c r="I3056" s="8">
        <v>996.3637999</v>
      </c>
      <c r="J3056" s="8">
        <v>8026.8534650000001</v>
      </c>
      <c r="K3056" s="8">
        <v>7805.2366659999998</v>
      </c>
      <c r="L3056" s="8">
        <v>8247.7373910000006</v>
      </c>
      <c r="M3056" s="9" t="str">
        <f>IF(A3056="",M3057,A3056)</f>
        <v>Nicaragua</v>
      </c>
      <c r="N3056" s="3" t="str">
        <f t="shared" si="95"/>
        <v>Jul-2020</v>
      </c>
    </row>
    <row r="3057" spans="1:14" x14ac:dyDescent="0.3">
      <c r="A3057" s="3" t="s">
        <v>262</v>
      </c>
      <c r="B3057" s="3" t="s">
        <v>263</v>
      </c>
      <c r="C3057" s="8">
        <v>2020</v>
      </c>
      <c r="D3057" s="8">
        <v>8</v>
      </c>
      <c r="E3057" s="3" t="str">
        <f t="shared" si="94"/>
        <v>August</v>
      </c>
      <c r="F3057" s="3" t="s">
        <v>13</v>
      </c>
      <c r="G3057" s="8">
        <v>2203.6283570000001</v>
      </c>
      <c r="H3057" s="8">
        <v>2354</v>
      </c>
      <c r="I3057" s="8">
        <v>147.37164329999999</v>
      </c>
      <c r="J3057" s="8">
        <v>8174.225109</v>
      </c>
      <c r="K3057" s="8">
        <v>7931.8866180000005</v>
      </c>
      <c r="L3057" s="8">
        <v>8398.2918740000005</v>
      </c>
      <c r="M3057" s="9" t="str">
        <f>IF(A3057="",M3058,A3057)</f>
        <v>Nicaragua</v>
      </c>
      <c r="N3057" s="3" t="str">
        <f t="shared" si="95"/>
        <v>Aug-2020</v>
      </c>
    </row>
    <row r="3058" spans="1:14" x14ac:dyDescent="0.3">
      <c r="A3058" s="3" t="s">
        <v>262</v>
      </c>
      <c r="B3058" s="3" t="s">
        <v>263</v>
      </c>
      <c r="C3058" s="8">
        <v>2020</v>
      </c>
      <c r="D3058" s="8">
        <v>9</v>
      </c>
      <c r="E3058" s="3" t="str">
        <f t="shared" si="94"/>
        <v>September</v>
      </c>
      <c r="F3058" s="3" t="s">
        <v>13</v>
      </c>
      <c r="G3058" s="8">
        <v>2157.901136</v>
      </c>
      <c r="H3058" s="8">
        <v>2008</v>
      </c>
      <c r="I3058" s="8">
        <v>-152.9011362</v>
      </c>
      <c r="J3058" s="8">
        <v>8021.3239729999996</v>
      </c>
      <c r="K3058" s="8">
        <v>7777.2904399999998</v>
      </c>
      <c r="L3058" s="8">
        <v>8267.1023239999995</v>
      </c>
      <c r="M3058" s="9" t="str">
        <f>IF(A3058="",M3059,A3058)</f>
        <v>Nicaragua</v>
      </c>
      <c r="N3058" s="3" t="str">
        <f t="shared" si="95"/>
        <v>Sep-2020</v>
      </c>
    </row>
    <row r="3059" spans="1:14" x14ac:dyDescent="0.3">
      <c r="A3059" s="3" t="s">
        <v>262</v>
      </c>
      <c r="B3059" s="3" t="s">
        <v>263</v>
      </c>
      <c r="C3059" s="8">
        <v>2020</v>
      </c>
      <c r="D3059" s="8">
        <v>10</v>
      </c>
      <c r="E3059" s="3" t="str">
        <f t="shared" si="94"/>
        <v>October</v>
      </c>
      <c r="F3059" s="3" t="s">
        <v>13</v>
      </c>
      <c r="G3059" s="8">
        <v>2220.5953509999999</v>
      </c>
      <c r="H3059" s="8">
        <v>2135</v>
      </c>
      <c r="I3059" s="8">
        <v>-88.595351039999997</v>
      </c>
      <c r="J3059" s="8">
        <v>7932.7286210000002</v>
      </c>
      <c r="K3059" s="8">
        <v>7676.234923</v>
      </c>
      <c r="L3059" s="8">
        <v>8192.214962</v>
      </c>
      <c r="M3059" s="9" t="str">
        <f>IF(A3059="",M3060,A3059)</f>
        <v>Nicaragua</v>
      </c>
      <c r="N3059" s="3" t="str">
        <f t="shared" si="95"/>
        <v>Oct-2020</v>
      </c>
    </row>
    <row r="3060" spans="1:14" x14ac:dyDescent="0.3">
      <c r="A3060" s="3" t="s">
        <v>262</v>
      </c>
      <c r="B3060" s="3" t="s">
        <v>263</v>
      </c>
      <c r="C3060" s="8">
        <v>2020</v>
      </c>
      <c r="D3060" s="8">
        <v>11</v>
      </c>
      <c r="E3060" s="3" t="str">
        <f t="shared" si="94"/>
        <v>November</v>
      </c>
      <c r="F3060" s="3" t="s">
        <v>13</v>
      </c>
      <c r="G3060" s="8">
        <v>2195.6389690000001</v>
      </c>
      <c r="H3060" s="8">
        <v>2240</v>
      </c>
      <c r="I3060" s="8">
        <v>41.361030900000003</v>
      </c>
      <c r="J3060" s="8">
        <v>7974.0896519999997</v>
      </c>
      <c r="K3060" s="8">
        <v>7703.7862510000004</v>
      </c>
      <c r="L3060" s="8">
        <v>8248.7394010000007</v>
      </c>
      <c r="M3060" s="9" t="str">
        <f>IF(A3060="",M3061,A3060)</f>
        <v>Nicaragua</v>
      </c>
      <c r="N3060" s="3" t="str">
        <f t="shared" si="95"/>
        <v>Nov-2020</v>
      </c>
    </row>
    <row r="3061" spans="1:14" x14ac:dyDescent="0.3">
      <c r="A3061" s="3" t="s">
        <v>262</v>
      </c>
      <c r="B3061" s="3" t="s">
        <v>263</v>
      </c>
      <c r="C3061" s="8">
        <v>2020</v>
      </c>
      <c r="D3061" s="8">
        <v>12</v>
      </c>
      <c r="E3061" s="3" t="str">
        <f t="shared" si="94"/>
        <v>December</v>
      </c>
      <c r="F3061" s="3" t="s">
        <v>13</v>
      </c>
      <c r="G3061" s="8">
        <v>2198.767151</v>
      </c>
      <c r="H3061" s="8">
        <v>2346</v>
      </c>
      <c r="I3061" s="8">
        <v>144.23284870000001</v>
      </c>
      <c r="J3061" s="8">
        <v>8118.3225009999996</v>
      </c>
      <c r="K3061" s="8">
        <v>7836.4576550000002</v>
      </c>
      <c r="L3061" s="8">
        <v>8405.5953069999996</v>
      </c>
      <c r="M3061" s="9" t="str">
        <f>IF(A3061="",M3062,A3061)</f>
        <v>Nicaragua</v>
      </c>
      <c r="N3061" s="3" t="str">
        <f t="shared" si="95"/>
        <v>Dec-2020</v>
      </c>
    </row>
    <row r="3062" spans="1:14" x14ac:dyDescent="0.3">
      <c r="A3062" s="3" t="s">
        <v>262</v>
      </c>
      <c r="B3062" s="3" t="s">
        <v>263</v>
      </c>
      <c r="C3062" s="8">
        <v>2021</v>
      </c>
      <c r="D3062" s="8">
        <v>1</v>
      </c>
      <c r="E3062" s="3" t="str">
        <f t="shared" si="94"/>
        <v>January</v>
      </c>
      <c r="F3062" s="3" t="s">
        <v>13</v>
      </c>
      <c r="G3062" s="8">
        <v>2199.4617549999998</v>
      </c>
      <c r="H3062" s="8">
        <v>2314</v>
      </c>
      <c r="I3062" s="8">
        <v>112.0382451</v>
      </c>
      <c r="J3062" s="8">
        <v>8230.3607460000003</v>
      </c>
      <c r="K3062" s="8">
        <v>7937.4484819999998</v>
      </c>
      <c r="L3062" s="8">
        <v>8520.6861210000006</v>
      </c>
      <c r="M3062" s="9" t="str">
        <f>IF(A3062="",M3063,A3062)</f>
        <v>Nicaragua</v>
      </c>
      <c r="N3062" s="3" t="str">
        <f t="shared" si="95"/>
        <v>Jan-2021</v>
      </c>
    </row>
    <row r="3063" spans="1:14" x14ac:dyDescent="0.3">
      <c r="A3063" s="3" t="s">
        <v>262</v>
      </c>
      <c r="B3063" s="3" t="s">
        <v>263</v>
      </c>
      <c r="C3063" s="8">
        <v>2021</v>
      </c>
      <c r="D3063" s="8">
        <v>2</v>
      </c>
      <c r="E3063" s="3" t="str">
        <f t="shared" si="94"/>
        <v>February</v>
      </c>
      <c r="F3063" s="3" t="s">
        <v>13</v>
      </c>
      <c r="G3063" s="8">
        <v>1924.1573679999999</v>
      </c>
      <c r="H3063" s="8">
        <v>1922</v>
      </c>
      <c r="I3063" s="8">
        <v>-4.6573680169999996</v>
      </c>
      <c r="J3063" s="8">
        <v>8225.7033780000002</v>
      </c>
      <c r="K3063" s="8">
        <v>7926.3827620000002</v>
      </c>
      <c r="L3063" s="8">
        <v>8531.1001890000007</v>
      </c>
      <c r="M3063" s="9" t="str">
        <f>IF(A3063="",M3064,A3063)</f>
        <v>Nicaragua</v>
      </c>
      <c r="N3063" s="3" t="str">
        <f t="shared" si="95"/>
        <v>Feb-2021</v>
      </c>
    </row>
    <row r="3064" spans="1:14" x14ac:dyDescent="0.3">
      <c r="A3064" s="3" t="s">
        <v>262</v>
      </c>
      <c r="B3064" s="3" t="s">
        <v>263</v>
      </c>
      <c r="C3064" s="8">
        <v>2021</v>
      </c>
      <c r="D3064" s="8">
        <v>3</v>
      </c>
      <c r="E3064" s="3" t="str">
        <f t="shared" si="94"/>
        <v>March</v>
      </c>
      <c r="F3064" s="3" t="s">
        <v>13</v>
      </c>
      <c r="G3064" s="8">
        <v>2068.7835930000001</v>
      </c>
      <c r="H3064" s="8">
        <v>2147</v>
      </c>
      <c r="I3064" s="8">
        <v>75.716407070000002</v>
      </c>
      <c r="J3064" s="8">
        <v>8301.419785</v>
      </c>
      <c r="K3064" s="8">
        <v>7982.9598880000003</v>
      </c>
      <c r="L3064" s="8">
        <v>8623.9423339999994</v>
      </c>
      <c r="M3064" s="9" t="str">
        <f>IF(A3064="",M3065,A3064)</f>
        <v>Nicaragua</v>
      </c>
      <c r="N3064" s="3" t="str">
        <f t="shared" si="95"/>
        <v>Mar-2021</v>
      </c>
    </row>
    <row r="3065" spans="1:14" x14ac:dyDescent="0.3">
      <c r="A3065" s="3" t="s">
        <v>262</v>
      </c>
      <c r="B3065" s="3" t="s">
        <v>263</v>
      </c>
      <c r="C3065" s="8">
        <v>2021</v>
      </c>
      <c r="D3065" s="8">
        <v>4</v>
      </c>
      <c r="E3065" s="3" t="str">
        <f t="shared" si="94"/>
        <v>April</v>
      </c>
      <c r="F3065" s="3" t="s">
        <v>13</v>
      </c>
      <c r="G3065" s="8">
        <v>2110.337833</v>
      </c>
      <c r="H3065" s="8">
        <v>2205</v>
      </c>
      <c r="I3065" s="8">
        <v>92.162167339999996</v>
      </c>
      <c r="J3065" s="8">
        <v>8393.5819530000008</v>
      </c>
      <c r="K3065" s="8">
        <v>8067.1147300000002</v>
      </c>
      <c r="L3065" s="8">
        <v>8714.0063370000007</v>
      </c>
      <c r="M3065" s="9" t="str">
        <f>IF(A3065="",M3066,A3065)</f>
        <v>Nicaragua</v>
      </c>
      <c r="N3065" s="3" t="str">
        <f t="shared" si="95"/>
        <v>Apr-2021</v>
      </c>
    </row>
    <row r="3066" spans="1:14" x14ac:dyDescent="0.3">
      <c r="A3066" s="3" t="s">
        <v>262</v>
      </c>
      <c r="B3066" s="3" t="s">
        <v>263</v>
      </c>
      <c r="C3066" s="8">
        <v>2021</v>
      </c>
      <c r="D3066" s="8">
        <v>5</v>
      </c>
      <c r="E3066" s="3" t="str">
        <f t="shared" si="94"/>
        <v>May</v>
      </c>
      <c r="F3066" s="3" t="s">
        <v>13</v>
      </c>
      <c r="G3066" s="8">
        <v>2110.6687980000002</v>
      </c>
      <c r="H3066" s="8">
        <v>2509</v>
      </c>
      <c r="I3066" s="8">
        <v>395.83120179999997</v>
      </c>
      <c r="J3066" s="8">
        <v>8789.4131539999998</v>
      </c>
      <c r="K3066" s="8">
        <v>8439.9702959999995</v>
      </c>
      <c r="L3066" s="8">
        <v>9133.2768770000002</v>
      </c>
      <c r="M3066" s="9" t="str">
        <f>IF(A3066="",M3067,A3066)</f>
        <v>Nicaragua</v>
      </c>
      <c r="N3066" s="3" t="str">
        <f t="shared" si="95"/>
        <v>May-2021</v>
      </c>
    </row>
    <row r="3067" spans="1:14" x14ac:dyDescent="0.3">
      <c r="A3067" s="3" t="s">
        <v>262</v>
      </c>
      <c r="B3067" s="3" t="s">
        <v>263</v>
      </c>
      <c r="C3067" s="8">
        <v>2021</v>
      </c>
      <c r="D3067" s="8">
        <v>6</v>
      </c>
      <c r="E3067" s="3" t="str">
        <f t="shared" si="94"/>
        <v>June</v>
      </c>
      <c r="F3067" s="3" t="s">
        <v>13</v>
      </c>
      <c r="G3067" s="8">
        <v>2139.627168</v>
      </c>
      <c r="H3067" s="8">
        <v>2692</v>
      </c>
      <c r="I3067" s="8">
        <v>549.87283219999995</v>
      </c>
      <c r="J3067" s="8">
        <v>9339.2859869999993</v>
      </c>
      <c r="K3067" s="8">
        <v>8982.6794190000001</v>
      </c>
      <c r="L3067" s="8">
        <v>9699.9037900000003</v>
      </c>
      <c r="M3067" s="9" t="str">
        <f>IF(A3067="",M3068,A3067)</f>
        <v>Nicaragua</v>
      </c>
      <c r="N3067" s="3" t="str">
        <f t="shared" si="95"/>
        <v>Jun-2021</v>
      </c>
    </row>
    <row r="3068" spans="1:14" x14ac:dyDescent="0.3">
      <c r="A3068" s="3" t="s">
        <v>262</v>
      </c>
      <c r="B3068" s="3" t="s">
        <v>263</v>
      </c>
      <c r="C3068" s="8">
        <v>2021</v>
      </c>
      <c r="D3068" s="8">
        <v>7</v>
      </c>
      <c r="E3068" s="3" t="str">
        <f t="shared" si="94"/>
        <v>July</v>
      </c>
      <c r="F3068" s="3" t="s">
        <v>13</v>
      </c>
      <c r="G3068" s="8">
        <v>2243.568479</v>
      </c>
      <c r="H3068" s="8">
        <v>3099</v>
      </c>
      <c r="I3068" s="8">
        <v>852.93152099999998</v>
      </c>
      <c r="J3068" s="8">
        <v>10192.21751</v>
      </c>
      <c r="K3068" s="8">
        <v>9817.0205600000008</v>
      </c>
      <c r="L3068" s="8">
        <v>10568.65921</v>
      </c>
      <c r="M3068" s="9" t="str">
        <f>IF(A3068="",M3069,A3068)</f>
        <v>Nicaragua</v>
      </c>
      <c r="N3068" s="3" t="str">
        <f t="shared" si="95"/>
        <v>Jul-2021</v>
      </c>
    </row>
    <row r="3069" spans="1:14" x14ac:dyDescent="0.3">
      <c r="A3069" s="3" t="s">
        <v>262</v>
      </c>
      <c r="B3069" s="3" t="s">
        <v>263</v>
      </c>
      <c r="C3069" s="8">
        <v>2021</v>
      </c>
      <c r="D3069" s="8">
        <v>8</v>
      </c>
      <c r="E3069" s="3" t="str">
        <f t="shared" si="94"/>
        <v>August</v>
      </c>
      <c r="F3069" s="3" t="s">
        <v>13</v>
      </c>
      <c r="G3069" s="8">
        <v>2240.633401</v>
      </c>
      <c r="H3069" s="8">
        <v>3620</v>
      </c>
      <c r="I3069" s="8">
        <v>1376.866599</v>
      </c>
      <c r="J3069" s="8">
        <v>11569.08411</v>
      </c>
      <c r="K3069" s="8">
        <v>11175.881020000001</v>
      </c>
      <c r="L3069" s="8">
        <v>11963.133459999999</v>
      </c>
      <c r="M3069" s="9" t="str">
        <f>IF(A3069="",M3070,A3069)</f>
        <v>Nicaragua</v>
      </c>
      <c r="N3069" s="3" t="str">
        <f t="shared" si="95"/>
        <v>Aug-2021</v>
      </c>
    </row>
    <row r="3070" spans="1:14" x14ac:dyDescent="0.3">
      <c r="A3070" s="3" t="s">
        <v>262</v>
      </c>
      <c r="B3070" s="3" t="s">
        <v>263</v>
      </c>
      <c r="C3070" s="8">
        <v>2021</v>
      </c>
      <c r="D3070" s="8">
        <v>9</v>
      </c>
      <c r="E3070" s="3" t="str">
        <f t="shared" si="94"/>
        <v>September</v>
      </c>
      <c r="F3070" s="3" t="s">
        <v>13</v>
      </c>
      <c r="G3070" s="8">
        <v>2192.827843</v>
      </c>
      <c r="H3070" s="8">
        <v>6143</v>
      </c>
      <c r="I3070" s="8">
        <v>3947.672157</v>
      </c>
      <c r="J3070" s="8">
        <v>15516.75626</v>
      </c>
      <c r="K3070" s="8">
        <v>15116.74502</v>
      </c>
      <c r="L3070" s="8">
        <v>15924.722830000001</v>
      </c>
      <c r="M3070" s="9" t="str">
        <f>IF(A3070="",M3071,A3070)</f>
        <v>Nicaragua</v>
      </c>
      <c r="N3070" s="3" t="str">
        <f t="shared" si="95"/>
        <v>Sep-2021</v>
      </c>
    </row>
    <row r="3071" spans="1:14" x14ac:dyDescent="0.3">
      <c r="A3071" s="3" t="s">
        <v>262</v>
      </c>
      <c r="B3071" s="3" t="s">
        <v>263</v>
      </c>
      <c r="C3071" s="8">
        <v>2021</v>
      </c>
      <c r="D3071" s="8">
        <v>10</v>
      </c>
      <c r="E3071" s="3" t="str">
        <f t="shared" si="94"/>
        <v>October</v>
      </c>
      <c r="F3071" s="3" t="s">
        <v>13</v>
      </c>
      <c r="G3071" s="8">
        <v>2257.2963209999998</v>
      </c>
      <c r="H3071" s="8">
        <v>3965</v>
      </c>
      <c r="I3071" s="8">
        <v>1705.203679</v>
      </c>
      <c r="J3071" s="8">
        <v>17221.959940000001</v>
      </c>
      <c r="K3071" s="8">
        <v>16814.569630000002</v>
      </c>
      <c r="L3071" s="8">
        <v>17629.125670000001</v>
      </c>
      <c r="M3071" s="9" t="str">
        <f>IF(A3071="",M3072,A3071)</f>
        <v>Nicaragua</v>
      </c>
      <c r="N3071" s="3" t="str">
        <f t="shared" si="95"/>
        <v>Oct-2021</v>
      </c>
    </row>
    <row r="3072" spans="1:14" x14ac:dyDescent="0.3">
      <c r="A3072" s="3" t="s">
        <v>262</v>
      </c>
      <c r="B3072" s="3" t="s">
        <v>263</v>
      </c>
      <c r="C3072" s="8">
        <v>2021</v>
      </c>
      <c r="D3072" s="8">
        <v>11</v>
      </c>
      <c r="E3072" s="3" t="str">
        <f t="shared" si="94"/>
        <v>November</v>
      </c>
      <c r="F3072" s="3" t="s">
        <v>13</v>
      </c>
      <c r="G3072" s="8">
        <v>2232.8857159999998</v>
      </c>
      <c r="H3072" s="8">
        <v>2274</v>
      </c>
      <c r="I3072" s="8">
        <v>38.61428403</v>
      </c>
      <c r="J3072" s="8">
        <v>17260.574229999998</v>
      </c>
      <c r="K3072" s="8">
        <v>16833.428660000001</v>
      </c>
      <c r="L3072" s="8">
        <v>17674.421539999999</v>
      </c>
      <c r="M3072" s="9" t="str">
        <f>IF(A3072="",M3073,A3072)</f>
        <v>Nicaragua</v>
      </c>
      <c r="N3072" s="3" t="str">
        <f t="shared" si="95"/>
        <v>Nov-2021</v>
      </c>
    </row>
    <row r="3073" spans="1:14" x14ac:dyDescent="0.3">
      <c r="A3073" s="3" t="s">
        <v>262</v>
      </c>
      <c r="B3073" s="3" t="s">
        <v>263</v>
      </c>
      <c r="C3073" s="8">
        <v>2021</v>
      </c>
      <c r="D3073" s="8">
        <v>12</v>
      </c>
      <c r="E3073" s="3" t="str">
        <f t="shared" si="94"/>
        <v>December</v>
      </c>
      <c r="F3073" s="3" t="s">
        <v>13</v>
      </c>
      <c r="G3073" s="8">
        <v>2232.620852</v>
      </c>
      <c r="H3073" s="8">
        <v>2109</v>
      </c>
      <c r="I3073" s="8">
        <v>-126.1208525</v>
      </c>
      <c r="J3073" s="8">
        <v>17134.453369999999</v>
      </c>
      <c r="K3073" s="8">
        <v>16704.93102</v>
      </c>
      <c r="L3073" s="8">
        <v>17566.41894</v>
      </c>
      <c r="M3073" s="9" t="str">
        <f>IF(A3073="",M3074,A3073)</f>
        <v>Nicaragua</v>
      </c>
      <c r="N3073" s="3" t="str">
        <f t="shared" si="95"/>
        <v>Dec-2021</v>
      </c>
    </row>
    <row r="3074" spans="1:14" x14ac:dyDescent="0.3">
      <c r="A3074" s="3" t="s">
        <v>264</v>
      </c>
      <c r="B3074" s="3" t="s">
        <v>265</v>
      </c>
      <c r="C3074" s="8">
        <v>2020</v>
      </c>
      <c r="D3074" s="8">
        <v>1</v>
      </c>
      <c r="E3074" s="3" t="str">
        <f t="shared" ref="E3074:E3137" si="96">TEXT(DATE(C3074,D3074,1),"MMMM")</f>
        <v>January</v>
      </c>
      <c r="F3074" s="3" t="s">
        <v>8</v>
      </c>
      <c r="G3074" s="8">
        <v>1.019146538</v>
      </c>
      <c r="H3074" s="8">
        <v>1.0169999999999999</v>
      </c>
      <c r="I3074" s="8">
        <v>-2.1465379999999999E-3</v>
      </c>
      <c r="J3074" s="8">
        <v>-2.1465379999999999E-3</v>
      </c>
      <c r="K3074" s="8">
        <v>-1.436104812</v>
      </c>
      <c r="L3074" s="8">
        <v>2.2654729410000001</v>
      </c>
      <c r="M3074" s="9" t="str">
        <f>IF(A3074="",M3075,A3074)</f>
        <v>Niue</v>
      </c>
      <c r="N3074" s="3" t="str">
        <f t="shared" ref="N3074:N3137" si="97">TEXT(DATE(C3074,D3074,1),"MMM-YYYY")</f>
        <v>Jan-2020</v>
      </c>
    </row>
    <row r="3075" spans="1:14" x14ac:dyDescent="0.3">
      <c r="A3075" s="3" t="s">
        <v>264</v>
      </c>
      <c r="B3075" s="3" t="s">
        <v>265</v>
      </c>
      <c r="C3075" s="8">
        <v>2020</v>
      </c>
      <c r="D3075" s="8">
        <v>2</v>
      </c>
      <c r="E3075" s="3" t="str">
        <f t="shared" si="96"/>
        <v>February</v>
      </c>
      <c r="F3075" s="3" t="s">
        <v>8</v>
      </c>
      <c r="G3075" s="8">
        <v>1.0081884109999999</v>
      </c>
      <c r="H3075" s="8">
        <v>0.96599999999999997</v>
      </c>
      <c r="I3075" s="8">
        <v>-4.2188411000000002E-2</v>
      </c>
      <c r="J3075" s="8">
        <v>-4.4334947999999999E-2</v>
      </c>
      <c r="K3075" s="8">
        <v>-2.296310407</v>
      </c>
      <c r="L3075" s="8">
        <v>3.2196227259999999</v>
      </c>
      <c r="M3075" s="9" t="str">
        <f>IF(A3075="",M3076,A3075)</f>
        <v>Niue</v>
      </c>
      <c r="N3075" s="3" t="str">
        <f t="shared" si="97"/>
        <v>Feb-2020</v>
      </c>
    </row>
    <row r="3076" spans="1:14" x14ac:dyDescent="0.3">
      <c r="A3076" s="3" t="s">
        <v>264</v>
      </c>
      <c r="B3076" s="3" t="s">
        <v>265</v>
      </c>
      <c r="C3076" s="8">
        <v>2020</v>
      </c>
      <c r="D3076" s="8">
        <v>3</v>
      </c>
      <c r="E3076" s="3" t="str">
        <f t="shared" si="96"/>
        <v>March</v>
      </c>
      <c r="F3076" s="3" t="s">
        <v>8</v>
      </c>
      <c r="G3076" s="8">
        <v>1.011957934</v>
      </c>
      <c r="H3076" s="8">
        <v>1</v>
      </c>
      <c r="I3076" s="8">
        <v>-1.1957934E-2</v>
      </c>
      <c r="J3076" s="8">
        <v>-5.6292883000000002E-2</v>
      </c>
      <c r="K3076" s="8">
        <v>-3.0969031889999998</v>
      </c>
      <c r="L3076" s="8">
        <v>3.892124103</v>
      </c>
      <c r="M3076" s="9" t="str">
        <f>IF(A3076="",M3077,A3076)</f>
        <v>Niue</v>
      </c>
      <c r="N3076" s="3" t="str">
        <f t="shared" si="97"/>
        <v>Mar-2020</v>
      </c>
    </row>
    <row r="3077" spans="1:14" x14ac:dyDescent="0.3">
      <c r="A3077" s="3" t="s">
        <v>264</v>
      </c>
      <c r="B3077" s="3" t="s">
        <v>265</v>
      </c>
      <c r="C3077" s="8">
        <v>2020</v>
      </c>
      <c r="D3077" s="8">
        <v>4</v>
      </c>
      <c r="E3077" s="3" t="str">
        <f t="shared" si="96"/>
        <v>April</v>
      </c>
      <c r="F3077" s="3" t="s">
        <v>8</v>
      </c>
      <c r="G3077" s="8">
        <v>1.014585136</v>
      </c>
      <c r="H3077" s="8">
        <v>1.0149999999999999</v>
      </c>
      <c r="I3077" s="8">
        <v>4.1486399999999998E-4</v>
      </c>
      <c r="J3077" s="8">
        <v>-5.5878018000000002E-2</v>
      </c>
      <c r="K3077" s="8">
        <v>-3.6124905690000002</v>
      </c>
      <c r="L3077" s="8">
        <v>4.5085035510000004</v>
      </c>
      <c r="M3077" s="9" t="str">
        <f>IF(A3077="",M3078,A3077)</f>
        <v>Niue</v>
      </c>
      <c r="N3077" s="3" t="str">
        <f t="shared" si="97"/>
        <v>Apr-2020</v>
      </c>
    </row>
    <row r="3078" spans="1:14" x14ac:dyDescent="0.3">
      <c r="A3078" s="3" t="s">
        <v>264</v>
      </c>
      <c r="B3078" s="3" t="s">
        <v>265</v>
      </c>
      <c r="C3078" s="8">
        <v>2020</v>
      </c>
      <c r="D3078" s="8">
        <v>5</v>
      </c>
      <c r="E3078" s="3" t="str">
        <f t="shared" si="96"/>
        <v>May</v>
      </c>
      <c r="F3078" s="3" t="s">
        <v>8</v>
      </c>
      <c r="G3078" s="8">
        <v>1.0286102420000001</v>
      </c>
      <c r="H3078" s="8">
        <v>1.0680000000000001</v>
      </c>
      <c r="I3078" s="8">
        <v>3.9389757999999997E-2</v>
      </c>
      <c r="J3078" s="8">
        <v>-1.6488260000000001E-2</v>
      </c>
      <c r="K3078" s="8">
        <v>-4.2268193439999999</v>
      </c>
      <c r="L3078" s="8">
        <v>5.3448729909999999</v>
      </c>
      <c r="M3078" s="9" t="str">
        <f>IF(A3078="",M3079,A3078)</f>
        <v>Niue</v>
      </c>
      <c r="N3078" s="3" t="str">
        <f t="shared" si="97"/>
        <v>May-2020</v>
      </c>
    </row>
    <row r="3079" spans="1:14" x14ac:dyDescent="0.3">
      <c r="A3079" s="3" t="s">
        <v>264</v>
      </c>
      <c r="B3079" s="3" t="s">
        <v>265</v>
      </c>
      <c r="C3079" s="8">
        <v>2020</v>
      </c>
      <c r="D3079" s="8">
        <v>6</v>
      </c>
      <c r="E3079" s="3" t="str">
        <f t="shared" si="96"/>
        <v>June</v>
      </c>
      <c r="F3079" s="3" t="s">
        <v>8</v>
      </c>
      <c r="G3079" s="8">
        <v>1.033753304</v>
      </c>
      <c r="H3079" s="8">
        <v>1.0509999999999999</v>
      </c>
      <c r="I3079" s="8">
        <v>1.7246695999999999E-2</v>
      </c>
      <c r="J3079" s="8">
        <v>7.5843600000000003E-4</v>
      </c>
      <c r="K3079" s="8">
        <v>-4.5578595760000002</v>
      </c>
      <c r="L3079" s="8">
        <v>5.8718904030000001</v>
      </c>
      <c r="M3079" s="9" t="str">
        <f>IF(A3079="",M3080,A3079)</f>
        <v>Niue</v>
      </c>
      <c r="N3079" s="3" t="str">
        <f t="shared" si="97"/>
        <v>Jun-2020</v>
      </c>
    </row>
    <row r="3080" spans="1:14" x14ac:dyDescent="0.3">
      <c r="A3080" s="3" t="s">
        <v>264</v>
      </c>
      <c r="B3080" s="3" t="s">
        <v>265</v>
      </c>
      <c r="C3080" s="8">
        <v>2020</v>
      </c>
      <c r="D3080" s="8">
        <v>7</v>
      </c>
      <c r="E3080" s="3" t="str">
        <f t="shared" si="96"/>
        <v>July</v>
      </c>
      <c r="F3080" s="3" t="s">
        <v>8</v>
      </c>
      <c r="G3080" s="8">
        <v>1.0342681250000001</v>
      </c>
      <c r="H3080" s="8">
        <v>1.0580000000000001</v>
      </c>
      <c r="I3080" s="8">
        <v>2.3731874999999999E-2</v>
      </c>
      <c r="J3080" s="8">
        <v>2.4490310000000001E-2</v>
      </c>
      <c r="K3080" s="8">
        <v>-5.1130602080000003</v>
      </c>
      <c r="L3080" s="8">
        <v>6.208715282</v>
      </c>
      <c r="M3080" s="9" t="str">
        <f>IF(A3080="",M3081,A3080)</f>
        <v>Niue</v>
      </c>
      <c r="N3080" s="3" t="str">
        <f t="shared" si="97"/>
        <v>Jul-2020</v>
      </c>
    </row>
    <row r="3081" spans="1:14" x14ac:dyDescent="0.3">
      <c r="A3081" s="3" t="s">
        <v>264</v>
      </c>
      <c r="B3081" s="3" t="s">
        <v>265</v>
      </c>
      <c r="C3081" s="8">
        <v>2020</v>
      </c>
      <c r="D3081" s="8">
        <v>8</v>
      </c>
      <c r="E3081" s="3" t="str">
        <f t="shared" si="96"/>
        <v>August</v>
      </c>
      <c r="F3081" s="3" t="s">
        <v>8</v>
      </c>
      <c r="G3081" s="8">
        <v>1.018718703</v>
      </c>
      <c r="H3081" s="8">
        <v>1.0069999999999999</v>
      </c>
      <c r="I3081" s="8">
        <v>-1.1718703E-2</v>
      </c>
      <c r="J3081" s="8">
        <v>1.2771607000000001E-2</v>
      </c>
      <c r="K3081" s="8">
        <v>-5.576989384</v>
      </c>
      <c r="L3081" s="8">
        <v>6.6094440140000001</v>
      </c>
      <c r="M3081" s="9" t="str">
        <f>IF(A3081="",M3082,A3081)</f>
        <v>Niue</v>
      </c>
      <c r="N3081" s="3" t="str">
        <f t="shared" si="97"/>
        <v>Aug-2020</v>
      </c>
    </row>
    <row r="3082" spans="1:14" x14ac:dyDescent="0.3">
      <c r="A3082" s="3" t="s">
        <v>264</v>
      </c>
      <c r="B3082" s="3" t="s">
        <v>265</v>
      </c>
      <c r="C3082" s="8">
        <v>2020</v>
      </c>
      <c r="D3082" s="8">
        <v>9</v>
      </c>
      <c r="E3082" s="3" t="str">
        <f t="shared" si="96"/>
        <v>September</v>
      </c>
      <c r="F3082" s="3" t="s">
        <v>8</v>
      </c>
      <c r="G3082" s="8">
        <v>1.0261983640000001</v>
      </c>
      <c r="H3082" s="8">
        <v>1.0009999999999999</v>
      </c>
      <c r="I3082" s="8">
        <v>-2.5198364000000001E-2</v>
      </c>
      <c r="J3082" s="8">
        <v>-1.2426757E-2</v>
      </c>
      <c r="K3082" s="8">
        <v>-5.9007590759999999</v>
      </c>
      <c r="L3082" s="8">
        <v>7.0170866209999998</v>
      </c>
      <c r="M3082" s="9" t="str">
        <f>IF(A3082="",M3083,A3082)</f>
        <v>Niue</v>
      </c>
      <c r="N3082" s="3" t="str">
        <f t="shared" si="97"/>
        <v>Sep-2020</v>
      </c>
    </row>
    <row r="3083" spans="1:14" x14ac:dyDescent="0.3">
      <c r="A3083" s="3" t="s">
        <v>264</v>
      </c>
      <c r="B3083" s="3" t="s">
        <v>265</v>
      </c>
      <c r="C3083" s="8">
        <v>2020</v>
      </c>
      <c r="D3083" s="8">
        <v>10</v>
      </c>
      <c r="E3083" s="3" t="str">
        <f t="shared" si="96"/>
        <v>October</v>
      </c>
      <c r="F3083" s="3" t="s">
        <v>8</v>
      </c>
      <c r="G3083" s="8">
        <v>1.031416018</v>
      </c>
      <c r="H3083" s="8">
        <v>1.0169999999999999</v>
      </c>
      <c r="I3083" s="8">
        <v>-1.4416017999999999E-2</v>
      </c>
      <c r="J3083" s="8">
        <v>-2.6842774999999999E-2</v>
      </c>
      <c r="K3083" s="8">
        <v>-6.0962148459999996</v>
      </c>
      <c r="L3083" s="8">
        <v>7.210073231</v>
      </c>
      <c r="M3083" s="9" t="str">
        <f>IF(A3083="",M3084,A3083)</f>
        <v>Niue</v>
      </c>
      <c r="N3083" s="3" t="str">
        <f t="shared" si="97"/>
        <v>Oct-2020</v>
      </c>
    </row>
    <row r="3084" spans="1:14" x14ac:dyDescent="0.3">
      <c r="A3084" s="3" t="s">
        <v>264</v>
      </c>
      <c r="B3084" s="3" t="s">
        <v>265</v>
      </c>
      <c r="C3084" s="8">
        <v>2020</v>
      </c>
      <c r="D3084" s="8">
        <v>11</v>
      </c>
      <c r="E3084" s="3" t="str">
        <f t="shared" si="96"/>
        <v>November</v>
      </c>
      <c r="F3084" s="3" t="s">
        <v>8</v>
      </c>
      <c r="G3084" s="8">
        <v>1.010322194</v>
      </c>
      <c r="H3084" s="8">
        <v>0.97099999999999997</v>
      </c>
      <c r="I3084" s="8">
        <v>-3.9322193999999998E-2</v>
      </c>
      <c r="J3084" s="8">
        <v>-6.6164968000000005E-2</v>
      </c>
      <c r="K3084" s="8">
        <v>-6.5274634709999999</v>
      </c>
      <c r="L3084" s="8">
        <v>7.4505318860000003</v>
      </c>
      <c r="M3084" s="9" t="str">
        <f>IF(A3084="",M3085,A3084)</f>
        <v>Niue</v>
      </c>
      <c r="N3084" s="3" t="str">
        <f t="shared" si="97"/>
        <v>Nov-2020</v>
      </c>
    </row>
    <row r="3085" spans="1:14" x14ac:dyDescent="0.3">
      <c r="A3085" s="3" t="s">
        <v>264</v>
      </c>
      <c r="B3085" s="3" t="s">
        <v>265</v>
      </c>
      <c r="C3085" s="8">
        <v>2020</v>
      </c>
      <c r="D3085" s="8">
        <v>12</v>
      </c>
      <c r="E3085" s="3" t="str">
        <f t="shared" si="96"/>
        <v>December</v>
      </c>
      <c r="F3085" s="3" t="s">
        <v>8</v>
      </c>
      <c r="G3085" s="8">
        <v>1.0122882200000001</v>
      </c>
      <c r="H3085" s="8">
        <v>1.0169999999999999</v>
      </c>
      <c r="I3085" s="8">
        <v>4.7117799999999996E-3</v>
      </c>
      <c r="J3085" s="8">
        <v>-6.1453187999999999E-2</v>
      </c>
      <c r="K3085" s="8">
        <v>-6.8340387050000002</v>
      </c>
      <c r="L3085" s="8">
        <v>7.7013466179999996</v>
      </c>
      <c r="M3085" s="9" t="str">
        <f>IF(A3085="",M3086,A3085)</f>
        <v>Niue</v>
      </c>
      <c r="N3085" s="3" t="str">
        <f t="shared" si="97"/>
        <v>Dec-2020</v>
      </c>
    </row>
    <row r="3086" spans="1:14" x14ac:dyDescent="0.3">
      <c r="A3086" s="3" t="s">
        <v>264</v>
      </c>
      <c r="B3086" s="3" t="s">
        <v>265</v>
      </c>
      <c r="C3086" s="8">
        <v>2021</v>
      </c>
      <c r="D3086" s="8">
        <v>1</v>
      </c>
      <c r="E3086" s="3" t="str">
        <f t="shared" si="96"/>
        <v>January</v>
      </c>
      <c r="F3086" s="3" t="s">
        <v>8</v>
      </c>
      <c r="G3086" s="8">
        <v>1.235921515</v>
      </c>
      <c r="H3086" s="8">
        <v>1.2589999999999999</v>
      </c>
      <c r="I3086" s="8">
        <v>2.3078484999999999E-2</v>
      </c>
      <c r="J3086" s="8">
        <v>-3.8374703000000003E-2</v>
      </c>
      <c r="K3086" s="8">
        <v>-7.6868514689999996</v>
      </c>
      <c r="L3086" s="8">
        <v>8.1699047749999991</v>
      </c>
      <c r="M3086" s="9" t="str">
        <f>IF(A3086="",M3087,A3086)</f>
        <v>Niue</v>
      </c>
      <c r="N3086" s="3" t="str">
        <f t="shared" si="97"/>
        <v>Jan-2021</v>
      </c>
    </row>
    <row r="3087" spans="1:14" x14ac:dyDescent="0.3">
      <c r="A3087" s="3" t="s">
        <v>264</v>
      </c>
      <c r="B3087" s="3" t="s">
        <v>265</v>
      </c>
      <c r="C3087" s="8">
        <v>2021</v>
      </c>
      <c r="D3087" s="8">
        <v>2</v>
      </c>
      <c r="E3087" s="3" t="str">
        <f t="shared" si="96"/>
        <v>February</v>
      </c>
      <c r="F3087" s="3" t="s">
        <v>8</v>
      </c>
      <c r="G3087" s="8">
        <v>1.233147188</v>
      </c>
      <c r="H3087" s="8">
        <v>1.228</v>
      </c>
      <c r="I3087" s="8">
        <v>-5.1471879999999996E-3</v>
      </c>
      <c r="J3087" s="8">
        <v>-4.3521891E-2</v>
      </c>
      <c r="K3087" s="8">
        <v>-8.2063853590000004</v>
      </c>
      <c r="L3087" s="8">
        <v>8.9660291520000008</v>
      </c>
      <c r="M3087" s="9" t="str">
        <f>IF(A3087="",M3088,A3087)</f>
        <v>Niue</v>
      </c>
      <c r="N3087" s="3" t="str">
        <f t="shared" si="97"/>
        <v>Feb-2021</v>
      </c>
    </row>
    <row r="3088" spans="1:14" x14ac:dyDescent="0.3">
      <c r="A3088" s="3" t="s">
        <v>264</v>
      </c>
      <c r="B3088" s="3" t="s">
        <v>265</v>
      </c>
      <c r="C3088" s="8">
        <v>2021</v>
      </c>
      <c r="D3088" s="8">
        <v>3</v>
      </c>
      <c r="E3088" s="3" t="str">
        <f t="shared" si="96"/>
        <v>March</v>
      </c>
      <c r="F3088" s="3" t="s">
        <v>8</v>
      </c>
      <c r="G3088" s="8">
        <v>1.2660132019999999</v>
      </c>
      <c r="H3088" s="8">
        <v>1.2</v>
      </c>
      <c r="I3088" s="8">
        <v>-6.6013202000000007E-2</v>
      </c>
      <c r="J3088" s="8">
        <v>-0.109535093</v>
      </c>
      <c r="K3088" s="8">
        <v>-8.4396987229999993</v>
      </c>
      <c r="L3088" s="8">
        <v>8.9037718829999992</v>
      </c>
      <c r="M3088" s="9" t="str">
        <f>IF(A3088="",M3089,A3088)</f>
        <v>Niue</v>
      </c>
      <c r="N3088" s="3" t="str">
        <f t="shared" si="97"/>
        <v>Mar-2021</v>
      </c>
    </row>
    <row r="3089" spans="1:14" x14ac:dyDescent="0.3">
      <c r="A3089" s="3" t="s">
        <v>264</v>
      </c>
      <c r="B3089" s="3" t="s">
        <v>265</v>
      </c>
      <c r="C3089" s="8">
        <v>2021</v>
      </c>
      <c r="D3089" s="8">
        <v>4</v>
      </c>
      <c r="E3089" s="3" t="str">
        <f t="shared" si="96"/>
        <v>April</v>
      </c>
      <c r="F3089" s="3" t="s">
        <v>8</v>
      </c>
      <c r="G3089" s="8">
        <v>1.2439642660000001</v>
      </c>
      <c r="H3089" s="8">
        <v>1.2669999999999999</v>
      </c>
      <c r="I3089" s="8">
        <v>2.3035733999999999E-2</v>
      </c>
      <c r="J3089" s="8">
        <v>-8.6499358999999998E-2</v>
      </c>
      <c r="K3089" s="8">
        <v>-8.8331046260000008</v>
      </c>
      <c r="L3089" s="8">
        <v>9.5131990220000002</v>
      </c>
      <c r="M3089" s="9" t="str">
        <f>IF(A3089="",M3090,A3089)</f>
        <v>Niue</v>
      </c>
      <c r="N3089" s="3" t="str">
        <f t="shared" si="97"/>
        <v>Apr-2021</v>
      </c>
    </row>
    <row r="3090" spans="1:14" x14ac:dyDescent="0.3">
      <c r="A3090" s="3" t="s">
        <v>264</v>
      </c>
      <c r="B3090" s="3" t="s">
        <v>265</v>
      </c>
      <c r="C3090" s="8">
        <v>2021</v>
      </c>
      <c r="D3090" s="8">
        <v>5</v>
      </c>
      <c r="E3090" s="3" t="str">
        <f t="shared" si="96"/>
        <v>May</v>
      </c>
      <c r="F3090" s="3" t="s">
        <v>8</v>
      </c>
      <c r="G3090" s="8">
        <v>1.265416994</v>
      </c>
      <c r="H3090" s="8">
        <v>1.282</v>
      </c>
      <c r="I3090" s="8">
        <v>1.6583006000000001E-2</v>
      </c>
      <c r="J3090" s="8">
        <v>-6.9916353000000001E-2</v>
      </c>
      <c r="K3090" s="8">
        <v>-9.0355859170000006</v>
      </c>
      <c r="L3090" s="8">
        <v>10.286781850000001</v>
      </c>
      <c r="M3090" s="9" t="str">
        <f>IF(A3090="",M3091,A3090)</f>
        <v>Niue</v>
      </c>
      <c r="N3090" s="3" t="str">
        <f t="shared" si="97"/>
        <v>May-2021</v>
      </c>
    </row>
    <row r="3091" spans="1:14" x14ac:dyDescent="0.3">
      <c r="A3091" s="3" t="s">
        <v>264</v>
      </c>
      <c r="B3091" s="3" t="s">
        <v>265</v>
      </c>
      <c r="C3091" s="8">
        <v>2021</v>
      </c>
      <c r="D3091" s="8">
        <v>6</v>
      </c>
      <c r="E3091" s="3" t="str">
        <f t="shared" si="96"/>
        <v>June</v>
      </c>
      <c r="F3091" s="3" t="s">
        <v>8</v>
      </c>
      <c r="G3091" s="8">
        <v>1.249867689</v>
      </c>
      <c r="H3091" s="8">
        <v>1.2270000000000001</v>
      </c>
      <c r="I3091" s="8">
        <v>-2.2867689E-2</v>
      </c>
      <c r="J3091" s="8">
        <v>-9.2784041999999997E-2</v>
      </c>
      <c r="K3091" s="8">
        <v>-9.3924411459999995</v>
      </c>
      <c r="L3091" s="8">
        <v>10.1248849</v>
      </c>
      <c r="M3091" s="9" t="str">
        <f>IF(A3091="",M3092,A3091)</f>
        <v>Niue</v>
      </c>
      <c r="N3091" s="3" t="str">
        <f t="shared" si="97"/>
        <v>Jun-2021</v>
      </c>
    </row>
    <row r="3092" spans="1:14" x14ac:dyDescent="0.3">
      <c r="A3092" s="3" t="s">
        <v>264</v>
      </c>
      <c r="B3092" s="3" t="s">
        <v>265</v>
      </c>
      <c r="C3092" s="8">
        <v>2021</v>
      </c>
      <c r="D3092" s="8">
        <v>7</v>
      </c>
      <c r="E3092" s="3" t="str">
        <f t="shared" si="96"/>
        <v>July</v>
      </c>
      <c r="F3092" s="3" t="s">
        <v>8</v>
      </c>
      <c r="G3092" s="8">
        <v>1.2786160870000001</v>
      </c>
      <c r="H3092" s="8">
        <v>1.3169999999999999</v>
      </c>
      <c r="I3092" s="8">
        <v>3.8383912999999999E-2</v>
      </c>
      <c r="J3092" s="8">
        <v>-5.4400128999999998E-2</v>
      </c>
      <c r="K3092" s="8">
        <v>-9.8817393720000002</v>
      </c>
      <c r="L3092" s="8">
        <v>10.6197201</v>
      </c>
      <c r="M3092" s="9" t="str">
        <f>IF(A3092="",M3093,A3092)</f>
        <v>Niue</v>
      </c>
      <c r="N3092" s="3" t="str">
        <f t="shared" si="97"/>
        <v>Jul-2021</v>
      </c>
    </row>
    <row r="3093" spans="1:14" x14ac:dyDescent="0.3">
      <c r="A3093" s="3" t="s">
        <v>264</v>
      </c>
      <c r="B3093" s="3" t="s">
        <v>265</v>
      </c>
      <c r="C3093" s="8">
        <v>2021</v>
      </c>
      <c r="D3093" s="8">
        <v>8</v>
      </c>
      <c r="E3093" s="3" t="str">
        <f t="shared" si="96"/>
        <v>August</v>
      </c>
      <c r="F3093" s="3" t="s">
        <v>8</v>
      </c>
      <c r="G3093" s="8">
        <v>1.257242749</v>
      </c>
      <c r="H3093" s="8">
        <v>1.274</v>
      </c>
      <c r="I3093" s="8">
        <v>1.6757251000000001E-2</v>
      </c>
      <c r="J3093" s="8">
        <v>-3.7642876999999998E-2</v>
      </c>
      <c r="K3093" s="8">
        <v>-10.139522380000001</v>
      </c>
      <c r="L3093" s="8">
        <v>11.500142029999999</v>
      </c>
      <c r="M3093" s="9" t="str">
        <f>IF(A3093="",M3094,A3093)</f>
        <v>Niue</v>
      </c>
      <c r="N3093" s="3" t="str">
        <f t="shared" si="97"/>
        <v>Aug-2021</v>
      </c>
    </row>
    <row r="3094" spans="1:14" x14ac:dyDescent="0.3">
      <c r="A3094" s="3" t="s">
        <v>264</v>
      </c>
      <c r="B3094" s="3" t="s">
        <v>265</v>
      </c>
      <c r="C3094" s="8">
        <v>2021</v>
      </c>
      <c r="D3094" s="8">
        <v>9</v>
      </c>
      <c r="E3094" s="3" t="str">
        <f t="shared" si="96"/>
        <v>September</v>
      </c>
      <c r="F3094" s="3" t="s">
        <v>8</v>
      </c>
      <c r="G3094" s="8">
        <v>1.252089722</v>
      </c>
      <c r="H3094" s="8">
        <v>1.266</v>
      </c>
      <c r="I3094" s="8">
        <v>1.3910278E-2</v>
      </c>
      <c r="J3094" s="8">
        <v>-2.37326E-2</v>
      </c>
      <c r="K3094" s="8">
        <v>-10.73618566</v>
      </c>
      <c r="L3094" s="8">
        <v>11.329034269999999</v>
      </c>
      <c r="M3094" s="9" t="str">
        <f>IF(A3094="",M3095,A3094)</f>
        <v>Niue</v>
      </c>
      <c r="N3094" s="3" t="str">
        <f t="shared" si="97"/>
        <v>Sep-2021</v>
      </c>
    </row>
    <row r="3095" spans="1:14" x14ac:dyDescent="0.3">
      <c r="A3095" s="3" t="s">
        <v>264</v>
      </c>
      <c r="B3095" s="3" t="s">
        <v>265</v>
      </c>
      <c r="C3095" s="8">
        <v>2021</v>
      </c>
      <c r="D3095" s="8">
        <v>10</v>
      </c>
      <c r="E3095" s="3" t="str">
        <f t="shared" si="96"/>
        <v>October</v>
      </c>
      <c r="F3095" s="3" t="s">
        <v>8</v>
      </c>
      <c r="G3095" s="8">
        <v>1.260462443</v>
      </c>
      <c r="H3095" s="8">
        <v>1.33</v>
      </c>
      <c r="I3095" s="8">
        <v>6.9537557E-2</v>
      </c>
      <c r="J3095" s="8">
        <v>4.5804957E-2</v>
      </c>
      <c r="K3095" s="8">
        <v>-11.186661880000001</v>
      </c>
      <c r="L3095" s="8">
        <v>11.82355641</v>
      </c>
      <c r="M3095" s="9" t="str">
        <f>IF(A3095="",M3096,A3095)</f>
        <v>Niue</v>
      </c>
      <c r="N3095" s="3" t="str">
        <f t="shared" si="97"/>
        <v>Oct-2021</v>
      </c>
    </row>
    <row r="3096" spans="1:14" x14ac:dyDescent="0.3">
      <c r="A3096" s="3" t="s">
        <v>264</v>
      </c>
      <c r="B3096" s="3" t="s">
        <v>265</v>
      </c>
      <c r="C3096" s="8">
        <v>2021</v>
      </c>
      <c r="D3096" s="8">
        <v>11</v>
      </c>
      <c r="E3096" s="3" t="str">
        <f t="shared" si="96"/>
        <v>November</v>
      </c>
      <c r="F3096" s="3" t="s">
        <v>8</v>
      </c>
      <c r="G3096" s="8">
        <v>1.2400608719999999</v>
      </c>
      <c r="H3096" s="8">
        <v>1.343</v>
      </c>
      <c r="I3096" s="8">
        <v>0.102939128</v>
      </c>
      <c r="J3096" s="8">
        <v>0.148744085</v>
      </c>
      <c r="K3096" s="8">
        <v>-10.852309079999999</v>
      </c>
      <c r="L3096" s="8">
        <v>11.90157104</v>
      </c>
      <c r="M3096" s="9" t="str">
        <f>IF(A3096="",M3097,A3096)</f>
        <v>Niue</v>
      </c>
      <c r="N3096" s="3" t="str">
        <f t="shared" si="97"/>
        <v>Nov-2021</v>
      </c>
    </row>
    <row r="3097" spans="1:14" x14ac:dyDescent="0.3">
      <c r="A3097" s="3" t="s">
        <v>264</v>
      </c>
      <c r="B3097" s="3" t="s">
        <v>265</v>
      </c>
      <c r="C3097" s="8">
        <v>2021</v>
      </c>
      <c r="D3097" s="8">
        <v>12</v>
      </c>
      <c r="E3097" s="3" t="str">
        <f t="shared" si="96"/>
        <v>December</v>
      </c>
      <c r="F3097" s="3" t="s">
        <v>8</v>
      </c>
      <c r="G3097" s="8">
        <v>1.2441831400000001</v>
      </c>
      <c r="H3097" s="8">
        <v>1.431</v>
      </c>
      <c r="I3097" s="8">
        <v>0.18681686</v>
      </c>
      <c r="J3097" s="8">
        <v>0.33556094600000003</v>
      </c>
      <c r="K3097" s="8">
        <v>-10.893566440000001</v>
      </c>
      <c r="L3097" s="8">
        <v>12.39111087</v>
      </c>
      <c r="M3097" s="9" t="str">
        <f>IF(A3097="",M3098,A3097)</f>
        <v>Niue</v>
      </c>
      <c r="N3097" s="3" t="str">
        <f t="shared" si="97"/>
        <v>Dec-2021</v>
      </c>
    </row>
    <row r="3098" spans="1:14" x14ac:dyDescent="0.3">
      <c r="A3098" s="3" t="s">
        <v>266</v>
      </c>
      <c r="B3098" s="3" t="s">
        <v>267</v>
      </c>
      <c r="C3098" s="8">
        <v>2020</v>
      </c>
      <c r="D3098" s="8">
        <v>1</v>
      </c>
      <c r="E3098" s="3" t="str">
        <f t="shared" si="96"/>
        <v>January</v>
      </c>
      <c r="F3098" s="3" t="s">
        <v>13</v>
      </c>
      <c r="G3098" s="8">
        <v>14013.14363</v>
      </c>
      <c r="H3098" s="8">
        <v>14043</v>
      </c>
      <c r="I3098" s="8">
        <v>-3.5602934309999998</v>
      </c>
      <c r="J3098" s="8">
        <v>-3.5602934309999998</v>
      </c>
      <c r="K3098" s="8">
        <v>-506.77605540000002</v>
      </c>
      <c r="L3098" s="8">
        <v>453.03847439999998</v>
      </c>
      <c r="M3098" s="9" t="str">
        <f>IF(A3098="",M3099,A3098)</f>
        <v>Netherlands</v>
      </c>
      <c r="N3098" s="3" t="str">
        <f t="shared" si="97"/>
        <v>Jan-2020</v>
      </c>
    </row>
    <row r="3099" spans="1:14" x14ac:dyDescent="0.3">
      <c r="A3099" s="3" t="s">
        <v>266</v>
      </c>
      <c r="B3099" s="3" t="s">
        <v>267</v>
      </c>
      <c r="C3099" s="8">
        <v>2020</v>
      </c>
      <c r="D3099" s="8">
        <v>2</v>
      </c>
      <c r="E3099" s="3" t="str">
        <f t="shared" si="96"/>
        <v>February</v>
      </c>
      <c r="F3099" s="3" t="s">
        <v>13</v>
      </c>
      <c r="G3099" s="8">
        <v>14135.75632</v>
      </c>
      <c r="H3099" s="8">
        <v>12912</v>
      </c>
      <c r="I3099" s="8">
        <v>-1257.1729849999999</v>
      </c>
      <c r="J3099" s="8">
        <v>-1260.7332779999999</v>
      </c>
      <c r="K3099" s="8">
        <v>-2032.8768950000001</v>
      </c>
      <c r="L3099" s="8">
        <v>-447.66447879999998</v>
      </c>
      <c r="M3099" s="9" t="str">
        <f>IF(A3099="",M3100,A3099)</f>
        <v>Netherlands</v>
      </c>
      <c r="N3099" s="3" t="str">
        <f t="shared" si="97"/>
        <v>Feb-2020</v>
      </c>
    </row>
    <row r="3100" spans="1:14" x14ac:dyDescent="0.3">
      <c r="A3100" s="3" t="s">
        <v>266</v>
      </c>
      <c r="B3100" s="3" t="s">
        <v>267</v>
      </c>
      <c r="C3100" s="8">
        <v>2020</v>
      </c>
      <c r="D3100" s="8">
        <v>3</v>
      </c>
      <c r="E3100" s="3" t="str">
        <f t="shared" si="96"/>
        <v>March</v>
      </c>
      <c r="F3100" s="3" t="s">
        <v>13</v>
      </c>
      <c r="G3100" s="8">
        <v>13934.39321</v>
      </c>
      <c r="H3100" s="8">
        <v>16292</v>
      </c>
      <c r="I3100" s="8">
        <v>2324.1901200000002</v>
      </c>
      <c r="J3100" s="8">
        <v>1063.4568420000001</v>
      </c>
      <c r="K3100" s="8">
        <v>35.127240870000001</v>
      </c>
      <c r="L3100" s="8">
        <v>2099.779755</v>
      </c>
      <c r="M3100" s="9" t="str">
        <f>IF(A3100="",M3101,A3100)</f>
        <v>Netherlands</v>
      </c>
      <c r="N3100" s="3" t="str">
        <f t="shared" si="97"/>
        <v>Mar-2020</v>
      </c>
    </row>
    <row r="3101" spans="1:14" x14ac:dyDescent="0.3">
      <c r="A3101" s="3" t="s">
        <v>266</v>
      </c>
      <c r="B3101" s="3" t="s">
        <v>267</v>
      </c>
      <c r="C3101" s="8">
        <v>2020</v>
      </c>
      <c r="D3101" s="8">
        <v>4</v>
      </c>
      <c r="E3101" s="3" t="str">
        <f t="shared" si="96"/>
        <v>April</v>
      </c>
      <c r="F3101" s="3" t="s">
        <v>13</v>
      </c>
      <c r="G3101" s="8">
        <v>12824.00841</v>
      </c>
      <c r="H3101" s="8">
        <v>18765</v>
      </c>
      <c r="I3101" s="8">
        <v>5907.5749249999999</v>
      </c>
      <c r="J3101" s="8">
        <v>6971.0317660000001</v>
      </c>
      <c r="K3101" s="8">
        <v>5817.924008</v>
      </c>
      <c r="L3101" s="8">
        <v>8130.0326219999997</v>
      </c>
      <c r="M3101" s="9" t="str">
        <f>IF(A3101="",M3102,A3101)</f>
        <v>Netherlands</v>
      </c>
      <c r="N3101" s="3" t="str">
        <f t="shared" si="97"/>
        <v>Apr-2020</v>
      </c>
    </row>
    <row r="3102" spans="1:14" x14ac:dyDescent="0.3">
      <c r="A3102" s="3" t="s">
        <v>266</v>
      </c>
      <c r="B3102" s="3" t="s">
        <v>267</v>
      </c>
      <c r="C3102" s="8">
        <v>2020</v>
      </c>
      <c r="D3102" s="8">
        <v>5</v>
      </c>
      <c r="E3102" s="3" t="str">
        <f t="shared" si="96"/>
        <v>May</v>
      </c>
      <c r="F3102" s="3" t="s">
        <v>13</v>
      </c>
      <c r="G3102" s="8">
        <v>12188.95759</v>
      </c>
      <c r="H3102" s="8">
        <v>12718</v>
      </c>
      <c r="I3102" s="8">
        <v>495.62573880000002</v>
      </c>
      <c r="J3102" s="8">
        <v>7466.6575050000001</v>
      </c>
      <c r="K3102" s="8">
        <v>6207.1346540000004</v>
      </c>
      <c r="L3102" s="8">
        <v>8736.2138059999997</v>
      </c>
      <c r="M3102" s="9" t="str">
        <f>IF(A3102="",M3103,A3102)</f>
        <v>Netherlands</v>
      </c>
      <c r="N3102" s="3" t="str">
        <f t="shared" si="97"/>
        <v>May-2020</v>
      </c>
    </row>
    <row r="3103" spans="1:14" x14ac:dyDescent="0.3">
      <c r="A3103" s="3" t="s">
        <v>266</v>
      </c>
      <c r="B3103" s="3" t="s">
        <v>267</v>
      </c>
      <c r="C3103" s="8">
        <v>2020</v>
      </c>
      <c r="D3103" s="8">
        <v>6</v>
      </c>
      <c r="E3103" s="3" t="str">
        <f t="shared" si="96"/>
        <v>June</v>
      </c>
      <c r="F3103" s="3" t="s">
        <v>13</v>
      </c>
      <c r="G3103" s="8">
        <v>11818.225549999999</v>
      </c>
      <c r="H3103" s="8">
        <v>11480</v>
      </c>
      <c r="I3103" s="8">
        <v>-371.64221359999999</v>
      </c>
      <c r="J3103" s="8">
        <v>7095.015292</v>
      </c>
      <c r="K3103" s="8">
        <v>5716.5679639999998</v>
      </c>
      <c r="L3103" s="8">
        <v>8479.0476299999991</v>
      </c>
      <c r="M3103" s="9" t="str">
        <f>IF(A3103="",M3104,A3103)</f>
        <v>Netherlands</v>
      </c>
      <c r="N3103" s="3" t="str">
        <f t="shared" si="97"/>
        <v>Jun-2020</v>
      </c>
    </row>
    <row r="3104" spans="1:14" x14ac:dyDescent="0.3">
      <c r="A3104" s="3" t="s">
        <v>266</v>
      </c>
      <c r="B3104" s="3" t="s">
        <v>267</v>
      </c>
      <c r="C3104" s="8">
        <v>2020</v>
      </c>
      <c r="D3104" s="8">
        <v>7</v>
      </c>
      <c r="E3104" s="3" t="str">
        <f t="shared" si="96"/>
        <v>July</v>
      </c>
      <c r="F3104" s="3" t="s">
        <v>13</v>
      </c>
      <c r="G3104" s="8">
        <v>11912.630939999999</v>
      </c>
      <c r="H3104" s="8">
        <v>11609</v>
      </c>
      <c r="I3104" s="8">
        <v>-337.04760670000002</v>
      </c>
      <c r="J3104" s="8">
        <v>6757.9676849999996</v>
      </c>
      <c r="K3104" s="8">
        <v>5343.1278709999997</v>
      </c>
      <c r="L3104" s="8">
        <v>8231.5298039999998</v>
      </c>
      <c r="M3104" s="9" t="str">
        <f>IF(A3104="",M3105,A3104)</f>
        <v>Netherlands</v>
      </c>
      <c r="N3104" s="3" t="str">
        <f t="shared" si="97"/>
        <v>Jul-2020</v>
      </c>
    </row>
    <row r="3105" spans="1:14" x14ac:dyDescent="0.3">
      <c r="A3105" s="3" t="s">
        <v>266</v>
      </c>
      <c r="B3105" s="3" t="s">
        <v>267</v>
      </c>
      <c r="C3105" s="8">
        <v>2020</v>
      </c>
      <c r="D3105" s="8">
        <v>8</v>
      </c>
      <c r="E3105" s="3" t="str">
        <f t="shared" si="96"/>
        <v>August</v>
      </c>
      <c r="F3105" s="3" t="s">
        <v>13</v>
      </c>
      <c r="G3105" s="8">
        <v>11737.91554</v>
      </c>
      <c r="H3105" s="8">
        <v>12588</v>
      </c>
      <c r="I3105" s="8">
        <v>816.66779729999996</v>
      </c>
      <c r="J3105" s="8">
        <v>7574.6354819999997</v>
      </c>
      <c r="K3105" s="8">
        <v>6103.0067259999996</v>
      </c>
      <c r="L3105" s="8">
        <v>9144.1309550000005</v>
      </c>
      <c r="M3105" s="9" t="str">
        <f>IF(A3105="",M3106,A3105)</f>
        <v>Netherlands</v>
      </c>
      <c r="N3105" s="3" t="str">
        <f t="shared" si="97"/>
        <v>Aug-2020</v>
      </c>
    </row>
    <row r="3106" spans="1:14" x14ac:dyDescent="0.3">
      <c r="A3106" s="3" t="s">
        <v>266</v>
      </c>
      <c r="B3106" s="3" t="s">
        <v>267</v>
      </c>
      <c r="C3106" s="8">
        <v>2020</v>
      </c>
      <c r="D3106" s="8">
        <v>9</v>
      </c>
      <c r="E3106" s="3" t="str">
        <f t="shared" si="96"/>
        <v>September</v>
      </c>
      <c r="F3106" s="3" t="s">
        <v>13</v>
      </c>
      <c r="G3106" s="8">
        <v>11753.013059999999</v>
      </c>
      <c r="H3106" s="8">
        <v>11948</v>
      </c>
      <c r="I3106" s="8">
        <v>161.57026970000001</v>
      </c>
      <c r="J3106" s="8">
        <v>7736.2057519999998</v>
      </c>
      <c r="K3106" s="8">
        <v>6195.7647440000001</v>
      </c>
      <c r="L3106" s="8">
        <v>9339.9741219999996</v>
      </c>
      <c r="M3106" s="9" t="str">
        <f>IF(A3106="",M3107,A3106)</f>
        <v>Netherlands</v>
      </c>
      <c r="N3106" s="3" t="str">
        <f t="shared" si="97"/>
        <v>Sep-2020</v>
      </c>
    </row>
    <row r="3107" spans="1:14" x14ac:dyDescent="0.3">
      <c r="A3107" s="3" t="s">
        <v>266</v>
      </c>
      <c r="B3107" s="3" t="s">
        <v>267</v>
      </c>
      <c r="C3107" s="8">
        <v>2020</v>
      </c>
      <c r="D3107" s="8">
        <v>10</v>
      </c>
      <c r="E3107" s="3" t="str">
        <f t="shared" si="96"/>
        <v>October</v>
      </c>
      <c r="F3107" s="3" t="s">
        <v>13</v>
      </c>
      <c r="G3107" s="8">
        <v>12280.136399999999</v>
      </c>
      <c r="H3107" s="8">
        <v>14568</v>
      </c>
      <c r="I3107" s="8">
        <v>2254.4469349999999</v>
      </c>
      <c r="J3107" s="8">
        <v>9990.6526869999998</v>
      </c>
      <c r="K3107" s="8">
        <v>8287.8021260000005</v>
      </c>
      <c r="L3107" s="8">
        <v>11654.87599</v>
      </c>
      <c r="M3107" s="9" t="str">
        <f>IF(A3107="",M3108,A3107)</f>
        <v>Netherlands</v>
      </c>
      <c r="N3107" s="3" t="str">
        <f t="shared" si="97"/>
        <v>Oct-2020</v>
      </c>
    </row>
    <row r="3108" spans="1:14" x14ac:dyDescent="0.3">
      <c r="A3108" s="3" t="s">
        <v>266</v>
      </c>
      <c r="B3108" s="3" t="s">
        <v>267</v>
      </c>
      <c r="C3108" s="8">
        <v>2020</v>
      </c>
      <c r="D3108" s="8">
        <v>11</v>
      </c>
      <c r="E3108" s="3" t="str">
        <f t="shared" si="96"/>
        <v>November</v>
      </c>
      <c r="F3108" s="3" t="s">
        <v>13</v>
      </c>
      <c r="G3108" s="8">
        <v>12981.106089999999</v>
      </c>
      <c r="H3108" s="8">
        <v>14940</v>
      </c>
      <c r="I3108" s="8">
        <v>1925.4772419999999</v>
      </c>
      <c r="J3108" s="8">
        <v>11916.129929999999</v>
      </c>
      <c r="K3108" s="8">
        <v>10193.253220000001</v>
      </c>
      <c r="L3108" s="8">
        <v>13724.12977</v>
      </c>
      <c r="M3108" s="9" t="str">
        <f>IF(A3108="",M3109,A3108)</f>
        <v>Netherlands</v>
      </c>
      <c r="N3108" s="3" t="str">
        <f t="shared" si="97"/>
        <v>Nov-2020</v>
      </c>
    </row>
    <row r="3109" spans="1:14" x14ac:dyDescent="0.3">
      <c r="A3109" s="3" t="s">
        <v>266</v>
      </c>
      <c r="B3109" s="3" t="s">
        <v>267</v>
      </c>
      <c r="C3109" s="8">
        <v>2020</v>
      </c>
      <c r="D3109" s="8">
        <v>12</v>
      </c>
      <c r="E3109" s="3" t="str">
        <f t="shared" si="96"/>
        <v>December</v>
      </c>
      <c r="F3109" s="3" t="s">
        <v>13</v>
      </c>
      <c r="G3109" s="8">
        <v>14098.70759</v>
      </c>
      <c r="H3109" s="8">
        <v>16746</v>
      </c>
      <c r="I3109" s="8">
        <v>2613.8757390000001</v>
      </c>
      <c r="J3109" s="8">
        <v>14530.00567</v>
      </c>
      <c r="K3109" s="8">
        <v>12630.60295</v>
      </c>
      <c r="L3109" s="8">
        <v>16431.269939999998</v>
      </c>
      <c r="M3109" s="9" t="str">
        <f>IF(A3109="",M3110,A3109)</f>
        <v>Netherlands</v>
      </c>
      <c r="N3109" s="3" t="str">
        <f t="shared" si="97"/>
        <v>Dec-2020</v>
      </c>
    </row>
    <row r="3110" spans="1:14" x14ac:dyDescent="0.3">
      <c r="A3110" s="3" t="s">
        <v>266</v>
      </c>
      <c r="B3110" s="3" t="s">
        <v>267</v>
      </c>
      <c r="C3110" s="8">
        <v>2021</v>
      </c>
      <c r="D3110" s="8">
        <v>1</v>
      </c>
      <c r="E3110" s="3" t="str">
        <f t="shared" si="96"/>
        <v>January</v>
      </c>
      <c r="F3110" s="3" t="s">
        <v>13</v>
      </c>
      <c r="G3110" s="8">
        <v>14101.265020000001</v>
      </c>
      <c r="H3110" s="8">
        <v>17321</v>
      </c>
      <c r="I3110" s="8">
        <v>3219.7349770000001</v>
      </c>
      <c r="J3110" s="8">
        <v>17749.74064</v>
      </c>
      <c r="K3110" s="8">
        <v>15781.84909</v>
      </c>
      <c r="L3110" s="8">
        <v>19806.74495</v>
      </c>
      <c r="M3110" s="9" t="str">
        <f>IF(A3110="",M3111,A3110)</f>
        <v>Netherlands</v>
      </c>
      <c r="N3110" s="3" t="str">
        <f t="shared" si="97"/>
        <v>Jan-2021</v>
      </c>
    </row>
    <row r="3111" spans="1:14" x14ac:dyDescent="0.3">
      <c r="A3111" s="3" t="s">
        <v>266</v>
      </c>
      <c r="B3111" s="3" t="s">
        <v>267</v>
      </c>
      <c r="C3111" s="8">
        <v>2021</v>
      </c>
      <c r="D3111" s="8">
        <v>2</v>
      </c>
      <c r="E3111" s="3" t="str">
        <f t="shared" si="96"/>
        <v>February</v>
      </c>
      <c r="F3111" s="3" t="s">
        <v>13</v>
      </c>
      <c r="G3111" s="8">
        <v>14243.240299999999</v>
      </c>
      <c r="H3111" s="8">
        <v>13939</v>
      </c>
      <c r="I3111" s="8">
        <v>-304.24029730000001</v>
      </c>
      <c r="J3111" s="8">
        <v>17445.500349999998</v>
      </c>
      <c r="K3111" s="8">
        <v>15286.4095</v>
      </c>
      <c r="L3111" s="8">
        <v>19524.875039999999</v>
      </c>
      <c r="M3111" s="9" t="str">
        <f>IF(A3111="",M3112,A3111)</f>
        <v>Netherlands</v>
      </c>
      <c r="N3111" s="3" t="str">
        <f t="shared" si="97"/>
        <v>Feb-2021</v>
      </c>
    </row>
    <row r="3112" spans="1:14" x14ac:dyDescent="0.3">
      <c r="A3112" s="3" t="s">
        <v>266</v>
      </c>
      <c r="B3112" s="3" t="s">
        <v>267</v>
      </c>
      <c r="C3112" s="8">
        <v>2021</v>
      </c>
      <c r="D3112" s="8">
        <v>3</v>
      </c>
      <c r="E3112" s="3" t="str">
        <f t="shared" si="96"/>
        <v>March</v>
      </c>
      <c r="F3112" s="3" t="s">
        <v>13</v>
      </c>
      <c r="G3112" s="8">
        <v>14025.194</v>
      </c>
      <c r="H3112" s="8">
        <v>13800</v>
      </c>
      <c r="I3112" s="8">
        <v>-225.19400289999999</v>
      </c>
      <c r="J3112" s="8">
        <v>17220.306339999999</v>
      </c>
      <c r="K3112" s="8">
        <v>15004.60224</v>
      </c>
      <c r="L3112" s="8">
        <v>19318.037219999998</v>
      </c>
      <c r="M3112" s="9" t="str">
        <f>IF(A3112="",M3113,A3112)</f>
        <v>Netherlands</v>
      </c>
      <c r="N3112" s="3" t="str">
        <f t="shared" si="97"/>
        <v>Mar-2021</v>
      </c>
    </row>
    <row r="3113" spans="1:14" x14ac:dyDescent="0.3">
      <c r="A3113" s="3" t="s">
        <v>266</v>
      </c>
      <c r="B3113" s="3" t="s">
        <v>267</v>
      </c>
      <c r="C3113" s="8">
        <v>2021</v>
      </c>
      <c r="D3113" s="8">
        <v>4</v>
      </c>
      <c r="E3113" s="3" t="str">
        <f t="shared" si="96"/>
        <v>April</v>
      </c>
      <c r="F3113" s="3" t="s">
        <v>13</v>
      </c>
      <c r="G3113" s="8">
        <v>12915.931839999999</v>
      </c>
      <c r="H3113" s="8">
        <v>13498</v>
      </c>
      <c r="I3113" s="8">
        <v>582.0681568</v>
      </c>
      <c r="J3113" s="8">
        <v>17802.374500000002</v>
      </c>
      <c r="K3113" s="8">
        <v>15519.283229999999</v>
      </c>
      <c r="L3113" s="8">
        <v>20088.648829999998</v>
      </c>
      <c r="M3113" s="9" t="str">
        <f>IF(A3113="",M3114,A3113)</f>
        <v>Netherlands</v>
      </c>
      <c r="N3113" s="3" t="str">
        <f t="shared" si="97"/>
        <v>Apr-2021</v>
      </c>
    </row>
    <row r="3114" spans="1:14" x14ac:dyDescent="0.3">
      <c r="A3114" s="3" t="s">
        <v>266</v>
      </c>
      <c r="B3114" s="3" t="s">
        <v>267</v>
      </c>
      <c r="C3114" s="8">
        <v>2021</v>
      </c>
      <c r="D3114" s="8">
        <v>5</v>
      </c>
      <c r="E3114" s="3" t="str">
        <f t="shared" si="96"/>
        <v>May</v>
      </c>
      <c r="F3114" s="3" t="s">
        <v>13</v>
      </c>
      <c r="G3114" s="8">
        <v>12280.319240000001</v>
      </c>
      <c r="H3114" s="8">
        <v>13139</v>
      </c>
      <c r="I3114" s="8">
        <v>858.6807642</v>
      </c>
      <c r="J3114" s="8">
        <v>18661.055270000001</v>
      </c>
      <c r="K3114" s="8">
        <v>16225.06954</v>
      </c>
      <c r="L3114" s="8">
        <v>21080.74163</v>
      </c>
      <c r="M3114" s="9" t="str">
        <f>IF(A3114="",M3115,A3114)</f>
        <v>Netherlands</v>
      </c>
      <c r="N3114" s="3" t="str">
        <f t="shared" si="97"/>
        <v>May-2021</v>
      </c>
    </row>
    <row r="3115" spans="1:14" x14ac:dyDescent="0.3">
      <c r="A3115" s="3" t="s">
        <v>266</v>
      </c>
      <c r="B3115" s="3" t="s">
        <v>267</v>
      </c>
      <c r="C3115" s="8">
        <v>2021</v>
      </c>
      <c r="D3115" s="8">
        <v>6</v>
      </c>
      <c r="E3115" s="3" t="str">
        <f t="shared" si="96"/>
        <v>June</v>
      </c>
      <c r="F3115" s="3" t="s">
        <v>13</v>
      </c>
      <c r="G3115" s="8">
        <v>11910.90021</v>
      </c>
      <c r="H3115" s="8">
        <v>12206</v>
      </c>
      <c r="I3115" s="8">
        <v>295.09979149999998</v>
      </c>
      <c r="J3115" s="8">
        <v>18956.155060000001</v>
      </c>
      <c r="K3115" s="8">
        <v>16453.9948</v>
      </c>
      <c r="L3115" s="8">
        <v>21386.295849999999</v>
      </c>
      <c r="M3115" s="9" t="str">
        <f>IF(A3115="",M3116,A3115)</f>
        <v>Netherlands</v>
      </c>
      <c r="N3115" s="3" t="str">
        <f t="shared" si="97"/>
        <v>Jun-2021</v>
      </c>
    </row>
    <row r="3116" spans="1:14" x14ac:dyDescent="0.3">
      <c r="A3116" s="3" t="s">
        <v>266</v>
      </c>
      <c r="B3116" s="3" t="s">
        <v>267</v>
      </c>
      <c r="C3116" s="8">
        <v>2021</v>
      </c>
      <c r="D3116" s="8">
        <v>7</v>
      </c>
      <c r="E3116" s="3" t="str">
        <f t="shared" si="96"/>
        <v>July</v>
      </c>
      <c r="F3116" s="3" t="s">
        <v>13</v>
      </c>
      <c r="G3116" s="8">
        <v>11991.560160000001</v>
      </c>
      <c r="H3116" s="8">
        <v>12579</v>
      </c>
      <c r="I3116" s="8">
        <v>587.43983969999999</v>
      </c>
      <c r="J3116" s="8">
        <v>19543.5949</v>
      </c>
      <c r="K3116" s="8">
        <v>17048.369149999999</v>
      </c>
      <c r="L3116" s="8">
        <v>21966.794839999999</v>
      </c>
      <c r="M3116" s="9" t="str">
        <f>IF(A3116="",M3117,A3116)</f>
        <v>Netherlands</v>
      </c>
      <c r="N3116" s="3" t="str">
        <f t="shared" si="97"/>
        <v>Jul-2021</v>
      </c>
    </row>
    <row r="3117" spans="1:14" x14ac:dyDescent="0.3">
      <c r="A3117" s="3" t="s">
        <v>266</v>
      </c>
      <c r="B3117" s="3" t="s">
        <v>267</v>
      </c>
      <c r="C3117" s="8">
        <v>2021</v>
      </c>
      <c r="D3117" s="8">
        <v>8</v>
      </c>
      <c r="E3117" s="3" t="str">
        <f t="shared" si="96"/>
        <v>August</v>
      </c>
      <c r="F3117" s="3" t="s">
        <v>13</v>
      </c>
      <c r="G3117" s="8">
        <v>11826.5798</v>
      </c>
      <c r="H3117" s="8">
        <v>12860</v>
      </c>
      <c r="I3117" s="8">
        <v>1033.4202049999999</v>
      </c>
      <c r="J3117" s="8">
        <v>20577.015100000001</v>
      </c>
      <c r="K3117" s="8">
        <v>17924.11421</v>
      </c>
      <c r="L3117" s="8">
        <v>23142.385389999999</v>
      </c>
      <c r="M3117" s="9" t="str">
        <f>IF(A3117="",M3118,A3117)</f>
        <v>Netherlands</v>
      </c>
      <c r="N3117" s="3" t="str">
        <f t="shared" si="97"/>
        <v>Aug-2021</v>
      </c>
    </row>
    <row r="3118" spans="1:14" x14ac:dyDescent="0.3">
      <c r="A3118" s="3" t="s">
        <v>266</v>
      </c>
      <c r="B3118" s="3" t="s">
        <v>267</v>
      </c>
      <c r="C3118" s="8">
        <v>2021</v>
      </c>
      <c r="D3118" s="8">
        <v>9</v>
      </c>
      <c r="E3118" s="3" t="str">
        <f t="shared" si="96"/>
        <v>September</v>
      </c>
      <c r="F3118" s="3" t="s">
        <v>13</v>
      </c>
      <c r="G3118" s="8">
        <v>11804.917380000001</v>
      </c>
      <c r="H3118" s="8">
        <v>12695</v>
      </c>
      <c r="I3118" s="8">
        <v>890.08262219999995</v>
      </c>
      <c r="J3118" s="8">
        <v>21467.097720000002</v>
      </c>
      <c r="K3118" s="8">
        <v>18775.853429999999</v>
      </c>
      <c r="L3118" s="8">
        <v>24122.01413</v>
      </c>
      <c r="M3118" s="9" t="str">
        <f>IF(A3118="",M3119,A3118)</f>
        <v>Netherlands</v>
      </c>
      <c r="N3118" s="3" t="str">
        <f t="shared" si="97"/>
        <v>Sep-2021</v>
      </c>
    </row>
    <row r="3119" spans="1:14" x14ac:dyDescent="0.3">
      <c r="A3119" s="3" t="s">
        <v>266</v>
      </c>
      <c r="B3119" s="3" t="s">
        <v>267</v>
      </c>
      <c r="C3119" s="8">
        <v>2021</v>
      </c>
      <c r="D3119" s="8">
        <v>10</v>
      </c>
      <c r="E3119" s="3" t="str">
        <f t="shared" si="96"/>
        <v>October</v>
      </c>
      <c r="F3119" s="3" t="s">
        <v>13</v>
      </c>
      <c r="G3119" s="8">
        <v>12380.60572</v>
      </c>
      <c r="H3119" s="8">
        <v>14107</v>
      </c>
      <c r="I3119" s="8">
        <v>1726.39428</v>
      </c>
      <c r="J3119" s="8">
        <v>23193.491999999998</v>
      </c>
      <c r="K3119" s="8">
        <v>20402.456590000002</v>
      </c>
      <c r="L3119" s="8">
        <v>25908.478289999999</v>
      </c>
      <c r="M3119" s="9" t="str">
        <f>IF(A3119="",M3120,A3119)</f>
        <v>Netherlands</v>
      </c>
      <c r="N3119" s="3" t="str">
        <f t="shared" si="97"/>
        <v>Oct-2021</v>
      </c>
    </row>
    <row r="3120" spans="1:14" x14ac:dyDescent="0.3">
      <c r="A3120" s="3" t="s">
        <v>266</v>
      </c>
      <c r="B3120" s="3" t="s">
        <v>267</v>
      </c>
      <c r="C3120" s="8">
        <v>2021</v>
      </c>
      <c r="D3120" s="8">
        <v>11</v>
      </c>
      <c r="E3120" s="3" t="str">
        <f t="shared" si="96"/>
        <v>November</v>
      </c>
      <c r="F3120" s="3" t="s">
        <v>13</v>
      </c>
      <c r="G3120" s="8">
        <v>13049.406419999999</v>
      </c>
      <c r="H3120" s="8">
        <v>16736</v>
      </c>
      <c r="I3120" s="8">
        <v>3686.593582</v>
      </c>
      <c r="J3120" s="8">
        <v>26880.085589999999</v>
      </c>
      <c r="K3120" s="8">
        <v>24059.3442</v>
      </c>
      <c r="L3120" s="8">
        <v>29698.396479999999</v>
      </c>
      <c r="M3120" s="9" t="str">
        <f>IF(A3120="",M3121,A3120)</f>
        <v>Netherlands</v>
      </c>
      <c r="N3120" s="3" t="str">
        <f t="shared" si="97"/>
        <v>Nov-2021</v>
      </c>
    </row>
    <row r="3121" spans="1:14" x14ac:dyDescent="0.3">
      <c r="A3121" s="3" t="s">
        <v>266</v>
      </c>
      <c r="B3121" s="3" t="s">
        <v>267</v>
      </c>
      <c r="C3121" s="8">
        <v>2021</v>
      </c>
      <c r="D3121" s="8">
        <v>12</v>
      </c>
      <c r="E3121" s="3" t="str">
        <f t="shared" si="96"/>
        <v>December</v>
      </c>
      <c r="F3121" s="3" t="s">
        <v>13</v>
      </c>
      <c r="G3121" s="8">
        <v>14224.38766</v>
      </c>
      <c r="H3121" s="8">
        <v>17876</v>
      </c>
      <c r="I3121" s="8">
        <v>3651.6123360000001</v>
      </c>
      <c r="J3121" s="8">
        <v>30531.697919999999</v>
      </c>
      <c r="K3121" s="8">
        <v>27684.514179999998</v>
      </c>
      <c r="L3121" s="8">
        <v>33366.927669999997</v>
      </c>
      <c r="M3121" s="9" t="str">
        <f>IF(A3121="",M3122,A3121)</f>
        <v>Netherlands</v>
      </c>
      <c r="N3121" s="3" t="str">
        <f t="shared" si="97"/>
        <v>Dec-2021</v>
      </c>
    </row>
    <row r="3122" spans="1:14" x14ac:dyDescent="0.3">
      <c r="A3122" s="3" t="s">
        <v>268</v>
      </c>
      <c r="B3122" s="3" t="s">
        <v>269</v>
      </c>
      <c r="C3122" s="8">
        <v>2020</v>
      </c>
      <c r="D3122" s="8">
        <v>1</v>
      </c>
      <c r="E3122" s="3" t="str">
        <f t="shared" si="96"/>
        <v>January</v>
      </c>
      <c r="F3122" s="3" t="s">
        <v>13</v>
      </c>
      <c r="G3122" s="8">
        <v>3815.225328</v>
      </c>
      <c r="H3122" s="8">
        <v>3850</v>
      </c>
      <c r="I3122" s="8">
        <v>33.858005519999999</v>
      </c>
      <c r="J3122" s="8">
        <v>33.858005519999999</v>
      </c>
      <c r="K3122" s="8">
        <v>-67.181178930000002</v>
      </c>
      <c r="L3122" s="8">
        <v>138.92440579999999</v>
      </c>
      <c r="M3122" s="9" t="str">
        <f>IF(A3122="",M3123,A3122)</f>
        <v>Norway</v>
      </c>
      <c r="N3122" s="3" t="str">
        <f t="shared" si="97"/>
        <v>Jan-2020</v>
      </c>
    </row>
    <row r="3123" spans="1:14" x14ac:dyDescent="0.3">
      <c r="A3123" s="3" t="s">
        <v>268</v>
      </c>
      <c r="B3123" s="3" t="s">
        <v>269</v>
      </c>
      <c r="C3123" s="8">
        <v>2020</v>
      </c>
      <c r="D3123" s="8">
        <v>2</v>
      </c>
      <c r="E3123" s="3" t="str">
        <f t="shared" si="96"/>
        <v>February</v>
      </c>
      <c r="F3123" s="3" t="s">
        <v>13</v>
      </c>
      <c r="G3123" s="8">
        <v>3560.3316359999999</v>
      </c>
      <c r="H3123" s="8">
        <v>3414</v>
      </c>
      <c r="I3123" s="8">
        <v>-147.2483029</v>
      </c>
      <c r="J3123" s="8">
        <v>-113.39029739999999</v>
      </c>
      <c r="K3123" s="8">
        <v>-278.38971129999999</v>
      </c>
      <c r="L3123" s="8">
        <v>50.665239399999997</v>
      </c>
      <c r="M3123" s="9" t="str">
        <f>IF(A3123="",M3124,A3123)</f>
        <v>Norway</v>
      </c>
      <c r="N3123" s="3" t="str">
        <f t="shared" si="97"/>
        <v>Feb-2020</v>
      </c>
    </row>
    <row r="3124" spans="1:14" x14ac:dyDescent="0.3">
      <c r="A3124" s="3" t="s">
        <v>268</v>
      </c>
      <c r="B3124" s="3" t="s">
        <v>269</v>
      </c>
      <c r="C3124" s="8">
        <v>2020</v>
      </c>
      <c r="D3124" s="8">
        <v>3</v>
      </c>
      <c r="E3124" s="3" t="str">
        <f t="shared" si="96"/>
        <v>March</v>
      </c>
      <c r="F3124" s="3" t="s">
        <v>13</v>
      </c>
      <c r="G3124" s="8">
        <v>3624.5259000000001</v>
      </c>
      <c r="H3124" s="8">
        <v>3646</v>
      </c>
      <c r="I3124" s="8">
        <v>20.557433459999999</v>
      </c>
      <c r="J3124" s="8">
        <v>-92.832863889999999</v>
      </c>
      <c r="K3124" s="8">
        <v>-290.67035449999997</v>
      </c>
      <c r="L3124" s="8">
        <v>109.1328795</v>
      </c>
      <c r="M3124" s="9" t="str">
        <f>IF(A3124="",M3125,A3124)</f>
        <v>Norway</v>
      </c>
      <c r="N3124" s="3" t="str">
        <f t="shared" si="97"/>
        <v>Mar-2020</v>
      </c>
    </row>
    <row r="3125" spans="1:14" x14ac:dyDescent="0.3">
      <c r="A3125" s="3" t="s">
        <v>268</v>
      </c>
      <c r="B3125" s="3" t="s">
        <v>269</v>
      </c>
      <c r="C3125" s="8">
        <v>2020</v>
      </c>
      <c r="D3125" s="8">
        <v>4</v>
      </c>
      <c r="E3125" s="3" t="str">
        <f t="shared" si="96"/>
        <v>April</v>
      </c>
      <c r="F3125" s="3" t="s">
        <v>13</v>
      </c>
      <c r="G3125" s="8">
        <v>3350.8099480000001</v>
      </c>
      <c r="H3125" s="8">
        <v>3456</v>
      </c>
      <c r="I3125" s="8">
        <v>104.2733853</v>
      </c>
      <c r="J3125" s="8">
        <v>11.440521390000001</v>
      </c>
      <c r="K3125" s="8">
        <v>-220.6469171</v>
      </c>
      <c r="L3125" s="8">
        <v>237.84196990000001</v>
      </c>
      <c r="M3125" s="9" t="str">
        <f>IF(A3125="",M3126,A3125)</f>
        <v>Norway</v>
      </c>
      <c r="N3125" s="3" t="str">
        <f t="shared" si="97"/>
        <v>Apr-2020</v>
      </c>
    </row>
    <row r="3126" spans="1:14" x14ac:dyDescent="0.3">
      <c r="A3126" s="3" t="s">
        <v>268</v>
      </c>
      <c r="B3126" s="3" t="s">
        <v>269</v>
      </c>
      <c r="C3126" s="8">
        <v>2020</v>
      </c>
      <c r="D3126" s="8">
        <v>5</v>
      </c>
      <c r="E3126" s="3" t="str">
        <f t="shared" si="96"/>
        <v>May</v>
      </c>
      <c r="F3126" s="3" t="s">
        <v>13</v>
      </c>
      <c r="G3126" s="8">
        <v>3215.8813890000001</v>
      </c>
      <c r="H3126" s="8">
        <v>3151</v>
      </c>
      <c r="I3126" s="8">
        <v>-65.798055169999998</v>
      </c>
      <c r="J3126" s="8">
        <v>-54.357533779999997</v>
      </c>
      <c r="K3126" s="8">
        <v>-299.90967790000002</v>
      </c>
      <c r="L3126" s="8">
        <v>191.62220880000001</v>
      </c>
      <c r="M3126" s="9" t="str">
        <f>IF(A3126="",M3127,A3126)</f>
        <v>Norway</v>
      </c>
      <c r="N3126" s="3" t="str">
        <f t="shared" si="97"/>
        <v>May-2020</v>
      </c>
    </row>
    <row r="3127" spans="1:14" x14ac:dyDescent="0.3">
      <c r="A3127" s="3" t="s">
        <v>268</v>
      </c>
      <c r="B3127" s="3" t="s">
        <v>269</v>
      </c>
      <c r="C3127" s="8">
        <v>2020</v>
      </c>
      <c r="D3127" s="8">
        <v>6</v>
      </c>
      <c r="E3127" s="3" t="str">
        <f t="shared" si="96"/>
        <v>June</v>
      </c>
      <c r="F3127" s="3" t="s">
        <v>13</v>
      </c>
      <c r="G3127" s="8">
        <v>3102.2456309999998</v>
      </c>
      <c r="H3127" s="8">
        <v>3030</v>
      </c>
      <c r="I3127" s="8">
        <v>-73.162298010000001</v>
      </c>
      <c r="J3127" s="8">
        <v>-127.51983180000001</v>
      </c>
      <c r="K3127" s="8">
        <v>-404.3819853</v>
      </c>
      <c r="L3127" s="8">
        <v>129.09055509999999</v>
      </c>
      <c r="M3127" s="9" t="str">
        <f>IF(A3127="",M3128,A3127)</f>
        <v>Norway</v>
      </c>
      <c r="N3127" s="3" t="str">
        <f t="shared" si="97"/>
        <v>Jun-2020</v>
      </c>
    </row>
    <row r="3128" spans="1:14" x14ac:dyDescent="0.3">
      <c r="A3128" s="3" t="s">
        <v>268</v>
      </c>
      <c r="B3128" s="3" t="s">
        <v>269</v>
      </c>
      <c r="C3128" s="8">
        <v>2020</v>
      </c>
      <c r="D3128" s="8">
        <v>7</v>
      </c>
      <c r="E3128" s="3" t="str">
        <f t="shared" si="96"/>
        <v>July</v>
      </c>
      <c r="F3128" s="3" t="s">
        <v>13</v>
      </c>
      <c r="G3128" s="8">
        <v>3189.734931</v>
      </c>
      <c r="H3128" s="8">
        <v>3185</v>
      </c>
      <c r="I3128" s="8">
        <v>-5.6515975200000002</v>
      </c>
      <c r="J3128" s="8">
        <v>-133.1714293</v>
      </c>
      <c r="K3128" s="8">
        <v>-418.36677049999997</v>
      </c>
      <c r="L3128" s="8">
        <v>146.87688750000001</v>
      </c>
      <c r="M3128" s="9" t="str">
        <f>IF(A3128="",M3129,A3128)</f>
        <v>Norway</v>
      </c>
      <c r="N3128" s="3" t="str">
        <f t="shared" si="97"/>
        <v>Jul-2020</v>
      </c>
    </row>
    <row r="3129" spans="1:14" x14ac:dyDescent="0.3">
      <c r="A3129" s="3" t="s">
        <v>268</v>
      </c>
      <c r="B3129" s="3" t="s">
        <v>269</v>
      </c>
      <c r="C3129" s="8">
        <v>2020</v>
      </c>
      <c r="D3129" s="8">
        <v>8</v>
      </c>
      <c r="E3129" s="3" t="str">
        <f t="shared" si="96"/>
        <v>August</v>
      </c>
      <c r="F3129" s="3" t="s">
        <v>13</v>
      </c>
      <c r="G3129" s="8">
        <v>3156.6095529999998</v>
      </c>
      <c r="H3129" s="8">
        <v>3232</v>
      </c>
      <c r="I3129" s="8">
        <v>74.473780110000007</v>
      </c>
      <c r="J3129" s="8">
        <v>-58.697649200000001</v>
      </c>
      <c r="K3129" s="8">
        <v>-368.5456322</v>
      </c>
      <c r="L3129" s="8">
        <v>242.47892479999999</v>
      </c>
      <c r="M3129" s="9" t="str">
        <f>IF(A3129="",M3130,A3129)</f>
        <v>Norway</v>
      </c>
      <c r="N3129" s="3" t="str">
        <f t="shared" si="97"/>
        <v>Aug-2020</v>
      </c>
    </row>
    <row r="3130" spans="1:14" x14ac:dyDescent="0.3">
      <c r="A3130" s="3" t="s">
        <v>268</v>
      </c>
      <c r="B3130" s="3" t="s">
        <v>269</v>
      </c>
      <c r="C3130" s="8">
        <v>2020</v>
      </c>
      <c r="D3130" s="8">
        <v>9</v>
      </c>
      <c r="E3130" s="3" t="str">
        <f t="shared" si="96"/>
        <v>September</v>
      </c>
      <c r="F3130" s="3" t="s">
        <v>13</v>
      </c>
      <c r="G3130" s="8">
        <v>3107.5455280000001</v>
      </c>
      <c r="H3130" s="8">
        <v>3247</v>
      </c>
      <c r="I3130" s="8">
        <v>138.53780520000001</v>
      </c>
      <c r="J3130" s="8">
        <v>79.840155999999993</v>
      </c>
      <c r="K3130" s="8">
        <v>-239.87464220000001</v>
      </c>
      <c r="L3130" s="8">
        <v>406.4306277</v>
      </c>
      <c r="M3130" s="9" t="str">
        <f>IF(A3130="",M3131,A3130)</f>
        <v>Norway</v>
      </c>
      <c r="N3130" s="3" t="str">
        <f t="shared" si="97"/>
        <v>Sep-2020</v>
      </c>
    </row>
    <row r="3131" spans="1:14" x14ac:dyDescent="0.3">
      <c r="A3131" s="3" t="s">
        <v>268</v>
      </c>
      <c r="B3131" s="3" t="s">
        <v>269</v>
      </c>
      <c r="C3131" s="8">
        <v>2020</v>
      </c>
      <c r="D3131" s="8">
        <v>10</v>
      </c>
      <c r="E3131" s="3" t="str">
        <f t="shared" si="96"/>
        <v>October</v>
      </c>
      <c r="F3131" s="3" t="s">
        <v>13</v>
      </c>
      <c r="G3131" s="8">
        <v>3275.8472099999999</v>
      </c>
      <c r="H3131" s="8">
        <v>3379</v>
      </c>
      <c r="I3131" s="8">
        <v>102.2361238</v>
      </c>
      <c r="J3131" s="8">
        <v>182.07627980000001</v>
      </c>
      <c r="K3131" s="8">
        <v>-170.08202589999999</v>
      </c>
      <c r="L3131" s="8">
        <v>520.61544609999999</v>
      </c>
      <c r="M3131" s="9" t="str">
        <f>IF(A3131="",M3132,A3131)</f>
        <v>Norway</v>
      </c>
      <c r="N3131" s="3" t="str">
        <f t="shared" si="97"/>
        <v>Oct-2020</v>
      </c>
    </row>
    <row r="3132" spans="1:14" x14ac:dyDescent="0.3">
      <c r="A3132" s="3" t="s">
        <v>268</v>
      </c>
      <c r="B3132" s="3" t="s">
        <v>269</v>
      </c>
      <c r="C3132" s="8">
        <v>2020</v>
      </c>
      <c r="D3132" s="8">
        <v>11</v>
      </c>
      <c r="E3132" s="3" t="str">
        <f t="shared" si="96"/>
        <v>November</v>
      </c>
      <c r="F3132" s="3" t="s">
        <v>13</v>
      </c>
      <c r="G3132" s="8">
        <v>3358.0028689999999</v>
      </c>
      <c r="H3132" s="8">
        <v>3357</v>
      </c>
      <c r="I3132" s="8">
        <v>-1.9195354680000001</v>
      </c>
      <c r="J3132" s="8">
        <v>180.15674430000001</v>
      </c>
      <c r="K3132" s="8">
        <v>-184.8737199</v>
      </c>
      <c r="L3132" s="8">
        <v>543.74910560000001</v>
      </c>
      <c r="M3132" s="9" t="str">
        <f>IF(A3132="",M3133,A3132)</f>
        <v>Norway</v>
      </c>
      <c r="N3132" s="3" t="str">
        <f t="shared" si="97"/>
        <v>Nov-2020</v>
      </c>
    </row>
    <row r="3133" spans="1:14" x14ac:dyDescent="0.3">
      <c r="A3133" s="3" t="s">
        <v>268</v>
      </c>
      <c r="B3133" s="3" t="s">
        <v>269</v>
      </c>
      <c r="C3133" s="8">
        <v>2020</v>
      </c>
      <c r="D3133" s="8">
        <v>12</v>
      </c>
      <c r="E3133" s="3" t="str">
        <f t="shared" si="96"/>
        <v>December</v>
      </c>
      <c r="F3133" s="3" t="s">
        <v>13</v>
      </c>
      <c r="G3133" s="8">
        <v>3811.9545240000002</v>
      </c>
      <c r="H3133" s="8">
        <v>3651</v>
      </c>
      <c r="I3133" s="8">
        <v>-161.87119029999999</v>
      </c>
      <c r="J3133" s="8">
        <v>18.28555407</v>
      </c>
      <c r="K3133" s="8">
        <v>-365.8886905</v>
      </c>
      <c r="L3133" s="8">
        <v>396.99417870000002</v>
      </c>
      <c r="M3133" s="9" t="str">
        <f>IF(A3133="",M3134,A3133)</f>
        <v>Norway</v>
      </c>
      <c r="N3133" s="3" t="str">
        <f t="shared" si="97"/>
        <v>Dec-2020</v>
      </c>
    </row>
    <row r="3134" spans="1:14" x14ac:dyDescent="0.3">
      <c r="A3134" s="3" t="s">
        <v>268</v>
      </c>
      <c r="B3134" s="3" t="s">
        <v>269</v>
      </c>
      <c r="C3134" s="8">
        <v>2021</v>
      </c>
      <c r="D3134" s="8">
        <v>1</v>
      </c>
      <c r="E3134" s="3" t="str">
        <f t="shared" si="96"/>
        <v>January</v>
      </c>
      <c r="F3134" s="3" t="s">
        <v>13</v>
      </c>
      <c r="G3134" s="8">
        <v>3810.1360030000001</v>
      </c>
      <c r="H3134" s="8">
        <v>3770</v>
      </c>
      <c r="I3134" s="8">
        <v>-40.136002820000002</v>
      </c>
      <c r="J3134" s="8">
        <v>-21.850448740000001</v>
      </c>
      <c r="K3134" s="8">
        <v>-416.59411460000001</v>
      </c>
      <c r="L3134" s="8">
        <v>371.49700489999998</v>
      </c>
      <c r="M3134" s="9" t="str">
        <f>IF(A3134="",M3135,A3134)</f>
        <v>Norway</v>
      </c>
      <c r="N3134" s="3" t="str">
        <f t="shared" si="97"/>
        <v>Jan-2021</v>
      </c>
    </row>
    <row r="3135" spans="1:14" x14ac:dyDescent="0.3">
      <c r="A3135" s="3" t="s">
        <v>268</v>
      </c>
      <c r="B3135" s="3" t="s">
        <v>269</v>
      </c>
      <c r="C3135" s="8">
        <v>2021</v>
      </c>
      <c r="D3135" s="8">
        <v>2</v>
      </c>
      <c r="E3135" s="3" t="str">
        <f t="shared" si="96"/>
        <v>February</v>
      </c>
      <c r="F3135" s="3" t="s">
        <v>13</v>
      </c>
      <c r="G3135" s="8">
        <v>3552.6560840000002</v>
      </c>
      <c r="H3135" s="8">
        <v>3131</v>
      </c>
      <c r="I3135" s="8">
        <v>-421.65608359999999</v>
      </c>
      <c r="J3135" s="8">
        <v>-443.50653240000003</v>
      </c>
      <c r="K3135" s="8">
        <v>-858.44674640000005</v>
      </c>
      <c r="L3135" s="8">
        <v>-19.174647449999998</v>
      </c>
      <c r="M3135" s="9" t="str">
        <f>IF(A3135="",M3136,A3135)</f>
        <v>Norway</v>
      </c>
      <c r="N3135" s="3" t="str">
        <f t="shared" si="97"/>
        <v>Feb-2021</v>
      </c>
    </row>
    <row r="3136" spans="1:14" x14ac:dyDescent="0.3">
      <c r="A3136" s="3" t="s">
        <v>268</v>
      </c>
      <c r="B3136" s="3" t="s">
        <v>269</v>
      </c>
      <c r="C3136" s="8">
        <v>2021</v>
      </c>
      <c r="D3136" s="8">
        <v>3</v>
      </c>
      <c r="E3136" s="3" t="str">
        <f t="shared" si="96"/>
        <v>March</v>
      </c>
      <c r="F3136" s="3" t="s">
        <v>13</v>
      </c>
      <c r="G3136" s="8">
        <v>3623.6650089999998</v>
      </c>
      <c r="H3136" s="8">
        <v>3360</v>
      </c>
      <c r="I3136" s="8">
        <v>-263.66500910000002</v>
      </c>
      <c r="J3136" s="8">
        <v>-707.17154149999999</v>
      </c>
      <c r="K3136" s="8">
        <v>-1148.2600030000001</v>
      </c>
      <c r="L3136" s="8">
        <v>-269.4622718</v>
      </c>
      <c r="M3136" s="9" t="str">
        <f>IF(A3136="",M3137,A3136)</f>
        <v>Norway</v>
      </c>
      <c r="N3136" s="3" t="str">
        <f t="shared" si="97"/>
        <v>Mar-2021</v>
      </c>
    </row>
    <row r="3137" spans="1:14" x14ac:dyDescent="0.3">
      <c r="A3137" s="3" t="s">
        <v>268</v>
      </c>
      <c r="B3137" s="3" t="s">
        <v>269</v>
      </c>
      <c r="C3137" s="8">
        <v>2021</v>
      </c>
      <c r="D3137" s="8">
        <v>4</v>
      </c>
      <c r="E3137" s="3" t="str">
        <f t="shared" si="96"/>
        <v>April</v>
      </c>
      <c r="F3137" s="3" t="s">
        <v>13</v>
      </c>
      <c r="G3137" s="8">
        <v>3344.177365</v>
      </c>
      <c r="H3137" s="8">
        <v>3248</v>
      </c>
      <c r="I3137" s="8">
        <v>-96.177364760000003</v>
      </c>
      <c r="J3137" s="8">
        <v>-803.34890629999995</v>
      </c>
      <c r="K3137" s="8">
        <v>-1285.60826</v>
      </c>
      <c r="L3137" s="8">
        <v>-333.76103280000001</v>
      </c>
      <c r="M3137" s="9" t="str">
        <f>IF(A3137="",M3138,A3137)</f>
        <v>Norway</v>
      </c>
      <c r="N3137" s="3" t="str">
        <f t="shared" si="97"/>
        <v>Apr-2021</v>
      </c>
    </row>
    <row r="3138" spans="1:14" x14ac:dyDescent="0.3">
      <c r="A3138" s="3" t="s">
        <v>268</v>
      </c>
      <c r="B3138" s="3" t="s">
        <v>269</v>
      </c>
      <c r="C3138" s="8">
        <v>2021</v>
      </c>
      <c r="D3138" s="8">
        <v>5</v>
      </c>
      <c r="E3138" s="3" t="str">
        <f t="shared" ref="E3138:E3201" si="98">TEXT(DATE(C3138,D3138,1),"MMMM")</f>
        <v>May</v>
      </c>
      <c r="F3138" s="3" t="s">
        <v>13</v>
      </c>
      <c r="G3138" s="8">
        <v>3214.9364919999998</v>
      </c>
      <c r="H3138" s="8">
        <v>3196</v>
      </c>
      <c r="I3138" s="8">
        <v>-18.93649151</v>
      </c>
      <c r="J3138" s="8">
        <v>-822.28539780000006</v>
      </c>
      <c r="K3138" s="8">
        <v>-1324.8118440000001</v>
      </c>
      <c r="L3138" s="8">
        <v>-346.84247690000001</v>
      </c>
      <c r="M3138" s="9" t="str">
        <f>IF(A3138="",M3139,A3138)</f>
        <v>Norway</v>
      </c>
      <c r="N3138" s="3" t="str">
        <f t="shared" ref="N3138:N3201" si="99">TEXT(DATE(C3138,D3138,1),"MMM-YYYY")</f>
        <v>May-2021</v>
      </c>
    </row>
    <row r="3139" spans="1:14" x14ac:dyDescent="0.3">
      <c r="A3139" s="3" t="s">
        <v>268</v>
      </c>
      <c r="B3139" s="3" t="s">
        <v>269</v>
      </c>
      <c r="C3139" s="8">
        <v>2021</v>
      </c>
      <c r="D3139" s="8">
        <v>6</v>
      </c>
      <c r="E3139" s="3" t="str">
        <f t="shared" si="98"/>
        <v>June</v>
      </c>
      <c r="F3139" s="3" t="s">
        <v>13</v>
      </c>
      <c r="G3139" s="8">
        <v>3096.1815109999998</v>
      </c>
      <c r="H3139" s="8">
        <v>3040</v>
      </c>
      <c r="I3139" s="8">
        <v>-56.181511149999999</v>
      </c>
      <c r="J3139" s="8">
        <v>-878.46690890000002</v>
      </c>
      <c r="K3139" s="8">
        <v>-1392.598833</v>
      </c>
      <c r="L3139" s="8">
        <v>-385.7196672</v>
      </c>
      <c r="M3139" s="9" t="str">
        <f>IF(A3139="",M3140,A3139)</f>
        <v>Norway</v>
      </c>
      <c r="N3139" s="3" t="str">
        <f t="shared" si="99"/>
        <v>Jun-2021</v>
      </c>
    </row>
    <row r="3140" spans="1:14" x14ac:dyDescent="0.3">
      <c r="A3140" s="3" t="s">
        <v>268</v>
      </c>
      <c r="B3140" s="3" t="s">
        <v>269</v>
      </c>
      <c r="C3140" s="8">
        <v>2021</v>
      </c>
      <c r="D3140" s="8">
        <v>7</v>
      </c>
      <c r="E3140" s="3" t="str">
        <f t="shared" si="98"/>
        <v>July</v>
      </c>
      <c r="F3140" s="3" t="s">
        <v>13</v>
      </c>
      <c r="G3140" s="8">
        <v>3178.6688399999998</v>
      </c>
      <c r="H3140" s="8">
        <v>3294</v>
      </c>
      <c r="I3140" s="8">
        <v>115.33116029999999</v>
      </c>
      <c r="J3140" s="8">
        <v>-763.13574860000006</v>
      </c>
      <c r="K3140" s="8">
        <v>-1290.202565</v>
      </c>
      <c r="L3140" s="8">
        <v>-239.51574740000001</v>
      </c>
      <c r="M3140" s="9" t="str">
        <f>IF(A3140="",M3141,A3140)</f>
        <v>Norway</v>
      </c>
      <c r="N3140" s="3" t="str">
        <f t="shared" si="99"/>
        <v>Jul-2021</v>
      </c>
    </row>
    <row r="3141" spans="1:14" x14ac:dyDescent="0.3">
      <c r="A3141" s="3" t="s">
        <v>268</v>
      </c>
      <c r="B3141" s="3" t="s">
        <v>269</v>
      </c>
      <c r="C3141" s="8">
        <v>2021</v>
      </c>
      <c r="D3141" s="8">
        <v>8</v>
      </c>
      <c r="E3141" s="3" t="str">
        <f t="shared" si="98"/>
        <v>August</v>
      </c>
      <c r="F3141" s="3" t="s">
        <v>13</v>
      </c>
      <c r="G3141" s="8">
        <v>3151.2126709999998</v>
      </c>
      <c r="H3141" s="8">
        <v>3453</v>
      </c>
      <c r="I3141" s="8">
        <v>301.7873295</v>
      </c>
      <c r="J3141" s="8">
        <v>-461.34841920000002</v>
      </c>
      <c r="K3141" s="8">
        <v>-999.5109913</v>
      </c>
      <c r="L3141" s="8">
        <v>63.527490180000001</v>
      </c>
      <c r="M3141" s="9" t="str">
        <f>IF(A3141="",M3142,A3141)</f>
        <v>Norway</v>
      </c>
      <c r="N3141" s="3" t="str">
        <f t="shared" si="99"/>
        <v>Aug-2021</v>
      </c>
    </row>
    <row r="3142" spans="1:14" x14ac:dyDescent="0.3">
      <c r="A3142" s="3" t="s">
        <v>268</v>
      </c>
      <c r="B3142" s="3" t="s">
        <v>269</v>
      </c>
      <c r="C3142" s="8">
        <v>2021</v>
      </c>
      <c r="D3142" s="8">
        <v>9</v>
      </c>
      <c r="E3142" s="3" t="str">
        <f t="shared" si="98"/>
        <v>September</v>
      </c>
      <c r="F3142" s="3" t="s">
        <v>13</v>
      </c>
      <c r="G3142" s="8">
        <v>3100.2170019999999</v>
      </c>
      <c r="H3142" s="8">
        <v>3451</v>
      </c>
      <c r="I3142" s="8">
        <v>350.78299770000001</v>
      </c>
      <c r="J3142" s="8">
        <v>-110.5654215</v>
      </c>
      <c r="K3142" s="8">
        <v>-678.59595130000002</v>
      </c>
      <c r="L3142" s="8">
        <v>430.32954000000001</v>
      </c>
      <c r="M3142" s="9" t="str">
        <f>IF(A3142="",M3143,A3142)</f>
        <v>Norway</v>
      </c>
      <c r="N3142" s="3" t="str">
        <f t="shared" si="99"/>
        <v>Sep-2021</v>
      </c>
    </row>
    <row r="3143" spans="1:14" x14ac:dyDescent="0.3">
      <c r="A3143" s="3" t="s">
        <v>268</v>
      </c>
      <c r="B3143" s="3" t="s">
        <v>269</v>
      </c>
      <c r="C3143" s="8">
        <v>2021</v>
      </c>
      <c r="D3143" s="8">
        <v>10</v>
      </c>
      <c r="E3143" s="3" t="str">
        <f t="shared" si="98"/>
        <v>October</v>
      </c>
      <c r="F3143" s="3" t="s">
        <v>13</v>
      </c>
      <c r="G3143" s="8">
        <v>3272.2229200000002</v>
      </c>
      <c r="H3143" s="8">
        <v>3693</v>
      </c>
      <c r="I3143" s="8">
        <v>420.77708009999998</v>
      </c>
      <c r="J3143" s="8">
        <v>310.21165860000002</v>
      </c>
      <c r="K3143" s="8">
        <v>-250.92308969999999</v>
      </c>
      <c r="L3143" s="8">
        <v>865.91338389999999</v>
      </c>
      <c r="M3143" s="9" t="str">
        <f>IF(A3143="",M3144,A3143)</f>
        <v>Norway</v>
      </c>
      <c r="N3143" s="3" t="str">
        <f t="shared" si="99"/>
        <v>Oct-2021</v>
      </c>
    </row>
    <row r="3144" spans="1:14" x14ac:dyDescent="0.3">
      <c r="A3144" s="3" t="s">
        <v>268</v>
      </c>
      <c r="B3144" s="3" t="s">
        <v>269</v>
      </c>
      <c r="C3144" s="8">
        <v>2021</v>
      </c>
      <c r="D3144" s="8">
        <v>11</v>
      </c>
      <c r="E3144" s="3" t="str">
        <f t="shared" si="98"/>
        <v>November</v>
      </c>
      <c r="F3144" s="3" t="s">
        <v>13</v>
      </c>
      <c r="G3144" s="8">
        <v>3354.3449909999999</v>
      </c>
      <c r="H3144" s="8">
        <v>4017</v>
      </c>
      <c r="I3144" s="8">
        <v>662.65500889999998</v>
      </c>
      <c r="J3144" s="8">
        <v>972.86666749999995</v>
      </c>
      <c r="K3144" s="8">
        <v>404.7881428</v>
      </c>
      <c r="L3144" s="8">
        <v>1558.005212</v>
      </c>
      <c r="M3144" s="9" t="str">
        <f>IF(A3144="",M3145,A3144)</f>
        <v>Norway</v>
      </c>
      <c r="N3144" s="3" t="str">
        <f t="shared" si="99"/>
        <v>Nov-2021</v>
      </c>
    </row>
    <row r="3145" spans="1:14" x14ac:dyDescent="0.3">
      <c r="A3145" s="3" t="s">
        <v>268</v>
      </c>
      <c r="B3145" s="3" t="s">
        <v>269</v>
      </c>
      <c r="C3145" s="8">
        <v>2021</v>
      </c>
      <c r="D3145" s="8">
        <v>12</v>
      </c>
      <c r="E3145" s="3" t="str">
        <f t="shared" si="98"/>
        <v>December</v>
      </c>
      <c r="F3145" s="3" t="s">
        <v>13</v>
      </c>
      <c r="G3145" s="8">
        <v>3806.4354469999998</v>
      </c>
      <c r="H3145" s="8">
        <v>4350</v>
      </c>
      <c r="I3145" s="8">
        <v>543.56455349999999</v>
      </c>
      <c r="J3145" s="8">
        <v>1516.4312210000001</v>
      </c>
      <c r="K3145" s="8">
        <v>912.58942709999997</v>
      </c>
      <c r="L3145" s="8">
        <v>2098.6415470000002</v>
      </c>
      <c r="M3145" s="9" t="str">
        <f>IF(A3145="",M3146,A3145)</f>
        <v>Norway</v>
      </c>
      <c r="N3145" s="3" t="str">
        <f t="shared" si="99"/>
        <v>Dec-2021</v>
      </c>
    </row>
    <row r="3146" spans="1:14" x14ac:dyDescent="0.3">
      <c r="A3146" s="3" t="s">
        <v>270</v>
      </c>
      <c r="B3146" s="3" t="s">
        <v>271</v>
      </c>
      <c r="C3146" s="8">
        <v>2020</v>
      </c>
      <c r="D3146" s="8">
        <v>1</v>
      </c>
      <c r="E3146" s="3" t="str">
        <f t="shared" si="98"/>
        <v>January</v>
      </c>
      <c r="F3146" s="3" t="s">
        <v>8</v>
      </c>
      <c r="G3146" s="8">
        <v>15704.56784</v>
      </c>
      <c r="H3146" s="8">
        <v>15752.7</v>
      </c>
      <c r="I3146" s="8">
        <v>48.132155730000001</v>
      </c>
      <c r="J3146" s="8">
        <v>48.132155730000001</v>
      </c>
      <c r="K3146" s="8">
        <v>-3828.5944789999999</v>
      </c>
      <c r="L3146" s="8">
        <v>4580.9344940000001</v>
      </c>
      <c r="M3146" s="9" t="str">
        <f>IF(A3146="",M3147,A3146)</f>
        <v>Nepal</v>
      </c>
      <c r="N3146" s="3" t="str">
        <f t="shared" si="99"/>
        <v>Jan-2020</v>
      </c>
    </row>
    <row r="3147" spans="1:14" x14ac:dyDescent="0.3">
      <c r="A3147" s="3" t="s">
        <v>270</v>
      </c>
      <c r="B3147" s="3" t="s">
        <v>271</v>
      </c>
      <c r="C3147" s="8">
        <v>2020</v>
      </c>
      <c r="D3147" s="8">
        <v>2</v>
      </c>
      <c r="E3147" s="3" t="str">
        <f t="shared" si="98"/>
        <v>February</v>
      </c>
      <c r="F3147" s="3" t="s">
        <v>8</v>
      </c>
      <c r="G3147" s="8">
        <v>15455.33963</v>
      </c>
      <c r="H3147" s="8">
        <v>14917.264999999999</v>
      </c>
      <c r="I3147" s="8">
        <v>-538.07463480000001</v>
      </c>
      <c r="J3147" s="8">
        <v>-489.94247899999999</v>
      </c>
      <c r="K3147" s="8">
        <v>-6111.4230809999999</v>
      </c>
      <c r="L3147" s="8">
        <v>5739.0230089999995</v>
      </c>
      <c r="M3147" s="9" t="str">
        <f>IF(A3147="",M3148,A3147)</f>
        <v>Nepal</v>
      </c>
      <c r="N3147" s="3" t="str">
        <f t="shared" si="99"/>
        <v>Feb-2020</v>
      </c>
    </row>
    <row r="3148" spans="1:14" x14ac:dyDescent="0.3">
      <c r="A3148" s="3" t="s">
        <v>270</v>
      </c>
      <c r="B3148" s="3" t="s">
        <v>271</v>
      </c>
      <c r="C3148" s="8">
        <v>2020</v>
      </c>
      <c r="D3148" s="8">
        <v>3</v>
      </c>
      <c r="E3148" s="3" t="str">
        <f t="shared" si="98"/>
        <v>March</v>
      </c>
      <c r="F3148" s="3" t="s">
        <v>8</v>
      </c>
      <c r="G3148" s="8">
        <v>15073.53218</v>
      </c>
      <c r="H3148" s="8">
        <v>14309.048000000001</v>
      </c>
      <c r="I3148" s="8">
        <v>-764.48418070000002</v>
      </c>
      <c r="J3148" s="8">
        <v>-1254.4266600000001</v>
      </c>
      <c r="K3148" s="8">
        <v>-8003.7334890000002</v>
      </c>
      <c r="L3148" s="8">
        <v>6319.3788299999997</v>
      </c>
      <c r="M3148" s="9" t="str">
        <f>IF(A3148="",M3149,A3148)</f>
        <v>Nepal</v>
      </c>
      <c r="N3148" s="3" t="str">
        <f t="shared" si="99"/>
        <v>Mar-2020</v>
      </c>
    </row>
    <row r="3149" spans="1:14" x14ac:dyDescent="0.3">
      <c r="A3149" s="3" t="s">
        <v>270</v>
      </c>
      <c r="B3149" s="3" t="s">
        <v>271</v>
      </c>
      <c r="C3149" s="8">
        <v>2020</v>
      </c>
      <c r="D3149" s="8">
        <v>4</v>
      </c>
      <c r="E3149" s="3" t="str">
        <f t="shared" si="98"/>
        <v>April</v>
      </c>
      <c r="F3149" s="3" t="s">
        <v>8</v>
      </c>
      <c r="G3149" s="8">
        <v>14729.03564</v>
      </c>
      <c r="H3149" s="8">
        <v>12512.734</v>
      </c>
      <c r="I3149" s="8">
        <v>-2216.301641</v>
      </c>
      <c r="J3149" s="8">
        <v>-3470.7283010000001</v>
      </c>
      <c r="K3149" s="8">
        <v>-11471.637479999999</v>
      </c>
      <c r="L3149" s="8">
        <v>4649.4434840000004</v>
      </c>
      <c r="M3149" s="9" t="str">
        <f>IF(A3149="",M3150,A3149)</f>
        <v>Nepal</v>
      </c>
      <c r="N3149" s="3" t="str">
        <f t="shared" si="99"/>
        <v>Apr-2020</v>
      </c>
    </row>
    <row r="3150" spans="1:14" x14ac:dyDescent="0.3">
      <c r="A3150" s="3" t="s">
        <v>270</v>
      </c>
      <c r="B3150" s="3" t="s">
        <v>271</v>
      </c>
      <c r="C3150" s="8">
        <v>2020</v>
      </c>
      <c r="D3150" s="8">
        <v>5</v>
      </c>
      <c r="E3150" s="3" t="str">
        <f t="shared" si="98"/>
        <v>May</v>
      </c>
      <c r="F3150" s="3" t="s">
        <v>8</v>
      </c>
      <c r="G3150" s="8">
        <v>14466.29</v>
      </c>
      <c r="H3150" s="8">
        <v>13273.514999999999</v>
      </c>
      <c r="I3150" s="8">
        <v>-1192.774997</v>
      </c>
      <c r="J3150" s="8">
        <v>-4663.5032979999996</v>
      </c>
      <c r="K3150" s="8">
        <v>-12816.51686</v>
      </c>
      <c r="L3150" s="8">
        <v>4393.1742770000001</v>
      </c>
      <c r="M3150" s="9" t="str">
        <f>IF(A3150="",M3151,A3150)</f>
        <v>Nepal</v>
      </c>
      <c r="N3150" s="3" t="str">
        <f t="shared" si="99"/>
        <v>May-2020</v>
      </c>
    </row>
    <row r="3151" spans="1:14" x14ac:dyDescent="0.3">
      <c r="A3151" s="3" t="s">
        <v>270</v>
      </c>
      <c r="B3151" s="3" t="s">
        <v>271</v>
      </c>
      <c r="C3151" s="8">
        <v>2020</v>
      </c>
      <c r="D3151" s="8">
        <v>6</v>
      </c>
      <c r="E3151" s="3" t="str">
        <f t="shared" si="98"/>
        <v>June</v>
      </c>
      <c r="F3151" s="3" t="s">
        <v>8</v>
      </c>
      <c r="G3151" s="8">
        <v>14264.530479999999</v>
      </c>
      <c r="H3151" s="8">
        <v>14057.293</v>
      </c>
      <c r="I3151" s="8">
        <v>-207.2374792</v>
      </c>
      <c r="J3151" s="8">
        <v>-4870.740777</v>
      </c>
      <c r="K3151" s="8">
        <v>-13922.335709999999</v>
      </c>
      <c r="L3151" s="8">
        <v>5137.6584670000002</v>
      </c>
      <c r="M3151" s="9" t="str">
        <f>IF(A3151="",M3152,A3151)</f>
        <v>Nepal</v>
      </c>
      <c r="N3151" s="3" t="str">
        <f t="shared" si="99"/>
        <v>Jun-2020</v>
      </c>
    </row>
    <row r="3152" spans="1:14" x14ac:dyDescent="0.3">
      <c r="A3152" s="3" t="s">
        <v>270</v>
      </c>
      <c r="B3152" s="3" t="s">
        <v>271</v>
      </c>
      <c r="C3152" s="8">
        <v>2020</v>
      </c>
      <c r="D3152" s="8">
        <v>7</v>
      </c>
      <c r="E3152" s="3" t="str">
        <f t="shared" si="98"/>
        <v>July</v>
      </c>
      <c r="F3152" s="3" t="s">
        <v>8</v>
      </c>
      <c r="G3152" s="8">
        <v>14191.93469</v>
      </c>
      <c r="H3152" s="8">
        <v>14345.398999999999</v>
      </c>
      <c r="I3152" s="8">
        <v>153.4643093</v>
      </c>
      <c r="J3152" s="8">
        <v>-4717.276468</v>
      </c>
      <c r="K3152" s="8">
        <v>-15129.99359</v>
      </c>
      <c r="L3152" s="8">
        <v>5952.0680359999997</v>
      </c>
      <c r="M3152" s="9" t="str">
        <f>IF(A3152="",M3153,A3152)</f>
        <v>Nepal</v>
      </c>
      <c r="N3152" s="3" t="str">
        <f t="shared" si="99"/>
        <v>Jul-2020</v>
      </c>
    </row>
    <row r="3153" spans="1:14" x14ac:dyDescent="0.3">
      <c r="A3153" s="3" t="s">
        <v>270</v>
      </c>
      <c r="B3153" s="3" t="s">
        <v>271</v>
      </c>
      <c r="C3153" s="8">
        <v>2020</v>
      </c>
      <c r="D3153" s="8">
        <v>8</v>
      </c>
      <c r="E3153" s="3" t="str">
        <f t="shared" si="98"/>
        <v>August</v>
      </c>
      <c r="F3153" s="3" t="s">
        <v>8</v>
      </c>
      <c r="G3153" s="8">
        <v>14200.15603</v>
      </c>
      <c r="H3153" s="8">
        <v>15452.956</v>
      </c>
      <c r="I3153" s="8">
        <v>1252.7999669999999</v>
      </c>
      <c r="J3153" s="8">
        <v>-3464.4765000000002</v>
      </c>
      <c r="K3153" s="8">
        <v>-14678.448420000001</v>
      </c>
      <c r="L3153" s="8">
        <v>8280.4439669999992</v>
      </c>
      <c r="M3153" s="9" t="str">
        <f>IF(A3153="",M3154,A3153)</f>
        <v>Nepal</v>
      </c>
      <c r="N3153" s="3" t="str">
        <f t="shared" si="99"/>
        <v>Aug-2020</v>
      </c>
    </row>
    <row r="3154" spans="1:14" x14ac:dyDescent="0.3">
      <c r="A3154" s="3" t="s">
        <v>270</v>
      </c>
      <c r="B3154" s="3" t="s">
        <v>271</v>
      </c>
      <c r="C3154" s="8">
        <v>2020</v>
      </c>
      <c r="D3154" s="8">
        <v>9</v>
      </c>
      <c r="E3154" s="3" t="str">
        <f t="shared" si="98"/>
        <v>September</v>
      </c>
      <c r="F3154" s="3" t="s">
        <v>8</v>
      </c>
      <c r="G3154" s="8">
        <v>14310.958420000001</v>
      </c>
      <c r="H3154" s="8">
        <v>16268.151</v>
      </c>
      <c r="I3154" s="8">
        <v>1957.192577</v>
      </c>
      <c r="J3154" s="8">
        <v>-1507.283923</v>
      </c>
      <c r="K3154" s="8">
        <v>-12717.25922</v>
      </c>
      <c r="L3154" s="8">
        <v>10990.58394</v>
      </c>
      <c r="M3154" s="9" t="str">
        <f>IF(A3154="",M3155,A3154)</f>
        <v>Nepal</v>
      </c>
      <c r="N3154" s="3" t="str">
        <f t="shared" si="99"/>
        <v>Sep-2020</v>
      </c>
    </row>
    <row r="3155" spans="1:14" x14ac:dyDescent="0.3">
      <c r="A3155" s="3" t="s">
        <v>270</v>
      </c>
      <c r="B3155" s="3" t="s">
        <v>271</v>
      </c>
      <c r="C3155" s="8">
        <v>2020</v>
      </c>
      <c r="D3155" s="8">
        <v>10</v>
      </c>
      <c r="E3155" s="3" t="str">
        <f t="shared" si="98"/>
        <v>October</v>
      </c>
      <c r="F3155" s="3" t="s">
        <v>8</v>
      </c>
      <c r="G3155" s="8">
        <v>14591.67555</v>
      </c>
      <c r="H3155" s="8">
        <v>17940.518</v>
      </c>
      <c r="I3155" s="8">
        <v>3348.8424460000001</v>
      </c>
      <c r="J3155" s="8">
        <v>1841.5585229999999</v>
      </c>
      <c r="K3155" s="8">
        <v>-10268.26325</v>
      </c>
      <c r="L3155" s="8">
        <v>14736.69939</v>
      </c>
      <c r="M3155" s="9" t="str">
        <f>IF(A3155="",M3156,A3155)</f>
        <v>Nepal</v>
      </c>
      <c r="N3155" s="3" t="str">
        <f t="shared" si="99"/>
        <v>Oct-2020</v>
      </c>
    </row>
    <row r="3156" spans="1:14" x14ac:dyDescent="0.3">
      <c r="A3156" s="3" t="s">
        <v>270</v>
      </c>
      <c r="B3156" s="3" t="s">
        <v>271</v>
      </c>
      <c r="C3156" s="8">
        <v>2020</v>
      </c>
      <c r="D3156" s="8">
        <v>11</v>
      </c>
      <c r="E3156" s="3" t="str">
        <f t="shared" si="98"/>
        <v>November</v>
      </c>
      <c r="F3156" s="3" t="s">
        <v>8</v>
      </c>
      <c r="G3156" s="8">
        <v>15117.873900000001</v>
      </c>
      <c r="H3156" s="8">
        <v>19153.865000000002</v>
      </c>
      <c r="I3156" s="8">
        <v>4035.9911000000002</v>
      </c>
      <c r="J3156" s="8">
        <v>5877.5496229999999</v>
      </c>
      <c r="K3156" s="8">
        <v>-7424.4546529999998</v>
      </c>
      <c r="L3156" s="8">
        <v>20501.981370000001</v>
      </c>
      <c r="M3156" s="9" t="str">
        <f>IF(A3156="",M3157,A3156)</f>
        <v>Nepal</v>
      </c>
      <c r="N3156" s="3" t="str">
        <f t="shared" si="99"/>
        <v>Nov-2020</v>
      </c>
    </row>
    <row r="3157" spans="1:14" x14ac:dyDescent="0.3">
      <c r="A3157" s="3" t="s">
        <v>270</v>
      </c>
      <c r="B3157" s="3" t="s">
        <v>271</v>
      </c>
      <c r="C3157" s="8">
        <v>2020</v>
      </c>
      <c r="D3157" s="8">
        <v>12</v>
      </c>
      <c r="E3157" s="3" t="str">
        <f t="shared" si="98"/>
        <v>December</v>
      </c>
      <c r="F3157" s="3" t="s">
        <v>8</v>
      </c>
      <c r="G3157" s="8">
        <v>15411.898359999999</v>
      </c>
      <c r="H3157" s="8">
        <v>18352.722000000002</v>
      </c>
      <c r="I3157" s="8">
        <v>2940.8236430000002</v>
      </c>
      <c r="J3157" s="8">
        <v>8818.3732650000002</v>
      </c>
      <c r="K3157" s="8">
        <v>-5206.6427759999997</v>
      </c>
      <c r="L3157" s="8">
        <v>23117.299640000001</v>
      </c>
      <c r="M3157" s="9" t="str">
        <f>IF(A3157="",M3158,A3157)</f>
        <v>Nepal</v>
      </c>
      <c r="N3157" s="3" t="str">
        <f t="shared" si="99"/>
        <v>Dec-2020</v>
      </c>
    </row>
    <row r="3158" spans="1:14" x14ac:dyDescent="0.3">
      <c r="A3158" s="3" t="s">
        <v>270</v>
      </c>
      <c r="B3158" s="3" t="s">
        <v>271</v>
      </c>
      <c r="C3158" s="8">
        <v>2021</v>
      </c>
      <c r="D3158" s="8">
        <v>1</v>
      </c>
      <c r="E3158" s="3" t="str">
        <f t="shared" si="98"/>
        <v>January</v>
      </c>
      <c r="F3158" s="3" t="s">
        <v>8</v>
      </c>
      <c r="G3158" s="8">
        <v>15851.040419999999</v>
      </c>
      <c r="H3158" s="8">
        <v>16786.237000000001</v>
      </c>
      <c r="I3158" s="8">
        <v>935.19657589999997</v>
      </c>
      <c r="J3158" s="8">
        <v>9753.5698410000005</v>
      </c>
      <c r="K3158" s="8">
        <v>-4896.8621990000001</v>
      </c>
      <c r="L3158" s="8">
        <v>24520.862270000001</v>
      </c>
      <c r="M3158" s="9" t="str">
        <f>IF(A3158="",M3159,A3158)</f>
        <v>Nepal</v>
      </c>
      <c r="N3158" s="3" t="str">
        <f t="shared" si="99"/>
        <v>Jan-2021</v>
      </c>
    </row>
    <row r="3159" spans="1:14" x14ac:dyDescent="0.3">
      <c r="A3159" s="3" t="s">
        <v>270</v>
      </c>
      <c r="B3159" s="3" t="s">
        <v>271</v>
      </c>
      <c r="C3159" s="8">
        <v>2021</v>
      </c>
      <c r="D3159" s="8">
        <v>2</v>
      </c>
      <c r="E3159" s="3" t="str">
        <f t="shared" si="98"/>
        <v>February</v>
      </c>
      <c r="F3159" s="3" t="s">
        <v>8</v>
      </c>
      <c r="G3159" s="8">
        <v>15611.414070000001</v>
      </c>
      <c r="H3159" s="8">
        <v>15084.995000000001</v>
      </c>
      <c r="I3159" s="8">
        <v>-526.41907260000005</v>
      </c>
      <c r="J3159" s="8">
        <v>9227.1507689999999</v>
      </c>
      <c r="K3159" s="8">
        <v>-5846.5060199999998</v>
      </c>
      <c r="L3159" s="8">
        <v>24851.989389999999</v>
      </c>
      <c r="M3159" s="9" t="str">
        <f>IF(A3159="",M3160,A3159)</f>
        <v>Nepal</v>
      </c>
      <c r="N3159" s="3" t="str">
        <f t="shared" si="99"/>
        <v>Feb-2021</v>
      </c>
    </row>
    <row r="3160" spans="1:14" x14ac:dyDescent="0.3">
      <c r="A3160" s="3" t="s">
        <v>270</v>
      </c>
      <c r="B3160" s="3" t="s">
        <v>271</v>
      </c>
      <c r="C3160" s="8">
        <v>2021</v>
      </c>
      <c r="D3160" s="8">
        <v>3</v>
      </c>
      <c r="E3160" s="3" t="str">
        <f t="shared" si="98"/>
        <v>March</v>
      </c>
      <c r="F3160" s="3" t="s">
        <v>8</v>
      </c>
      <c r="G3160" s="8">
        <v>15226.04862</v>
      </c>
      <c r="H3160" s="8">
        <v>14969.945</v>
      </c>
      <c r="I3160" s="8">
        <v>-256.10361940000001</v>
      </c>
      <c r="J3160" s="8">
        <v>8971.047149</v>
      </c>
      <c r="K3160" s="8">
        <v>-7193.1899810000004</v>
      </c>
      <c r="L3160" s="8">
        <v>25203.46931</v>
      </c>
      <c r="M3160" s="9" t="str">
        <f>IF(A3160="",M3161,A3160)</f>
        <v>Nepal</v>
      </c>
      <c r="N3160" s="3" t="str">
        <f t="shared" si="99"/>
        <v>Mar-2021</v>
      </c>
    </row>
    <row r="3161" spans="1:14" x14ac:dyDescent="0.3">
      <c r="A3161" s="3" t="s">
        <v>270</v>
      </c>
      <c r="B3161" s="3" t="s">
        <v>271</v>
      </c>
      <c r="C3161" s="8">
        <v>2021</v>
      </c>
      <c r="D3161" s="8">
        <v>4</v>
      </c>
      <c r="E3161" s="3" t="str">
        <f t="shared" si="98"/>
        <v>April</v>
      </c>
      <c r="F3161" s="3" t="s">
        <v>8</v>
      </c>
      <c r="G3161" s="8">
        <v>14856.872499999999</v>
      </c>
      <c r="H3161" s="8">
        <v>16378.526</v>
      </c>
      <c r="I3161" s="8">
        <v>1521.653501</v>
      </c>
      <c r="J3161" s="8">
        <v>10492.700650000001</v>
      </c>
      <c r="K3161" s="8">
        <v>-6640.0509179999999</v>
      </c>
      <c r="L3161" s="8">
        <v>27431.593799999999</v>
      </c>
      <c r="M3161" s="9" t="str">
        <f>IF(A3161="",M3162,A3161)</f>
        <v>Nepal</v>
      </c>
      <c r="N3161" s="3" t="str">
        <f t="shared" si="99"/>
        <v>Apr-2021</v>
      </c>
    </row>
    <row r="3162" spans="1:14" x14ac:dyDescent="0.3">
      <c r="A3162" s="3" t="s">
        <v>270</v>
      </c>
      <c r="B3162" s="3" t="s">
        <v>271</v>
      </c>
      <c r="C3162" s="8">
        <v>2021</v>
      </c>
      <c r="D3162" s="8">
        <v>5</v>
      </c>
      <c r="E3162" s="3" t="str">
        <f t="shared" si="98"/>
        <v>May</v>
      </c>
      <c r="F3162" s="3" t="s">
        <v>8</v>
      </c>
      <c r="G3162" s="8">
        <v>14588.53983</v>
      </c>
      <c r="H3162" s="8">
        <v>22549.589</v>
      </c>
      <c r="I3162" s="8">
        <v>7961.0491750000001</v>
      </c>
      <c r="J3162" s="8">
        <v>18453.749820000001</v>
      </c>
      <c r="K3162" s="8">
        <v>-123.8678634</v>
      </c>
      <c r="L3162" s="8">
        <v>36396.56134</v>
      </c>
      <c r="M3162" s="9" t="str">
        <f>IF(A3162="",M3163,A3162)</f>
        <v>Nepal</v>
      </c>
      <c r="N3162" s="3" t="str">
        <f t="shared" si="99"/>
        <v>May-2021</v>
      </c>
    </row>
    <row r="3163" spans="1:14" x14ac:dyDescent="0.3">
      <c r="A3163" s="3" t="s">
        <v>270</v>
      </c>
      <c r="B3163" s="3" t="s">
        <v>271</v>
      </c>
      <c r="C3163" s="8">
        <v>2021</v>
      </c>
      <c r="D3163" s="8">
        <v>6</v>
      </c>
      <c r="E3163" s="3" t="str">
        <f t="shared" si="98"/>
        <v>June</v>
      </c>
      <c r="F3163" s="3" t="s">
        <v>8</v>
      </c>
      <c r="G3163" s="8">
        <v>14378.94706</v>
      </c>
      <c r="H3163" s="8">
        <v>18544.27</v>
      </c>
      <c r="I3163" s="8">
        <v>4165.3229430000001</v>
      </c>
      <c r="J3163" s="8">
        <v>22619.072769999999</v>
      </c>
      <c r="K3163" s="8">
        <v>4977.2566939999997</v>
      </c>
      <c r="L3163" s="8">
        <v>40908.256079999999</v>
      </c>
      <c r="M3163" s="9" t="str">
        <f>IF(A3163="",M3164,A3163)</f>
        <v>Nepal</v>
      </c>
      <c r="N3163" s="3" t="str">
        <f t="shared" si="99"/>
        <v>Jun-2021</v>
      </c>
    </row>
    <row r="3164" spans="1:14" x14ac:dyDescent="0.3">
      <c r="A3164" s="3" t="s">
        <v>270</v>
      </c>
      <c r="B3164" s="3" t="s">
        <v>271</v>
      </c>
      <c r="C3164" s="8">
        <v>2021</v>
      </c>
      <c r="D3164" s="8">
        <v>7</v>
      </c>
      <c r="E3164" s="3" t="str">
        <f t="shared" si="98"/>
        <v>July</v>
      </c>
      <c r="F3164" s="3" t="s">
        <v>8</v>
      </c>
      <c r="G3164" s="8">
        <v>14330.6895</v>
      </c>
      <c r="H3164" s="8">
        <v>17389.596000000001</v>
      </c>
      <c r="I3164" s="8">
        <v>3058.9064979999998</v>
      </c>
      <c r="J3164" s="8">
        <v>25677.97927</v>
      </c>
      <c r="K3164" s="8">
        <v>7140.3660689999997</v>
      </c>
      <c r="L3164" s="8">
        <v>44309.128219999999</v>
      </c>
      <c r="M3164" s="9" t="str">
        <f>IF(A3164="",M3165,A3164)</f>
        <v>Nepal</v>
      </c>
      <c r="N3164" s="3" t="str">
        <f t="shared" si="99"/>
        <v>Jul-2021</v>
      </c>
    </row>
    <row r="3165" spans="1:14" x14ac:dyDescent="0.3">
      <c r="A3165" s="3" t="s">
        <v>270</v>
      </c>
      <c r="B3165" s="3" t="s">
        <v>271</v>
      </c>
      <c r="C3165" s="8">
        <v>2021</v>
      </c>
      <c r="D3165" s="8">
        <v>8</v>
      </c>
      <c r="E3165" s="3" t="str">
        <f t="shared" si="98"/>
        <v>August</v>
      </c>
      <c r="F3165" s="3" t="s">
        <v>8</v>
      </c>
      <c r="G3165" s="8">
        <v>14341.717549999999</v>
      </c>
      <c r="H3165" s="8">
        <v>17789.126</v>
      </c>
      <c r="I3165" s="8">
        <v>3447.4084499999999</v>
      </c>
      <c r="J3165" s="8">
        <v>29125.387719999999</v>
      </c>
      <c r="K3165" s="8">
        <v>9447.0022389999995</v>
      </c>
      <c r="L3165" s="8">
        <v>48722.17555</v>
      </c>
      <c r="M3165" s="9" t="str">
        <f>IF(A3165="",M3166,A3165)</f>
        <v>Nepal</v>
      </c>
      <c r="N3165" s="3" t="str">
        <f t="shared" si="99"/>
        <v>Aug-2021</v>
      </c>
    </row>
    <row r="3166" spans="1:14" x14ac:dyDescent="0.3">
      <c r="A3166" s="3" t="s">
        <v>270</v>
      </c>
      <c r="B3166" s="3" t="s">
        <v>271</v>
      </c>
      <c r="C3166" s="8">
        <v>2021</v>
      </c>
      <c r="D3166" s="8">
        <v>9</v>
      </c>
      <c r="E3166" s="3" t="str">
        <f t="shared" si="98"/>
        <v>September</v>
      </c>
      <c r="F3166" s="3" t="s">
        <v>8</v>
      </c>
      <c r="G3166" s="8">
        <v>14457.84405</v>
      </c>
      <c r="H3166" s="8">
        <v>16074.522999999999</v>
      </c>
      <c r="I3166" s="8">
        <v>1616.6789490000001</v>
      </c>
      <c r="J3166" s="8">
        <v>30742.06666</v>
      </c>
      <c r="K3166" s="8">
        <v>11112.61822</v>
      </c>
      <c r="L3166" s="8">
        <v>50863.18993</v>
      </c>
      <c r="M3166" s="9" t="str">
        <f>IF(A3166="",M3167,A3166)</f>
        <v>Nepal</v>
      </c>
      <c r="N3166" s="3" t="str">
        <f t="shared" si="99"/>
        <v>Sep-2021</v>
      </c>
    </row>
    <row r="3167" spans="1:14" x14ac:dyDescent="0.3">
      <c r="A3167" s="3" t="s">
        <v>270</v>
      </c>
      <c r="B3167" s="3" t="s">
        <v>271</v>
      </c>
      <c r="C3167" s="8">
        <v>2021</v>
      </c>
      <c r="D3167" s="8">
        <v>10</v>
      </c>
      <c r="E3167" s="3" t="str">
        <f t="shared" si="98"/>
        <v>October</v>
      </c>
      <c r="F3167" s="3" t="s">
        <v>8</v>
      </c>
      <c r="G3167" s="8">
        <v>14715.153969999999</v>
      </c>
      <c r="H3167" s="8">
        <v>16335.958000000001</v>
      </c>
      <c r="I3167" s="8">
        <v>1620.8040289999999</v>
      </c>
      <c r="J3167" s="8">
        <v>32362.87069</v>
      </c>
      <c r="K3167" s="8">
        <v>11703.25806</v>
      </c>
      <c r="L3167" s="8">
        <v>51459.304089999998</v>
      </c>
      <c r="M3167" s="9" t="str">
        <f>IF(A3167="",M3168,A3167)</f>
        <v>Nepal</v>
      </c>
      <c r="N3167" s="3" t="str">
        <f t="shared" si="99"/>
        <v>Oct-2021</v>
      </c>
    </row>
    <row r="3168" spans="1:14" x14ac:dyDescent="0.3">
      <c r="A3168" s="3" t="s">
        <v>270</v>
      </c>
      <c r="B3168" s="3" t="s">
        <v>271</v>
      </c>
      <c r="C3168" s="8">
        <v>2021</v>
      </c>
      <c r="D3168" s="8">
        <v>11</v>
      </c>
      <c r="E3168" s="3" t="str">
        <f t="shared" si="98"/>
        <v>November</v>
      </c>
      <c r="F3168" s="3" t="s">
        <v>8</v>
      </c>
      <c r="G3168" s="8">
        <v>15271.029350000001</v>
      </c>
      <c r="H3168" s="8">
        <v>16501.484</v>
      </c>
      <c r="I3168" s="8">
        <v>1230.4546459999999</v>
      </c>
      <c r="J3168" s="8">
        <v>33593.325340000003</v>
      </c>
      <c r="K3168" s="8">
        <v>12531.073399999999</v>
      </c>
      <c r="L3168" s="8">
        <v>54060.767359999998</v>
      </c>
      <c r="M3168" s="9" t="str">
        <f>IF(A3168="",M3169,A3168)</f>
        <v>Nepal</v>
      </c>
      <c r="N3168" s="3" t="str">
        <f t="shared" si="99"/>
        <v>Nov-2021</v>
      </c>
    </row>
    <row r="3169" spans="1:14" x14ac:dyDescent="0.3">
      <c r="A3169" s="3" t="s">
        <v>270</v>
      </c>
      <c r="B3169" s="3" t="s">
        <v>271</v>
      </c>
      <c r="C3169" s="8">
        <v>2021</v>
      </c>
      <c r="D3169" s="8">
        <v>12</v>
      </c>
      <c r="E3169" s="3" t="str">
        <f t="shared" si="98"/>
        <v>December</v>
      </c>
      <c r="F3169" s="3" t="s">
        <v>8</v>
      </c>
      <c r="G3169" s="8">
        <v>15566.703079999999</v>
      </c>
      <c r="H3169" s="8">
        <v>16814.531999999999</v>
      </c>
      <c r="I3169" s="8">
        <v>1247.8289159999999</v>
      </c>
      <c r="J3169" s="8">
        <v>34841.154260000003</v>
      </c>
      <c r="K3169" s="8">
        <v>12523.60808</v>
      </c>
      <c r="L3169" s="8">
        <v>56393.66878</v>
      </c>
      <c r="M3169" s="9" t="str">
        <f>IF(A3169="",M3170,A3169)</f>
        <v>Nepal</v>
      </c>
      <c r="N3169" s="3" t="str">
        <f t="shared" si="99"/>
        <v>Dec-2021</v>
      </c>
    </row>
    <row r="3170" spans="1:14" x14ac:dyDescent="0.3">
      <c r="A3170" s="3" t="s">
        <v>272</v>
      </c>
      <c r="B3170" s="3" t="s">
        <v>273</v>
      </c>
      <c r="C3170" s="8">
        <v>2020</v>
      </c>
      <c r="D3170" s="8">
        <v>1</v>
      </c>
      <c r="E3170" s="3" t="str">
        <f t="shared" si="98"/>
        <v>January</v>
      </c>
      <c r="F3170" s="3" t="s">
        <v>8</v>
      </c>
      <c r="G3170" s="8">
        <v>5.1120489200000003</v>
      </c>
      <c r="H3170" s="8">
        <v>5.2889999999999997</v>
      </c>
      <c r="I3170" s="8">
        <v>0.17695108000000001</v>
      </c>
      <c r="J3170" s="8">
        <v>0.17695108000000001</v>
      </c>
      <c r="K3170" s="8">
        <v>-3.9820270569999998</v>
      </c>
      <c r="L3170" s="8">
        <v>5.5284294139999997</v>
      </c>
      <c r="M3170" s="9" t="str">
        <f>IF(A3170="",M3171,A3170)</f>
        <v>Nauru</v>
      </c>
      <c r="N3170" s="3" t="str">
        <f t="shared" si="99"/>
        <v>Jan-2020</v>
      </c>
    </row>
    <row r="3171" spans="1:14" x14ac:dyDescent="0.3">
      <c r="A3171" s="3" t="s">
        <v>272</v>
      </c>
      <c r="B3171" s="3" t="s">
        <v>273</v>
      </c>
      <c r="C3171" s="8">
        <v>2020</v>
      </c>
      <c r="D3171" s="8">
        <v>2</v>
      </c>
      <c r="E3171" s="3" t="str">
        <f t="shared" si="98"/>
        <v>February</v>
      </c>
      <c r="F3171" s="3" t="s">
        <v>8</v>
      </c>
      <c r="G3171" s="8">
        <v>5.1606058380000004</v>
      </c>
      <c r="H3171" s="8">
        <v>5.0990000000000002</v>
      </c>
      <c r="I3171" s="8">
        <v>-6.1605838000000003E-2</v>
      </c>
      <c r="J3171" s="8">
        <v>0.115345241</v>
      </c>
      <c r="K3171" s="8">
        <v>-5.7252721009999998</v>
      </c>
      <c r="L3171" s="8">
        <v>7.3061335029999999</v>
      </c>
      <c r="M3171" s="9" t="str">
        <f>IF(A3171="",M3172,A3171)</f>
        <v>Nauru</v>
      </c>
      <c r="N3171" s="3" t="str">
        <f t="shared" si="99"/>
        <v>Feb-2020</v>
      </c>
    </row>
    <row r="3172" spans="1:14" x14ac:dyDescent="0.3">
      <c r="A3172" s="3" t="s">
        <v>272</v>
      </c>
      <c r="B3172" s="3" t="s">
        <v>273</v>
      </c>
      <c r="C3172" s="8">
        <v>2020</v>
      </c>
      <c r="D3172" s="8">
        <v>3</v>
      </c>
      <c r="E3172" s="3" t="str">
        <f t="shared" si="98"/>
        <v>March</v>
      </c>
      <c r="F3172" s="3" t="s">
        <v>8</v>
      </c>
      <c r="G3172" s="8">
        <v>5.1342170659999997</v>
      </c>
      <c r="H3172" s="8">
        <v>4.8979999999999997</v>
      </c>
      <c r="I3172" s="8">
        <v>-0.236217066</v>
      </c>
      <c r="J3172" s="8">
        <v>-0.120871825</v>
      </c>
      <c r="K3172" s="8">
        <v>-7.1438565059999997</v>
      </c>
      <c r="L3172" s="8">
        <v>8.3332574239999992</v>
      </c>
      <c r="M3172" s="9" t="str">
        <f>IF(A3172="",M3173,A3172)</f>
        <v>Nauru</v>
      </c>
      <c r="N3172" s="3" t="str">
        <f t="shared" si="99"/>
        <v>Mar-2020</v>
      </c>
    </row>
    <row r="3173" spans="1:14" x14ac:dyDescent="0.3">
      <c r="A3173" s="3" t="s">
        <v>272</v>
      </c>
      <c r="B3173" s="3" t="s">
        <v>273</v>
      </c>
      <c r="C3173" s="8">
        <v>2020</v>
      </c>
      <c r="D3173" s="8">
        <v>4</v>
      </c>
      <c r="E3173" s="3" t="str">
        <f t="shared" si="98"/>
        <v>April</v>
      </c>
      <c r="F3173" s="3" t="s">
        <v>8</v>
      </c>
      <c r="G3173" s="8">
        <v>5.1037668480000002</v>
      </c>
      <c r="H3173" s="8">
        <v>5.07</v>
      </c>
      <c r="I3173" s="8">
        <v>-3.3766848000000002E-2</v>
      </c>
      <c r="J3173" s="8">
        <v>-0.154638672</v>
      </c>
      <c r="K3173" s="8">
        <v>-8.7071813720000009</v>
      </c>
      <c r="L3173" s="8">
        <v>9.5249155590000001</v>
      </c>
      <c r="M3173" s="9" t="str">
        <f>IF(A3173="",M3174,A3173)</f>
        <v>Nauru</v>
      </c>
      <c r="N3173" s="3" t="str">
        <f t="shared" si="99"/>
        <v>Apr-2020</v>
      </c>
    </row>
    <row r="3174" spans="1:14" x14ac:dyDescent="0.3">
      <c r="A3174" s="3" t="s">
        <v>272</v>
      </c>
      <c r="B3174" s="3" t="s">
        <v>273</v>
      </c>
      <c r="C3174" s="8">
        <v>2020</v>
      </c>
      <c r="D3174" s="8">
        <v>5</v>
      </c>
      <c r="E3174" s="3" t="str">
        <f t="shared" si="98"/>
        <v>May</v>
      </c>
      <c r="F3174" s="3" t="s">
        <v>8</v>
      </c>
      <c r="G3174" s="8">
        <v>5.1335610110000003</v>
      </c>
      <c r="H3174" s="8">
        <v>5.181</v>
      </c>
      <c r="I3174" s="8">
        <v>4.7438989000000001E-2</v>
      </c>
      <c r="J3174" s="8">
        <v>-0.107199684</v>
      </c>
      <c r="K3174" s="8">
        <v>-9.5487666820000001</v>
      </c>
      <c r="L3174" s="8">
        <v>10.86618271</v>
      </c>
      <c r="M3174" s="9" t="str">
        <f>IF(A3174="",M3175,A3174)</f>
        <v>Nauru</v>
      </c>
      <c r="N3174" s="3" t="str">
        <f t="shared" si="99"/>
        <v>May-2020</v>
      </c>
    </row>
    <row r="3175" spans="1:14" x14ac:dyDescent="0.3">
      <c r="A3175" s="3" t="s">
        <v>272</v>
      </c>
      <c r="B3175" s="3" t="s">
        <v>273</v>
      </c>
      <c r="C3175" s="8">
        <v>2020</v>
      </c>
      <c r="D3175" s="8">
        <v>6</v>
      </c>
      <c r="E3175" s="3" t="str">
        <f t="shared" si="98"/>
        <v>June</v>
      </c>
      <c r="F3175" s="3" t="s">
        <v>8</v>
      </c>
      <c r="G3175" s="8">
        <v>5.1305821539999998</v>
      </c>
      <c r="H3175" s="8">
        <v>5.0979999999999999</v>
      </c>
      <c r="I3175" s="8">
        <v>-3.2582154000000002E-2</v>
      </c>
      <c r="J3175" s="8">
        <v>-0.13978183799999999</v>
      </c>
      <c r="K3175" s="8">
        <v>-10.79241047</v>
      </c>
      <c r="L3175" s="8">
        <v>11.198362169999999</v>
      </c>
      <c r="M3175" s="9" t="str">
        <f>IF(A3175="",M3176,A3175)</f>
        <v>Nauru</v>
      </c>
      <c r="N3175" s="3" t="str">
        <f t="shared" si="99"/>
        <v>Jun-2020</v>
      </c>
    </row>
    <row r="3176" spans="1:14" x14ac:dyDescent="0.3">
      <c r="A3176" s="3" t="s">
        <v>272</v>
      </c>
      <c r="B3176" s="3" t="s">
        <v>273</v>
      </c>
      <c r="C3176" s="8">
        <v>2020</v>
      </c>
      <c r="D3176" s="8">
        <v>7</v>
      </c>
      <c r="E3176" s="3" t="str">
        <f t="shared" si="98"/>
        <v>July</v>
      </c>
      <c r="F3176" s="3" t="s">
        <v>8</v>
      </c>
      <c r="G3176" s="8">
        <v>5.1131311259999999</v>
      </c>
      <c r="H3176" s="8">
        <v>4.827</v>
      </c>
      <c r="I3176" s="8">
        <v>-0.28613112600000001</v>
      </c>
      <c r="J3176" s="8">
        <v>-0.425912964</v>
      </c>
      <c r="K3176" s="8">
        <v>-12.284954279999999</v>
      </c>
      <c r="L3176" s="8">
        <v>12.08058099</v>
      </c>
      <c r="M3176" s="9" t="str">
        <f>IF(A3176="",M3177,A3176)</f>
        <v>Nauru</v>
      </c>
      <c r="N3176" s="3" t="str">
        <f t="shared" si="99"/>
        <v>Jul-2020</v>
      </c>
    </row>
    <row r="3177" spans="1:14" x14ac:dyDescent="0.3">
      <c r="A3177" s="3" t="s">
        <v>272</v>
      </c>
      <c r="B3177" s="3" t="s">
        <v>273</v>
      </c>
      <c r="C3177" s="8">
        <v>2020</v>
      </c>
      <c r="D3177" s="8">
        <v>8</v>
      </c>
      <c r="E3177" s="3" t="str">
        <f t="shared" si="98"/>
        <v>August</v>
      </c>
      <c r="F3177" s="3" t="s">
        <v>8</v>
      </c>
      <c r="G3177" s="8">
        <v>5.1276342750000001</v>
      </c>
      <c r="H3177" s="8">
        <v>4.931</v>
      </c>
      <c r="I3177" s="8">
        <v>-0.196634275</v>
      </c>
      <c r="J3177" s="8">
        <v>-0.62254723899999997</v>
      </c>
      <c r="K3177" s="8">
        <v>-13.180252279999999</v>
      </c>
      <c r="L3177" s="8">
        <v>13.313801550000001</v>
      </c>
      <c r="M3177" s="9" t="str">
        <f>IF(A3177="",M3178,A3177)</f>
        <v>Nauru</v>
      </c>
      <c r="N3177" s="3" t="str">
        <f t="shared" si="99"/>
        <v>Aug-2020</v>
      </c>
    </row>
    <row r="3178" spans="1:14" x14ac:dyDescent="0.3">
      <c r="A3178" s="3" t="s">
        <v>272</v>
      </c>
      <c r="B3178" s="3" t="s">
        <v>273</v>
      </c>
      <c r="C3178" s="8">
        <v>2020</v>
      </c>
      <c r="D3178" s="8">
        <v>9</v>
      </c>
      <c r="E3178" s="3" t="str">
        <f t="shared" si="98"/>
        <v>September</v>
      </c>
      <c r="F3178" s="3" t="s">
        <v>8</v>
      </c>
      <c r="G3178" s="8">
        <v>5.1635996149999999</v>
      </c>
      <c r="H3178" s="8">
        <v>5</v>
      </c>
      <c r="I3178" s="8">
        <v>-0.163599615</v>
      </c>
      <c r="J3178" s="8">
        <v>-0.78614685399999995</v>
      </c>
      <c r="K3178" s="8">
        <v>-13.82360229</v>
      </c>
      <c r="L3178" s="8">
        <v>14.17347204</v>
      </c>
      <c r="M3178" s="9" t="str">
        <f>IF(A3178="",M3179,A3178)</f>
        <v>Nauru</v>
      </c>
      <c r="N3178" s="3" t="str">
        <f t="shared" si="99"/>
        <v>Sep-2020</v>
      </c>
    </row>
    <row r="3179" spans="1:14" x14ac:dyDescent="0.3">
      <c r="A3179" s="3" t="s">
        <v>272</v>
      </c>
      <c r="B3179" s="3" t="s">
        <v>273</v>
      </c>
      <c r="C3179" s="8">
        <v>2020</v>
      </c>
      <c r="D3179" s="8">
        <v>10</v>
      </c>
      <c r="E3179" s="3" t="str">
        <f t="shared" si="98"/>
        <v>October</v>
      </c>
      <c r="F3179" s="3" t="s">
        <v>8</v>
      </c>
      <c r="G3179" s="8">
        <v>5.1471790369999999</v>
      </c>
      <c r="H3179" s="8">
        <v>4.9660000000000002</v>
      </c>
      <c r="I3179" s="8">
        <v>-0.18117903699999999</v>
      </c>
      <c r="J3179" s="8">
        <v>-0.96732589099999999</v>
      </c>
      <c r="K3179" s="8">
        <v>-15.21402232</v>
      </c>
      <c r="L3179" s="8">
        <v>14.804789359999999</v>
      </c>
      <c r="M3179" s="9" t="str">
        <f>IF(A3179="",M3180,A3179)</f>
        <v>Nauru</v>
      </c>
      <c r="N3179" s="3" t="str">
        <f t="shared" si="99"/>
        <v>Oct-2020</v>
      </c>
    </row>
    <row r="3180" spans="1:14" x14ac:dyDescent="0.3">
      <c r="A3180" s="3" t="s">
        <v>272</v>
      </c>
      <c r="B3180" s="3" t="s">
        <v>273</v>
      </c>
      <c r="C3180" s="8">
        <v>2020</v>
      </c>
      <c r="D3180" s="8">
        <v>11</v>
      </c>
      <c r="E3180" s="3" t="str">
        <f t="shared" si="98"/>
        <v>November</v>
      </c>
      <c r="F3180" s="3" t="s">
        <v>8</v>
      </c>
      <c r="G3180" s="8">
        <v>5.1373361419999997</v>
      </c>
      <c r="H3180" s="8">
        <v>4.8179999999999996</v>
      </c>
      <c r="I3180" s="8">
        <v>-0.31933614199999999</v>
      </c>
      <c r="J3180" s="8">
        <v>-1.286662033</v>
      </c>
      <c r="K3180" s="8">
        <v>-15.89499567</v>
      </c>
      <c r="L3180" s="8">
        <v>14.65973211</v>
      </c>
      <c r="M3180" s="9" t="str">
        <f>IF(A3180="",M3181,A3180)</f>
        <v>Nauru</v>
      </c>
      <c r="N3180" s="3" t="str">
        <f t="shared" si="99"/>
        <v>Nov-2020</v>
      </c>
    </row>
    <row r="3181" spans="1:14" x14ac:dyDescent="0.3">
      <c r="A3181" s="3" t="s">
        <v>272</v>
      </c>
      <c r="B3181" s="3" t="s">
        <v>273</v>
      </c>
      <c r="C3181" s="8">
        <v>2020</v>
      </c>
      <c r="D3181" s="8">
        <v>12</v>
      </c>
      <c r="E3181" s="3" t="str">
        <f t="shared" si="98"/>
        <v>December</v>
      </c>
      <c r="F3181" s="3" t="s">
        <v>8</v>
      </c>
      <c r="G3181" s="8">
        <v>5.1505921839999997</v>
      </c>
      <c r="H3181" s="8">
        <v>4.9429999999999996</v>
      </c>
      <c r="I3181" s="8">
        <v>-0.20759218400000001</v>
      </c>
      <c r="J3181" s="8">
        <v>-1.4942542169999999</v>
      </c>
      <c r="K3181" s="8">
        <v>-16.123437719999998</v>
      </c>
      <c r="L3181" s="8">
        <v>14.73123822</v>
      </c>
      <c r="M3181" s="9" t="str">
        <f>IF(A3181="",M3182,A3181)</f>
        <v>Nauru</v>
      </c>
      <c r="N3181" s="3" t="str">
        <f t="shared" si="99"/>
        <v>Dec-2020</v>
      </c>
    </row>
    <row r="3182" spans="1:14" x14ac:dyDescent="0.3">
      <c r="A3182" s="3" t="s">
        <v>272</v>
      </c>
      <c r="B3182" s="3" t="s">
        <v>273</v>
      </c>
      <c r="C3182" s="8">
        <v>2021</v>
      </c>
      <c r="D3182" s="8">
        <v>1</v>
      </c>
      <c r="E3182" s="3" t="str">
        <f t="shared" si="98"/>
        <v>January</v>
      </c>
      <c r="F3182" s="3" t="s">
        <v>8</v>
      </c>
      <c r="G3182" s="8">
        <v>5.0680488559999999</v>
      </c>
      <c r="H3182" s="8">
        <v>5.0030000000000001</v>
      </c>
      <c r="I3182" s="8">
        <v>-6.5048856000000002E-2</v>
      </c>
      <c r="J3182" s="8">
        <v>-1.5593030729999999</v>
      </c>
      <c r="K3182" s="8">
        <v>-17.058896090000001</v>
      </c>
      <c r="L3182" s="8">
        <v>15.8685458</v>
      </c>
      <c r="M3182" s="9" t="str">
        <f>IF(A3182="",M3183,A3182)</f>
        <v>Nauru</v>
      </c>
      <c r="N3182" s="3" t="str">
        <f t="shared" si="99"/>
        <v>Jan-2021</v>
      </c>
    </row>
    <row r="3183" spans="1:14" x14ac:dyDescent="0.3">
      <c r="A3183" s="3" t="s">
        <v>272</v>
      </c>
      <c r="B3183" s="3" t="s">
        <v>273</v>
      </c>
      <c r="C3183" s="8">
        <v>2021</v>
      </c>
      <c r="D3183" s="8">
        <v>2</v>
      </c>
      <c r="E3183" s="3" t="str">
        <f t="shared" si="98"/>
        <v>February</v>
      </c>
      <c r="F3183" s="3" t="s">
        <v>8</v>
      </c>
      <c r="G3183" s="8">
        <v>5.0838279819999999</v>
      </c>
      <c r="H3183" s="8">
        <v>4.9340000000000002</v>
      </c>
      <c r="I3183" s="8">
        <v>-0.149827982</v>
      </c>
      <c r="J3183" s="8">
        <v>-1.7091310550000001</v>
      </c>
      <c r="K3183" s="8">
        <v>-17.771340250000002</v>
      </c>
      <c r="L3183" s="8">
        <v>16.312748389999999</v>
      </c>
      <c r="M3183" s="9" t="str">
        <f>IF(A3183="",M3184,A3183)</f>
        <v>Nauru</v>
      </c>
      <c r="N3183" s="3" t="str">
        <f t="shared" si="99"/>
        <v>Feb-2021</v>
      </c>
    </row>
    <row r="3184" spans="1:14" x14ac:dyDescent="0.3">
      <c r="A3184" s="3" t="s">
        <v>272</v>
      </c>
      <c r="B3184" s="3" t="s">
        <v>273</v>
      </c>
      <c r="C3184" s="8">
        <v>2021</v>
      </c>
      <c r="D3184" s="8">
        <v>3</v>
      </c>
      <c r="E3184" s="3" t="str">
        <f t="shared" si="98"/>
        <v>March</v>
      </c>
      <c r="F3184" s="3" t="s">
        <v>8</v>
      </c>
      <c r="G3184" s="8">
        <v>5.0728602450000002</v>
      </c>
      <c r="H3184" s="8">
        <v>5.1070000000000002</v>
      </c>
      <c r="I3184" s="8">
        <v>3.4139755000000001E-2</v>
      </c>
      <c r="J3184" s="8">
        <v>-1.6749913000000001</v>
      </c>
      <c r="K3184" s="8">
        <v>-17.991561269999998</v>
      </c>
      <c r="L3184" s="8">
        <v>17.33987239</v>
      </c>
      <c r="M3184" s="9" t="str">
        <f>IF(A3184="",M3185,A3184)</f>
        <v>Nauru</v>
      </c>
      <c r="N3184" s="3" t="str">
        <f t="shared" si="99"/>
        <v>Mar-2021</v>
      </c>
    </row>
    <row r="3185" spans="1:14" x14ac:dyDescent="0.3">
      <c r="A3185" s="3" t="s">
        <v>272</v>
      </c>
      <c r="B3185" s="3" t="s">
        <v>273</v>
      </c>
      <c r="C3185" s="8">
        <v>2021</v>
      </c>
      <c r="D3185" s="8">
        <v>4</v>
      </c>
      <c r="E3185" s="3" t="str">
        <f t="shared" si="98"/>
        <v>April</v>
      </c>
      <c r="F3185" s="3" t="s">
        <v>8</v>
      </c>
      <c r="G3185" s="8">
        <v>5.0622667379999999</v>
      </c>
      <c r="H3185" s="8">
        <v>5.01</v>
      </c>
      <c r="I3185" s="8">
        <v>-5.2266738E-2</v>
      </c>
      <c r="J3185" s="8">
        <v>-1.727258038</v>
      </c>
      <c r="K3185" s="8">
        <v>-18.90827513</v>
      </c>
      <c r="L3185" s="8">
        <v>17.619508360000001</v>
      </c>
      <c r="M3185" s="9" t="str">
        <f>IF(A3185="",M3186,A3185)</f>
        <v>Nauru</v>
      </c>
      <c r="N3185" s="3" t="str">
        <f t="shared" si="99"/>
        <v>Apr-2021</v>
      </c>
    </row>
    <row r="3186" spans="1:14" x14ac:dyDescent="0.3">
      <c r="A3186" s="3" t="s">
        <v>272</v>
      </c>
      <c r="B3186" s="3" t="s">
        <v>273</v>
      </c>
      <c r="C3186" s="8">
        <v>2021</v>
      </c>
      <c r="D3186" s="8">
        <v>5</v>
      </c>
      <c r="E3186" s="3" t="str">
        <f t="shared" si="98"/>
        <v>May</v>
      </c>
      <c r="F3186" s="3" t="s">
        <v>8</v>
      </c>
      <c r="G3186" s="8">
        <v>5.0762365420000002</v>
      </c>
      <c r="H3186" s="8">
        <v>5.3529999999999998</v>
      </c>
      <c r="I3186" s="8">
        <v>0.27676345800000002</v>
      </c>
      <c r="J3186" s="8">
        <v>-1.4504945789999999</v>
      </c>
      <c r="K3186" s="8">
        <v>-18.881799059999999</v>
      </c>
      <c r="L3186" s="8">
        <v>18.644435600000001</v>
      </c>
      <c r="M3186" s="9" t="str">
        <f>IF(A3186="",M3187,A3186)</f>
        <v>Nauru</v>
      </c>
      <c r="N3186" s="3" t="str">
        <f t="shared" si="99"/>
        <v>May-2021</v>
      </c>
    </row>
    <row r="3187" spans="1:14" x14ac:dyDescent="0.3">
      <c r="A3187" s="3" t="s">
        <v>272</v>
      </c>
      <c r="B3187" s="3" t="s">
        <v>273</v>
      </c>
      <c r="C3187" s="8">
        <v>2021</v>
      </c>
      <c r="D3187" s="8">
        <v>6</v>
      </c>
      <c r="E3187" s="3" t="str">
        <f t="shared" si="98"/>
        <v>June</v>
      </c>
      <c r="F3187" s="3" t="s">
        <v>8</v>
      </c>
      <c r="G3187" s="8">
        <v>5.0644747360000002</v>
      </c>
      <c r="H3187" s="8">
        <v>5.4160000000000004</v>
      </c>
      <c r="I3187" s="8">
        <v>0.351525264</v>
      </c>
      <c r="J3187" s="8">
        <v>-1.098969316</v>
      </c>
      <c r="K3187" s="8">
        <v>-18.907882149999999</v>
      </c>
      <c r="L3187" s="8">
        <v>19.411078759999999</v>
      </c>
      <c r="M3187" s="9" t="str">
        <f>IF(A3187="",M3188,A3187)</f>
        <v>Nauru</v>
      </c>
      <c r="N3187" s="3" t="str">
        <f t="shared" si="99"/>
        <v>Jun-2021</v>
      </c>
    </row>
    <row r="3188" spans="1:14" x14ac:dyDescent="0.3">
      <c r="A3188" s="3" t="s">
        <v>272</v>
      </c>
      <c r="B3188" s="3" t="s">
        <v>273</v>
      </c>
      <c r="C3188" s="8">
        <v>2021</v>
      </c>
      <c r="D3188" s="8">
        <v>7</v>
      </c>
      <c r="E3188" s="3" t="str">
        <f t="shared" si="98"/>
        <v>July</v>
      </c>
      <c r="F3188" s="3" t="s">
        <v>8</v>
      </c>
      <c r="G3188" s="8">
        <v>5.0789091480000002</v>
      </c>
      <c r="H3188" s="8">
        <v>5.4889999999999999</v>
      </c>
      <c r="I3188" s="8">
        <v>0.41009085200000001</v>
      </c>
      <c r="J3188" s="8">
        <v>-0.68887846399999997</v>
      </c>
      <c r="K3188" s="8">
        <v>-18.84429879</v>
      </c>
      <c r="L3188" s="8">
        <v>20.505213919999999</v>
      </c>
      <c r="M3188" s="9" t="str">
        <f>IF(A3188="",M3189,A3188)</f>
        <v>Nauru</v>
      </c>
      <c r="N3188" s="3" t="str">
        <f t="shared" si="99"/>
        <v>Jul-2021</v>
      </c>
    </row>
    <row r="3189" spans="1:14" x14ac:dyDescent="0.3">
      <c r="A3189" s="3" t="s">
        <v>272</v>
      </c>
      <c r="B3189" s="3" t="s">
        <v>273</v>
      </c>
      <c r="C3189" s="8">
        <v>2021</v>
      </c>
      <c r="D3189" s="8">
        <v>8</v>
      </c>
      <c r="E3189" s="3" t="str">
        <f t="shared" si="98"/>
        <v>August</v>
      </c>
      <c r="F3189" s="3" t="s">
        <v>8</v>
      </c>
      <c r="G3189" s="8">
        <v>5.0859835950000001</v>
      </c>
      <c r="H3189" s="8">
        <v>5.3550000000000004</v>
      </c>
      <c r="I3189" s="8">
        <v>0.26901640500000001</v>
      </c>
      <c r="J3189" s="8">
        <v>-0.41986205799999998</v>
      </c>
      <c r="K3189" s="8">
        <v>-18.844679849999999</v>
      </c>
      <c r="L3189" s="8">
        <v>22.304904199999999</v>
      </c>
      <c r="M3189" s="9" t="str">
        <f>IF(A3189="",M3190,A3189)</f>
        <v>Nauru</v>
      </c>
      <c r="N3189" s="3" t="str">
        <f t="shared" si="99"/>
        <v>Aug-2021</v>
      </c>
    </row>
    <row r="3190" spans="1:14" x14ac:dyDescent="0.3">
      <c r="A3190" s="3" t="s">
        <v>272</v>
      </c>
      <c r="B3190" s="3" t="s">
        <v>273</v>
      </c>
      <c r="C3190" s="8">
        <v>2021</v>
      </c>
      <c r="D3190" s="8">
        <v>9</v>
      </c>
      <c r="E3190" s="3" t="str">
        <f t="shared" si="98"/>
        <v>September</v>
      </c>
      <c r="F3190" s="3" t="s">
        <v>8</v>
      </c>
      <c r="G3190" s="8">
        <v>5.1133563879999997</v>
      </c>
      <c r="H3190" s="8">
        <v>5.4420000000000002</v>
      </c>
      <c r="I3190" s="8">
        <v>0.32864361199999997</v>
      </c>
      <c r="J3190" s="8">
        <v>-9.1218446999999994E-2</v>
      </c>
      <c r="K3190" s="8">
        <v>-19.3123191</v>
      </c>
      <c r="L3190" s="8">
        <v>22.225676629999999</v>
      </c>
      <c r="M3190" s="9" t="str">
        <f>IF(A3190="",M3191,A3190)</f>
        <v>Nauru</v>
      </c>
      <c r="N3190" s="3" t="str">
        <f t="shared" si="99"/>
        <v>Sep-2021</v>
      </c>
    </row>
    <row r="3191" spans="1:14" x14ac:dyDescent="0.3">
      <c r="A3191" s="3" t="s">
        <v>272</v>
      </c>
      <c r="B3191" s="3" t="s">
        <v>273</v>
      </c>
      <c r="C3191" s="8">
        <v>2021</v>
      </c>
      <c r="D3191" s="8">
        <v>10</v>
      </c>
      <c r="E3191" s="3" t="str">
        <f t="shared" si="98"/>
        <v>October</v>
      </c>
      <c r="F3191" s="3" t="s">
        <v>8</v>
      </c>
      <c r="G3191" s="8">
        <v>5.0728614649999999</v>
      </c>
      <c r="H3191" s="8">
        <v>5.3120000000000003</v>
      </c>
      <c r="I3191" s="8">
        <v>0.23913853500000001</v>
      </c>
      <c r="J3191" s="8">
        <v>0.14792008800000001</v>
      </c>
      <c r="K3191" s="8">
        <v>-19.649914190000001</v>
      </c>
      <c r="L3191" s="8">
        <v>23.69619402</v>
      </c>
      <c r="M3191" s="9" t="str">
        <f>IF(A3191="",M3192,A3191)</f>
        <v>Nauru</v>
      </c>
      <c r="N3191" s="3" t="str">
        <f t="shared" si="99"/>
        <v>Oct-2021</v>
      </c>
    </row>
    <row r="3192" spans="1:14" x14ac:dyDescent="0.3">
      <c r="A3192" s="3" t="s">
        <v>272</v>
      </c>
      <c r="B3192" s="3" t="s">
        <v>273</v>
      </c>
      <c r="C3192" s="8">
        <v>2021</v>
      </c>
      <c r="D3192" s="8">
        <v>11</v>
      </c>
      <c r="E3192" s="3" t="str">
        <f t="shared" si="98"/>
        <v>November</v>
      </c>
      <c r="F3192" s="3" t="s">
        <v>8</v>
      </c>
      <c r="G3192" s="8">
        <v>5.0764079789999998</v>
      </c>
      <c r="H3192" s="8">
        <v>5.5170000000000003</v>
      </c>
      <c r="I3192" s="8">
        <v>0.440592021</v>
      </c>
      <c r="J3192" s="8">
        <v>0.58851210899999995</v>
      </c>
      <c r="K3192" s="8">
        <v>-20.269776449999998</v>
      </c>
      <c r="L3192" s="8">
        <v>24.381609489999999</v>
      </c>
      <c r="M3192" s="9" t="str">
        <f>IF(A3192="",M3193,A3192)</f>
        <v>Nauru</v>
      </c>
      <c r="N3192" s="3" t="str">
        <f t="shared" si="99"/>
        <v>Nov-2021</v>
      </c>
    </row>
    <row r="3193" spans="1:14" x14ac:dyDescent="0.3">
      <c r="A3193" s="3" t="s">
        <v>272</v>
      </c>
      <c r="B3193" s="3" t="s">
        <v>273</v>
      </c>
      <c r="C3193" s="8">
        <v>2021</v>
      </c>
      <c r="D3193" s="8">
        <v>12</v>
      </c>
      <c r="E3193" s="3" t="str">
        <f t="shared" si="98"/>
        <v>December</v>
      </c>
      <c r="F3193" s="3" t="s">
        <v>8</v>
      </c>
      <c r="G3193" s="8">
        <v>5.0809575990000004</v>
      </c>
      <c r="H3193" s="8">
        <v>5.5629999999999997</v>
      </c>
      <c r="I3193" s="8">
        <v>0.48204240100000001</v>
      </c>
      <c r="J3193" s="8">
        <v>1.0705545110000001</v>
      </c>
      <c r="K3193" s="8">
        <v>-20.422993259999998</v>
      </c>
      <c r="L3193" s="8">
        <v>24.762824940000002</v>
      </c>
      <c r="M3193" s="9" t="str">
        <f>IF(A3193="",M3194,A3193)</f>
        <v>Nauru</v>
      </c>
      <c r="N3193" s="3" t="str">
        <f t="shared" si="99"/>
        <v>Dec-2021</v>
      </c>
    </row>
    <row r="3194" spans="1:14" x14ac:dyDescent="0.3">
      <c r="A3194" s="3" t="s">
        <v>274</v>
      </c>
      <c r="B3194" s="3" t="s">
        <v>275</v>
      </c>
      <c r="C3194" s="8">
        <v>2020</v>
      </c>
      <c r="D3194" s="8">
        <v>1</v>
      </c>
      <c r="E3194" s="3" t="str">
        <f t="shared" si="98"/>
        <v>January</v>
      </c>
      <c r="F3194" s="3" t="s">
        <v>13</v>
      </c>
      <c r="G3194" s="8">
        <v>2698.518278</v>
      </c>
      <c r="H3194" s="8">
        <v>2693</v>
      </c>
      <c r="I3194" s="8">
        <v>-5.5182784490000003</v>
      </c>
      <c r="J3194" s="8">
        <v>-5.5182784490000003</v>
      </c>
      <c r="K3194" s="8">
        <v>-74.820888629999999</v>
      </c>
      <c r="L3194" s="8">
        <v>61.029355410000001</v>
      </c>
      <c r="M3194" s="9" t="str">
        <f>IF(A3194="",M3195,A3194)</f>
        <v>New Zealand</v>
      </c>
      <c r="N3194" s="3" t="str">
        <f t="shared" si="99"/>
        <v>Jan-2020</v>
      </c>
    </row>
    <row r="3195" spans="1:14" x14ac:dyDescent="0.3">
      <c r="A3195" s="3" t="s">
        <v>274</v>
      </c>
      <c r="B3195" s="3" t="s">
        <v>275</v>
      </c>
      <c r="C3195" s="8">
        <v>2020</v>
      </c>
      <c r="D3195" s="8">
        <v>2</v>
      </c>
      <c r="E3195" s="3" t="str">
        <f t="shared" si="98"/>
        <v>February</v>
      </c>
      <c r="F3195" s="3" t="s">
        <v>13</v>
      </c>
      <c r="G3195" s="8">
        <v>2469.4569270000002</v>
      </c>
      <c r="H3195" s="8">
        <v>2514</v>
      </c>
      <c r="I3195" s="8">
        <v>44.543072799999997</v>
      </c>
      <c r="J3195" s="8">
        <v>39.024794350000001</v>
      </c>
      <c r="K3195" s="8">
        <v>-71.563856329999993</v>
      </c>
      <c r="L3195" s="8">
        <v>137.9613402</v>
      </c>
      <c r="M3195" s="9" t="str">
        <f>IF(A3195="",M3196,A3195)</f>
        <v>New Zealand</v>
      </c>
      <c r="N3195" s="3" t="str">
        <f t="shared" si="99"/>
        <v>Feb-2020</v>
      </c>
    </row>
    <row r="3196" spans="1:14" x14ac:dyDescent="0.3">
      <c r="A3196" s="3" t="s">
        <v>274</v>
      </c>
      <c r="B3196" s="3" t="s">
        <v>275</v>
      </c>
      <c r="C3196" s="8">
        <v>2020</v>
      </c>
      <c r="D3196" s="8">
        <v>3</v>
      </c>
      <c r="E3196" s="3" t="str">
        <f t="shared" si="98"/>
        <v>March</v>
      </c>
      <c r="F3196" s="3" t="s">
        <v>13</v>
      </c>
      <c r="G3196" s="8">
        <v>2708.1796589999999</v>
      </c>
      <c r="H3196" s="8">
        <v>2708</v>
      </c>
      <c r="I3196" s="8">
        <v>-0.179658702</v>
      </c>
      <c r="J3196" s="8">
        <v>38.845135650000003</v>
      </c>
      <c r="K3196" s="8">
        <v>-100.1212969</v>
      </c>
      <c r="L3196" s="8">
        <v>177.47710520000001</v>
      </c>
      <c r="M3196" s="9" t="str">
        <f>IF(A3196="",M3197,A3196)</f>
        <v>New Zealand</v>
      </c>
      <c r="N3196" s="3" t="str">
        <f t="shared" si="99"/>
        <v>Mar-2020</v>
      </c>
    </row>
    <row r="3197" spans="1:14" x14ac:dyDescent="0.3">
      <c r="A3197" s="3" t="s">
        <v>274</v>
      </c>
      <c r="B3197" s="3" t="s">
        <v>275</v>
      </c>
      <c r="C3197" s="8">
        <v>2020</v>
      </c>
      <c r="D3197" s="8">
        <v>4</v>
      </c>
      <c r="E3197" s="3" t="str">
        <f t="shared" si="98"/>
        <v>April</v>
      </c>
      <c r="F3197" s="3" t="s">
        <v>13</v>
      </c>
      <c r="G3197" s="8">
        <v>2753.1815059999999</v>
      </c>
      <c r="H3197" s="8">
        <v>2716</v>
      </c>
      <c r="I3197" s="8">
        <v>-37.18150644</v>
      </c>
      <c r="J3197" s="8">
        <v>1.6636292050000001</v>
      </c>
      <c r="K3197" s="8">
        <v>-163.35197890000001</v>
      </c>
      <c r="L3197" s="8">
        <v>171.2444792</v>
      </c>
      <c r="M3197" s="9" t="str">
        <f>IF(A3197="",M3198,A3197)</f>
        <v>New Zealand</v>
      </c>
      <c r="N3197" s="3" t="str">
        <f t="shared" si="99"/>
        <v>Apr-2020</v>
      </c>
    </row>
    <row r="3198" spans="1:14" x14ac:dyDescent="0.3">
      <c r="A3198" s="3" t="s">
        <v>274</v>
      </c>
      <c r="B3198" s="3" t="s">
        <v>275</v>
      </c>
      <c r="C3198" s="8">
        <v>2020</v>
      </c>
      <c r="D3198" s="8">
        <v>5</v>
      </c>
      <c r="E3198" s="3" t="str">
        <f t="shared" si="98"/>
        <v>May</v>
      </c>
      <c r="F3198" s="3" t="s">
        <v>13</v>
      </c>
      <c r="G3198" s="8">
        <v>2941.0839259999998</v>
      </c>
      <c r="H3198" s="8">
        <v>2697</v>
      </c>
      <c r="I3198" s="8">
        <v>-244.08392599999999</v>
      </c>
      <c r="J3198" s="8">
        <v>-242.42029669999999</v>
      </c>
      <c r="K3198" s="8">
        <v>-414.38847900000002</v>
      </c>
      <c r="L3198" s="8">
        <v>-53.275147820000001</v>
      </c>
      <c r="M3198" s="9" t="str">
        <f>IF(A3198="",M3199,A3198)</f>
        <v>New Zealand</v>
      </c>
      <c r="N3198" s="3" t="str">
        <f t="shared" si="99"/>
        <v>May-2020</v>
      </c>
    </row>
    <row r="3199" spans="1:14" x14ac:dyDescent="0.3">
      <c r="A3199" s="3" t="s">
        <v>274</v>
      </c>
      <c r="B3199" s="3" t="s">
        <v>275</v>
      </c>
      <c r="C3199" s="8">
        <v>2020</v>
      </c>
      <c r="D3199" s="8">
        <v>6</v>
      </c>
      <c r="E3199" s="3" t="str">
        <f t="shared" si="98"/>
        <v>June</v>
      </c>
      <c r="F3199" s="3" t="s">
        <v>13</v>
      </c>
      <c r="G3199" s="8">
        <v>3074.347053</v>
      </c>
      <c r="H3199" s="8">
        <v>2706</v>
      </c>
      <c r="I3199" s="8">
        <v>-368.34705289999999</v>
      </c>
      <c r="J3199" s="8">
        <v>-610.76734969999995</v>
      </c>
      <c r="K3199" s="8">
        <v>-822.7531553</v>
      </c>
      <c r="L3199" s="8">
        <v>-391.71039430000002</v>
      </c>
      <c r="M3199" s="9" t="str">
        <f>IF(A3199="",M3200,A3199)</f>
        <v>New Zealand</v>
      </c>
      <c r="N3199" s="3" t="str">
        <f t="shared" si="99"/>
        <v>Jun-2020</v>
      </c>
    </row>
    <row r="3200" spans="1:14" x14ac:dyDescent="0.3">
      <c r="A3200" s="3" t="s">
        <v>274</v>
      </c>
      <c r="B3200" s="3" t="s">
        <v>275</v>
      </c>
      <c r="C3200" s="8">
        <v>2020</v>
      </c>
      <c r="D3200" s="8">
        <v>7</v>
      </c>
      <c r="E3200" s="3" t="str">
        <f t="shared" si="98"/>
        <v>July</v>
      </c>
      <c r="F3200" s="3" t="s">
        <v>13</v>
      </c>
      <c r="G3200" s="8">
        <v>3329.4247300000002</v>
      </c>
      <c r="H3200" s="8">
        <v>2917</v>
      </c>
      <c r="I3200" s="8">
        <v>-412.42473030000002</v>
      </c>
      <c r="J3200" s="8">
        <v>-1023.19208</v>
      </c>
      <c r="K3200" s="8">
        <v>-1264.871101</v>
      </c>
      <c r="L3200" s="8">
        <v>-790.73387349999996</v>
      </c>
      <c r="M3200" s="9" t="str">
        <f>IF(A3200="",M3201,A3200)</f>
        <v>New Zealand</v>
      </c>
      <c r="N3200" s="3" t="str">
        <f t="shared" si="99"/>
        <v>Jul-2020</v>
      </c>
    </row>
    <row r="3201" spans="1:14" x14ac:dyDescent="0.3">
      <c r="A3201" s="3" t="s">
        <v>274</v>
      </c>
      <c r="B3201" s="3" t="s">
        <v>275</v>
      </c>
      <c r="C3201" s="8">
        <v>2020</v>
      </c>
      <c r="D3201" s="8">
        <v>8</v>
      </c>
      <c r="E3201" s="3" t="str">
        <f t="shared" si="98"/>
        <v>August</v>
      </c>
      <c r="F3201" s="3" t="s">
        <v>13</v>
      </c>
      <c r="G3201" s="8">
        <v>3340.366485</v>
      </c>
      <c r="H3201" s="8">
        <v>2817</v>
      </c>
      <c r="I3201" s="8">
        <v>-523.36648509999998</v>
      </c>
      <c r="J3201" s="8">
        <v>-1546.558565</v>
      </c>
      <c r="K3201" s="8">
        <v>-1809.4537600000001</v>
      </c>
      <c r="L3201" s="8">
        <v>-1278.855505</v>
      </c>
      <c r="M3201" s="9" t="str">
        <f>IF(A3201="",M3202,A3201)</f>
        <v>New Zealand</v>
      </c>
      <c r="N3201" s="3" t="str">
        <f t="shared" si="99"/>
        <v>Aug-2020</v>
      </c>
    </row>
    <row r="3202" spans="1:14" x14ac:dyDescent="0.3">
      <c r="A3202" s="3" t="s">
        <v>274</v>
      </c>
      <c r="B3202" s="3" t="s">
        <v>275</v>
      </c>
      <c r="C3202" s="8">
        <v>2020</v>
      </c>
      <c r="D3202" s="8">
        <v>9</v>
      </c>
      <c r="E3202" s="3" t="str">
        <f t="shared" ref="E3202:E3265" si="100">TEXT(DATE(C3202,D3202,1),"MMMM")</f>
        <v>September</v>
      </c>
      <c r="F3202" s="3" t="s">
        <v>13</v>
      </c>
      <c r="G3202" s="8">
        <v>3061.1390200000001</v>
      </c>
      <c r="H3202" s="8">
        <v>2659</v>
      </c>
      <c r="I3202" s="8">
        <v>-402.13901959999998</v>
      </c>
      <c r="J3202" s="8">
        <v>-1948.6975849999999</v>
      </c>
      <c r="K3202" s="8">
        <v>-2232.5222359999998</v>
      </c>
      <c r="L3202" s="8">
        <v>-1656.75865</v>
      </c>
      <c r="M3202" s="9" t="str">
        <f>IF(A3202="",M3203,A3202)</f>
        <v>New Zealand</v>
      </c>
      <c r="N3202" s="3" t="str">
        <f t="shared" ref="N3202:N3265" si="101">TEXT(DATE(C3202,D3202,1),"MMM-YYYY")</f>
        <v>Sep-2020</v>
      </c>
    </row>
    <row r="3203" spans="1:14" x14ac:dyDescent="0.3">
      <c r="A3203" s="3" t="s">
        <v>274</v>
      </c>
      <c r="B3203" s="3" t="s">
        <v>275</v>
      </c>
      <c r="C3203" s="8">
        <v>2020</v>
      </c>
      <c r="D3203" s="8">
        <v>10</v>
      </c>
      <c r="E3203" s="3" t="str">
        <f t="shared" si="100"/>
        <v>October</v>
      </c>
      <c r="F3203" s="3" t="s">
        <v>13</v>
      </c>
      <c r="G3203" s="8">
        <v>2950.348931</v>
      </c>
      <c r="H3203" s="8">
        <v>2786</v>
      </c>
      <c r="I3203" s="8">
        <v>-164.34893059999999</v>
      </c>
      <c r="J3203" s="8">
        <v>-2113.046515</v>
      </c>
      <c r="K3203" s="8">
        <v>-2408.5702379999998</v>
      </c>
      <c r="L3203" s="8">
        <v>-1792.282461</v>
      </c>
      <c r="M3203" s="9" t="str">
        <f>IF(A3203="",M3204,A3203)</f>
        <v>New Zealand</v>
      </c>
      <c r="N3203" s="3" t="str">
        <f t="shared" si="101"/>
        <v>Oct-2020</v>
      </c>
    </row>
    <row r="3204" spans="1:14" x14ac:dyDescent="0.3">
      <c r="A3204" s="3" t="s">
        <v>274</v>
      </c>
      <c r="B3204" s="3" t="s">
        <v>275</v>
      </c>
      <c r="C3204" s="8">
        <v>2020</v>
      </c>
      <c r="D3204" s="8">
        <v>11</v>
      </c>
      <c r="E3204" s="3" t="str">
        <f t="shared" si="100"/>
        <v>November</v>
      </c>
      <c r="F3204" s="3" t="s">
        <v>13</v>
      </c>
      <c r="G3204" s="8">
        <v>2768.1816979999999</v>
      </c>
      <c r="H3204" s="8">
        <v>2654</v>
      </c>
      <c r="I3204" s="8">
        <v>-114.18169760000001</v>
      </c>
      <c r="J3204" s="8">
        <v>-2227.2282129999999</v>
      </c>
      <c r="K3204" s="8">
        <v>-2546.8552479999998</v>
      </c>
      <c r="L3204" s="8">
        <v>-1888.13573</v>
      </c>
      <c r="M3204" s="9" t="str">
        <f>IF(A3204="",M3205,A3204)</f>
        <v>New Zealand</v>
      </c>
      <c r="N3204" s="3" t="str">
        <f t="shared" si="101"/>
        <v>Nov-2020</v>
      </c>
    </row>
    <row r="3205" spans="1:14" x14ac:dyDescent="0.3">
      <c r="A3205" s="3" t="s">
        <v>274</v>
      </c>
      <c r="B3205" s="3" t="s">
        <v>275</v>
      </c>
      <c r="C3205" s="8">
        <v>2020</v>
      </c>
      <c r="D3205" s="8">
        <v>12</v>
      </c>
      <c r="E3205" s="3" t="str">
        <f t="shared" si="100"/>
        <v>December</v>
      </c>
      <c r="F3205" s="3" t="s">
        <v>13</v>
      </c>
      <c r="G3205" s="8">
        <v>2750.4357879999998</v>
      </c>
      <c r="H3205" s="8">
        <v>2871</v>
      </c>
      <c r="I3205" s="8">
        <v>120.5642124</v>
      </c>
      <c r="J3205" s="8">
        <v>-2106.6640000000002</v>
      </c>
      <c r="K3205" s="8">
        <v>-2437.3580820000002</v>
      </c>
      <c r="L3205" s="8">
        <v>-1753.671192</v>
      </c>
      <c r="M3205" s="9" t="str">
        <f>IF(A3205="",M3206,A3205)</f>
        <v>New Zealand</v>
      </c>
      <c r="N3205" s="3" t="str">
        <f t="shared" si="101"/>
        <v>Dec-2020</v>
      </c>
    </row>
    <row r="3206" spans="1:14" x14ac:dyDescent="0.3">
      <c r="A3206" s="3" t="s">
        <v>274</v>
      </c>
      <c r="B3206" s="3" t="s">
        <v>275</v>
      </c>
      <c r="C3206" s="8">
        <v>2021</v>
      </c>
      <c r="D3206" s="8">
        <v>1</v>
      </c>
      <c r="E3206" s="3" t="str">
        <f t="shared" si="100"/>
        <v>January</v>
      </c>
      <c r="F3206" s="3" t="s">
        <v>13</v>
      </c>
      <c r="G3206" s="8">
        <v>2754.3322309999999</v>
      </c>
      <c r="H3206" s="8">
        <v>2851</v>
      </c>
      <c r="I3206" s="8">
        <v>96.584435850000006</v>
      </c>
      <c r="J3206" s="8">
        <v>-2010.079565</v>
      </c>
      <c r="K3206" s="8">
        <v>-2348.543948</v>
      </c>
      <c r="L3206" s="8">
        <v>-1656.302882</v>
      </c>
      <c r="M3206" s="9" t="str">
        <f>IF(A3206="",M3207,A3206)</f>
        <v>New Zealand</v>
      </c>
      <c r="N3206" s="3" t="str">
        <f t="shared" si="101"/>
        <v>Jan-2021</v>
      </c>
    </row>
    <row r="3207" spans="1:14" x14ac:dyDescent="0.3">
      <c r="A3207" s="3" t="s">
        <v>274</v>
      </c>
      <c r="B3207" s="3" t="s">
        <v>275</v>
      </c>
      <c r="C3207" s="8">
        <v>2021</v>
      </c>
      <c r="D3207" s="8">
        <v>2</v>
      </c>
      <c r="E3207" s="3" t="str">
        <f t="shared" si="100"/>
        <v>February</v>
      </c>
      <c r="F3207" s="3" t="s">
        <v>13</v>
      </c>
      <c r="G3207" s="8">
        <v>2521.5079430000001</v>
      </c>
      <c r="H3207" s="8">
        <v>2483</v>
      </c>
      <c r="I3207" s="8">
        <v>-38.591276450000002</v>
      </c>
      <c r="J3207" s="8">
        <v>-2048.6708410000001</v>
      </c>
      <c r="K3207" s="8">
        <v>-2390.0391220000001</v>
      </c>
      <c r="L3207" s="8">
        <v>-1692.0500520000001</v>
      </c>
      <c r="M3207" s="9" t="str">
        <f>IF(A3207="",M3208,A3207)</f>
        <v>New Zealand</v>
      </c>
      <c r="N3207" s="3" t="str">
        <f t="shared" si="101"/>
        <v>Feb-2021</v>
      </c>
    </row>
    <row r="3208" spans="1:14" x14ac:dyDescent="0.3">
      <c r="A3208" s="3" t="s">
        <v>274</v>
      </c>
      <c r="B3208" s="3" t="s">
        <v>275</v>
      </c>
      <c r="C3208" s="8">
        <v>2021</v>
      </c>
      <c r="D3208" s="8">
        <v>3</v>
      </c>
      <c r="E3208" s="3" t="str">
        <f t="shared" si="100"/>
        <v>March</v>
      </c>
      <c r="F3208" s="3" t="s">
        <v>13</v>
      </c>
      <c r="G3208" s="8">
        <v>2761.594912</v>
      </c>
      <c r="H3208" s="8">
        <v>2817</v>
      </c>
      <c r="I3208" s="8">
        <v>55.321754349999999</v>
      </c>
      <c r="J3208" s="8">
        <v>-1993.3490870000001</v>
      </c>
      <c r="K3208" s="8">
        <v>-2373.637835</v>
      </c>
      <c r="L3208" s="8">
        <v>-1621.1975190000001</v>
      </c>
      <c r="M3208" s="9" t="str">
        <f>IF(A3208="",M3209,A3208)</f>
        <v>New Zealand</v>
      </c>
      <c r="N3208" s="3" t="str">
        <f t="shared" si="101"/>
        <v>Mar-2021</v>
      </c>
    </row>
    <row r="3209" spans="1:14" x14ac:dyDescent="0.3">
      <c r="A3209" s="3" t="s">
        <v>274</v>
      </c>
      <c r="B3209" s="3" t="s">
        <v>275</v>
      </c>
      <c r="C3209" s="8">
        <v>2021</v>
      </c>
      <c r="D3209" s="8">
        <v>4</v>
      </c>
      <c r="E3209" s="3" t="str">
        <f t="shared" si="100"/>
        <v>April</v>
      </c>
      <c r="F3209" s="3" t="s">
        <v>13</v>
      </c>
      <c r="G3209" s="8">
        <v>2813.1043420000001</v>
      </c>
      <c r="H3209" s="8">
        <v>2778</v>
      </c>
      <c r="I3209" s="8">
        <v>-35.187675339999998</v>
      </c>
      <c r="J3209" s="8">
        <v>-2028.536762</v>
      </c>
      <c r="K3209" s="8">
        <v>-2403.517546</v>
      </c>
      <c r="L3209" s="8">
        <v>-1634.890097</v>
      </c>
      <c r="M3209" s="9" t="str">
        <f>IF(A3209="",M3210,A3209)</f>
        <v>New Zealand</v>
      </c>
      <c r="N3209" s="3" t="str">
        <f t="shared" si="101"/>
        <v>Apr-2021</v>
      </c>
    </row>
    <row r="3210" spans="1:14" x14ac:dyDescent="0.3">
      <c r="A3210" s="3" t="s">
        <v>274</v>
      </c>
      <c r="B3210" s="3" t="s">
        <v>275</v>
      </c>
      <c r="C3210" s="8">
        <v>2021</v>
      </c>
      <c r="D3210" s="8">
        <v>5</v>
      </c>
      <c r="E3210" s="3" t="str">
        <f t="shared" si="100"/>
        <v>May</v>
      </c>
      <c r="F3210" s="3" t="s">
        <v>13</v>
      </c>
      <c r="G3210" s="8">
        <v>2997.7275690000001</v>
      </c>
      <c r="H3210" s="8">
        <v>2926</v>
      </c>
      <c r="I3210" s="8">
        <v>-71.81090202</v>
      </c>
      <c r="J3210" s="8">
        <v>-2100.3476639999999</v>
      </c>
      <c r="K3210" s="8">
        <v>-2494.9209729999998</v>
      </c>
      <c r="L3210" s="8">
        <v>-1675.978292</v>
      </c>
      <c r="M3210" s="9" t="str">
        <f>IF(A3210="",M3211,A3210)</f>
        <v>New Zealand</v>
      </c>
      <c r="N3210" s="3" t="str">
        <f t="shared" si="101"/>
        <v>May-2021</v>
      </c>
    </row>
    <row r="3211" spans="1:14" x14ac:dyDescent="0.3">
      <c r="A3211" s="3" t="s">
        <v>274</v>
      </c>
      <c r="B3211" s="3" t="s">
        <v>275</v>
      </c>
      <c r="C3211" s="8">
        <v>2021</v>
      </c>
      <c r="D3211" s="8">
        <v>6</v>
      </c>
      <c r="E3211" s="3" t="str">
        <f t="shared" si="100"/>
        <v>June</v>
      </c>
      <c r="F3211" s="3" t="s">
        <v>13</v>
      </c>
      <c r="G3211" s="8">
        <v>3139.108831</v>
      </c>
      <c r="H3211" s="8">
        <v>2955</v>
      </c>
      <c r="I3211" s="8">
        <v>-184.1921639</v>
      </c>
      <c r="J3211" s="8">
        <v>-2284.5398279999999</v>
      </c>
      <c r="K3211" s="8">
        <v>-2719.707844</v>
      </c>
      <c r="L3211" s="8">
        <v>-1843.963751</v>
      </c>
      <c r="M3211" s="9" t="str">
        <f>IF(A3211="",M3212,A3211)</f>
        <v>New Zealand</v>
      </c>
      <c r="N3211" s="3" t="str">
        <f t="shared" si="101"/>
        <v>Jun-2021</v>
      </c>
    </row>
    <row r="3212" spans="1:14" x14ac:dyDescent="0.3">
      <c r="A3212" s="3" t="s">
        <v>274</v>
      </c>
      <c r="B3212" s="3" t="s">
        <v>275</v>
      </c>
      <c r="C3212" s="8">
        <v>2021</v>
      </c>
      <c r="D3212" s="8">
        <v>7</v>
      </c>
      <c r="E3212" s="3" t="str">
        <f t="shared" si="100"/>
        <v>July</v>
      </c>
      <c r="F3212" s="3" t="s">
        <v>13</v>
      </c>
      <c r="G3212" s="8">
        <v>3403.292379</v>
      </c>
      <c r="H3212" s="8">
        <v>3285</v>
      </c>
      <c r="I3212" s="8">
        <v>-118.3757126</v>
      </c>
      <c r="J3212" s="8">
        <v>-2402.9155409999998</v>
      </c>
      <c r="K3212" s="8">
        <v>-2860.3351429999998</v>
      </c>
      <c r="L3212" s="8">
        <v>-1960.0412550000001</v>
      </c>
      <c r="M3212" s="9" t="str">
        <f>IF(A3212="",M3213,A3212)</f>
        <v>New Zealand</v>
      </c>
      <c r="N3212" s="3" t="str">
        <f t="shared" si="101"/>
        <v>Jul-2021</v>
      </c>
    </row>
    <row r="3213" spans="1:14" x14ac:dyDescent="0.3">
      <c r="A3213" s="3" t="s">
        <v>274</v>
      </c>
      <c r="B3213" s="3" t="s">
        <v>275</v>
      </c>
      <c r="C3213" s="8">
        <v>2021</v>
      </c>
      <c r="D3213" s="8">
        <v>8</v>
      </c>
      <c r="E3213" s="3" t="str">
        <f t="shared" si="100"/>
        <v>August</v>
      </c>
      <c r="F3213" s="3" t="s">
        <v>13</v>
      </c>
      <c r="G3213" s="8">
        <v>3409.382646</v>
      </c>
      <c r="H3213" s="8">
        <v>3361</v>
      </c>
      <c r="I3213" s="8">
        <v>-48.465979679999997</v>
      </c>
      <c r="J3213" s="8">
        <v>-2451.3815199999999</v>
      </c>
      <c r="K3213" s="8">
        <v>-2920.7350590000001</v>
      </c>
      <c r="L3213" s="8">
        <v>-1997.704821</v>
      </c>
      <c r="M3213" s="9" t="str">
        <f>IF(A3213="",M3214,A3213)</f>
        <v>New Zealand</v>
      </c>
      <c r="N3213" s="3" t="str">
        <f t="shared" si="101"/>
        <v>Aug-2021</v>
      </c>
    </row>
    <row r="3214" spans="1:14" x14ac:dyDescent="0.3">
      <c r="A3214" s="3" t="s">
        <v>274</v>
      </c>
      <c r="B3214" s="3" t="s">
        <v>275</v>
      </c>
      <c r="C3214" s="8">
        <v>2021</v>
      </c>
      <c r="D3214" s="8">
        <v>9</v>
      </c>
      <c r="E3214" s="3" t="str">
        <f t="shared" si="100"/>
        <v>September</v>
      </c>
      <c r="F3214" s="3" t="s">
        <v>13</v>
      </c>
      <c r="G3214" s="8">
        <v>3121.3305270000001</v>
      </c>
      <c r="H3214" s="8">
        <v>2904</v>
      </c>
      <c r="I3214" s="8">
        <v>-217.41386030000001</v>
      </c>
      <c r="J3214" s="8">
        <v>-2668.79538</v>
      </c>
      <c r="K3214" s="8">
        <v>-3135.619432</v>
      </c>
      <c r="L3214" s="8">
        <v>-2203.4961239999998</v>
      </c>
      <c r="M3214" s="9" t="str">
        <f>IF(A3214="",M3215,A3214)</f>
        <v>New Zealand</v>
      </c>
      <c r="N3214" s="3" t="str">
        <f t="shared" si="101"/>
        <v>Sep-2021</v>
      </c>
    </row>
    <row r="3215" spans="1:14" x14ac:dyDescent="0.3">
      <c r="A3215" s="3" t="s">
        <v>274</v>
      </c>
      <c r="B3215" s="3" t="s">
        <v>275</v>
      </c>
      <c r="C3215" s="8">
        <v>2021</v>
      </c>
      <c r="D3215" s="8">
        <v>10</v>
      </c>
      <c r="E3215" s="3" t="str">
        <f t="shared" si="100"/>
        <v>October</v>
      </c>
      <c r="F3215" s="3" t="s">
        <v>13</v>
      </c>
      <c r="G3215" s="8">
        <v>3011.7434320000002</v>
      </c>
      <c r="H3215" s="8">
        <v>2886</v>
      </c>
      <c r="I3215" s="8">
        <v>-125.82676530000001</v>
      </c>
      <c r="J3215" s="8">
        <v>-2794.6221460000002</v>
      </c>
      <c r="K3215" s="8">
        <v>-3272.1419919999998</v>
      </c>
      <c r="L3215" s="8">
        <v>-2303.1681330000001</v>
      </c>
      <c r="M3215" s="9" t="str">
        <f>IF(A3215="",M3216,A3215)</f>
        <v>New Zealand</v>
      </c>
      <c r="N3215" s="3" t="str">
        <f t="shared" si="101"/>
        <v>Oct-2021</v>
      </c>
    </row>
    <row r="3216" spans="1:14" x14ac:dyDescent="0.3">
      <c r="A3216" s="3" t="s">
        <v>274</v>
      </c>
      <c r="B3216" s="3" t="s">
        <v>275</v>
      </c>
      <c r="C3216" s="8">
        <v>2021</v>
      </c>
      <c r="D3216" s="8">
        <v>11</v>
      </c>
      <c r="E3216" s="3" t="str">
        <f t="shared" si="100"/>
        <v>November</v>
      </c>
      <c r="F3216" s="3" t="s">
        <v>13</v>
      </c>
      <c r="G3216" s="8">
        <v>2831.9357970000001</v>
      </c>
      <c r="H3216" s="8">
        <v>2793</v>
      </c>
      <c r="I3216" s="8">
        <v>-39.019130529999998</v>
      </c>
      <c r="J3216" s="8">
        <v>-2833.6412759999998</v>
      </c>
      <c r="K3216" s="8">
        <v>-3318.7801370000002</v>
      </c>
      <c r="L3216" s="8">
        <v>-2319.4083420000002</v>
      </c>
      <c r="M3216" s="9" t="str">
        <f>IF(A3216="",M3217,A3216)</f>
        <v>New Zealand</v>
      </c>
      <c r="N3216" s="3" t="str">
        <f t="shared" si="101"/>
        <v>Nov-2021</v>
      </c>
    </row>
    <row r="3217" spans="1:14" x14ac:dyDescent="0.3">
      <c r="A3217" s="3" t="s">
        <v>274</v>
      </c>
      <c r="B3217" s="3" t="s">
        <v>275</v>
      </c>
      <c r="C3217" s="8">
        <v>2021</v>
      </c>
      <c r="D3217" s="8">
        <v>12</v>
      </c>
      <c r="E3217" s="3" t="str">
        <f t="shared" si="100"/>
        <v>December</v>
      </c>
      <c r="F3217" s="3" t="s">
        <v>13</v>
      </c>
      <c r="G3217" s="8">
        <v>2805.4534859999999</v>
      </c>
      <c r="H3217" s="8">
        <v>2869</v>
      </c>
      <c r="I3217" s="8">
        <v>63.463180940000001</v>
      </c>
      <c r="J3217" s="8">
        <v>-2770.1780950000002</v>
      </c>
      <c r="K3217" s="8">
        <v>-3249.3091420000001</v>
      </c>
      <c r="L3217" s="8">
        <v>-2248.4991249999998</v>
      </c>
      <c r="M3217" s="9" t="str">
        <f>IF(A3217="",M3218,A3217)</f>
        <v>New Zealand</v>
      </c>
      <c r="N3217" s="3" t="str">
        <f t="shared" si="101"/>
        <v>Dec-2021</v>
      </c>
    </row>
    <row r="3218" spans="1:14" x14ac:dyDescent="0.3">
      <c r="A3218" s="3" t="s">
        <v>276</v>
      </c>
      <c r="B3218" s="3" t="s">
        <v>277</v>
      </c>
      <c r="C3218" s="8">
        <v>2020</v>
      </c>
      <c r="D3218" s="8">
        <v>1</v>
      </c>
      <c r="E3218" s="3" t="str">
        <f t="shared" si="100"/>
        <v>January</v>
      </c>
      <c r="F3218" s="3" t="s">
        <v>13</v>
      </c>
      <c r="G3218" s="8">
        <v>1401.1835470000001</v>
      </c>
      <c r="H3218" s="8">
        <v>1523</v>
      </c>
      <c r="I3218" s="8">
        <v>121.3658423</v>
      </c>
      <c r="J3218" s="8">
        <v>121.3658423</v>
      </c>
      <c r="K3218" s="8">
        <v>43.069395610000001</v>
      </c>
      <c r="L3218" s="8">
        <v>191.63342879999999</v>
      </c>
      <c r="M3218" s="9" t="str">
        <f>IF(A3218="",M3219,A3218)</f>
        <v>Oman</v>
      </c>
      <c r="N3218" s="3" t="str">
        <f t="shared" si="101"/>
        <v>Jan-2020</v>
      </c>
    </row>
    <row r="3219" spans="1:14" x14ac:dyDescent="0.3">
      <c r="A3219" s="3" t="s">
        <v>276</v>
      </c>
      <c r="B3219" s="3" t="s">
        <v>277</v>
      </c>
      <c r="C3219" s="8">
        <v>2020</v>
      </c>
      <c r="D3219" s="8">
        <v>2</v>
      </c>
      <c r="E3219" s="3" t="str">
        <f t="shared" si="100"/>
        <v>February</v>
      </c>
      <c r="F3219" s="3" t="s">
        <v>13</v>
      </c>
      <c r="G3219" s="8">
        <v>1398.8540049999999</v>
      </c>
      <c r="H3219" s="8">
        <v>1332</v>
      </c>
      <c r="I3219" s="8">
        <v>-67.304616060000001</v>
      </c>
      <c r="J3219" s="8">
        <v>54.061226220000002</v>
      </c>
      <c r="K3219" s="8">
        <v>-60.781317309999999</v>
      </c>
      <c r="L3219" s="8">
        <v>164.79453219999999</v>
      </c>
      <c r="M3219" s="9" t="str">
        <f>IF(A3219="",M3220,A3219)</f>
        <v>Oman</v>
      </c>
      <c r="N3219" s="3" t="str">
        <f t="shared" si="101"/>
        <v>Feb-2020</v>
      </c>
    </row>
    <row r="3220" spans="1:14" x14ac:dyDescent="0.3">
      <c r="A3220" s="3" t="s">
        <v>276</v>
      </c>
      <c r="B3220" s="3" t="s">
        <v>277</v>
      </c>
      <c r="C3220" s="8">
        <v>2020</v>
      </c>
      <c r="D3220" s="8">
        <v>3</v>
      </c>
      <c r="E3220" s="3" t="str">
        <f t="shared" si="100"/>
        <v>March</v>
      </c>
      <c r="F3220" s="3" t="s">
        <v>13</v>
      </c>
      <c r="G3220" s="8">
        <v>1389.1501659999999</v>
      </c>
      <c r="H3220" s="8">
        <v>1245</v>
      </c>
      <c r="I3220" s="8">
        <v>-144.6007773</v>
      </c>
      <c r="J3220" s="8">
        <v>-90.539551029999998</v>
      </c>
      <c r="K3220" s="8">
        <v>-244.57932460000001</v>
      </c>
      <c r="L3220" s="8">
        <v>38.174920110000002</v>
      </c>
      <c r="M3220" s="9" t="str">
        <f>IF(A3220="",M3221,A3220)</f>
        <v>Oman</v>
      </c>
      <c r="N3220" s="3" t="str">
        <f t="shared" si="101"/>
        <v>Mar-2020</v>
      </c>
    </row>
    <row r="3221" spans="1:14" x14ac:dyDescent="0.3">
      <c r="A3221" s="3" t="s">
        <v>276</v>
      </c>
      <c r="B3221" s="3" t="s">
        <v>277</v>
      </c>
      <c r="C3221" s="8">
        <v>2020</v>
      </c>
      <c r="D3221" s="8">
        <v>4</v>
      </c>
      <c r="E3221" s="3" t="str">
        <f t="shared" si="100"/>
        <v>April</v>
      </c>
      <c r="F3221" s="3" t="s">
        <v>13</v>
      </c>
      <c r="G3221" s="8">
        <v>1373.541972</v>
      </c>
      <c r="H3221" s="8">
        <v>1205</v>
      </c>
      <c r="I3221" s="8">
        <v>-168.992583</v>
      </c>
      <c r="J3221" s="8">
        <v>-259.53213410000001</v>
      </c>
      <c r="K3221" s="8">
        <v>-428.969403</v>
      </c>
      <c r="L3221" s="8">
        <v>-102.6373363</v>
      </c>
      <c r="M3221" s="9" t="str">
        <f>IF(A3221="",M3222,A3221)</f>
        <v>Oman</v>
      </c>
      <c r="N3221" s="3" t="str">
        <f t="shared" si="101"/>
        <v>Apr-2020</v>
      </c>
    </row>
    <row r="3222" spans="1:14" x14ac:dyDescent="0.3">
      <c r="A3222" s="3" t="s">
        <v>276</v>
      </c>
      <c r="B3222" s="3" t="s">
        <v>277</v>
      </c>
      <c r="C3222" s="8">
        <v>2020</v>
      </c>
      <c r="D3222" s="8">
        <v>5</v>
      </c>
      <c r="E3222" s="3" t="str">
        <f t="shared" si="100"/>
        <v>May</v>
      </c>
      <c r="F3222" s="3" t="s">
        <v>13</v>
      </c>
      <c r="G3222" s="8">
        <v>1356.746114</v>
      </c>
      <c r="H3222" s="8">
        <v>1263</v>
      </c>
      <c r="I3222" s="8">
        <v>-94.19672473</v>
      </c>
      <c r="J3222" s="8">
        <v>-353.72885880000001</v>
      </c>
      <c r="K3222" s="8">
        <v>-541.24638389999996</v>
      </c>
      <c r="L3222" s="8">
        <v>-179.8976662</v>
      </c>
      <c r="M3222" s="9" t="str">
        <f>IF(A3222="",M3223,A3222)</f>
        <v>Oman</v>
      </c>
      <c r="N3222" s="3" t="str">
        <f t="shared" si="101"/>
        <v>May-2020</v>
      </c>
    </row>
    <row r="3223" spans="1:14" x14ac:dyDescent="0.3">
      <c r="A3223" s="3" t="s">
        <v>276</v>
      </c>
      <c r="B3223" s="3" t="s">
        <v>277</v>
      </c>
      <c r="C3223" s="8">
        <v>2020</v>
      </c>
      <c r="D3223" s="8">
        <v>6</v>
      </c>
      <c r="E3223" s="3" t="str">
        <f t="shared" si="100"/>
        <v>June</v>
      </c>
      <c r="F3223" s="3" t="s">
        <v>13</v>
      </c>
      <c r="G3223" s="8">
        <v>1350.7284440000001</v>
      </c>
      <c r="H3223" s="8">
        <v>1559</v>
      </c>
      <c r="I3223" s="8">
        <v>207.82094530000001</v>
      </c>
      <c r="J3223" s="8">
        <v>-145.90791350000001</v>
      </c>
      <c r="K3223" s="8">
        <v>-362.60075890000002</v>
      </c>
      <c r="L3223" s="8">
        <v>50.02816318</v>
      </c>
      <c r="M3223" s="9" t="str">
        <f>IF(A3223="",M3224,A3223)</f>
        <v>Oman</v>
      </c>
      <c r="N3223" s="3" t="str">
        <f t="shared" si="101"/>
        <v>Jun-2020</v>
      </c>
    </row>
    <row r="3224" spans="1:14" x14ac:dyDescent="0.3">
      <c r="A3224" s="3" t="s">
        <v>276</v>
      </c>
      <c r="B3224" s="3" t="s">
        <v>277</v>
      </c>
      <c r="C3224" s="8">
        <v>2020</v>
      </c>
      <c r="D3224" s="8">
        <v>7</v>
      </c>
      <c r="E3224" s="3" t="str">
        <f t="shared" si="100"/>
        <v>July</v>
      </c>
      <c r="F3224" s="3" t="s">
        <v>13</v>
      </c>
      <c r="G3224" s="8">
        <v>1348.457656</v>
      </c>
      <c r="H3224" s="8">
        <v>1910</v>
      </c>
      <c r="I3224" s="8">
        <v>561.09173269999997</v>
      </c>
      <c r="J3224" s="8">
        <v>415.18381920000002</v>
      </c>
      <c r="K3224" s="8">
        <v>182.67995759999999</v>
      </c>
      <c r="L3224" s="8">
        <v>633.99969629999998</v>
      </c>
      <c r="M3224" s="9" t="str">
        <f>IF(A3224="",M3225,A3224)</f>
        <v>Oman</v>
      </c>
      <c r="N3224" s="3" t="str">
        <f t="shared" si="101"/>
        <v>Jul-2020</v>
      </c>
    </row>
    <row r="3225" spans="1:14" x14ac:dyDescent="0.3">
      <c r="A3225" s="3" t="s">
        <v>276</v>
      </c>
      <c r="B3225" s="3" t="s">
        <v>277</v>
      </c>
      <c r="C3225" s="8">
        <v>2020</v>
      </c>
      <c r="D3225" s="8">
        <v>8</v>
      </c>
      <c r="E3225" s="3" t="str">
        <f t="shared" si="100"/>
        <v>August</v>
      </c>
      <c r="F3225" s="3" t="s">
        <v>13</v>
      </c>
      <c r="G3225" s="8">
        <v>1355.0903519999999</v>
      </c>
      <c r="H3225" s="8">
        <v>1840</v>
      </c>
      <c r="I3225" s="8">
        <v>484.45903650000002</v>
      </c>
      <c r="J3225" s="8">
        <v>899.64285570000004</v>
      </c>
      <c r="K3225" s="8">
        <v>648.98950760000002</v>
      </c>
      <c r="L3225" s="8">
        <v>1138.0005080000001</v>
      </c>
      <c r="M3225" s="9" t="str">
        <f>IF(A3225="",M3226,A3225)</f>
        <v>Oman</v>
      </c>
      <c r="N3225" s="3" t="str">
        <f t="shared" si="101"/>
        <v>Aug-2020</v>
      </c>
    </row>
    <row r="3226" spans="1:14" x14ac:dyDescent="0.3">
      <c r="A3226" s="3" t="s">
        <v>276</v>
      </c>
      <c r="B3226" s="3" t="s">
        <v>277</v>
      </c>
      <c r="C3226" s="8">
        <v>2020</v>
      </c>
      <c r="D3226" s="8">
        <v>9</v>
      </c>
      <c r="E3226" s="3" t="str">
        <f t="shared" si="100"/>
        <v>September</v>
      </c>
      <c r="F3226" s="3" t="s">
        <v>13</v>
      </c>
      <c r="G3226" s="8">
        <v>1363.606256</v>
      </c>
      <c r="H3226" s="8">
        <v>1950</v>
      </c>
      <c r="I3226" s="8">
        <v>585.94313269999998</v>
      </c>
      <c r="J3226" s="8">
        <v>1485.585988</v>
      </c>
      <c r="K3226" s="8">
        <v>1230.867489</v>
      </c>
      <c r="L3226" s="8">
        <v>1726.3721439999999</v>
      </c>
      <c r="M3226" s="9" t="str">
        <f>IF(A3226="",M3227,A3226)</f>
        <v>Oman</v>
      </c>
      <c r="N3226" s="3" t="str">
        <f t="shared" si="101"/>
        <v>Sep-2020</v>
      </c>
    </row>
    <row r="3227" spans="1:14" x14ac:dyDescent="0.3">
      <c r="A3227" s="3" t="s">
        <v>276</v>
      </c>
      <c r="B3227" s="3" t="s">
        <v>277</v>
      </c>
      <c r="C3227" s="8">
        <v>2020</v>
      </c>
      <c r="D3227" s="8">
        <v>10</v>
      </c>
      <c r="E3227" s="3" t="str">
        <f t="shared" si="100"/>
        <v>October</v>
      </c>
      <c r="F3227" s="3" t="s">
        <v>13</v>
      </c>
      <c r="G3227" s="8">
        <v>1378.9854519999999</v>
      </c>
      <c r="H3227" s="8">
        <v>2025</v>
      </c>
      <c r="I3227" s="8">
        <v>645.56393720000005</v>
      </c>
      <c r="J3227" s="8">
        <v>2131.1499260000001</v>
      </c>
      <c r="K3227" s="8">
        <v>1872.2958960000001</v>
      </c>
      <c r="L3227" s="8">
        <v>2380.9906780000001</v>
      </c>
      <c r="M3227" s="9" t="str">
        <f>IF(A3227="",M3228,A3227)</f>
        <v>Oman</v>
      </c>
      <c r="N3227" s="3" t="str">
        <f t="shared" si="101"/>
        <v>Oct-2020</v>
      </c>
    </row>
    <row r="3228" spans="1:14" x14ac:dyDescent="0.3">
      <c r="A3228" s="3" t="s">
        <v>276</v>
      </c>
      <c r="B3228" s="3" t="s">
        <v>277</v>
      </c>
      <c r="C3228" s="8">
        <v>2020</v>
      </c>
      <c r="D3228" s="8">
        <v>11</v>
      </c>
      <c r="E3228" s="3" t="str">
        <f t="shared" si="100"/>
        <v>November</v>
      </c>
      <c r="F3228" s="3" t="s">
        <v>13</v>
      </c>
      <c r="G3228" s="8">
        <v>1402.9080530000001</v>
      </c>
      <c r="H3228" s="8">
        <v>1652</v>
      </c>
      <c r="I3228" s="8">
        <v>248.64133609999999</v>
      </c>
      <c r="J3228" s="8">
        <v>2379.7912620000002</v>
      </c>
      <c r="K3228" s="8">
        <v>2105.298119</v>
      </c>
      <c r="L3228" s="8">
        <v>2661.094431</v>
      </c>
      <c r="M3228" s="9" t="str">
        <f>IF(A3228="",M3229,A3228)</f>
        <v>Oman</v>
      </c>
      <c r="N3228" s="3" t="str">
        <f t="shared" si="101"/>
        <v>Nov-2020</v>
      </c>
    </row>
    <row r="3229" spans="1:14" x14ac:dyDescent="0.3">
      <c r="A3229" s="3" t="s">
        <v>276</v>
      </c>
      <c r="B3229" s="3" t="s">
        <v>277</v>
      </c>
      <c r="C3229" s="8">
        <v>2020</v>
      </c>
      <c r="D3229" s="8">
        <v>12</v>
      </c>
      <c r="E3229" s="3" t="str">
        <f t="shared" si="100"/>
        <v>December</v>
      </c>
      <c r="F3229" s="3" t="s">
        <v>13</v>
      </c>
      <c r="G3229" s="8">
        <v>1421.875536</v>
      </c>
      <c r="H3229" s="8">
        <v>1577</v>
      </c>
      <c r="I3229" s="8">
        <v>154.67385239999999</v>
      </c>
      <c r="J3229" s="8">
        <v>2534.4651140000001</v>
      </c>
      <c r="K3229" s="8">
        <v>2259.0912149999999</v>
      </c>
      <c r="L3229" s="8">
        <v>2826.2558469999999</v>
      </c>
      <c r="M3229" s="9" t="str">
        <f>IF(A3229="",M3230,A3229)</f>
        <v>Oman</v>
      </c>
      <c r="N3229" s="3" t="str">
        <f t="shared" si="101"/>
        <v>Dec-2020</v>
      </c>
    </row>
    <row r="3230" spans="1:14" x14ac:dyDescent="0.3">
      <c r="A3230" s="3" t="s">
        <v>276</v>
      </c>
      <c r="B3230" s="3" t="s">
        <v>277</v>
      </c>
      <c r="C3230" s="8">
        <v>2021</v>
      </c>
      <c r="D3230" s="8">
        <v>1</v>
      </c>
      <c r="E3230" s="3" t="str">
        <f t="shared" si="100"/>
        <v>January</v>
      </c>
      <c r="F3230" s="3" t="s">
        <v>13</v>
      </c>
      <c r="G3230" s="8">
        <v>1423.401969</v>
      </c>
      <c r="H3230" s="8">
        <v>1575</v>
      </c>
      <c r="I3230" s="8">
        <v>149.34497479999999</v>
      </c>
      <c r="J3230" s="8">
        <v>2683.8100890000001</v>
      </c>
      <c r="K3230" s="8">
        <v>2382.9662189999999</v>
      </c>
      <c r="L3230" s="8">
        <v>2997.5370579999999</v>
      </c>
      <c r="M3230" s="9" t="str">
        <f>IF(A3230="",M3231,A3230)</f>
        <v>Oman</v>
      </c>
      <c r="N3230" s="3" t="str">
        <f t="shared" si="101"/>
        <v>Jan-2021</v>
      </c>
    </row>
    <row r="3231" spans="1:14" x14ac:dyDescent="0.3">
      <c r="A3231" s="3" t="s">
        <v>276</v>
      </c>
      <c r="B3231" s="3" t="s">
        <v>277</v>
      </c>
      <c r="C3231" s="8">
        <v>2021</v>
      </c>
      <c r="D3231" s="8">
        <v>2</v>
      </c>
      <c r="E3231" s="3" t="str">
        <f t="shared" si="100"/>
        <v>February</v>
      </c>
      <c r="F3231" s="3" t="s">
        <v>13</v>
      </c>
      <c r="G3231" s="8">
        <v>1420.252045</v>
      </c>
      <c r="H3231" s="8">
        <v>1432</v>
      </c>
      <c r="I3231" s="8">
        <v>9.4948993169999998</v>
      </c>
      <c r="J3231" s="8">
        <v>2693.3049879999999</v>
      </c>
      <c r="K3231" s="8">
        <v>2373.118692</v>
      </c>
      <c r="L3231" s="8">
        <v>3028.5621839999999</v>
      </c>
      <c r="M3231" s="9" t="str">
        <f>IF(A3231="",M3232,A3231)</f>
        <v>Oman</v>
      </c>
      <c r="N3231" s="3" t="str">
        <f t="shared" si="101"/>
        <v>Feb-2021</v>
      </c>
    </row>
    <row r="3232" spans="1:14" x14ac:dyDescent="0.3">
      <c r="A3232" s="3" t="s">
        <v>276</v>
      </c>
      <c r="B3232" s="3" t="s">
        <v>277</v>
      </c>
      <c r="C3232" s="8">
        <v>2021</v>
      </c>
      <c r="D3232" s="8">
        <v>3</v>
      </c>
      <c r="E3232" s="3" t="str">
        <f t="shared" si="100"/>
        <v>March</v>
      </c>
      <c r="F3232" s="3" t="s">
        <v>13</v>
      </c>
      <c r="G3232" s="8">
        <v>1414.7630810000001</v>
      </c>
      <c r="H3232" s="8">
        <v>1670</v>
      </c>
      <c r="I3232" s="8">
        <v>252.98386300000001</v>
      </c>
      <c r="J3232" s="8">
        <v>2946.2888509999998</v>
      </c>
      <c r="K3232" s="8">
        <v>2596.9666470000002</v>
      </c>
      <c r="L3232" s="8">
        <v>3309.1022670000002</v>
      </c>
      <c r="M3232" s="9" t="str">
        <f>IF(A3232="",M3233,A3232)</f>
        <v>Oman</v>
      </c>
      <c r="N3232" s="3" t="str">
        <f t="shared" si="101"/>
        <v>Mar-2021</v>
      </c>
    </row>
    <row r="3233" spans="1:14" x14ac:dyDescent="0.3">
      <c r="A3233" s="3" t="s">
        <v>276</v>
      </c>
      <c r="B3233" s="3" t="s">
        <v>277</v>
      </c>
      <c r="C3233" s="8">
        <v>2021</v>
      </c>
      <c r="D3233" s="8">
        <v>4</v>
      </c>
      <c r="E3233" s="3" t="str">
        <f t="shared" si="100"/>
        <v>April</v>
      </c>
      <c r="F3233" s="3" t="s">
        <v>13</v>
      </c>
      <c r="G3233" s="8">
        <v>1394.8804749999999</v>
      </c>
      <c r="H3233" s="8">
        <v>2061</v>
      </c>
      <c r="I3233" s="8">
        <v>663.86646870000004</v>
      </c>
      <c r="J3233" s="8">
        <v>3610.1553199999998</v>
      </c>
      <c r="K3233" s="8">
        <v>3242.8139609999998</v>
      </c>
      <c r="L3233" s="8">
        <v>3986.3870189999998</v>
      </c>
      <c r="M3233" s="9" t="str">
        <f>IF(A3233="",M3234,A3233)</f>
        <v>Oman</v>
      </c>
      <c r="N3233" s="3" t="str">
        <f t="shared" si="101"/>
        <v>Apr-2021</v>
      </c>
    </row>
    <row r="3234" spans="1:14" x14ac:dyDescent="0.3">
      <c r="A3234" s="3" t="s">
        <v>276</v>
      </c>
      <c r="B3234" s="3" t="s">
        <v>277</v>
      </c>
      <c r="C3234" s="8">
        <v>2021</v>
      </c>
      <c r="D3234" s="8">
        <v>5</v>
      </c>
      <c r="E3234" s="3" t="str">
        <f t="shared" si="100"/>
        <v>May</v>
      </c>
      <c r="F3234" s="3" t="s">
        <v>13</v>
      </c>
      <c r="G3234" s="8">
        <v>1380.6835880000001</v>
      </c>
      <c r="H3234" s="8">
        <v>2226</v>
      </c>
      <c r="I3234" s="8">
        <v>843.063356</v>
      </c>
      <c r="J3234" s="8">
        <v>4453.2186760000004</v>
      </c>
      <c r="K3234" s="8">
        <v>4077.7534850000002</v>
      </c>
      <c r="L3234" s="8">
        <v>4843.3641209999996</v>
      </c>
      <c r="M3234" s="9" t="str">
        <f>IF(A3234="",M3235,A3234)</f>
        <v>Oman</v>
      </c>
      <c r="N3234" s="3" t="str">
        <f t="shared" si="101"/>
        <v>May-2021</v>
      </c>
    </row>
    <row r="3235" spans="1:14" x14ac:dyDescent="0.3">
      <c r="A3235" s="3" t="s">
        <v>276</v>
      </c>
      <c r="B3235" s="3" t="s">
        <v>277</v>
      </c>
      <c r="C3235" s="8">
        <v>2021</v>
      </c>
      <c r="D3235" s="8">
        <v>6</v>
      </c>
      <c r="E3235" s="3" t="str">
        <f t="shared" si="100"/>
        <v>June</v>
      </c>
      <c r="F3235" s="3" t="s">
        <v>13</v>
      </c>
      <c r="G3235" s="8">
        <v>1374.546321</v>
      </c>
      <c r="H3235" s="8">
        <v>3166</v>
      </c>
      <c r="I3235" s="8">
        <v>1789.200623</v>
      </c>
      <c r="J3235" s="8">
        <v>6242.4192990000001</v>
      </c>
      <c r="K3235" s="8">
        <v>5857.335368</v>
      </c>
      <c r="L3235" s="8">
        <v>6658.3868359999997</v>
      </c>
      <c r="M3235" s="9" t="str">
        <f>IF(A3235="",M3236,A3235)</f>
        <v>Oman</v>
      </c>
      <c r="N3235" s="3" t="str">
        <f t="shared" si="101"/>
        <v>Jun-2021</v>
      </c>
    </row>
    <row r="3236" spans="1:14" x14ac:dyDescent="0.3">
      <c r="A3236" s="3" t="s">
        <v>276</v>
      </c>
      <c r="B3236" s="3" t="s">
        <v>277</v>
      </c>
      <c r="C3236" s="8">
        <v>2021</v>
      </c>
      <c r="D3236" s="8">
        <v>7</v>
      </c>
      <c r="E3236" s="3" t="str">
        <f t="shared" si="100"/>
        <v>July</v>
      </c>
      <c r="F3236" s="3" t="s">
        <v>13</v>
      </c>
      <c r="G3236" s="8">
        <v>1375.0276839999999</v>
      </c>
      <c r="H3236" s="8">
        <v>3289</v>
      </c>
      <c r="I3236" s="8">
        <v>1911.7192600000001</v>
      </c>
      <c r="J3236" s="8">
        <v>8154.138559</v>
      </c>
      <c r="K3236" s="8">
        <v>7758.0383259999999</v>
      </c>
      <c r="L3236" s="8">
        <v>8560.4565390000007</v>
      </c>
      <c r="M3236" s="9" t="str">
        <f>IF(A3236="",M3237,A3236)</f>
        <v>Oman</v>
      </c>
      <c r="N3236" s="3" t="str">
        <f t="shared" si="101"/>
        <v>Jul-2021</v>
      </c>
    </row>
    <row r="3237" spans="1:14" x14ac:dyDescent="0.3">
      <c r="A3237" s="3" t="s">
        <v>276</v>
      </c>
      <c r="B3237" s="3" t="s">
        <v>277</v>
      </c>
      <c r="C3237" s="8">
        <v>2021</v>
      </c>
      <c r="D3237" s="8">
        <v>8</v>
      </c>
      <c r="E3237" s="3" t="str">
        <f t="shared" si="100"/>
        <v>August</v>
      </c>
      <c r="F3237" s="3" t="s">
        <v>13</v>
      </c>
      <c r="G3237" s="8">
        <v>1378.566366</v>
      </c>
      <c r="H3237" s="8">
        <v>1840</v>
      </c>
      <c r="I3237" s="8">
        <v>459.1805784</v>
      </c>
      <c r="J3237" s="8">
        <v>8613.3191370000004</v>
      </c>
      <c r="K3237" s="8">
        <v>8202.9442510000008</v>
      </c>
      <c r="L3237" s="8">
        <v>9025.3374330000006</v>
      </c>
      <c r="M3237" s="9" t="str">
        <f>IF(A3237="",M3238,A3237)</f>
        <v>Oman</v>
      </c>
      <c r="N3237" s="3" t="str">
        <f t="shared" si="101"/>
        <v>Aug-2021</v>
      </c>
    </row>
    <row r="3238" spans="1:14" x14ac:dyDescent="0.3">
      <c r="A3238" s="3" t="s">
        <v>276</v>
      </c>
      <c r="B3238" s="3" t="s">
        <v>277</v>
      </c>
      <c r="C3238" s="8">
        <v>2021</v>
      </c>
      <c r="D3238" s="8">
        <v>9</v>
      </c>
      <c r="E3238" s="3" t="str">
        <f t="shared" si="100"/>
        <v>September</v>
      </c>
      <c r="F3238" s="3" t="s">
        <v>13</v>
      </c>
      <c r="G3238" s="8">
        <v>1385.2433599999999</v>
      </c>
      <c r="H3238" s="8">
        <v>1297</v>
      </c>
      <c r="I3238" s="8">
        <v>-90.496415600000006</v>
      </c>
      <c r="J3238" s="8">
        <v>8522.8227220000008</v>
      </c>
      <c r="K3238" s="8">
        <v>8106.8023430000003</v>
      </c>
      <c r="L3238" s="8">
        <v>8950.2279569999992</v>
      </c>
      <c r="M3238" s="9" t="str">
        <f>IF(A3238="",M3239,A3238)</f>
        <v>Oman</v>
      </c>
      <c r="N3238" s="3" t="str">
        <f t="shared" si="101"/>
        <v>Sep-2021</v>
      </c>
    </row>
    <row r="3239" spans="1:14" x14ac:dyDescent="0.3">
      <c r="A3239" s="3" t="s">
        <v>276</v>
      </c>
      <c r="B3239" s="3" t="s">
        <v>277</v>
      </c>
      <c r="C3239" s="8">
        <v>2021</v>
      </c>
      <c r="D3239" s="8">
        <v>10</v>
      </c>
      <c r="E3239" s="3" t="str">
        <f t="shared" si="100"/>
        <v>October</v>
      </c>
      <c r="F3239" s="3" t="s">
        <v>13</v>
      </c>
      <c r="G3239" s="8">
        <v>1404.051903</v>
      </c>
      <c r="H3239" s="8">
        <v>1393</v>
      </c>
      <c r="I3239" s="8">
        <v>-13.304958879999999</v>
      </c>
      <c r="J3239" s="8">
        <v>8509.5177629999998</v>
      </c>
      <c r="K3239" s="8">
        <v>8068.145031</v>
      </c>
      <c r="L3239" s="8">
        <v>8924.4093140000004</v>
      </c>
      <c r="M3239" s="9" t="str">
        <f>IF(A3239="",M3240,A3239)</f>
        <v>Oman</v>
      </c>
      <c r="N3239" s="3" t="str">
        <f t="shared" si="101"/>
        <v>Oct-2021</v>
      </c>
    </row>
    <row r="3240" spans="1:14" x14ac:dyDescent="0.3">
      <c r="A3240" s="3" t="s">
        <v>276</v>
      </c>
      <c r="B3240" s="3" t="s">
        <v>277</v>
      </c>
      <c r="C3240" s="8">
        <v>2021</v>
      </c>
      <c r="D3240" s="8">
        <v>11</v>
      </c>
      <c r="E3240" s="3" t="str">
        <f t="shared" si="100"/>
        <v>November</v>
      </c>
      <c r="F3240" s="3" t="s">
        <v>13</v>
      </c>
      <c r="G3240" s="8">
        <v>1428.7375810000001</v>
      </c>
      <c r="H3240" s="8">
        <v>1353</v>
      </c>
      <c r="I3240" s="8">
        <v>-77.990637120000002</v>
      </c>
      <c r="J3240" s="8">
        <v>8431.5271260000009</v>
      </c>
      <c r="K3240" s="8">
        <v>7970.7130349999998</v>
      </c>
      <c r="L3240" s="8">
        <v>8869.1559679999991</v>
      </c>
      <c r="M3240" s="9" t="str">
        <f>IF(A3240="",M3241,A3240)</f>
        <v>Oman</v>
      </c>
      <c r="N3240" s="3" t="str">
        <f t="shared" si="101"/>
        <v>Nov-2021</v>
      </c>
    </row>
    <row r="3241" spans="1:14" x14ac:dyDescent="0.3">
      <c r="A3241" s="3" t="s">
        <v>276</v>
      </c>
      <c r="B3241" s="3" t="s">
        <v>277</v>
      </c>
      <c r="C3241" s="8">
        <v>2021</v>
      </c>
      <c r="D3241" s="8">
        <v>12</v>
      </c>
      <c r="E3241" s="3" t="str">
        <f t="shared" si="100"/>
        <v>December</v>
      </c>
      <c r="F3241" s="3" t="s">
        <v>13</v>
      </c>
      <c r="G3241" s="8">
        <v>1442.3993069999999</v>
      </c>
      <c r="H3241" s="8">
        <v>1490</v>
      </c>
      <c r="I3241" s="8">
        <v>45.347637460000001</v>
      </c>
      <c r="J3241" s="8">
        <v>8476.8747629999998</v>
      </c>
      <c r="K3241" s="8">
        <v>8004.3945219999996</v>
      </c>
      <c r="L3241" s="8">
        <v>8934.5292260000006</v>
      </c>
      <c r="M3241" s="9" t="str">
        <f>IF(A3241="",M3242,A3241)</f>
        <v>Oman</v>
      </c>
      <c r="N3241" s="3" t="str">
        <f t="shared" si="101"/>
        <v>Dec-2021</v>
      </c>
    </row>
    <row r="3242" spans="1:14" x14ac:dyDescent="0.3">
      <c r="A3242" s="3" t="s">
        <v>278</v>
      </c>
      <c r="B3242" s="3" t="s">
        <v>279</v>
      </c>
      <c r="C3242" s="8">
        <v>2020</v>
      </c>
      <c r="D3242" s="8">
        <v>1</v>
      </c>
      <c r="E3242" s="3" t="str">
        <f t="shared" si="100"/>
        <v>January</v>
      </c>
      <c r="F3242" s="3" t="s">
        <v>8</v>
      </c>
      <c r="G3242" s="8">
        <v>148269.39840000001</v>
      </c>
      <c r="H3242" s="8">
        <v>150336.20699999999</v>
      </c>
      <c r="I3242" s="8">
        <v>2066.808634</v>
      </c>
      <c r="J3242" s="8">
        <v>2066.808634</v>
      </c>
      <c r="K3242" s="8">
        <v>-33843.749170000003</v>
      </c>
      <c r="L3242" s="8">
        <v>47644.644220000002</v>
      </c>
      <c r="M3242" s="9" t="str">
        <f>IF(A3242="",M3243,A3242)</f>
        <v>Pakistan</v>
      </c>
      <c r="N3242" s="3" t="str">
        <f t="shared" si="101"/>
        <v>Jan-2020</v>
      </c>
    </row>
    <row r="3243" spans="1:14" x14ac:dyDescent="0.3">
      <c r="A3243" s="3" t="s">
        <v>278</v>
      </c>
      <c r="B3243" s="3" t="s">
        <v>279</v>
      </c>
      <c r="C3243" s="8">
        <v>2020</v>
      </c>
      <c r="D3243" s="8">
        <v>2</v>
      </c>
      <c r="E3243" s="3" t="str">
        <f t="shared" si="100"/>
        <v>February</v>
      </c>
      <c r="F3243" s="3" t="s">
        <v>8</v>
      </c>
      <c r="G3243" s="8">
        <v>144105.13589999999</v>
      </c>
      <c r="H3243" s="8">
        <v>140954.04500000001</v>
      </c>
      <c r="I3243" s="8">
        <v>-3151.09087</v>
      </c>
      <c r="J3243" s="8">
        <v>-1084.282236</v>
      </c>
      <c r="K3243" s="8">
        <v>-50711.239119999998</v>
      </c>
      <c r="L3243" s="8">
        <v>57607.524980000002</v>
      </c>
      <c r="M3243" s="9" t="str">
        <f>IF(A3243="",M3244,A3243)</f>
        <v>Pakistan</v>
      </c>
      <c r="N3243" s="3" t="str">
        <f t="shared" si="101"/>
        <v>Feb-2020</v>
      </c>
    </row>
    <row r="3244" spans="1:14" x14ac:dyDescent="0.3">
      <c r="A3244" s="3" t="s">
        <v>278</v>
      </c>
      <c r="B3244" s="3" t="s">
        <v>279</v>
      </c>
      <c r="C3244" s="8">
        <v>2020</v>
      </c>
      <c r="D3244" s="8">
        <v>3</v>
      </c>
      <c r="E3244" s="3" t="str">
        <f t="shared" si="100"/>
        <v>March</v>
      </c>
      <c r="F3244" s="3" t="s">
        <v>8</v>
      </c>
      <c r="G3244" s="8">
        <v>141299.08309999999</v>
      </c>
      <c r="H3244" s="8">
        <v>134454.41</v>
      </c>
      <c r="I3244" s="8">
        <v>-6844.6730889999999</v>
      </c>
      <c r="J3244" s="8">
        <v>-7928.9553239999996</v>
      </c>
      <c r="K3244" s="8">
        <v>-68585.485270000005</v>
      </c>
      <c r="L3244" s="8">
        <v>62658.315089999996</v>
      </c>
      <c r="M3244" s="9" t="str">
        <f>IF(A3244="",M3245,A3244)</f>
        <v>Pakistan</v>
      </c>
      <c r="N3244" s="3" t="str">
        <f t="shared" si="101"/>
        <v>Mar-2020</v>
      </c>
    </row>
    <row r="3245" spans="1:14" x14ac:dyDescent="0.3">
      <c r="A3245" s="3" t="s">
        <v>278</v>
      </c>
      <c r="B3245" s="3" t="s">
        <v>279</v>
      </c>
      <c r="C3245" s="8">
        <v>2020</v>
      </c>
      <c r="D3245" s="8">
        <v>4</v>
      </c>
      <c r="E3245" s="3" t="str">
        <f t="shared" si="100"/>
        <v>April</v>
      </c>
      <c r="F3245" s="3" t="s">
        <v>8</v>
      </c>
      <c r="G3245" s="8">
        <v>135807.32800000001</v>
      </c>
      <c r="H3245" s="8">
        <v>132022.174</v>
      </c>
      <c r="I3245" s="8">
        <v>-3785.1539889999999</v>
      </c>
      <c r="J3245" s="8">
        <v>-11714.10931</v>
      </c>
      <c r="K3245" s="8">
        <v>-80607.751669999998</v>
      </c>
      <c r="L3245" s="8">
        <v>67632.402260000003</v>
      </c>
      <c r="M3245" s="9" t="str">
        <f>IF(A3245="",M3246,A3245)</f>
        <v>Pakistan</v>
      </c>
      <c r="N3245" s="3" t="str">
        <f t="shared" si="101"/>
        <v>Apr-2020</v>
      </c>
    </row>
    <row r="3246" spans="1:14" x14ac:dyDescent="0.3">
      <c r="A3246" s="3" t="s">
        <v>278</v>
      </c>
      <c r="B3246" s="3" t="s">
        <v>279</v>
      </c>
      <c r="C3246" s="8">
        <v>2020</v>
      </c>
      <c r="D3246" s="8">
        <v>5</v>
      </c>
      <c r="E3246" s="3" t="str">
        <f t="shared" si="100"/>
        <v>May</v>
      </c>
      <c r="F3246" s="3" t="s">
        <v>8</v>
      </c>
      <c r="G3246" s="8">
        <v>132137.39509999999</v>
      </c>
      <c r="H3246" s="8">
        <v>146020.88699999999</v>
      </c>
      <c r="I3246" s="8">
        <v>13883.49188</v>
      </c>
      <c r="J3246" s="8">
        <v>2169.3825689999999</v>
      </c>
      <c r="K3246" s="8">
        <v>-77992.630550000002</v>
      </c>
      <c r="L3246" s="8">
        <v>90889.299299999999</v>
      </c>
      <c r="M3246" s="9" t="str">
        <f>IF(A3246="",M3247,A3246)</f>
        <v>Pakistan</v>
      </c>
      <c r="N3246" s="3" t="str">
        <f t="shared" si="101"/>
        <v>May-2020</v>
      </c>
    </row>
    <row r="3247" spans="1:14" x14ac:dyDescent="0.3">
      <c r="A3247" s="3" t="s">
        <v>278</v>
      </c>
      <c r="B3247" s="3" t="s">
        <v>279</v>
      </c>
      <c r="C3247" s="8">
        <v>2020</v>
      </c>
      <c r="D3247" s="8">
        <v>6</v>
      </c>
      <c r="E3247" s="3" t="str">
        <f t="shared" si="100"/>
        <v>June</v>
      </c>
      <c r="F3247" s="3" t="s">
        <v>8</v>
      </c>
      <c r="G3247" s="8">
        <v>129969.91069999999</v>
      </c>
      <c r="H3247" s="8">
        <v>167275.31400000001</v>
      </c>
      <c r="I3247" s="8">
        <v>37305.403339999997</v>
      </c>
      <c r="J3247" s="8">
        <v>39474.785909999999</v>
      </c>
      <c r="K3247" s="8">
        <v>-53250.569300000003</v>
      </c>
      <c r="L3247" s="8">
        <v>138258.20819999999</v>
      </c>
      <c r="M3247" s="9" t="str">
        <f>IF(A3247="",M3248,A3247)</f>
        <v>Pakistan</v>
      </c>
      <c r="N3247" s="3" t="str">
        <f t="shared" si="101"/>
        <v>Jun-2020</v>
      </c>
    </row>
    <row r="3248" spans="1:14" x14ac:dyDescent="0.3">
      <c r="A3248" s="3" t="s">
        <v>278</v>
      </c>
      <c r="B3248" s="3" t="s">
        <v>279</v>
      </c>
      <c r="C3248" s="8">
        <v>2020</v>
      </c>
      <c r="D3248" s="8">
        <v>7</v>
      </c>
      <c r="E3248" s="3" t="str">
        <f t="shared" si="100"/>
        <v>July</v>
      </c>
      <c r="F3248" s="3" t="s">
        <v>8</v>
      </c>
      <c r="G3248" s="8">
        <v>129864.7954</v>
      </c>
      <c r="H3248" s="8">
        <v>157970.859</v>
      </c>
      <c r="I3248" s="8">
        <v>28106.06365</v>
      </c>
      <c r="J3248" s="8">
        <v>67580.849560000002</v>
      </c>
      <c r="K3248" s="8">
        <v>-38229.394390000001</v>
      </c>
      <c r="L3248" s="8">
        <v>177752.1992</v>
      </c>
      <c r="M3248" s="9" t="str">
        <f>IF(A3248="",M3249,A3248)</f>
        <v>Pakistan</v>
      </c>
      <c r="N3248" s="3" t="str">
        <f t="shared" si="101"/>
        <v>Jul-2020</v>
      </c>
    </row>
    <row r="3249" spans="1:14" x14ac:dyDescent="0.3">
      <c r="A3249" s="3" t="s">
        <v>278</v>
      </c>
      <c r="B3249" s="3" t="s">
        <v>279</v>
      </c>
      <c r="C3249" s="8">
        <v>2020</v>
      </c>
      <c r="D3249" s="8">
        <v>8</v>
      </c>
      <c r="E3249" s="3" t="str">
        <f t="shared" si="100"/>
        <v>August</v>
      </c>
      <c r="F3249" s="3" t="s">
        <v>8</v>
      </c>
      <c r="G3249" s="8">
        <v>130519.1789</v>
      </c>
      <c r="H3249" s="8">
        <v>146088.826</v>
      </c>
      <c r="I3249" s="8">
        <v>15569.647129999999</v>
      </c>
      <c r="J3249" s="8">
        <v>83150.49669</v>
      </c>
      <c r="K3249" s="8">
        <v>-23802.75605</v>
      </c>
      <c r="L3249" s="8">
        <v>197415.36069999999</v>
      </c>
      <c r="M3249" s="9" t="str">
        <f>IF(A3249="",M3250,A3249)</f>
        <v>Pakistan</v>
      </c>
      <c r="N3249" s="3" t="str">
        <f t="shared" si="101"/>
        <v>Aug-2020</v>
      </c>
    </row>
    <row r="3250" spans="1:14" x14ac:dyDescent="0.3">
      <c r="A3250" s="3" t="s">
        <v>278</v>
      </c>
      <c r="B3250" s="3" t="s">
        <v>279</v>
      </c>
      <c r="C3250" s="8">
        <v>2020</v>
      </c>
      <c r="D3250" s="8">
        <v>9</v>
      </c>
      <c r="E3250" s="3" t="str">
        <f t="shared" si="100"/>
        <v>September</v>
      </c>
      <c r="F3250" s="3" t="s">
        <v>8</v>
      </c>
      <c r="G3250" s="8">
        <v>132748.8284</v>
      </c>
      <c r="H3250" s="8">
        <v>143260.74400000001</v>
      </c>
      <c r="I3250" s="8">
        <v>10511.915569999999</v>
      </c>
      <c r="J3250" s="8">
        <v>93662.412259999997</v>
      </c>
      <c r="K3250" s="8">
        <v>-21477.626469999999</v>
      </c>
      <c r="L3250" s="8">
        <v>215581.74660000001</v>
      </c>
      <c r="M3250" s="9" t="str">
        <f>IF(A3250="",M3251,A3250)</f>
        <v>Pakistan</v>
      </c>
      <c r="N3250" s="3" t="str">
        <f t="shared" si="101"/>
        <v>Sep-2020</v>
      </c>
    </row>
    <row r="3251" spans="1:14" x14ac:dyDescent="0.3">
      <c r="A3251" s="3" t="s">
        <v>278</v>
      </c>
      <c r="B3251" s="3" t="s">
        <v>279</v>
      </c>
      <c r="C3251" s="8">
        <v>2020</v>
      </c>
      <c r="D3251" s="8">
        <v>10</v>
      </c>
      <c r="E3251" s="3" t="str">
        <f t="shared" si="100"/>
        <v>October</v>
      </c>
      <c r="F3251" s="3" t="s">
        <v>8</v>
      </c>
      <c r="G3251" s="8">
        <v>136828.087</v>
      </c>
      <c r="H3251" s="8">
        <v>148056.22399999999</v>
      </c>
      <c r="I3251" s="8">
        <v>11228.136990000001</v>
      </c>
      <c r="J3251" s="8">
        <v>104890.54919999999</v>
      </c>
      <c r="K3251" s="8">
        <v>-18930.26268</v>
      </c>
      <c r="L3251" s="8">
        <v>235854.15460000001</v>
      </c>
      <c r="M3251" s="9" t="str">
        <f>IF(A3251="",M3252,A3251)</f>
        <v>Pakistan</v>
      </c>
      <c r="N3251" s="3" t="str">
        <f t="shared" si="101"/>
        <v>Oct-2020</v>
      </c>
    </row>
    <row r="3252" spans="1:14" x14ac:dyDescent="0.3">
      <c r="A3252" s="3" t="s">
        <v>278</v>
      </c>
      <c r="B3252" s="3" t="s">
        <v>279</v>
      </c>
      <c r="C3252" s="8">
        <v>2020</v>
      </c>
      <c r="D3252" s="8">
        <v>11</v>
      </c>
      <c r="E3252" s="3" t="str">
        <f t="shared" si="100"/>
        <v>November</v>
      </c>
      <c r="F3252" s="3" t="s">
        <v>8</v>
      </c>
      <c r="G3252" s="8">
        <v>142235.22820000001</v>
      </c>
      <c r="H3252" s="8">
        <v>162185.82399999999</v>
      </c>
      <c r="I3252" s="8">
        <v>19950.59578</v>
      </c>
      <c r="J3252" s="8">
        <v>124841.145</v>
      </c>
      <c r="K3252" s="8">
        <v>-9664.8483500000002</v>
      </c>
      <c r="L3252" s="8">
        <v>264030.06920000003</v>
      </c>
      <c r="M3252" s="9" t="str">
        <f>IF(A3252="",M3253,A3252)</f>
        <v>Pakistan</v>
      </c>
      <c r="N3252" s="3" t="str">
        <f t="shared" si="101"/>
        <v>Nov-2020</v>
      </c>
    </row>
    <row r="3253" spans="1:14" x14ac:dyDescent="0.3">
      <c r="A3253" s="3" t="s">
        <v>278</v>
      </c>
      <c r="B3253" s="3" t="s">
        <v>279</v>
      </c>
      <c r="C3253" s="8">
        <v>2020</v>
      </c>
      <c r="D3253" s="8">
        <v>12</v>
      </c>
      <c r="E3253" s="3" t="str">
        <f t="shared" si="100"/>
        <v>December</v>
      </c>
      <c r="F3253" s="3" t="s">
        <v>8</v>
      </c>
      <c r="G3253" s="8">
        <v>146444.61499999999</v>
      </c>
      <c r="H3253" s="8">
        <v>167674.351</v>
      </c>
      <c r="I3253" s="8">
        <v>21229.735960000002</v>
      </c>
      <c r="J3253" s="8">
        <v>146070.88099999999</v>
      </c>
      <c r="K3253" s="8">
        <v>2600.4478760000002</v>
      </c>
      <c r="L3253" s="8">
        <v>296618.88449999999</v>
      </c>
      <c r="M3253" s="9" t="str">
        <f>IF(A3253="",M3254,A3253)</f>
        <v>Pakistan</v>
      </c>
      <c r="N3253" s="3" t="str">
        <f t="shared" si="101"/>
        <v>Dec-2020</v>
      </c>
    </row>
    <row r="3254" spans="1:14" x14ac:dyDescent="0.3">
      <c r="A3254" s="3" t="s">
        <v>278</v>
      </c>
      <c r="B3254" s="3" t="s">
        <v>279</v>
      </c>
      <c r="C3254" s="8">
        <v>2021</v>
      </c>
      <c r="D3254" s="8">
        <v>1</v>
      </c>
      <c r="E3254" s="3" t="str">
        <f t="shared" si="100"/>
        <v>January</v>
      </c>
      <c r="F3254" s="3" t="s">
        <v>8</v>
      </c>
      <c r="G3254" s="8">
        <v>149314.44810000001</v>
      </c>
      <c r="H3254" s="8">
        <v>158039.027</v>
      </c>
      <c r="I3254" s="8">
        <v>8724.5788819999998</v>
      </c>
      <c r="J3254" s="8">
        <v>154795.45989999999</v>
      </c>
      <c r="K3254" s="8">
        <v>9483.3443360000001</v>
      </c>
      <c r="L3254" s="8">
        <v>311728.91810000001</v>
      </c>
      <c r="M3254" s="9" t="str">
        <f>IF(A3254="",M3255,A3254)</f>
        <v>Pakistan</v>
      </c>
      <c r="N3254" s="3" t="str">
        <f t="shared" si="101"/>
        <v>Jan-2021</v>
      </c>
    </row>
    <row r="3255" spans="1:14" x14ac:dyDescent="0.3">
      <c r="A3255" s="3" t="s">
        <v>278</v>
      </c>
      <c r="B3255" s="3" t="s">
        <v>279</v>
      </c>
      <c r="C3255" s="8">
        <v>2021</v>
      </c>
      <c r="D3255" s="8">
        <v>2</v>
      </c>
      <c r="E3255" s="3" t="str">
        <f t="shared" si="100"/>
        <v>February</v>
      </c>
      <c r="F3255" s="3" t="s">
        <v>8</v>
      </c>
      <c r="G3255" s="8">
        <v>145113.09150000001</v>
      </c>
      <c r="H3255" s="8">
        <v>148372.54699999999</v>
      </c>
      <c r="I3255" s="8">
        <v>3259.455512</v>
      </c>
      <c r="J3255" s="8">
        <v>158054.9154</v>
      </c>
      <c r="K3255" s="8">
        <v>5948.7944479999996</v>
      </c>
      <c r="L3255" s="8">
        <v>324709.18780000001</v>
      </c>
      <c r="M3255" s="9" t="str">
        <f>IF(A3255="",M3256,A3255)</f>
        <v>Pakistan</v>
      </c>
      <c r="N3255" s="3" t="str">
        <f t="shared" si="101"/>
        <v>Feb-2021</v>
      </c>
    </row>
    <row r="3256" spans="1:14" x14ac:dyDescent="0.3">
      <c r="A3256" s="3" t="s">
        <v>278</v>
      </c>
      <c r="B3256" s="3" t="s">
        <v>279</v>
      </c>
      <c r="C3256" s="8">
        <v>2021</v>
      </c>
      <c r="D3256" s="8">
        <v>3</v>
      </c>
      <c r="E3256" s="3" t="str">
        <f t="shared" si="100"/>
        <v>March</v>
      </c>
      <c r="F3256" s="3" t="s">
        <v>8</v>
      </c>
      <c r="G3256" s="8">
        <v>142308.7169</v>
      </c>
      <c r="H3256" s="8">
        <v>149224.46400000001</v>
      </c>
      <c r="I3256" s="8">
        <v>6915.7470960000001</v>
      </c>
      <c r="J3256" s="8">
        <v>164970.66250000001</v>
      </c>
      <c r="K3256" s="8">
        <v>759.57200139999998</v>
      </c>
      <c r="L3256" s="8">
        <v>332903.62219999998</v>
      </c>
      <c r="M3256" s="9" t="str">
        <f>IF(A3256="",M3257,A3256)</f>
        <v>Pakistan</v>
      </c>
      <c r="N3256" s="3" t="str">
        <f t="shared" si="101"/>
        <v>Mar-2021</v>
      </c>
    </row>
    <row r="3257" spans="1:14" x14ac:dyDescent="0.3">
      <c r="A3257" s="3" t="s">
        <v>278</v>
      </c>
      <c r="B3257" s="3" t="s">
        <v>279</v>
      </c>
      <c r="C3257" s="8">
        <v>2021</v>
      </c>
      <c r="D3257" s="8">
        <v>4</v>
      </c>
      <c r="E3257" s="3" t="str">
        <f t="shared" si="100"/>
        <v>April</v>
      </c>
      <c r="F3257" s="3" t="s">
        <v>8</v>
      </c>
      <c r="G3257" s="8">
        <v>136868.30230000001</v>
      </c>
      <c r="H3257" s="8">
        <v>154207.29800000001</v>
      </c>
      <c r="I3257" s="8">
        <v>17338.99567</v>
      </c>
      <c r="J3257" s="8">
        <v>182309.65820000001</v>
      </c>
      <c r="K3257" s="8">
        <v>13131.381160000001</v>
      </c>
      <c r="L3257" s="8">
        <v>353493.978</v>
      </c>
      <c r="M3257" s="9" t="str">
        <f>IF(A3257="",M3258,A3257)</f>
        <v>Pakistan</v>
      </c>
      <c r="N3257" s="3" t="str">
        <f t="shared" si="101"/>
        <v>Apr-2021</v>
      </c>
    </row>
    <row r="3258" spans="1:14" x14ac:dyDescent="0.3">
      <c r="A3258" s="3" t="s">
        <v>278</v>
      </c>
      <c r="B3258" s="3" t="s">
        <v>279</v>
      </c>
      <c r="C3258" s="8">
        <v>2021</v>
      </c>
      <c r="D3258" s="8">
        <v>5</v>
      </c>
      <c r="E3258" s="3" t="str">
        <f t="shared" si="100"/>
        <v>May</v>
      </c>
      <c r="F3258" s="3" t="s">
        <v>8</v>
      </c>
      <c r="G3258" s="8">
        <v>133042.68789999999</v>
      </c>
      <c r="H3258" s="8">
        <v>150748.386</v>
      </c>
      <c r="I3258" s="8">
        <v>17705.698100000001</v>
      </c>
      <c r="J3258" s="8">
        <v>200015.35630000001</v>
      </c>
      <c r="K3258" s="8">
        <v>28908.55083</v>
      </c>
      <c r="L3258" s="8">
        <v>376241.40720000002</v>
      </c>
      <c r="M3258" s="9" t="str">
        <f>IF(A3258="",M3259,A3258)</f>
        <v>Pakistan</v>
      </c>
      <c r="N3258" s="3" t="str">
        <f t="shared" si="101"/>
        <v>May-2021</v>
      </c>
    </row>
    <row r="3259" spans="1:14" x14ac:dyDescent="0.3">
      <c r="A3259" s="3" t="s">
        <v>278</v>
      </c>
      <c r="B3259" s="3" t="s">
        <v>279</v>
      </c>
      <c r="C3259" s="8">
        <v>2021</v>
      </c>
      <c r="D3259" s="8">
        <v>6</v>
      </c>
      <c r="E3259" s="3" t="str">
        <f t="shared" si="100"/>
        <v>June</v>
      </c>
      <c r="F3259" s="3" t="s">
        <v>8</v>
      </c>
      <c r="G3259" s="8">
        <v>130864.9633</v>
      </c>
      <c r="H3259" s="8">
        <v>143869.519</v>
      </c>
      <c r="I3259" s="8">
        <v>13004.555710000001</v>
      </c>
      <c r="J3259" s="8">
        <v>213019.91200000001</v>
      </c>
      <c r="K3259" s="8">
        <v>40947.164049999999</v>
      </c>
      <c r="L3259" s="8">
        <v>393439.74060000002</v>
      </c>
      <c r="M3259" s="9" t="str">
        <f>IF(A3259="",M3260,A3259)</f>
        <v>Pakistan</v>
      </c>
      <c r="N3259" s="3" t="str">
        <f t="shared" si="101"/>
        <v>Jun-2021</v>
      </c>
    </row>
    <row r="3260" spans="1:14" x14ac:dyDescent="0.3">
      <c r="A3260" s="3" t="s">
        <v>278</v>
      </c>
      <c r="B3260" s="3" t="s">
        <v>279</v>
      </c>
      <c r="C3260" s="8">
        <v>2021</v>
      </c>
      <c r="D3260" s="8">
        <v>7</v>
      </c>
      <c r="E3260" s="3" t="str">
        <f t="shared" si="100"/>
        <v>July</v>
      </c>
      <c r="F3260" s="3" t="s">
        <v>8</v>
      </c>
      <c r="G3260" s="8">
        <v>130759.30650000001</v>
      </c>
      <c r="H3260" s="8">
        <v>142417.29999999999</v>
      </c>
      <c r="I3260" s="8">
        <v>11657.99352</v>
      </c>
      <c r="J3260" s="8">
        <v>224677.90549999999</v>
      </c>
      <c r="K3260" s="8">
        <v>51133.336210000001</v>
      </c>
      <c r="L3260" s="8">
        <v>410007.95510000002</v>
      </c>
      <c r="M3260" s="9" t="str">
        <f>IF(A3260="",M3261,A3260)</f>
        <v>Pakistan</v>
      </c>
      <c r="N3260" s="3" t="str">
        <f t="shared" si="101"/>
        <v>Jul-2021</v>
      </c>
    </row>
    <row r="3261" spans="1:14" x14ac:dyDescent="0.3">
      <c r="A3261" s="3" t="s">
        <v>278</v>
      </c>
      <c r="B3261" s="3" t="s">
        <v>279</v>
      </c>
      <c r="C3261" s="8">
        <v>2021</v>
      </c>
      <c r="D3261" s="8">
        <v>8</v>
      </c>
      <c r="E3261" s="3" t="str">
        <f t="shared" si="100"/>
        <v>August</v>
      </c>
      <c r="F3261" s="3" t="s">
        <v>8</v>
      </c>
      <c r="G3261" s="8">
        <v>131435.9902</v>
      </c>
      <c r="H3261" s="8">
        <v>152811.258</v>
      </c>
      <c r="I3261" s="8">
        <v>21375.26785</v>
      </c>
      <c r="J3261" s="8">
        <v>246053.17329999999</v>
      </c>
      <c r="K3261" s="8">
        <v>68599.626239999998</v>
      </c>
      <c r="L3261" s="8">
        <v>444978.2941</v>
      </c>
      <c r="M3261" s="9" t="str">
        <f>IF(A3261="",M3262,A3261)</f>
        <v>Pakistan</v>
      </c>
      <c r="N3261" s="3" t="str">
        <f t="shared" si="101"/>
        <v>Aug-2021</v>
      </c>
    </row>
    <row r="3262" spans="1:14" x14ac:dyDescent="0.3">
      <c r="A3262" s="3" t="s">
        <v>278</v>
      </c>
      <c r="B3262" s="3" t="s">
        <v>279</v>
      </c>
      <c r="C3262" s="8">
        <v>2021</v>
      </c>
      <c r="D3262" s="8">
        <v>9</v>
      </c>
      <c r="E3262" s="3" t="str">
        <f t="shared" si="100"/>
        <v>September</v>
      </c>
      <c r="F3262" s="3" t="s">
        <v>8</v>
      </c>
      <c r="G3262" s="8">
        <v>133670.58559999999</v>
      </c>
      <c r="H3262" s="8">
        <v>150863.43599999999</v>
      </c>
      <c r="I3262" s="8">
        <v>17192.850399999999</v>
      </c>
      <c r="J3262" s="8">
        <v>263246.02370000002</v>
      </c>
      <c r="K3262" s="8">
        <v>79761.927249999993</v>
      </c>
      <c r="L3262" s="8">
        <v>462156.30450000003</v>
      </c>
      <c r="M3262" s="9" t="str">
        <f>IF(A3262="",M3263,A3262)</f>
        <v>Pakistan</v>
      </c>
      <c r="N3262" s="3" t="str">
        <f t="shared" si="101"/>
        <v>Sep-2021</v>
      </c>
    </row>
    <row r="3263" spans="1:14" x14ac:dyDescent="0.3">
      <c r="A3263" s="3" t="s">
        <v>278</v>
      </c>
      <c r="B3263" s="3" t="s">
        <v>279</v>
      </c>
      <c r="C3263" s="8">
        <v>2021</v>
      </c>
      <c r="D3263" s="8">
        <v>10</v>
      </c>
      <c r="E3263" s="3" t="str">
        <f t="shared" si="100"/>
        <v>October</v>
      </c>
      <c r="F3263" s="3" t="s">
        <v>8</v>
      </c>
      <c r="G3263" s="8">
        <v>137798.64939999999</v>
      </c>
      <c r="H3263" s="8">
        <v>149304.552</v>
      </c>
      <c r="I3263" s="8">
        <v>11505.90264</v>
      </c>
      <c r="J3263" s="8">
        <v>274751.9264</v>
      </c>
      <c r="K3263" s="8">
        <v>89149.697310000003</v>
      </c>
      <c r="L3263" s="8">
        <v>475147.6862</v>
      </c>
      <c r="M3263" s="9" t="str">
        <f>IF(A3263="",M3264,A3263)</f>
        <v>Pakistan</v>
      </c>
      <c r="N3263" s="3" t="str">
        <f t="shared" si="101"/>
        <v>Oct-2021</v>
      </c>
    </row>
    <row r="3264" spans="1:14" x14ac:dyDescent="0.3">
      <c r="A3264" s="3" t="s">
        <v>278</v>
      </c>
      <c r="B3264" s="3" t="s">
        <v>279</v>
      </c>
      <c r="C3264" s="8">
        <v>2021</v>
      </c>
      <c r="D3264" s="8">
        <v>11</v>
      </c>
      <c r="E3264" s="3" t="str">
        <f t="shared" si="100"/>
        <v>November</v>
      </c>
      <c r="F3264" s="3" t="s">
        <v>8</v>
      </c>
      <c r="G3264" s="8">
        <v>143273.98019999999</v>
      </c>
      <c r="H3264" s="8">
        <v>156255.83100000001</v>
      </c>
      <c r="I3264" s="8">
        <v>12981.850829999999</v>
      </c>
      <c r="J3264" s="8">
        <v>287733.77720000001</v>
      </c>
      <c r="K3264" s="8">
        <v>99511.717279999997</v>
      </c>
      <c r="L3264" s="8">
        <v>501926.17369999998</v>
      </c>
      <c r="M3264" s="9" t="str">
        <f>IF(A3264="",M3265,A3264)</f>
        <v>Pakistan</v>
      </c>
      <c r="N3264" s="3" t="str">
        <f t="shared" si="101"/>
        <v>Nov-2021</v>
      </c>
    </row>
    <row r="3265" spans="1:14" x14ac:dyDescent="0.3">
      <c r="A3265" s="3" t="s">
        <v>278</v>
      </c>
      <c r="B3265" s="3" t="s">
        <v>279</v>
      </c>
      <c r="C3265" s="8">
        <v>2021</v>
      </c>
      <c r="D3265" s="8">
        <v>12</v>
      </c>
      <c r="E3265" s="3" t="str">
        <f t="shared" si="100"/>
        <v>December</v>
      </c>
      <c r="F3265" s="3" t="s">
        <v>8</v>
      </c>
      <c r="G3265" s="8">
        <v>147461.3585</v>
      </c>
      <c r="H3265" s="8">
        <v>162504.88500000001</v>
      </c>
      <c r="I3265" s="8">
        <v>15043.526449999999</v>
      </c>
      <c r="J3265" s="8">
        <v>302777.30369999999</v>
      </c>
      <c r="K3265" s="8">
        <v>115560.0192</v>
      </c>
      <c r="L3265" s="8">
        <v>516627.17700000003</v>
      </c>
      <c r="M3265" s="9" t="str">
        <f>IF(A3265="",M3266,A3265)</f>
        <v>Pakistan</v>
      </c>
      <c r="N3265" s="3" t="str">
        <f t="shared" si="101"/>
        <v>Dec-2021</v>
      </c>
    </row>
    <row r="3266" spans="1:14" x14ac:dyDescent="0.3">
      <c r="A3266" s="3" t="s">
        <v>280</v>
      </c>
      <c r="B3266" s="3" t="s">
        <v>281</v>
      </c>
      <c r="C3266" s="8">
        <v>2020</v>
      </c>
      <c r="D3266" s="8">
        <v>1</v>
      </c>
      <c r="E3266" s="3" t="str">
        <f t="shared" ref="E3266:E3329" si="102">TEXT(DATE(C3266,D3266,1),"MMMM")</f>
        <v>January</v>
      </c>
      <c r="F3266" s="3" t="s">
        <v>13</v>
      </c>
      <c r="G3266" s="8">
        <v>1718.259648</v>
      </c>
      <c r="H3266" s="8">
        <v>2032</v>
      </c>
      <c r="I3266" s="8">
        <v>305.9070188</v>
      </c>
      <c r="J3266" s="8">
        <v>305.9070188</v>
      </c>
      <c r="K3266" s="8">
        <v>252.5174518</v>
      </c>
      <c r="L3266" s="8">
        <v>359.89460250000002</v>
      </c>
      <c r="M3266" s="9" t="str">
        <f>IF(A3266="",M3267,A3266)</f>
        <v>Panama</v>
      </c>
      <c r="N3266" s="3" t="str">
        <f t="shared" ref="N3266:N3329" si="103">TEXT(DATE(C3266,D3266,1),"MMM-YYYY")</f>
        <v>Jan-2020</v>
      </c>
    </row>
    <row r="3267" spans="1:14" x14ac:dyDescent="0.3">
      <c r="A3267" s="3" t="s">
        <v>280</v>
      </c>
      <c r="B3267" s="3" t="s">
        <v>281</v>
      </c>
      <c r="C3267" s="8">
        <v>2020</v>
      </c>
      <c r="D3267" s="8">
        <v>2</v>
      </c>
      <c r="E3267" s="3" t="str">
        <f t="shared" si="102"/>
        <v>February</v>
      </c>
      <c r="F3267" s="3" t="s">
        <v>13</v>
      </c>
      <c r="G3267" s="8">
        <v>1692.5822439999999</v>
      </c>
      <c r="H3267" s="8">
        <v>1531</v>
      </c>
      <c r="I3267" s="8">
        <v>-169.41557689999999</v>
      </c>
      <c r="J3267" s="8">
        <v>136.49144190000001</v>
      </c>
      <c r="K3267" s="8">
        <v>56.170737029999998</v>
      </c>
      <c r="L3267" s="8">
        <v>225.5617896</v>
      </c>
      <c r="M3267" s="9" t="str">
        <f>IF(A3267="",M3268,A3267)</f>
        <v>Panama</v>
      </c>
      <c r="N3267" s="3" t="str">
        <f t="shared" si="103"/>
        <v>Feb-2020</v>
      </c>
    </row>
    <row r="3268" spans="1:14" x14ac:dyDescent="0.3">
      <c r="A3268" s="3" t="s">
        <v>280</v>
      </c>
      <c r="B3268" s="3" t="s">
        <v>281</v>
      </c>
      <c r="C3268" s="8">
        <v>2020</v>
      </c>
      <c r="D3268" s="8">
        <v>3</v>
      </c>
      <c r="E3268" s="3" t="str">
        <f t="shared" si="102"/>
        <v>March</v>
      </c>
      <c r="F3268" s="3" t="s">
        <v>13</v>
      </c>
      <c r="G3268" s="8">
        <v>1684.172217</v>
      </c>
      <c r="H3268" s="8">
        <v>1287</v>
      </c>
      <c r="I3268" s="8">
        <v>-405.00555020000002</v>
      </c>
      <c r="J3268" s="8">
        <v>-268.51410829999998</v>
      </c>
      <c r="K3268" s="8">
        <v>-372.33525420000001</v>
      </c>
      <c r="L3268" s="8">
        <v>-165.13133790000001</v>
      </c>
      <c r="M3268" s="9" t="str">
        <f>IF(A3268="",M3269,A3268)</f>
        <v>Panama</v>
      </c>
      <c r="N3268" s="3" t="str">
        <f t="shared" si="103"/>
        <v>Mar-2020</v>
      </c>
    </row>
    <row r="3269" spans="1:14" x14ac:dyDescent="0.3">
      <c r="A3269" s="3" t="s">
        <v>280</v>
      </c>
      <c r="B3269" s="3" t="s">
        <v>281</v>
      </c>
      <c r="C3269" s="8">
        <v>2020</v>
      </c>
      <c r="D3269" s="8">
        <v>4</v>
      </c>
      <c r="E3269" s="3" t="str">
        <f t="shared" si="102"/>
        <v>April</v>
      </c>
      <c r="F3269" s="3" t="s">
        <v>13</v>
      </c>
      <c r="G3269" s="8">
        <v>1693.3085410000001</v>
      </c>
      <c r="H3269" s="8">
        <v>1109</v>
      </c>
      <c r="I3269" s="8">
        <v>-592.14187449999997</v>
      </c>
      <c r="J3269" s="8">
        <v>-860.65598279999995</v>
      </c>
      <c r="K3269" s="8">
        <v>-985.56618570000001</v>
      </c>
      <c r="L3269" s="8">
        <v>-741.29672140000002</v>
      </c>
      <c r="M3269" s="9" t="str">
        <f>IF(A3269="",M3270,A3269)</f>
        <v>Panama</v>
      </c>
      <c r="N3269" s="3" t="str">
        <f t="shared" si="103"/>
        <v>Apr-2020</v>
      </c>
    </row>
    <row r="3270" spans="1:14" x14ac:dyDescent="0.3">
      <c r="A3270" s="3" t="s">
        <v>280</v>
      </c>
      <c r="B3270" s="3" t="s">
        <v>281</v>
      </c>
      <c r="C3270" s="8">
        <v>2020</v>
      </c>
      <c r="D3270" s="8">
        <v>5</v>
      </c>
      <c r="E3270" s="3" t="str">
        <f t="shared" si="102"/>
        <v>May</v>
      </c>
      <c r="F3270" s="3" t="s">
        <v>13</v>
      </c>
      <c r="G3270" s="8">
        <v>1713.609089</v>
      </c>
      <c r="H3270" s="8">
        <v>1442</v>
      </c>
      <c r="I3270" s="8">
        <v>-279.44242270000001</v>
      </c>
      <c r="J3270" s="8">
        <v>-1140.098405</v>
      </c>
      <c r="K3270" s="8">
        <v>-1278.348215</v>
      </c>
      <c r="L3270" s="8">
        <v>-1002.645209</v>
      </c>
      <c r="M3270" s="9" t="str">
        <f>IF(A3270="",M3271,A3270)</f>
        <v>Panama</v>
      </c>
      <c r="N3270" s="3" t="str">
        <f t="shared" si="103"/>
        <v>May-2020</v>
      </c>
    </row>
    <row r="3271" spans="1:14" x14ac:dyDescent="0.3">
      <c r="A3271" s="3" t="s">
        <v>280</v>
      </c>
      <c r="B3271" s="3" t="s">
        <v>281</v>
      </c>
      <c r="C3271" s="8">
        <v>2020</v>
      </c>
      <c r="D3271" s="8">
        <v>6</v>
      </c>
      <c r="E3271" s="3" t="str">
        <f t="shared" si="102"/>
        <v>June</v>
      </c>
      <c r="F3271" s="3" t="s">
        <v>13</v>
      </c>
      <c r="G3271" s="8">
        <v>1743.608219</v>
      </c>
      <c r="H3271" s="8">
        <v>2284</v>
      </c>
      <c r="I3271" s="8">
        <v>532.55844809999996</v>
      </c>
      <c r="J3271" s="8">
        <v>-607.53995740000005</v>
      </c>
      <c r="K3271" s="8">
        <v>-755.59199720000004</v>
      </c>
      <c r="L3271" s="8">
        <v>-463.93598029999998</v>
      </c>
      <c r="M3271" s="9" t="str">
        <f>IF(A3271="",M3272,A3271)</f>
        <v>Panama</v>
      </c>
      <c r="N3271" s="3" t="str">
        <f t="shared" si="103"/>
        <v>Jun-2020</v>
      </c>
    </row>
    <row r="3272" spans="1:14" x14ac:dyDescent="0.3">
      <c r="A3272" s="3" t="s">
        <v>280</v>
      </c>
      <c r="B3272" s="3" t="s">
        <v>281</v>
      </c>
      <c r="C3272" s="8">
        <v>2020</v>
      </c>
      <c r="D3272" s="8">
        <v>7</v>
      </c>
      <c r="E3272" s="3" t="str">
        <f t="shared" si="102"/>
        <v>July</v>
      </c>
      <c r="F3272" s="3" t="s">
        <v>13</v>
      </c>
      <c r="G3272" s="8">
        <v>1771.355176</v>
      </c>
      <c r="H3272" s="8">
        <v>2742</v>
      </c>
      <c r="I3272" s="8">
        <v>962.81149089999997</v>
      </c>
      <c r="J3272" s="8">
        <v>355.27153349999998</v>
      </c>
      <c r="K3272" s="8">
        <v>187.50996929999999</v>
      </c>
      <c r="L3272" s="8">
        <v>521.50700810000001</v>
      </c>
      <c r="M3272" s="9" t="str">
        <f>IF(A3272="",M3273,A3272)</f>
        <v>Panama</v>
      </c>
      <c r="N3272" s="3" t="str">
        <f t="shared" si="103"/>
        <v>Jul-2020</v>
      </c>
    </row>
    <row r="3273" spans="1:14" x14ac:dyDescent="0.3">
      <c r="A3273" s="3" t="s">
        <v>280</v>
      </c>
      <c r="B3273" s="3" t="s">
        <v>281</v>
      </c>
      <c r="C3273" s="8">
        <v>2020</v>
      </c>
      <c r="D3273" s="8">
        <v>8</v>
      </c>
      <c r="E3273" s="3" t="str">
        <f t="shared" si="102"/>
        <v>August</v>
      </c>
      <c r="F3273" s="3" t="s">
        <v>13</v>
      </c>
      <c r="G3273" s="8">
        <v>1785.7810549999999</v>
      </c>
      <c r="H3273" s="8">
        <v>2668</v>
      </c>
      <c r="I3273" s="8">
        <v>874.38561189999996</v>
      </c>
      <c r="J3273" s="8">
        <v>1229.6571449999999</v>
      </c>
      <c r="K3273" s="8">
        <v>1058.4126180000001</v>
      </c>
      <c r="L3273" s="8">
        <v>1408.3525239999999</v>
      </c>
      <c r="M3273" s="9" t="str">
        <f>IF(A3273="",M3274,A3273)</f>
        <v>Panama</v>
      </c>
      <c r="N3273" s="3" t="str">
        <f t="shared" si="103"/>
        <v>Aug-2020</v>
      </c>
    </row>
    <row r="3274" spans="1:14" x14ac:dyDescent="0.3">
      <c r="A3274" s="3" t="s">
        <v>280</v>
      </c>
      <c r="B3274" s="3" t="s">
        <v>281</v>
      </c>
      <c r="C3274" s="8">
        <v>2020</v>
      </c>
      <c r="D3274" s="8">
        <v>9</v>
      </c>
      <c r="E3274" s="3" t="str">
        <f t="shared" si="102"/>
        <v>September</v>
      </c>
      <c r="F3274" s="3" t="s">
        <v>13</v>
      </c>
      <c r="G3274" s="8">
        <v>1791.479666</v>
      </c>
      <c r="H3274" s="8">
        <v>2401</v>
      </c>
      <c r="I3274" s="8">
        <v>601.6870007</v>
      </c>
      <c r="J3274" s="8">
        <v>1831.3441459999999</v>
      </c>
      <c r="K3274" s="8">
        <v>1652.596399</v>
      </c>
      <c r="L3274" s="8">
        <v>2007.0293670000001</v>
      </c>
      <c r="M3274" s="9" t="str">
        <f>IF(A3274="",M3275,A3274)</f>
        <v>Panama</v>
      </c>
      <c r="N3274" s="3" t="str">
        <f t="shared" si="103"/>
        <v>Sep-2020</v>
      </c>
    </row>
    <row r="3275" spans="1:14" x14ac:dyDescent="0.3">
      <c r="A3275" s="3" t="s">
        <v>280</v>
      </c>
      <c r="B3275" s="3" t="s">
        <v>281</v>
      </c>
      <c r="C3275" s="8">
        <v>2020</v>
      </c>
      <c r="D3275" s="8">
        <v>10</v>
      </c>
      <c r="E3275" s="3" t="str">
        <f t="shared" si="102"/>
        <v>October</v>
      </c>
      <c r="F3275" s="3" t="s">
        <v>13</v>
      </c>
      <c r="G3275" s="8">
        <v>1790.4829159999999</v>
      </c>
      <c r="H3275" s="8">
        <v>2131</v>
      </c>
      <c r="I3275" s="8">
        <v>332.68375070000002</v>
      </c>
      <c r="J3275" s="8">
        <v>2164.0278969999999</v>
      </c>
      <c r="K3275" s="8">
        <v>1982.235653</v>
      </c>
      <c r="L3275" s="8">
        <v>2354.3811959999998</v>
      </c>
      <c r="M3275" s="9" t="str">
        <f>IF(A3275="",M3276,A3275)</f>
        <v>Panama</v>
      </c>
      <c r="N3275" s="3" t="str">
        <f t="shared" si="103"/>
        <v>Oct-2020</v>
      </c>
    </row>
    <row r="3276" spans="1:14" x14ac:dyDescent="0.3">
      <c r="A3276" s="3" t="s">
        <v>280</v>
      </c>
      <c r="B3276" s="3" t="s">
        <v>281</v>
      </c>
      <c r="C3276" s="8">
        <v>2020</v>
      </c>
      <c r="D3276" s="8">
        <v>11</v>
      </c>
      <c r="E3276" s="3" t="str">
        <f t="shared" si="102"/>
        <v>November</v>
      </c>
      <c r="F3276" s="3" t="s">
        <v>13</v>
      </c>
      <c r="G3276" s="8">
        <v>1777.490636</v>
      </c>
      <c r="H3276" s="8">
        <v>2108</v>
      </c>
      <c r="I3276" s="8">
        <v>322.67603100000002</v>
      </c>
      <c r="J3276" s="8">
        <v>2486.7039279999999</v>
      </c>
      <c r="K3276" s="8">
        <v>2296.5078760000001</v>
      </c>
      <c r="L3276" s="8">
        <v>2699.6553669999998</v>
      </c>
      <c r="M3276" s="9" t="str">
        <f>IF(A3276="",M3277,A3276)</f>
        <v>Panama</v>
      </c>
      <c r="N3276" s="3" t="str">
        <f t="shared" si="103"/>
        <v>Nov-2020</v>
      </c>
    </row>
    <row r="3277" spans="1:14" x14ac:dyDescent="0.3">
      <c r="A3277" s="3" t="s">
        <v>280</v>
      </c>
      <c r="B3277" s="3" t="s">
        <v>281</v>
      </c>
      <c r="C3277" s="8">
        <v>2020</v>
      </c>
      <c r="D3277" s="8">
        <v>12</v>
      </c>
      <c r="E3277" s="3" t="str">
        <f t="shared" si="102"/>
        <v>December</v>
      </c>
      <c r="F3277" s="3" t="s">
        <v>13</v>
      </c>
      <c r="G3277" s="8">
        <v>1757.59473</v>
      </c>
      <c r="H3277" s="8">
        <v>2140</v>
      </c>
      <c r="I3277" s="8">
        <v>374.57193660000002</v>
      </c>
      <c r="J3277" s="8">
        <v>2861.2758640000002</v>
      </c>
      <c r="K3277" s="8">
        <v>2652.4633100000001</v>
      </c>
      <c r="L3277" s="8">
        <v>3078.006245</v>
      </c>
      <c r="M3277" s="9" t="str">
        <f>IF(A3277="",M3278,A3277)</f>
        <v>Panama</v>
      </c>
      <c r="N3277" s="3" t="str">
        <f t="shared" si="103"/>
        <v>Dec-2020</v>
      </c>
    </row>
    <row r="3278" spans="1:14" x14ac:dyDescent="0.3">
      <c r="A3278" s="3" t="s">
        <v>280</v>
      </c>
      <c r="B3278" s="3" t="s">
        <v>281</v>
      </c>
      <c r="C3278" s="8">
        <v>2021</v>
      </c>
      <c r="D3278" s="8">
        <v>1</v>
      </c>
      <c r="E3278" s="3" t="str">
        <f t="shared" si="102"/>
        <v>January</v>
      </c>
      <c r="F3278" s="3" t="s">
        <v>13</v>
      </c>
      <c r="G3278" s="8">
        <v>1764.766959</v>
      </c>
      <c r="H3278" s="8">
        <v>3147</v>
      </c>
      <c r="I3278" s="8">
        <v>1381.733041</v>
      </c>
      <c r="J3278" s="8">
        <v>4243.0089049999997</v>
      </c>
      <c r="K3278" s="8">
        <v>4033.335364</v>
      </c>
      <c r="L3278" s="8">
        <v>4467.5155500000001</v>
      </c>
      <c r="M3278" s="9" t="str">
        <f>IF(A3278="",M3279,A3278)</f>
        <v>Panama</v>
      </c>
      <c r="N3278" s="3" t="str">
        <f t="shared" si="103"/>
        <v>Jan-2021</v>
      </c>
    </row>
    <row r="3279" spans="1:14" x14ac:dyDescent="0.3">
      <c r="A3279" s="3" t="s">
        <v>280</v>
      </c>
      <c r="B3279" s="3" t="s">
        <v>281</v>
      </c>
      <c r="C3279" s="8">
        <v>2021</v>
      </c>
      <c r="D3279" s="8">
        <v>2</v>
      </c>
      <c r="E3279" s="3" t="str">
        <f t="shared" si="102"/>
        <v>February</v>
      </c>
      <c r="F3279" s="3" t="s">
        <v>13</v>
      </c>
      <c r="G3279" s="8">
        <v>1739.141703</v>
      </c>
      <c r="H3279" s="8">
        <v>3028</v>
      </c>
      <c r="I3279" s="8">
        <v>1288.358297</v>
      </c>
      <c r="J3279" s="8">
        <v>5531.3672029999998</v>
      </c>
      <c r="K3279" s="8">
        <v>5303.0110569999997</v>
      </c>
      <c r="L3279" s="8">
        <v>5769.5935360000003</v>
      </c>
      <c r="M3279" s="9" t="str">
        <f>IF(A3279="",M3280,A3279)</f>
        <v>Panama</v>
      </c>
      <c r="N3279" s="3" t="str">
        <f t="shared" si="103"/>
        <v>Feb-2021</v>
      </c>
    </row>
    <row r="3280" spans="1:14" x14ac:dyDescent="0.3">
      <c r="A3280" s="3" t="s">
        <v>280</v>
      </c>
      <c r="B3280" s="3" t="s">
        <v>281</v>
      </c>
      <c r="C3280" s="8">
        <v>2021</v>
      </c>
      <c r="D3280" s="8">
        <v>3</v>
      </c>
      <c r="E3280" s="3" t="str">
        <f t="shared" si="102"/>
        <v>March</v>
      </c>
      <c r="F3280" s="3" t="s">
        <v>13</v>
      </c>
      <c r="G3280" s="8">
        <v>1730.186993</v>
      </c>
      <c r="H3280" s="8">
        <v>2437</v>
      </c>
      <c r="I3280" s="8">
        <v>706.31300680000004</v>
      </c>
      <c r="J3280" s="8">
        <v>6237.6802090000001</v>
      </c>
      <c r="K3280" s="8">
        <v>5986.0817520000001</v>
      </c>
      <c r="L3280" s="8">
        <v>6481.0567730000002</v>
      </c>
      <c r="M3280" s="9" t="str">
        <f>IF(A3280="",M3281,A3280)</f>
        <v>Panama</v>
      </c>
      <c r="N3280" s="3" t="str">
        <f t="shared" si="103"/>
        <v>Mar-2021</v>
      </c>
    </row>
    <row r="3281" spans="1:14" x14ac:dyDescent="0.3">
      <c r="A3281" s="3" t="s">
        <v>280</v>
      </c>
      <c r="B3281" s="3" t="s">
        <v>281</v>
      </c>
      <c r="C3281" s="8">
        <v>2021</v>
      </c>
      <c r="D3281" s="8">
        <v>4</v>
      </c>
      <c r="E3281" s="3" t="str">
        <f t="shared" si="102"/>
        <v>April</v>
      </c>
      <c r="F3281" s="3" t="s">
        <v>13</v>
      </c>
      <c r="G3281" s="8">
        <v>1741.515148</v>
      </c>
      <c r="H3281" s="8">
        <v>1872</v>
      </c>
      <c r="I3281" s="8">
        <v>129.9848519</v>
      </c>
      <c r="J3281" s="8">
        <v>6367.6650609999997</v>
      </c>
      <c r="K3281" s="8">
        <v>6120.5642420000004</v>
      </c>
      <c r="L3281" s="8">
        <v>6624.1439559999999</v>
      </c>
      <c r="M3281" s="9" t="str">
        <f>IF(A3281="",M3282,A3281)</f>
        <v>Panama</v>
      </c>
      <c r="N3281" s="3" t="str">
        <f t="shared" si="103"/>
        <v>Apr-2021</v>
      </c>
    </row>
    <row r="3282" spans="1:14" x14ac:dyDescent="0.3">
      <c r="A3282" s="3" t="s">
        <v>280</v>
      </c>
      <c r="B3282" s="3" t="s">
        <v>281</v>
      </c>
      <c r="C3282" s="8">
        <v>2021</v>
      </c>
      <c r="D3282" s="8">
        <v>5</v>
      </c>
      <c r="E3282" s="3" t="str">
        <f t="shared" si="102"/>
        <v>May</v>
      </c>
      <c r="F3282" s="3" t="s">
        <v>13</v>
      </c>
      <c r="G3282" s="8">
        <v>1759.6771759999999</v>
      </c>
      <c r="H3282" s="8">
        <v>1795</v>
      </c>
      <c r="I3282" s="8">
        <v>34.82282386</v>
      </c>
      <c r="J3282" s="8">
        <v>6402.4878849999996</v>
      </c>
      <c r="K3282" s="8">
        <v>6130.5136439999997</v>
      </c>
      <c r="L3282" s="8">
        <v>6673.1668339999997</v>
      </c>
      <c r="M3282" s="9" t="str">
        <f>IF(A3282="",M3283,A3282)</f>
        <v>Panama</v>
      </c>
      <c r="N3282" s="3" t="str">
        <f t="shared" si="103"/>
        <v>May-2021</v>
      </c>
    </row>
    <row r="3283" spans="1:14" x14ac:dyDescent="0.3">
      <c r="A3283" s="3" t="s">
        <v>280</v>
      </c>
      <c r="B3283" s="3" t="s">
        <v>281</v>
      </c>
      <c r="C3283" s="8">
        <v>2021</v>
      </c>
      <c r="D3283" s="8">
        <v>6</v>
      </c>
      <c r="E3283" s="3" t="str">
        <f t="shared" si="102"/>
        <v>June</v>
      </c>
      <c r="F3283" s="3" t="s">
        <v>13</v>
      </c>
      <c r="G3283" s="8">
        <v>1789.1405219999999</v>
      </c>
      <c r="H3283" s="8">
        <v>1953</v>
      </c>
      <c r="I3283" s="8">
        <v>163.3594779</v>
      </c>
      <c r="J3283" s="8">
        <v>6565.8473629999999</v>
      </c>
      <c r="K3283" s="8">
        <v>6294.0795209999997</v>
      </c>
      <c r="L3283" s="8">
        <v>6843.8645079999997</v>
      </c>
      <c r="M3283" s="9" t="str">
        <f>IF(A3283="",M3284,A3283)</f>
        <v>Panama</v>
      </c>
      <c r="N3283" s="3" t="str">
        <f t="shared" si="103"/>
        <v>Jun-2021</v>
      </c>
    </row>
    <row r="3284" spans="1:14" x14ac:dyDescent="0.3">
      <c r="A3284" s="3" t="s">
        <v>280</v>
      </c>
      <c r="B3284" s="3" t="s">
        <v>281</v>
      </c>
      <c r="C3284" s="8">
        <v>2021</v>
      </c>
      <c r="D3284" s="8">
        <v>7</v>
      </c>
      <c r="E3284" s="3" t="str">
        <f t="shared" si="102"/>
        <v>July</v>
      </c>
      <c r="F3284" s="3" t="s">
        <v>13</v>
      </c>
      <c r="G3284" s="8">
        <v>1819.719754</v>
      </c>
      <c r="H3284" s="8">
        <v>2068</v>
      </c>
      <c r="I3284" s="8">
        <v>247.78024600000001</v>
      </c>
      <c r="J3284" s="8">
        <v>6813.6276090000001</v>
      </c>
      <c r="K3284" s="8">
        <v>6539.188674</v>
      </c>
      <c r="L3284" s="8">
        <v>7115.1624590000001</v>
      </c>
      <c r="M3284" s="9" t="str">
        <f>IF(A3284="",M3285,A3284)</f>
        <v>Panama</v>
      </c>
      <c r="N3284" s="3" t="str">
        <f t="shared" si="103"/>
        <v>Jul-2021</v>
      </c>
    </row>
    <row r="3285" spans="1:14" x14ac:dyDescent="0.3">
      <c r="A3285" s="3" t="s">
        <v>280</v>
      </c>
      <c r="B3285" s="3" t="s">
        <v>281</v>
      </c>
      <c r="C3285" s="8">
        <v>2021</v>
      </c>
      <c r="D3285" s="8">
        <v>8</v>
      </c>
      <c r="E3285" s="3" t="str">
        <f t="shared" si="102"/>
        <v>August</v>
      </c>
      <c r="F3285" s="3" t="s">
        <v>13</v>
      </c>
      <c r="G3285" s="8">
        <v>1837.1757640000001</v>
      </c>
      <c r="H3285" s="8">
        <v>2142</v>
      </c>
      <c r="I3285" s="8">
        <v>304.32423549999999</v>
      </c>
      <c r="J3285" s="8">
        <v>7117.9518440000002</v>
      </c>
      <c r="K3285" s="8">
        <v>6826.5718530000004</v>
      </c>
      <c r="L3285" s="8">
        <v>7423.8121659999997</v>
      </c>
      <c r="M3285" s="9" t="str">
        <f>IF(A3285="",M3286,A3285)</f>
        <v>Panama</v>
      </c>
      <c r="N3285" s="3" t="str">
        <f t="shared" si="103"/>
        <v>Aug-2021</v>
      </c>
    </row>
    <row r="3286" spans="1:14" x14ac:dyDescent="0.3">
      <c r="A3286" s="3" t="s">
        <v>280</v>
      </c>
      <c r="B3286" s="3" t="s">
        <v>281</v>
      </c>
      <c r="C3286" s="8">
        <v>2021</v>
      </c>
      <c r="D3286" s="8">
        <v>9</v>
      </c>
      <c r="E3286" s="3" t="str">
        <f t="shared" si="102"/>
        <v>September</v>
      </c>
      <c r="F3286" s="3" t="s">
        <v>13</v>
      </c>
      <c r="G3286" s="8">
        <v>1838.0844030000001</v>
      </c>
      <c r="H3286" s="8">
        <v>1998</v>
      </c>
      <c r="I3286" s="8">
        <v>159.41559670000001</v>
      </c>
      <c r="J3286" s="8">
        <v>7277.3674410000003</v>
      </c>
      <c r="K3286" s="8">
        <v>6974.0542560000004</v>
      </c>
      <c r="L3286" s="8">
        <v>7568.8384070000002</v>
      </c>
      <c r="M3286" s="9" t="str">
        <f>IF(A3286="",M3287,A3286)</f>
        <v>Panama</v>
      </c>
      <c r="N3286" s="3" t="str">
        <f t="shared" si="103"/>
        <v>Sep-2021</v>
      </c>
    </row>
    <row r="3287" spans="1:14" x14ac:dyDescent="0.3">
      <c r="A3287" s="3" t="s">
        <v>280</v>
      </c>
      <c r="B3287" s="3" t="s">
        <v>281</v>
      </c>
      <c r="C3287" s="8">
        <v>2021</v>
      </c>
      <c r="D3287" s="8">
        <v>10</v>
      </c>
      <c r="E3287" s="3" t="str">
        <f t="shared" si="102"/>
        <v>October</v>
      </c>
      <c r="F3287" s="3" t="s">
        <v>13</v>
      </c>
      <c r="G3287" s="8">
        <v>1840.5073050000001</v>
      </c>
      <c r="H3287" s="8">
        <v>1821</v>
      </c>
      <c r="I3287" s="8">
        <v>-20.007305169999999</v>
      </c>
      <c r="J3287" s="8">
        <v>7257.3601360000002</v>
      </c>
      <c r="K3287" s="8">
        <v>6915.2977499999997</v>
      </c>
      <c r="L3287" s="8">
        <v>7556.7854340000004</v>
      </c>
      <c r="M3287" s="9" t="str">
        <f>IF(A3287="",M3288,A3287)</f>
        <v>Panama</v>
      </c>
      <c r="N3287" s="3" t="str">
        <f t="shared" si="103"/>
        <v>Oct-2021</v>
      </c>
    </row>
    <row r="3288" spans="1:14" x14ac:dyDescent="0.3">
      <c r="A3288" s="3" t="s">
        <v>280</v>
      </c>
      <c r="B3288" s="3" t="s">
        <v>281</v>
      </c>
      <c r="C3288" s="8">
        <v>2021</v>
      </c>
      <c r="D3288" s="8">
        <v>11</v>
      </c>
      <c r="E3288" s="3" t="str">
        <f t="shared" si="102"/>
        <v>November</v>
      </c>
      <c r="F3288" s="3" t="s">
        <v>8</v>
      </c>
      <c r="G3288" s="8">
        <v>1828.541759</v>
      </c>
      <c r="H3288" s="8">
        <v>1895.33</v>
      </c>
      <c r="I3288" s="8">
        <v>66.288240909999999</v>
      </c>
      <c r="J3288" s="8">
        <v>7323.6483770000004</v>
      </c>
      <c r="K3288" s="8">
        <v>6762.7566649999999</v>
      </c>
      <c r="L3288" s="8">
        <v>7942.8217080000004</v>
      </c>
      <c r="M3288" s="9" t="str">
        <f>IF(A3288="",M3289,A3288)</f>
        <v>Panama</v>
      </c>
      <c r="N3288" s="3" t="str">
        <f t="shared" si="103"/>
        <v>Nov-2021</v>
      </c>
    </row>
    <row r="3289" spans="1:14" x14ac:dyDescent="0.3">
      <c r="A3289" s="3" t="s">
        <v>280</v>
      </c>
      <c r="B3289" s="3" t="s">
        <v>281</v>
      </c>
      <c r="C3289" s="8">
        <v>2021</v>
      </c>
      <c r="D3289" s="8">
        <v>12</v>
      </c>
      <c r="E3289" s="3" t="str">
        <f t="shared" si="102"/>
        <v>December</v>
      </c>
      <c r="F3289" s="3" t="s">
        <v>8</v>
      </c>
      <c r="G3289" s="8">
        <v>1807.4123890000001</v>
      </c>
      <c r="H3289" s="8">
        <v>1975.6780000000001</v>
      </c>
      <c r="I3289" s="8">
        <v>167.76561140000001</v>
      </c>
      <c r="J3289" s="8">
        <v>7491.4139880000002</v>
      </c>
      <c r="K3289" s="8">
        <v>6690.7653710000004</v>
      </c>
      <c r="L3289" s="8">
        <v>8389.3684439999997</v>
      </c>
      <c r="M3289" s="9" t="str">
        <f>IF(A3289="",M3290,A3289)</f>
        <v>Panama</v>
      </c>
      <c r="N3289" s="3" t="str">
        <f t="shared" si="103"/>
        <v>Dec-2021</v>
      </c>
    </row>
    <row r="3290" spans="1:14" x14ac:dyDescent="0.3">
      <c r="A3290" s="3" t="s">
        <v>282</v>
      </c>
      <c r="B3290" s="3" t="s">
        <v>283</v>
      </c>
      <c r="C3290" s="8">
        <v>2020</v>
      </c>
      <c r="D3290" s="8">
        <v>1</v>
      </c>
      <c r="E3290" s="3" t="str">
        <f t="shared" si="102"/>
        <v>January</v>
      </c>
      <c r="F3290" s="3" t="s">
        <v>13</v>
      </c>
      <c r="G3290" s="8">
        <v>16491.898160000001</v>
      </c>
      <c r="H3290" s="8">
        <v>15196</v>
      </c>
      <c r="I3290" s="8">
        <v>-1306.690417</v>
      </c>
      <c r="J3290" s="8">
        <v>-1306.690417</v>
      </c>
      <c r="K3290" s="8">
        <v>-1987.4221809999999</v>
      </c>
      <c r="L3290" s="8">
        <v>-582.47655999999995</v>
      </c>
      <c r="M3290" s="9" t="str">
        <f>IF(A3290="",M3291,A3290)</f>
        <v>Peru</v>
      </c>
      <c r="N3290" s="3" t="str">
        <f t="shared" si="103"/>
        <v>Jan-2020</v>
      </c>
    </row>
    <row r="3291" spans="1:14" x14ac:dyDescent="0.3">
      <c r="A3291" s="3" t="s">
        <v>282</v>
      </c>
      <c r="B3291" s="3" t="s">
        <v>283</v>
      </c>
      <c r="C3291" s="8">
        <v>2020</v>
      </c>
      <c r="D3291" s="8">
        <v>2</v>
      </c>
      <c r="E3291" s="3" t="str">
        <f t="shared" si="102"/>
        <v>February</v>
      </c>
      <c r="F3291" s="3" t="s">
        <v>13</v>
      </c>
      <c r="G3291" s="8">
        <v>16179.13104</v>
      </c>
      <c r="H3291" s="8">
        <v>14480</v>
      </c>
      <c r="I3291" s="8">
        <v>-1709.923303</v>
      </c>
      <c r="J3291" s="8">
        <v>-3016.6137199999998</v>
      </c>
      <c r="K3291" s="8">
        <v>-4074.935375</v>
      </c>
      <c r="L3291" s="8">
        <v>-1924.2580379999999</v>
      </c>
      <c r="M3291" s="9" t="str">
        <f>IF(A3291="",M3292,A3291)</f>
        <v>Peru</v>
      </c>
      <c r="N3291" s="3" t="str">
        <f t="shared" si="103"/>
        <v>Feb-2020</v>
      </c>
    </row>
    <row r="3292" spans="1:14" x14ac:dyDescent="0.3">
      <c r="A3292" s="3" t="s">
        <v>282</v>
      </c>
      <c r="B3292" s="3" t="s">
        <v>283</v>
      </c>
      <c r="C3292" s="8">
        <v>2020</v>
      </c>
      <c r="D3292" s="8">
        <v>3</v>
      </c>
      <c r="E3292" s="3" t="str">
        <f t="shared" si="102"/>
        <v>March</v>
      </c>
      <c r="F3292" s="3" t="s">
        <v>13</v>
      </c>
      <c r="G3292" s="8">
        <v>16164.882180000001</v>
      </c>
      <c r="H3292" s="8">
        <v>15058</v>
      </c>
      <c r="I3292" s="8">
        <v>-1117.674444</v>
      </c>
      <c r="J3292" s="8">
        <v>-4134.2881649999999</v>
      </c>
      <c r="K3292" s="8">
        <v>-5494.278969</v>
      </c>
      <c r="L3292" s="8">
        <v>-2667.1690840000001</v>
      </c>
      <c r="M3292" s="9" t="str">
        <f>IF(A3292="",M3293,A3292)</f>
        <v>Peru</v>
      </c>
      <c r="N3292" s="3" t="str">
        <f t="shared" si="103"/>
        <v>Mar-2020</v>
      </c>
    </row>
    <row r="3293" spans="1:14" x14ac:dyDescent="0.3">
      <c r="A3293" s="3" t="s">
        <v>282</v>
      </c>
      <c r="B3293" s="3" t="s">
        <v>283</v>
      </c>
      <c r="C3293" s="8">
        <v>2020</v>
      </c>
      <c r="D3293" s="8">
        <v>4</v>
      </c>
      <c r="E3293" s="3" t="str">
        <f t="shared" si="102"/>
        <v>April</v>
      </c>
      <c r="F3293" s="3" t="s">
        <v>13</v>
      </c>
      <c r="G3293" s="8">
        <v>16318.218080000001</v>
      </c>
      <c r="H3293" s="8">
        <v>20190</v>
      </c>
      <c r="I3293" s="8">
        <v>3860.9896650000001</v>
      </c>
      <c r="J3293" s="8">
        <v>-273.29849960000001</v>
      </c>
      <c r="K3293" s="8">
        <v>-1770.192503</v>
      </c>
      <c r="L3293" s="8">
        <v>1304.762076</v>
      </c>
      <c r="M3293" s="9" t="str">
        <f>IF(A3293="",M3294,A3293)</f>
        <v>Peru</v>
      </c>
      <c r="N3293" s="3" t="str">
        <f t="shared" si="103"/>
        <v>Apr-2020</v>
      </c>
    </row>
    <row r="3294" spans="1:14" x14ac:dyDescent="0.3">
      <c r="A3294" s="3" t="s">
        <v>282</v>
      </c>
      <c r="B3294" s="3" t="s">
        <v>283</v>
      </c>
      <c r="C3294" s="8">
        <v>2020</v>
      </c>
      <c r="D3294" s="8">
        <v>5</v>
      </c>
      <c r="E3294" s="3" t="str">
        <f t="shared" si="102"/>
        <v>May</v>
      </c>
      <c r="F3294" s="3" t="s">
        <v>13</v>
      </c>
      <c r="G3294" s="8">
        <v>16770.159739999999</v>
      </c>
      <c r="H3294" s="8">
        <v>38170</v>
      </c>
      <c r="I3294" s="8">
        <v>21389.047999999999</v>
      </c>
      <c r="J3294" s="8">
        <v>21115.749500000002</v>
      </c>
      <c r="K3294" s="8">
        <v>19327.228319999998</v>
      </c>
      <c r="L3294" s="8">
        <v>22901.76066</v>
      </c>
      <c r="M3294" s="9" t="str">
        <f>IF(A3294="",M3295,A3294)</f>
        <v>Peru</v>
      </c>
      <c r="N3294" s="3" t="str">
        <f t="shared" si="103"/>
        <v>May-2020</v>
      </c>
    </row>
    <row r="3295" spans="1:14" x14ac:dyDescent="0.3">
      <c r="A3295" s="3" t="s">
        <v>282</v>
      </c>
      <c r="B3295" s="3" t="s">
        <v>283</v>
      </c>
      <c r="C3295" s="8">
        <v>2020</v>
      </c>
      <c r="D3295" s="8">
        <v>6</v>
      </c>
      <c r="E3295" s="3" t="str">
        <f t="shared" si="102"/>
        <v>June</v>
      </c>
      <c r="F3295" s="3" t="s">
        <v>13</v>
      </c>
      <c r="G3295" s="8">
        <v>17414.55975</v>
      </c>
      <c r="H3295" s="8">
        <v>39846</v>
      </c>
      <c r="I3295" s="8">
        <v>22420.647990000001</v>
      </c>
      <c r="J3295" s="8">
        <v>43536.397490000003</v>
      </c>
      <c r="K3295" s="8">
        <v>41424.672559999999</v>
      </c>
      <c r="L3295" s="8">
        <v>45563.148280000001</v>
      </c>
      <c r="M3295" s="9" t="str">
        <f>IF(A3295="",M3296,A3295)</f>
        <v>Peru</v>
      </c>
      <c r="N3295" s="3" t="str">
        <f t="shared" si="103"/>
        <v>Jun-2020</v>
      </c>
    </row>
    <row r="3296" spans="1:14" x14ac:dyDescent="0.3">
      <c r="A3296" s="3" t="s">
        <v>282</v>
      </c>
      <c r="B3296" s="3" t="s">
        <v>283</v>
      </c>
      <c r="C3296" s="8">
        <v>2020</v>
      </c>
      <c r="D3296" s="8">
        <v>7</v>
      </c>
      <c r="E3296" s="3" t="str">
        <f t="shared" si="102"/>
        <v>July</v>
      </c>
      <c r="F3296" s="3" t="s">
        <v>13</v>
      </c>
      <c r="G3296" s="8">
        <v>17912.880099999998</v>
      </c>
      <c r="H3296" s="8">
        <v>41840</v>
      </c>
      <c r="I3296" s="8">
        <v>23916.32764</v>
      </c>
      <c r="J3296" s="8">
        <v>67452.725130000006</v>
      </c>
      <c r="K3296" s="8">
        <v>65127.100030000001</v>
      </c>
      <c r="L3296" s="8">
        <v>69752.938720000006</v>
      </c>
      <c r="M3296" s="9" t="str">
        <f>IF(A3296="",M3297,A3296)</f>
        <v>Peru</v>
      </c>
      <c r="N3296" s="3" t="str">
        <f t="shared" si="103"/>
        <v>Jul-2020</v>
      </c>
    </row>
    <row r="3297" spans="1:14" x14ac:dyDescent="0.3">
      <c r="A3297" s="3" t="s">
        <v>282</v>
      </c>
      <c r="B3297" s="3" t="s">
        <v>283</v>
      </c>
      <c r="C3297" s="8">
        <v>2020</v>
      </c>
      <c r="D3297" s="8">
        <v>8</v>
      </c>
      <c r="E3297" s="3" t="str">
        <f t="shared" si="102"/>
        <v>August</v>
      </c>
      <c r="F3297" s="3" t="s">
        <v>13</v>
      </c>
      <c r="G3297" s="8">
        <v>18167.00416</v>
      </c>
      <c r="H3297" s="8">
        <v>39809</v>
      </c>
      <c r="I3297" s="8">
        <v>21631.203580000001</v>
      </c>
      <c r="J3297" s="8">
        <v>89083.928709999993</v>
      </c>
      <c r="K3297" s="8">
        <v>86500.430890000003</v>
      </c>
      <c r="L3297" s="8">
        <v>91544.214500000002</v>
      </c>
      <c r="M3297" s="9" t="str">
        <f>IF(A3297="",M3298,A3297)</f>
        <v>Peru</v>
      </c>
      <c r="N3297" s="3" t="str">
        <f t="shared" si="103"/>
        <v>Aug-2020</v>
      </c>
    </row>
    <row r="3298" spans="1:14" x14ac:dyDescent="0.3">
      <c r="A3298" s="3" t="s">
        <v>282</v>
      </c>
      <c r="B3298" s="3" t="s">
        <v>283</v>
      </c>
      <c r="C3298" s="8">
        <v>2020</v>
      </c>
      <c r="D3298" s="8">
        <v>9</v>
      </c>
      <c r="E3298" s="3" t="str">
        <f t="shared" si="102"/>
        <v>September</v>
      </c>
      <c r="F3298" s="3" t="s">
        <v>13</v>
      </c>
      <c r="G3298" s="8">
        <v>18095.8014</v>
      </c>
      <c r="H3298" s="8">
        <v>24530</v>
      </c>
      <c r="I3298" s="8">
        <v>6423.4063450000003</v>
      </c>
      <c r="J3298" s="8">
        <v>95507.335049999994</v>
      </c>
      <c r="K3298" s="8">
        <v>92798.997759999998</v>
      </c>
      <c r="L3298" s="8">
        <v>98177.783169999995</v>
      </c>
      <c r="M3298" s="9" t="str">
        <f>IF(A3298="",M3299,A3298)</f>
        <v>Peru</v>
      </c>
      <c r="N3298" s="3" t="str">
        <f t="shared" si="103"/>
        <v>Sep-2020</v>
      </c>
    </row>
    <row r="3299" spans="1:14" x14ac:dyDescent="0.3">
      <c r="A3299" s="3" t="s">
        <v>282</v>
      </c>
      <c r="B3299" s="3" t="s">
        <v>283</v>
      </c>
      <c r="C3299" s="8">
        <v>2020</v>
      </c>
      <c r="D3299" s="8">
        <v>10</v>
      </c>
      <c r="E3299" s="3" t="str">
        <f t="shared" si="102"/>
        <v>October</v>
      </c>
      <c r="F3299" s="3" t="s">
        <v>13</v>
      </c>
      <c r="G3299" s="8">
        <v>17839.614150000001</v>
      </c>
      <c r="H3299" s="8">
        <v>19578</v>
      </c>
      <c r="I3299" s="8">
        <v>1727.5935930000001</v>
      </c>
      <c r="J3299" s="8">
        <v>97234.928650000002</v>
      </c>
      <c r="K3299" s="8">
        <v>94415.603959999993</v>
      </c>
      <c r="L3299" s="8">
        <v>99926.650219999996</v>
      </c>
      <c r="M3299" s="9" t="str">
        <f>IF(A3299="",M3300,A3299)</f>
        <v>Peru</v>
      </c>
      <c r="N3299" s="3" t="str">
        <f t="shared" si="103"/>
        <v>Oct-2020</v>
      </c>
    </row>
    <row r="3300" spans="1:14" x14ac:dyDescent="0.3">
      <c r="A3300" s="3" t="s">
        <v>282</v>
      </c>
      <c r="B3300" s="3" t="s">
        <v>283</v>
      </c>
      <c r="C3300" s="8">
        <v>2020</v>
      </c>
      <c r="D3300" s="8">
        <v>11</v>
      </c>
      <c r="E3300" s="3" t="str">
        <f t="shared" si="102"/>
        <v>November</v>
      </c>
      <c r="F3300" s="3" t="s">
        <v>13</v>
      </c>
      <c r="G3300" s="8">
        <v>17389.403859999999</v>
      </c>
      <c r="H3300" s="8">
        <v>17678</v>
      </c>
      <c r="I3300" s="8">
        <v>277.80387990000003</v>
      </c>
      <c r="J3300" s="8">
        <v>97512.732529999994</v>
      </c>
      <c r="K3300" s="8">
        <v>94413.581680000003</v>
      </c>
      <c r="L3300" s="8">
        <v>100469.42969999999</v>
      </c>
      <c r="M3300" s="9" t="str">
        <f>IF(A3300="",M3301,A3300)</f>
        <v>Peru</v>
      </c>
      <c r="N3300" s="3" t="str">
        <f t="shared" si="103"/>
        <v>Nov-2020</v>
      </c>
    </row>
    <row r="3301" spans="1:14" x14ac:dyDescent="0.3">
      <c r="A3301" s="3" t="s">
        <v>282</v>
      </c>
      <c r="B3301" s="3" t="s">
        <v>283</v>
      </c>
      <c r="C3301" s="8">
        <v>2020</v>
      </c>
      <c r="D3301" s="8">
        <v>12</v>
      </c>
      <c r="E3301" s="3" t="str">
        <f t="shared" si="102"/>
        <v>December</v>
      </c>
      <c r="F3301" s="3" t="s">
        <v>13</v>
      </c>
      <c r="G3301" s="8">
        <v>16903.32689</v>
      </c>
      <c r="H3301" s="8">
        <v>19508</v>
      </c>
      <c r="I3301" s="8">
        <v>2593.880846</v>
      </c>
      <c r="J3301" s="8">
        <v>100106.6134</v>
      </c>
      <c r="K3301" s="8">
        <v>96897.891199999998</v>
      </c>
      <c r="L3301" s="8">
        <v>103277.31630000001</v>
      </c>
      <c r="M3301" s="9" t="str">
        <f>IF(A3301="",M3302,A3301)</f>
        <v>Peru</v>
      </c>
      <c r="N3301" s="3" t="str">
        <f t="shared" si="103"/>
        <v>Dec-2020</v>
      </c>
    </row>
    <row r="3302" spans="1:14" x14ac:dyDescent="0.3">
      <c r="A3302" s="3" t="s">
        <v>282</v>
      </c>
      <c r="B3302" s="3" t="s">
        <v>283</v>
      </c>
      <c r="C3302" s="8">
        <v>2021</v>
      </c>
      <c r="D3302" s="8">
        <v>1</v>
      </c>
      <c r="E3302" s="3" t="str">
        <f t="shared" si="102"/>
        <v>January</v>
      </c>
      <c r="F3302" s="3" t="s">
        <v>13</v>
      </c>
      <c r="G3302" s="8">
        <v>16964.59893</v>
      </c>
      <c r="H3302" s="8">
        <v>30495</v>
      </c>
      <c r="I3302" s="8">
        <v>13516.96365</v>
      </c>
      <c r="J3302" s="8">
        <v>113623.577</v>
      </c>
      <c r="K3302" s="8">
        <v>110300.2497</v>
      </c>
      <c r="L3302" s="8">
        <v>116929.1961</v>
      </c>
      <c r="M3302" s="9" t="str">
        <f>IF(A3302="",M3303,A3302)</f>
        <v>Peru</v>
      </c>
      <c r="N3302" s="3" t="str">
        <f t="shared" si="103"/>
        <v>Jan-2021</v>
      </c>
    </row>
    <row r="3303" spans="1:14" x14ac:dyDescent="0.3">
      <c r="A3303" s="3" t="s">
        <v>282</v>
      </c>
      <c r="B3303" s="3" t="s">
        <v>283</v>
      </c>
      <c r="C3303" s="8">
        <v>2021</v>
      </c>
      <c r="D3303" s="8">
        <v>2</v>
      </c>
      <c r="E3303" s="3" t="str">
        <f t="shared" si="102"/>
        <v>February</v>
      </c>
      <c r="F3303" s="3" t="s">
        <v>13</v>
      </c>
      <c r="G3303" s="8">
        <v>16581.315030000002</v>
      </c>
      <c r="H3303" s="8">
        <v>40277</v>
      </c>
      <c r="I3303" s="8">
        <v>23682.24755</v>
      </c>
      <c r="J3303" s="8">
        <v>137305.82459999999</v>
      </c>
      <c r="K3303" s="8">
        <v>133753.82680000001</v>
      </c>
      <c r="L3303" s="8">
        <v>140770.63500000001</v>
      </c>
      <c r="M3303" s="9" t="str">
        <f>IF(A3303="",M3304,A3303)</f>
        <v>Peru</v>
      </c>
      <c r="N3303" s="3" t="str">
        <f t="shared" si="103"/>
        <v>Feb-2021</v>
      </c>
    </row>
    <row r="3304" spans="1:14" x14ac:dyDescent="0.3">
      <c r="A3304" s="3" t="s">
        <v>282</v>
      </c>
      <c r="B3304" s="3" t="s">
        <v>283</v>
      </c>
      <c r="C3304" s="8">
        <v>2021</v>
      </c>
      <c r="D3304" s="8">
        <v>3</v>
      </c>
      <c r="E3304" s="3" t="str">
        <f t="shared" si="102"/>
        <v>March</v>
      </c>
      <c r="F3304" s="3" t="s">
        <v>13</v>
      </c>
      <c r="G3304" s="8">
        <v>16598.515739999999</v>
      </c>
      <c r="H3304" s="8">
        <v>44944</v>
      </c>
      <c r="I3304" s="8">
        <v>28332.046839999999</v>
      </c>
      <c r="J3304" s="8">
        <v>165637.8714</v>
      </c>
      <c r="K3304" s="8">
        <v>161943.1974</v>
      </c>
      <c r="L3304" s="8">
        <v>169329.62100000001</v>
      </c>
      <c r="M3304" s="9" t="str">
        <f>IF(A3304="",M3305,A3304)</f>
        <v>Peru</v>
      </c>
      <c r="N3304" s="3" t="str">
        <f t="shared" si="103"/>
        <v>Mar-2021</v>
      </c>
    </row>
    <row r="3305" spans="1:14" x14ac:dyDescent="0.3">
      <c r="A3305" s="3" t="s">
        <v>282</v>
      </c>
      <c r="B3305" s="3" t="s">
        <v>283</v>
      </c>
      <c r="C3305" s="8">
        <v>2021</v>
      </c>
      <c r="D3305" s="8">
        <v>4</v>
      </c>
      <c r="E3305" s="3" t="str">
        <f t="shared" si="102"/>
        <v>April</v>
      </c>
      <c r="F3305" s="3" t="s">
        <v>13</v>
      </c>
      <c r="G3305" s="8">
        <v>16778.372579999999</v>
      </c>
      <c r="H3305" s="8">
        <v>47491</v>
      </c>
      <c r="I3305" s="8">
        <v>30699.19</v>
      </c>
      <c r="J3305" s="8">
        <v>196337.06140000001</v>
      </c>
      <c r="K3305" s="8">
        <v>192391.538</v>
      </c>
      <c r="L3305" s="8">
        <v>200090.41159999999</v>
      </c>
      <c r="M3305" s="9" t="str">
        <f>IF(A3305="",M3306,A3305)</f>
        <v>Peru</v>
      </c>
      <c r="N3305" s="3" t="str">
        <f t="shared" si="103"/>
        <v>Apr-2021</v>
      </c>
    </row>
    <row r="3306" spans="1:14" x14ac:dyDescent="0.3">
      <c r="A3306" s="3" t="s">
        <v>282</v>
      </c>
      <c r="B3306" s="3" t="s">
        <v>283</v>
      </c>
      <c r="C3306" s="8">
        <v>2021</v>
      </c>
      <c r="D3306" s="8">
        <v>5</v>
      </c>
      <c r="E3306" s="3" t="str">
        <f t="shared" si="102"/>
        <v>May</v>
      </c>
      <c r="F3306" s="3" t="s">
        <v>13</v>
      </c>
      <c r="G3306" s="8">
        <v>17166.12514</v>
      </c>
      <c r="H3306" s="8">
        <v>38278</v>
      </c>
      <c r="I3306" s="8">
        <v>21098.437440000002</v>
      </c>
      <c r="J3306" s="8">
        <v>217435.4988</v>
      </c>
      <c r="K3306" s="8">
        <v>213217.94339999999</v>
      </c>
      <c r="L3306" s="8">
        <v>221443.48499999999</v>
      </c>
      <c r="M3306" s="9" t="str">
        <f>IF(A3306="",M3307,A3306)</f>
        <v>Peru</v>
      </c>
      <c r="N3306" s="3" t="str">
        <f t="shared" si="103"/>
        <v>May-2021</v>
      </c>
    </row>
    <row r="3307" spans="1:14" x14ac:dyDescent="0.3">
      <c r="A3307" s="3" t="s">
        <v>282</v>
      </c>
      <c r="B3307" s="3" t="s">
        <v>283</v>
      </c>
      <c r="C3307" s="8">
        <v>2021</v>
      </c>
      <c r="D3307" s="8">
        <v>6</v>
      </c>
      <c r="E3307" s="3" t="str">
        <f t="shared" si="102"/>
        <v>June</v>
      </c>
      <c r="F3307" s="3" t="s">
        <v>13</v>
      </c>
      <c r="G3307" s="8">
        <v>17887.444019999999</v>
      </c>
      <c r="H3307" s="8">
        <v>25989</v>
      </c>
      <c r="I3307" s="8">
        <v>8088.1185539999997</v>
      </c>
      <c r="J3307" s="8">
        <v>225523.61739999999</v>
      </c>
      <c r="K3307" s="8">
        <v>221155.70379999999</v>
      </c>
      <c r="L3307" s="8">
        <v>229604.69889999999</v>
      </c>
      <c r="M3307" s="9" t="str">
        <f>IF(A3307="",M3308,A3307)</f>
        <v>Peru</v>
      </c>
      <c r="N3307" s="3" t="str">
        <f t="shared" si="103"/>
        <v>Jun-2021</v>
      </c>
    </row>
    <row r="3308" spans="1:14" x14ac:dyDescent="0.3">
      <c r="A3308" s="3" t="s">
        <v>282</v>
      </c>
      <c r="B3308" s="3" t="s">
        <v>283</v>
      </c>
      <c r="C3308" s="8">
        <v>2021</v>
      </c>
      <c r="D3308" s="8">
        <v>7</v>
      </c>
      <c r="E3308" s="3" t="str">
        <f t="shared" si="102"/>
        <v>July</v>
      </c>
      <c r="F3308" s="3" t="s">
        <v>13</v>
      </c>
      <c r="G3308" s="8">
        <v>18405.008140000002</v>
      </c>
      <c r="H3308" s="8">
        <v>20366</v>
      </c>
      <c r="I3308" s="8">
        <v>1947.5544359999999</v>
      </c>
      <c r="J3308" s="8">
        <v>227471.17180000001</v>
      </c>
      <c r="K3308" s="8">
        <v>222921.4829</v>
      </c>
      <c r="L3308" s="8">
        <v>231911.16570000001</v>
      </c>
      <c r="M3308" s="9" t="str">
        <f>IF(A3308="",M3309,A3308)</f>
        <v>Peru</v>
      </c>
      <c r="N3308" s="3" t="str">
        <f t="shared" si="103"/>
        <v>Jul-2021</v>
      </c>
    </row>
    <row r="3309" spans="1:14" x14ac:dyDescent="0.3">
      <c r="A3309" s="3" t="s">
        <v>282</v>
      </c>
      <c r="B3309" s="3" t="s">
        <v>283</v>
      </c>
      <c r="C3309" s="8">
        <v>2021</v>
      </c>
      <c r="D3309" s="8">
        <v>8</v>
      </c>
      <c r="E3309" s="3" t="str">
        <f t="shared" si="102"/>
        <v>August</v>
      </c>
      <c r="F3309" s="3" t="s">
        <v>13</v>
      </c>
      <c r="G3309" s="8">
        <v>18667.772939999999</v>
      </c>
      <c r="H3309" s="8">
        <v>18270</v>
      </c>
      <c r="I3309" s="8">
        <v>-411.21036199999998</v>
      </c>
      <c r="J3309" s="8">
        <v>227059.9615</v>
      </c>
      <c r="K3309" s="8">
        <v>222540.91750000001</v>
      </c>
      <c r="L3309" s="8">
        <v>231516.29240000001</v>
      </c>
      <c r="M3309" s="9" t="str">
        <f>IF(A3309="",M3310,A3309)</f>
        <v>Peru</v>
      </c>
      <c r="N3309" s="3" t="str">
        <f t="shared" si="103"/>
        <v>Aug-2021</v>
      </c>
    </row>
    <row r="3310" spans="1:14" x14ac:dyDescent="0.3">
      <c r="A3310" s="3" t="s">
        <v>282</v>
      </c>
      <c r="B3310" s="3" t="s">
        <v>283</v>
      </c>
      <c r="C3310" s="8">
        <v>2021</v>
      </c>
      <c r="D3310" s="8">
        <v>9</v>
      </c>
      <c r="E3310" s="3" t="str">
        <f t="shared" si="102"/>
        <v>September</v>
      </c>
      <c r="F3310" s="3" t="s">
        <v>13</v>
      </c>
      <c r="G3310" s="8">
        <v>18578.543249999999</v>
      </c>
      <c r="H3310" s="8">
        <v>16882</v>
      </c>
      <c r="I3310" s="8">
        <v>-1709.9806679999999</v>
      </c>
      <c r="J3310" s="8">
        <v>225349.98079999999</v>
      </c>
      <c r="K3310" s="8">
        <v>220681.55780000001</v>
      </c>
      <c r="L3310" s="8">
        <v>229991.09770000001</v>
      </c>
      <c r="M3310" s="9" t="str">
        <f>IF(A3310="",M3311,A3310)</f>
        <v>Peru</v>
      </c>
      <c r="N3310" s="3" t="str">
        <f t="shared" si="103"/>
        <v>Sep-2021</v>
      </c>
    </row>
    <row r="3311" spans="1:14" x14ac:dyDescent="0.3">
      <c r="A3311" s="3" t="s">
        <v>282</v>
      </c>
      <c r="B3311" s="3" t="s">
        <v>283</v>
      </c>
      <c r="C3311" s="8">
        <v>2021</v>
      </c>
      <c r="D3311" s="8">
        <v>10</v>
      </c>
      <c r="E3311" s="3" t="str">
        <f t="shared" si="102"/>
        <v>October</v>
      </c>
      <c r="F3311" s="3" t="s">
        <v>13</v>
      </c>
      <c r="G3311" s="8">
        <v>18245.639009999999</v>
      </c>
      <c r="H3311" s="8">
        <v>17237</v>
      </c>
      <c r="I3311" s="8">
        <v>-1022.07643</v>
      </c>
      <c r="J3311" s="8">
        <v>224327.9044</v>
      </c>
      <c r="K3311" s="8">
        <v>219663.94820000001</v>
      </c>
      <c r="L3311" s="8">
        <v>229020.64790000001</v>
      </c>
      <c r="M3311" s="9" t="str">
        <f>IF(A3311="",M3312,A3311)</f>
        <v>Peru</v>
      </c>
      <c r="N3311" s="3" t="str">
        <f t="shared" si="103"/>
        <v>Oct-2021</v>
      </c>
    </row>
    <row r="3312" spans="1:14" x14ac:dyDescent="0.3">
      <c r="A3312" s="3" t="s">
        <v>282</v>
      </c>
      <c r="B3312" s="3" t="s">
        <v>283</v>
      </c>
      <c r="C3312" s="8">
        <v>2021</v>
      </c>
      <c r="D3312" s="8">
        <v>11</v>
      </c>
      <c r="E3312" s="3" t="str">
        <f t="shared" si="102"/>
        <v>November</v>
      </c>
      <c r="F3312" s="3" t="s">
        <v>13</v>
      </c>
      <c r="G3312" s="8">
        <v>17837.151999999998</v>
      </c>
      <c r="H3312" s="8">
        <v>16637</v>
      </c>
      <c r="I3312" s="8">
        <v>-1213.589422</v>
      </c>
      <c r="J3312" s="8">
        <v>223114.315</v>
      </c>
      <c r="K3312" s="8">
        <v>218060.73869999999</v>
      </c>
      <c r="L3312" s="8">
        <v>228167.2947</v>
      </c>
      <c r="M3312" s="9" t="str">
        <f>IF(A3312="",M3313,A3312)</f>
        <v>Peru</v>
      </c>
      <c r="N3312" s="3" t="str">
        <f t="shared" si="103"/>
        <v>Nov-2021</v>
      </c>
    </row>
    <row r="3313" spans="1:14" x14ac:dyDescent="0.3">
      <c r="A3313" s="3" t="s">
        <v>282</v>
      </c>
      <c r="B3313" s="3" t="s">
        <v>283</v>
      </c>
      <c r="C3313" s="8">
        <v>2021</v>
      </c>
      <c r="D3313" s="8">
        <v>12</v>
      </c>
      <c r="E3313" s="3" t="str">
        <f t="shared" si="102"/>
        <v>December</v>
      </c>
      <c r="F3313" s="3" t="s">
        <v>13</v>
      </c>
      <c r="G3313" s="8">
        <v>17343.088510000001</v>
      </c>
      <c r="H3313" s="8">
        <v>18433</v>
      </c>
      <c r="I3313" s="8">
        <v>1076.4740690000001</v>
      </c>
      <c r="J3313" s="8">
        <v>224190.78899999999</v>
      </c>
      <c r="K3313" s="8">
        <v>218753.73560000001</v>
      </c>
      <c r="L3313" s="8">
        <v>229385.8941</v>
      </c>
      <c r="M3313" s="9" t="str">
        <f>IF(A3313="",M3314,A3313)</f>
        <v>Peru</v>
      </c>
      <c r="N3313" s="3" t="str">
        <f t="shared" si="103"/>
        <v>Dec-2021</v>
      </c>
    </row>
    <row r="3314" spans="1:14" x14ac:dyDescent="0.3">
      <c r="A3314" s="3" t="s">
        <v>284</v>
      </c>
      <c r="B3314" s="3" t="s">
        <v>285</v>
      </c>
      <c r="C3314" s="8">
        <v>2020</v>
      </c>
      <c r="D3314" s="8">
        <v>1</v>
      </c>
      <c r="E3314" s="3" t="str">
        <f t="shared" si="102"/>
        <v>January</v>
      </c>
      <c r="F3314" s="3" t="s">
        <v>13</v>
      </c>
      <c r="G3314" s="8">
        <v>53437.552230000001</v>
      </c>
      <c r="H3314" s="8">
        <v>53500</v>
      </c>
      <c r="I3314" s="8">
        <v>-79.135566310000002</v>
      </c>
      <c r="J3314" s="8">
        <v>-79.135566310000002</v>
      </c>
      <c r="K3314" s="8">
        <v>-1170.8927040000001</v>
      </c>
      <c r="L3314" s="8">
        <v>1111.9449930000001</v>
      </c>
      <c r="M3314" s="9" t="str">
        <f>IF(A3314="",M3315,A3314)</f>
        <v>Philippines</v>
      </c>
      <c r="N3314" s="3" t="str">
        <f t="shared" si="103"/>
        <v>Jan-2020</v>
      </c>
    </row>
    <row r="3315" spans="1:14" x14ac:dyDescent="0.3">
      <c r="A3315" s="3" t="s">
        <v>284</v>
      </c>
      <c r="B3315" s="3" t="s">
        <v>285</v>
      </c>
      <c r="C3315" s="8">
        <v>2020</v>
      </c>
      <c r="D3315" s="8">
        <v>2</v>
      </c>
      <c r="E3315" s="3" t="str">
        <f t="shared" si="102"/>
        <v>February</v>
      </c>
      <c r="F3315" s="3" t="s">
        <v>13</v>
      </c>
      <c r="G3315" s="8">
        <v>48848.96615</v>
      </c>
      <c r="H3315" s="8">
        <v>46256</v>
      </c>
      <c r="I3315" s="8">
        <v>-2734.5494880000001</v>
      </c>
      <c r="J3315" s="8">
        <v>-2813.685054</v>
      </c>
      <c r="K3315" s="8">
        <v>-4597.5129450000004</v>
      </c>
      <c r="L3315" s="8">
        <v>-980.93309520000003</v>
      </c>
      <c r="M3315" s="9" t="str">
        <f>IF(A3315="",M3316,A3315)</f>
        <v>Philippines</v>
      </c>
      <c r="N3315" s="3" t="str">
        <f t="shared" si="103"/>
        <v>Feb-2020</v>
      </c>
    </row>
    <row r="3316" spans="1:14" x14ac:dyDescent="0.3">
      <c r="A3316" s="3" t="s">
        <v>284</v>
      </c>
      <c r="B3316" s="3" t="s">
        <v>285</v>
      </c>
      <c r="C3316" s="8">
        <v>2020</v>
      </c>
      <c r="D3316" s="8">
        <v>3</v>
      </c>
      <c r="E3316" s="3" t="str">
        <f t="shared" si="102"/>
        <v>March</v>
      </c>
      <c r="F3316" s="3" t="s">
        <v>13</v>
      </c>
      <c r="G3316" s="8">
        <v>50545.124640000002</v>
      </c>
      <c r="H3316" s="8">
        <v>45996</v>
      </c>
      <c r="I3316" s="8">
        <v>-4690.707969</v>
      </c>
      <c r="J3316" s="8">
        <v>-7504.3930229999996</v>
      </c>
      <c r="K3316" s="8">
        <v>-9807.3138589999999</v>
      </c>
      <c r="L3316" s="8">
        <v>-5140.6830849999997</v>
      </c>
      <c r="M3316" s="9" t="str">
        <f>IF(A3316="",M3317,A3316)</f>
        <v>Philippines</v>
      </c>
      <c r="N3316" s="3" t="str">
        <f t="shared" si="103"/>
        <v>Mar-2020</v>
      </c>
    </row>
    <row r="3317" spans="1:14" x14ac:dyDescent="0.3">
      <c r="A3317" s="3" t="s">
        <v>284</v>
      </c>
      <c r="B3317" s="3" t="s">
        <v>285</v>
      </c>
      <c r="C3317" s="8">
        <v>2020</v>
      </c>
      <c r="D3317" s="8">
        <v>4</v>
      </c>
      <c r="E3317" s="3" t="str">
        <f t="shared" si="102"/>
        <v>April</v>
      </c>
      <c r="F3317" s="3" t="s">
        <v>13</v>
      </c>
      <c r="G3317" s="8">
        <v>50592.009039999997</v>
      </c>
      <c r="H3317" s="8">
        <v>44768</v>
      </c>
      <c r="I3317" s="8">
        <v>-5965.5923769999999</v>
      </c>
      <c r="J3317" s="8">
        <v>-13469.9854</v>
      </c>
      <c r="K3317" s="8">
        <v>-16214.811299999999</v>
      </c>
      <c r="L3317" s="8">
        <v>-10613.86723</v>
      </c>
      <c r="M3317" s="9" t="str">
        <f>IF(A3317="",M3318,A3317)</f>
        <v>Philippines</v>
      </c>
      <c r="N3317" s="3" t="str">
        <f t="shared" si="103"/>
        <v>Apr-2020</v>
      </c>
    </row>
    <row r="3318" spans="1:14" x14ac:dyDescent="0.3">
      <c r="A3318" s="3" t="s">
        <v>284</v>
      </c>
      <c r="B3318" s="3" t="s">
        <v>285</v>
      </c>
      <c r="C3318" s="8">
        <v>2020</v>
      </c>
      <c r="D3318" s="8">
        <v>5</v>
      </c>
      <c r="E3318" s="3" t="str">
        <f t="shared" si="102"/>
        <v>May</v>
      </c>
      <c r="F3318" s="3" t="s">
        <v>13</v>
      </c>
      <c r="G3318" s="8">
        <v>51832.259570000002</v>
      </c>
      <c r="H3318" s="8">
        <v>50251</v>
      </c>
      <c r="I3318" s="8">
        <v>-1722.8429020000001</v>
      </c>
      <c r="J3318" s="8">
        <v>-15192.828299999999</v>
      </c>
      <c r="K3318" s="8">
        <v>-18340.151150000002</v>
      </c>
      <c r="L3318" s="8">
        <v>-12001.774359999999</v>
      </c>
      <c r="M3318" s="9" t="str">
        <f>IF(A3318="",M3319,A3318)</f>
        <v>Philippines</v>
      </c>
      <c r="N3318" s="3" t="str">
        <f t="shared" si="103"/>
        <v>May-2020</v>
      </c>
    </row>
    <row r="3319" spans="1:14" x14ac:dyDescent="0.3">
      <c r="A3319" s="3" t="s">
        <v>284</v>
      </c>
      <c r="B3319" s="3" t="s">
        <v>285</v>
      </c>
      <c r="C3319" s="8">
        <v>2020</v>
      </c>
      <c r="D3319" s="8">
        <v>6</v>
      </c>
      <c r="E3319" s="3" t="str">
        <f t="shared" si="102"/>
        <v>June</v>
      </c>
      <c r="F3319" s="3" t="s">
        <v>13</v>
      </c>
      <c r="G3319" s="8">
        <v>49359.759149999998</v>
      </c>
      <c r="H3319" s="8">
        <v>48484</v>
      </c>
      <c r="I3319" s="8">
        <v>-1017.342481</v>
      </c>
      <c r="J3319" s="8">
        <v>-16210.17078</v>
      </c>
      <c r="K3319" s="8">
        <v>-19312.131570000001</v>
      </c>
      <c r="L3319" s="8">
        <v>-12809.940689999999</v>
      </c>
      <c r="M3319" s="9" t="str">
        <f>IF(A3319="",M3320,A3319)</f>
        <v>Philippines</v>
      </c>
      <c r="N3319" s="3" t="str">
        <f t="shared" si="103"/>
        <v>Jun-2020</v>
      </c>
    </row>
    <row r="3320" spans="1:14" x14ac:dyDescent="0.3">
      <c r="A3320" s="3" t="s">
        <v>284</v>
      </c>
      <c r="B3320" s="3" t="s">
        <v>285</v>
      </c>
      <c r="C3320" s="8">
        <v>2020</v>
      </c>
      <c r="D3320" s="8">
        <v>7</v>
      </c>
      <c r="E3320" s="3" t="str">
        <f t="shared" si="102"/>
        <v>July</v>
      </c>
      <c r="F3320" s="3" t="s">
        <v>13</v>
      </c>
      <c r="G3320" s="8">
        <v>51876.916669999999</v>
      </c>
      <c r="H3320" s="8">
        <v>54412</v>
      </c>
      <c r="I3320" s="8">
        <v>2393.4999969999999</v>
      </c>
      <c r="J3320" s="8">
        <v>-13816.67079</v>
      </c>
      <c r="K3320" s="8">
        <v>-17340.986550000001</v>
      </c>
      <c r="L3320" s="8">
        <v>-10107.53147</v>
      </c>
      <c r="M3320" s="9" t="str">
        <f>IF(A3320="",M3321,A3320)</f>
        <v>Philippines</v>
      </c>
      <c r="N3320" s="3" t="str">
        <f t="shared" si="103"/>
        <v>Jul-2020</v>
      </c>
    </row>
    <row r="3321" spans="1:14" x14ac:dyDescent="0.3">
      <c r="A3321" s="3" t="s">
        <v>284</v>
      </c>
      <c r="B3321" s="3" t="s">
        <v>285</v>
      </c>
      <c r="C3321" s="8">
        <v>2020</v>
      </c>
      <c r="D3321" s="8">
        <v>8</v>
      </c>
      <c r="E3321" s="3" t="str">
        <f t="shared" si="102"/>
        <v>August</v>
      </c>
      <c r="F3321" s="3" t="s">
        <v>13</v>
      </c>
      <c r="G3321" s="8">
        <v>53706.981469999999</v>
      </c>
      <c r="H3321" s="8">
        <v>56827</v>
      </c>
      <c r="I3321" s="8">
        <v>2978.435195</v>
      </c>
      <c r="J3321" s="8">
        <v>-10838.23559</v>
      </c>
      <c r="K3321" s="8">
        <v>-14968.23849</v>
      </c>
      <c r="L3321" s="8">
        <v>-6654.6445880000001</v>
      </c>
      <c r="M3321" s="9" t="str">
        <f>IF(A3321="",M3322,A3321)</f>
        <v>Philippines</v>
      </c>
      <c r="N3321" s="3" t="str">
        <f t="shared" si="103"/>
        <v>Aug-2020</v>
      </c>
    </row>
    <row r="3322" spans="1:14" x14ac:dyDescent="0.3">
      <c r="A3322" s="3" t="s">
        <v>284</v>
      </c>
      <c r="B3322" s="3" t="s">
        <v>285</v>
      </c>
      <c r="C3322" s="8">
        <v>2020</v>
      </c>
      <c r="D3322" s="8">
        <v>9</v>
      </c>
      <c r="E3322" s="3" t="str">
        <f t="shared" si="102"/>
        <v>September</v>
      </c>
      <c r="F3322" s="3" t="s">
        <v>13</v>
      </c>
      <c r="G3322" s="8">
        <v>52802.751900000003</v>
      </c>
      <c r="H3322" s="8">
        <v>53953</v>
      </c>
      <c r="I3322" s="8">
        <v>1008.664762</v>
      </c>
      <c r="J3322" s="8">
        <v>-9829.5708290000002</v>
      </c>
      <c r="K3322" s="8">
        <v>-14051.057570000001</v>
      </c>
      <c r="L3322" s="8">
        <v>-5650.5132059999996</v>
      </c>
      <c r="M3322" s="9" t="str">
        <f>IF(A3322="",M3323,A3322)</f>
        <v>Philippines</v>
      </c>
      <c r="N3322" s="3" t="str">
        <f t="shared" si="103"/>
        <v>Sep-2020</v>
      </c>
    </row>
    <row r="3323" spans="1:14" x14ac:dyDescent="0.3">
      <c r="A3323" s="3" t="s">
        <v>284</v>
      </c>
      <c r="B3323" s="3" t="s">
        <v>285</v>
      </c>
      <c r="C3323" s="8">
        <v>2020</v>
      </c>
      <c r="D3323" s="8">
        <v>10</v>
      </c>
      <c r="E3323" s="3" t="str">
        <f t="shared" si="102"/>
        <v>October</v>
      </c>
      <c r="F3323" s="3" t="s">
        <v>13</v>
      </c>
      <c r="G3323" s="8">
        <v>54194.437409999999</v>
      </c>
      <c r="H3323" s="8">
        <v>54200</v>
      </c>
      <c r="I3323" s="8">
        <v>-136.02073920000001</v>
      </c>
      <c r="J3323" s="8">
        <v>-9965.5915679999998</v>
      </c>
      <c r="K3323" s="8">
        <v>-14240.831620000001</v>
      </c>
      <c r="L3323" s="8">
        <v>-5306.7691590000004</v>
      </c>
      <c r="M3323" s="9" t="str">
        <f>IF(A3323="",M3324,A3323)</f>
        <v>Philippines</v>
      </c>
      <c r="N3323" s="3" t="str">
        <f t="shared" si="103"/>
        <v>Oct-2020</v>
      </c>
    </row>
    <row r="3324" spans="1:14" x14ac:dyDescent="0.3">
      <c r="A3324" s="3" t="s">
        <v>284</v>
      </c>
      <c r="B3324" s="3" t="s">
        <v>285</v>
      </c>
      <c r="C3324" s="8">
        <v>2020</v>
      </c>
      <c r="D3324" s="8">
        <v>11</v>
      </c>
      <c r="E3324" s="3" t="str">
        <f t="shared" si="102"/>
        <v>November</v>
      </c>
      <c r="F3324" s="3" t="s">
        <v>13</v>
      </c>
      <c r="G3324" s="8">
        <v>52289.748599999999</v>
      </c>
      <c r="H3324" s="8">
        <v>51558</v>
      </c>
      <c r="I3324" s="8">
        <v>-873.33193080000001</v>
      </c>
      <c r="J3324" s="8">
        <v>-10838.923500000001</v>
      </c>
      <c r="K3324" s="8">
        <v>-15529.272300000001</v>
      </c>
      <c r="L3324" s="8">
        <v>-6027.0345660000003</v>
      </c>
      <c r="M3324" s="9" t="str">
        <f>IF(A3324="",M3325,A3324)</f>
        <v>Philippines</v>
      </c>
      <c r="N3324" s="3" t="str">
        <f t="shared" si="103"/>
        <v>Nov-2020</v>
      </c>
    </row>
    <row r="3325" spans="1:14" x14ac:dyDescent="0.3">
      <c r="A3325" s="3" t="s">
        <v>284</v>
      </c>
      <c r="B3325" s="3" t="s">
        <v>285</v>
      </c>
      <c r="C3325" s="8">
        <v>2020</v>
      </c>
      <c r="D3325" s="8">
        <v>12</v>
      </c>
      <c r="E3325" s="3" t="str">
        <f t="shared" si="102"/>
        <v>December</v>
      </c>
      <c r="F3325" s="3" t="s">
        <v>13</v>
      </c>
      <c r="G3325" s="8">
        <v>54433.066899999998</v>
      </c>
      <c r="H3325" s="8">
        <v>53731</v>
      </c>
      <c r="I3325" s="8">
        <v>-843.65023429999997</v>
      </c>
      <c r="J3325" s="8">
        <v>-11682.57373</v>
      </c>
      <c r="K3325" s="8">
        <v>-16842.327089999999</v>
      </c>
      <c r="L3325" s="8">
        <v>-6606.1625530000001</v>
      </c>
      <c r="M3325" s="9" t="str">
        <f>IF(A3325="",M3326,A3325)</f>
        <v>Philippines</v>
      </c>
      <c r="N3325" s="3" t="str">
        <f t="shared" si="103"/>
        <v>Dec-2020</v>
      </c>
    </row>
    <row r="3326" spans="1:14" x14ac:dyDescent="0.3">
      <c r="A3326" s="3" t="s">
        <v>284</v>
      </c>
      <c r="B3326" s="3" t="s">
        <v>285</v>
      </c>
      <c r="C3326" s="8">
        <v>2021</v>
      </c>
      <c r="D3326" s="8">
        <v>1</v>
      </c>
      <c r="E3326" s="3" t="str">
        <f t="shared" si="102"/>
        <v>January</v>
      </c>
      <c r="F3326" s="3" t="s">
        <v>13</v>
      </c>
      <c r="G3326" s="8">
        <v>54547.000569999997</v>
      </c>
      <c r="H3326" s="8">
        <v>59993</v>
      </c>
      <c r="I3326" s="8">
        <v>5304.749433</v>
      </c>
      <c r="J3326" s="8">
        <v>-6377.8243009999997</v>
      </c>
      <c r="K3326" s="8">
        <v>-11731.189420000001</v>
      </c>
      <c r="L3326" s="8">
        <v>-1039.721374</v>
      </c>
      <c r="M3326" s="9" t="str">
        <f>IF(A3326="",M3327,A3326)</f>
        <v>Philippines</v>
      </c>
      <c r="N3326" s="3" t="str">
        <f t="shared" si="103"/>
        <v>Jan-2021</v>
      </c>
    </row>
    <row r="3327" spans="1:14" x14ac:dyDescent="0.3">
      <c r="A3327" s="3" t="s">
        <v>284</v>
      </c>
      <c r="B3327" s="3" t="s">
        <v>285</v>
      </c>
      <c r="C3327" s="8">
        <v>2021</v>
      </c>
      <c r="D3327" s="8">
        <v>2</v>
      </c>
      <c r="E3327" s="3" t="str">
        <f t="shared" si="102"/>
        <v>February</v>
      </c>
      <c r="F3327" s="3" t="s">
        <v>13</v>
      </c>
      <c r="G3327" s="8">
        <v>49895.51614</v>
      </c>
      <c r="H3327" s="8">
        <v>53861</v>
      </c>
      <c r="I3327" s="8">
        <v>3824.2338629999999</v>
      </c>
      <c r="J3327" s="8">
        <v>-2553.5904369999998</v>
      </c>
      <c r="K3327" s="8">
        <v>-7968.8232619999999</v>
      </c>
      <c r="L3327" s="8">
        <v>3066.9111680000001</v>
      </c>
      <c r="M3327" s="9" t="str">
        <f>IF(A3327="",M3328,A3327)</f>
        <v>Philippines</v>
      </c>
      <c r="N3327" s="3" t="str">
        <f t="shared" si="103"/>
        <v>Feb-2021</v>
      </c>
    </row>
    <row r="3328" spans="1:14" x14ac:dyDescent="0.3">
      <c r="A3328" s="3" t="s">
        <v>284</v>
      </c>
      <c r="B3328" s="3" t="s">
        <v>285</v>
      </c>
      <c r="C3328" s="8">
        <v>2021</v>
      </c>
      <c r="D3328" s="8">
        <v>3</v>
      </c>
      <c r="E3328" s="3" t="str">
        <f t="shared" si="102"/>
        <v>March</v>
      </c>
      <c r="F3328" s="3" t="s">
        <v>13</v>
      </c>
      <c r="G3328" s="8">
        <v>51621.373050000002</v>
      </c>
      <c r="H3328" s="8">
        <v>62558</v>
      </c>
      <c r="I3328" s="8">
        <v>10795.37695</v>
      </c>
      <c r="J3328" s="8">
        <v>8241.7865099999999</v>
      </c>
      <c r="K3328" s="8">
        <v>2542.7285870000001</v>
      </c>
      <c r="L3328" s="8">
        <v>13938.13839</v>
      </c>
      <c r="M3328" s="9" t="str">
        <f>IF(A3328="",M3329,A3328)</f>
        <v>Philippines</v>
      </c>
      <c r="N3328" s="3" t="str">
        <f t="shared" si="103"/>
        <v>Mar-2021</v>
      </c>
    </row>
    <row r="3329" spans="1:14" x14ac:dyDescent="0.3">
      <c r="A3329" s="3" t="s">
        <v>284</v>
      </c>
      <c r="B3329" s="3" t="s">
        <v>285</v>
      </c>
      <c r="C3329" s="8">
        <v>2021</v>
      </c>
      <c r="D3329" s="8">
        <v>4</v>
      </c>
      <c r="E3329" s="3" t="str">
        <f t="shared" si="102"/>
        <v>April</v>
      </c>
      <c r="F3329" s="3" t="s">
        <v>13</v>
      </c>
      <c r="G3329" s="8">
        <v>51660.486749999996</v>
      </c>
      <c r="H3329" s="8">
        <v>70556</v>
      </c>
      <c r="I3329" s="8">
        <v>18754.26325</v>
      </c>
      <c r="J3329" s="8">
        <v>26996.049760000002</v>
      </c>
      <c r="K3329" s="8">
        <v>21257.708429999999</v>
      </c>
      <c r="L3329" s="8">
        <v>32853.35254</v>
      </c>
      <c r="M3329" s="9" t="str">
        <f>IF(A3329="",M3330,A3329)</f>
        <v>Philippines</v>
      </c>
      <c r="N3329" s="3" t="str">
        <f t="shared" si="103"/>
        <v>Apr-2021</v>
      </c>
    </row>
    <row r="3330" spans="1:14" x14ac:dyDescent="0.3">
      <c r="A3330" s="3" t="s">
        <v>284</v>
      </c>
      <c r="B3330" s="3" t="s">
        <v>285</v>
      </c>
      <c r="C3330" s="8">
        <v>2021</v>
      </c>
      <c r="D3330" s="8">
        <v>5</v>
      </c>
      <c r="E3330" s="3" t="str">
        <f t="shared" ref="E3330:E3393" si="104">TEXT(DATE(C3330,D3330,1),"MMMM")</f>
        <v>May</v>
      </c>
      <c r="F3330" s="3" t="s">
        <v>13</v>
      </c>
      <c r="G3330" s="8">
        <v>52978.504869999997</v>
      </c>
      <c r="H3330" s="8">
        <v>71920</v>
      </c>
      <c r="I3330" s="8">
        <v>18800.245129999999</v>
      </c>
      <c r="J3330" s="8">
        <v>45796.294889999997</v>
      </c>
      <c r="K3330" s="8">
        <v>39559.278570000002</v>
      </c>
      <c r="L3330" s="8">
        <v>52252.711210000001</v>
      </c>
      <c r="M3330" s="9" t="str">
        <f>IF(A3330="",M3331,A3330)</f>
        <v>Philippines</v>
      </c>
      <c r="N3330" s="3" t="str">
        <f t="shared" ref="N3330:N3393" si="105">TEXT(DATE(C3330,D3330,1),"MMM-YYYY")</f>
        <v>May-2021</v>
      </c>
    </row>
    <row r="3331" spans="1:14" x14ac:dyDescent="0.3">
      <c r="A3331" s="3" t="s">
        <v>284</v>
      </c>
      <c r="B3331" s="3" t="s">
        <v>285</v>
      </c>
      <c r="C3331" s="8">
        <v>2021</v>
      </c>
      <c r="D3331" s="8">
        <v>6</v>
      </c>
      <c r="E3331" s="3" t="str">
        <f t="shared" si="104"/>
        <v>June</v>
      </c>
      <c r="F3331" s="3" t="s">
        <v>13</v>
      </c>
      <c r="G3331" s="8">
        <v>50397.133370000003</v>
      </c>
      <c r="H3331" s="8">
        <v>68399</v>
      </c>
      <c r="I3331" s="8">
        <v>17860.61663</v>
      </c>
      <c r="J3331" s="8">
        <v>63656.911520000001</v>
      </c>
      <c r="K3331" s="8">
        <v>57256.773359999999</v>
      </c>
      <c r="L3331" s="8">
        <v>70227.475949999993</v>
      </c>
      <c r="M3331" s="9" t="str">
        <f>IF(A3331="",M3332,A3331)</f>
        <v>Philippines</v>
      </c>
      <c r="N3331" s="3" t="str">
        <f t="shared" si="105"/>
        <v>Jun-2021</v>
      </c>
    </row>
    <row r="3332" spans="1:14" x14ac:dyDescent="0.3">
      <c r="A3332" s="3" t="s">
        <v>284</v>
      </c>
      <c r="B3332" s="3" t="s">
        <v>285</v>
      </c>
      <c r="C3332" s="8">
        <v>2021</v>
      </c>
      <c r="D3332" s="8">
        <v>7</v>
      </c>
      <c r="E3332" s="3" t="str">
        <f t="shared" si="104"/>
        <v>July</v>
      </c>
      <c r="F3332" s="3" t="s">
        <v>13</v>
      </c>
      <c r="G3332" s="8">
        <v>52943.960030000002</v>
      </c>
      <c r="H3332" s="8">
        <v>75672</v>
      </c>
      <c r="I3332" s="8">
        <v>22586.789970000002</v>
      </c>
      <c r="J3332" s="8">
        <v>86243.701490000007</v>
      </c>
      <c r="K3332" s="8">
        <v>79874.127869999997</v>
      </c>
      <c r="L3332" s="8">
        <v>92816.56422</v>
      </c>
      <c r="M3332" s="9" t="str">
        <f>IF(A3332="",M3333,A3332)</f>
        <v>Philippines</v>
      </c>
      <c r="N3332" s="3" t="str">
        <f t="shared" si="105"/>
        <v>Jul-2021</v>
      </c>
    </row>
    <row r="3333" spans="1:14" x14ac:dyDescent="0.3">
      <c r="A3333" s="3" t="s">
        <v>284</v>
      </c>
      <c r="B3333" s="3" t="s">
        <v>285</v>
      </c>
      <c r="C3333" s="8">
        <v>2021</v>
      </c>
      <c r="D3333" s="8">
        <v>8</v>
      </c>
      <c r="E3333" s="3" t="str">
        <f t="shared" si="104"/>
        <v>August</v>
      </c>
      <c r="F3333" s="3" t="s">
        <v>13</v>
      </c>
      <c r="G3333" s="8">
        <v>54816.540309999997</v>
      </c>
      <c r="H3333" s="8">
        <v>97880</v>
      </c>
      <c r="I3333" s="8">
        <v>42922.209690000003</v>
      </c>
      <c r="J3333" s="8">
        <v>129165.9112</v>
      </c>
      <c r="K3333" s="8">
        <v>122273.4265</v>
      </c>
      <c r="L3333" s="8">
        <v>136227.72719999999</v>
      </c>
      <c r="M3333" s="9" t="str">
        <f>IF(A3333="",M3334,A3333)</f>
        <v>Philippines</v>
      </c>
      <c r="N3333" s="3" t="str">
        <f t="shared" si="105"/>
        <v>Aug-2021</v>
      </c>
    </row>
    <row r="3334" spans="1:14" x14ac:dyDescent="0.3">
      <c r="A3334" s="3" t="s">
        <v>284</v>
      </c>
      <c r="B3334" s="3" t="s">
        <v>285</v>
      </c>
      <c r="C3334" s="8">
        <v>2021</v>
      </c>
      <c r="D3334" s="8">
        <v>9</v>
      </c>
      <c r="E3334" s="3" t="str">
        <f t="shared" si="104"/>
        <v>September</v>
      </c>
      <c r="F3334" s="3" t="s">
        <v>13</v>
      </c>
      <c r="G3334" s="8">
        <v>53951.011700000003</v>
      </c>
      <c r="H3334" s="8">
        <v>119758</v>
      </c>
      <c r="I3334" s="8">
        <v>65665.738299999997</v>
      </c>
      <c r="J3334" s="8">
        <v>194831.6495</v>
      </c>
      <c r="K3334" s="8">
        <v>187098.24960000001</v>
      </c>
      <c r="L3334" s="8">
        <v>202062.41080000001</v>
      </c>
      <c r="M3334" s="9" t="str">
        <f>IF(A3334="",M3335,A3334)</f>
        <v>Philippines</v>
      </c>
      <c r="N3334" s="3" t="str">
        <f t="shared" si="105"/>
        <v>Sep-2021</v>
      </c>
    </row>
    <row r="3335" spans="1:14" x14ac:dyDescent="0.3">
      <c r="A3335" s="3" t="s">
        <v>284</v>
      </c>
      <c r="B3335" s="3" t="s">
        <v>285</v>
      </c>
      <c r="C3335" s="8">
        <v>2021</v>
      </c>
      <c r="D3335" s="8">
        <v>10</v>
      </c>
      <c r="E3335" s="3" t="str">
        <f t="shared" si="104"/>
        <v>October</v>
      </c>
      <c r="F3335" s="3" t="s">
        <v>13</v>
      </c>
      <c r="G3335" s="8">
        <v>55310.579339999997</v>
      </c>
      <c r="H3335" s="8">
        <v>84428</v>
      </c>
      <c r="I3335" s="8">
        <v>28976.17066</v>
      </c>
      <c r="J3335" s="8">
        <v>223807.82010000001</v>
      </c>
      <c r="K3335" s="8">
        <v>216298.77059999999</v>
      </c>
      <c r="L3335" s="8">
        <v>231175.09909999999</v>
      </c>
      <c r="M3335" s="9" t="str">
        <f>IF(A3335="",M3336,A3335)</f>
        <v>Philippines</v>
      </c>
      <c r="N3335" s="3" t="str">
        <f t="shared" si="105"/>
        <v>Oct-2021</v>
      </c>
    </row>
    <row r="3336" spans="1:14" x14ac:dyDescent="0.3">
      <c r="A3336" s="3" t="s">
        <v>284</v>
      </c>
      <c r="B3336" s="3" t="s">
        <v>285</v>
      </c>
      <c r="C3336" s="8">
        <v>2021</v>
      </c>
      <c r="D3336" s="8">
        <v>11</v>
      </c>
      <c r="E3336" s="3" t="str">
        <f t="shared" si="104"/>
        <v>November</v>
      </c>
      <c r="F3336" s="3" t="s">
        <v>13</v>
      </c>
      <c r="G3336" s="8">
        <v>53407.885000000002</v>
      </c>
      <c r="H3336" s="8">
        <v>58202</v>
      </c>
      <c r="I3336" s="8">
        <v>4652.8649990000004</v>
      </c>
      <c r="J3336" s="8">
        <v>228460.6851</v>
      </c>
      <c r="K3336" s="8">
        <v>220893.68</v>
      </c>
      <c r="L3336" s="8">
        <v>235665.5171</v>
      </c>
      <c r="M3336" s="9" t="str">
        <f>IF(A3336="",M3337,A3336)</f>
        <v>Philippines</v>
      </c>
      <c r="N3336" s="3" t="str">
        <f t="shared" si="105"/>
        <v>Nov-2021</v>
      </c>
    </row>
    <row r="3337" spans="1:14" x14ac:dyDescent="0.3">
      <c r="A3337" s="3" t="s">
        <v>284</v>
      </c>
      <c r="B3337" s="3" t="s">
        <v>285</v>
      </c>
      <c r="C3337" s="8">
        <v>2021</v>
      </c>
      <c r="D3337" s="8">
        <v>12</v>
      </c>
      <c r="E3337" s="3" t="str">
        <f t="shared" si="104"/>
        <v>December</v>
      </c>
      <c r="F3337" s="3" t="s">
        <v>13</v>
      </c>
      <c r="G3337" s="8">
        <v>55580.805849999997</v>
      </c>
      <c r="H3337" s="8">
        <v>56202</v>
      </c>
      <c r="I3337" s="8">
        <v>479.9441473</v>
      </c>
      <c r="J3337" s="8">
        <v>228940.6293</v>
      </c>
      <c r="K3337" s="8">
        <v>221039.2469</v>
      </c>
      <c r="L3337" s="8">
        <v>236621.9467</v>
      </c>
      <c r="M3337" s="9" t="str">
        <f>IF(A3337="",M3338,A3337)</f>
        <v>Philippines</v>
      </c>
      <c r="N3337" s="3" t="str">
        <f t="shared" si="105"/>
        <v>Dec-2021</v>
      </c>
    </row>
    <row r="3338" spans="1:14" x14ac:dyDescent="0.3">
      <c r="A3338" s="3" t="s">
        <v>286</v>
      </c>
      <c r="B3338" s="3" t="s">
        <v>287</v>
      </c>
      <c r="C3338" s="8">
        <v>2020</v>
      </c>
      <c r="D3338" s="8">
        <v>1</v>
      </c>
      <c r="E3338" s="3" t="str">
        <f t="shared" si="104"/>
        <v>January</v>
      </c>
      <c r="F3338" s="3" t="s">
        <v>8</v>
      </c>
      <c r="G3338" s="8">
        <v>19.73122974</v>
      </c>
      <c r="H3338" s="8">
        <v>19.881</v>
      </c>
      <c r="I3338" s="8">
        <v>0.14977025899999999</v>
      </c>
      <c r="J3338" s="8">
        <v>0.14977025899999999</v>
      </c>
      <c r="K3338" s="8">
        <v>-9.1737284330000008</v>
      </c>
      <c r="L3338" s="8">
        <v>12.38221927</v>
      </c>
      <c r="M3338" s="9" t="str">
        <f>IF(A3338="",M3339,A3338)</f>
        <v>Palau</v>
      </c>
      <c r="N3338" s="3" t="str">
        <f t="shared" si="105"/>
        <v>Jan-2020</v>
      </c>
    </row>
    <row r="3339" spans="1:14" x14ac:dyDescent="0.3">
      <c r="A3339" s="3" t="s">
        <v>286</v>
      </c>
      <c r="B3339" s="3" t="s">
        <v>287</v>
      </c>
      <c r="C3339" s="8">
        <v>2020</v>
      </c>
      <c r="D3339" s="8">
        <v>2</v>
      </c>
      <c r="E3339" s="3" t="str">
        <f t="shared" si="104"/>
        <v>February</v>
      </c>
      <c r="F3339" s="3" t="s">
        <v>8</v>
      </c>
      <c r="G3339" s="8">
        <v>19.683041660000001</v>
      </c>
      <c r="H3339" s="8">
        <v>19.812000000000001</v>
      </c>
      <c r="I3339" s="8">
        <v>0.12895833800000001</v>
      </c>
      <c r="J3339" s="8">
        <v>0.27872859700000002</v>
      </c>
      <c r="K3339" s="8">
        <v>-13.68202127</v>
      </c>
      <c r="L3339" s="8">
        <v>17.072739210000002</v>
      </c>
      <c r="M3339" s="9" t="str">
        <f>IF(A3339="",M3340,A3339)</f>
        <v>Palau</v>
      </c>
      <c r="N3339" s="3" t="str">
        <f t="shared" si="105"/>
        <v>Feb-2020</v>
      </c>
    </row>
    <row r="3340" spans="1:14" x14ac:dyDescent="0.3">
      <c r="A3340" s="3" t="s">
        <v>286</v>
      </c>
      <c r="B3340" s="3" t="s">
        <v>287</v>
      </c>
      <c r="C3340" s="8">
        <v>2020</v>
      </c>
      <c r="D3340" s="8">
        <v>3</v>
      </c>
      <c r="E3340" s="3" t="str">
        <f t="shared" si="104"/>
        <v>March</v>
      </c>
      <c r="F3340" s="3" t="s">
        <v>8</v>
      </c>
      <c r="G3340" s="8">
        <v>19.665144659999999</v>
      </c>
      <c r="H3340" s="8">
        <v>20.058</v>
      </c>
      <c r="I3340" s="8">
        <v>0.39285534300000002</v>
      </c>
      <c r="J3340" s="8">
        <v>0.67158393999999999</v>
      </c>
      <c r="K3340" s="8">
        <v>-16.203927419999999</v>
      </c>
      <c r="L3340" s="8">
        <v>20.586080549999998</v>
      </c>
      <c r="M3340" s="9" t="str">
        <f>IF(A3340="",M3341,A3340)</f>
        <v>Palau</v>
      </c>
      <c r="N3340" s="3" t="str">
        <f t="shared" si="105"/>
        <v>Mar-2020</v>
      </c>
    </row>
    <row r="3341" spans="1:14" x14ac:dyDescent="0.3">
      <c r="A3341" s="3" t="s">
        <v>286</v>
      </c>
      <c r="B3341" s="3" t="s">
        <v>287</v>
      </c>
      <c r="C3341" s="8">
        <v>2020</v>
      </c>
      <c r="D3341" s="8">
        <v>4</v>
      </c>
      <c r="E3341" s="3" t="str">
        <f t="shared" si="104"/>
        <v>April</v>
      </c>
      <c r="F3341" s="3" t="s">
        <v>8</v>
      </c>
      <c r="G3341" s="8">
        <v>19.68515678</v>
      </c>
      <c r="H3341" s="8">
        <v>20.082999999999998</v>
      </c>
      <c r="I3341" s="8">
        <v>0.397843222</v>
      </c>
      <c r="J3341" s="8">
        <v>1.069427162</v>
      </c>
      <c r="K3341" s="8">
        <v>-19.618950479999999</v>
      </c>
      <c r="L3341" s="8">
        <v>24.504812650000002</v>
      </c>
      <c r="M3341" s="9" t="str">
        <f>IF(A3341="",M3342,A3341)</f>
        <v>Palau</v>
      </c>
      <c r="N3341" s="3" t="str">
        <f t="shared" si="105"/>
        <v>Apr-2020</v>
      </c>
    </row>
    <row r="3342" spans="1:14" x14ac:dyDescent="0.3">
      <c r="A3342" s="3" t="s">
        <v>286</v>
      </c>
      <c r="B3342" s="3" t="s">
        <v>287</v>
      </c>
      <c r="C3342" s="8">
        <v>2020</v>
      </c>
      <c r="D3342" s="8">
        <v>5</v>
      </c>
      <c r="E3342" s="3" t="str">
        <f t="shared" si="104"/>
        <v>May</v>
      </c>
      <c r="F3342" s="3" t="s">
        <v>8</v>
      </c>
      <c r="G3342" s="8">
        <v>19.613960169999999</v>
      </c>
      <c r="H3342" s="8">
        <v>20.558</v>
      </c>
      <c r="I3342" s="8">
        <v>0.94403982600000003</v>
      </c>
      <c r="J3342" s="8">
        <v>2.0134669889999999</v>
      </c>
      <c r="K3342" s="8">
        <v>-20.968164860000002</v>
      </c>
      <c r="L3342" s="8">
        <v>28.404505799999999</v>
      </c>
      <c r="M3342" s="9" t="str">
        <f>IF(A3342="",M3343,A3342)</f>
        <v>Palau</v>
      </c>
      <c r="N3342" s="3" t="str">
        <f t="shared" si="105"/>
        <v>May-2020</v>
      </c>
    </row>
    <row r="3343" spans="1:14" x14ac:dyDescent="0.3">
      <c r="A3343" s="3" t="s">
        <v>286</v>
      </c>
      <c r="B3343" s="3" t="s">
        <v>287</v>
      </c>
      <c r="C3343" s="8">
        <v>2020</v>
      </c>
      <c r="D3343" s="8">
        <v>6</v>
      </c>
      <c r="E3343" s="3" t="str">
        <f t="shared" si="104"/>
        <v>June</v>
      </c>
      <c r="F3343" s="3" t="s">
        <v>8</v>
      </c>
      <c r="G3343" s="8">
        <v>19.686346140000001</v>
      </c>
      <c r="H3343" s="8">
        <v>20.206</v>
      </c>
      <c r="I3343" s="8">
        <v>0.519653857</v>
      </c>
      <c r="J3343" s="8">
        <v>2.5331208460000001</v>
      </c>
      <c r="K3343" s="8">
        <v>-22.388617549999999</v>
      </c>
      <c r="L3343" s="8">
        <v>29.852583419999998</v>
      </c>
      <c r="M3343" s="9" t="str">
        <f>IF(A3343="",M3344,A3343)</f>
        <v>Palau</v>
      </c>
      <c r="N3343" s="3" t="str">
        <f t="shared" si="105"/>
        <v>Jun-2020</v>
      </c>
    </row>
    <row r="3344" spans="1:14" x14ac:dyDescent="0.3">
      <c r="A3344" s="3" t="s">
        <v>286</v>
      </c>
      <c r="B3344" s="3" t="s">
        <v>287</v>
      </c>
      <c r="C3344" s="8">
        <v>2020</v>
      </c>
      <c r="D3344" s="8">
        <v>7</v>
      </c>
      <c r="E3344" s="3" t="str">
        <f t="shared" si="104"/>
        <v>July</v>
      </c>
      <c r="F3344" s="3" t="s">
        <v>8</v>
      </c>
      <c r="G3344" s="8">
        <v>19.700069249999999</v>
      </c>
      <c r="H3344" s="8">
        <v>20.306000000000001</v>
      </c>
      <c r="I3344" s="8">
        <v>0.60593074800000002</v>
      </c>
      <c r="J3344" s="8">
        <v>3.1390515940000001</v>
      </c>
      <c r="K3344" s="8">
        <v>-24.442032510000001</v>
      </c>
      <c r="L3344" s="8">
        <v>32.188803190000002</v>
      </c>
      <c r="M3344" s="9" t="str">
        <f>IF(A3344="",M3345,A3344)</f>
        <v>Palau</v>
      </c>
      <c r="N3344" s="3" t="str">
        <f t="shared" si="105"/>
        <v>Jul-2020</v>
      </c>
    </row>
    <row r="3345" spans="1:14" x14ac:dyDescent="0.3">
      <c r="A3345" s="3" t="s">
        <v>286</v>
      </c>
      <c r="B3345" s="3" t="s">
        <v>287</v>
      </c>
      <c r="C3345" s="8">
        <v>2020</v>
      </c>
      <c r="D3345" s="8">
        <v>8</v>
      </c>
      <c r="E3345" s="3" t="str">
        <f t="shared" si="104"/>
        <v>August</v>
      </c>
      <c r="F3345" s="3" t="s">
        <v>8</v>
      </c>
      <c r="G3345" s="8">
        <v>19.775145930000001</v>
      </c>
      <c r="H3345" s="8">
        <v>19.873999999999999</v>
      </c>
      <c r="I3345" s="8">
        <v>9.8854067000000004E-2</v>
      </c>
      <c r="J3345" s="8">
        <v>3.2379056610000001</v>
      </c>
      <c r="K3345" s="8">
        <v>-26.094134579999999</v>
      </c>
      <c r="L3345" s="8">
        <v>33.782139389999998</v>
      </c>
      <c r="M3345" s="9" t="str">
        <f>IF(A3345="",M3346,A3345)</f>
        <v>Palau</v>
      </c>
      <c r="N3345" s="3" t="str">
        <f t="shared" si="105"/>
        <v>Aug-2020</v>
      </c>
    </row>
    <row r="3346" spans="1:14" x14ac:dyDescent="0.3">
      <c r="A3346" s="3" t="s">
        <v>286</v>
      </c>
      <c r="B3346" s="3" t="s">
        <v>287</v>
      </c>
      <c r="C3346" s="8">
        <v>2020</v>
      </c>
      <c r="D3346" s="8">
        <v>9</v>
      </c>
      <c r="E3346" s="3" t="str">
        <f t="shared" si="104"/>
        <v>September</v>
      </c>
      <c r="F3346" s="3" t="s">
        <v>8</v>
      </c>
      <c r="G3346" s="8">
        <v>19.627774519999999</v>
      </c>
      <c r="H3346" s="8">
        <v>19.773</v>
      </c>
      <c r="I3346" s="8">
        <v>0.14522547499999999</v>
      </c>
      <c r="J3346" s="8">
        <v>3.3831311359999998</v>
      </c>
      <c r="K3346" s="8">
        <v>-26.855408829999998</v>
      </c>
      <c r="L3346" s="8">
        <v>37.699288989999999</v>
      </c>
      <c r="M3346" s="9" t="str">
        <f>IF(A3346="",M3347,A3346)</f>
        <v>Palau</v>
      </c>
      <c r="N3346" s="3" t="str">
        <f t="shared" si="105"/>
        <v>Sep-2020</v>
      </c>
    </row>
    <row r="3347" spans="1:14" x14ac:dyDescent="0.3">
      <c r="A3347" s="3" t="s">
        <v>286</v>
      </c>
      <c r="B3347" s="3" t="s">
        <v>287</v>
      </c>
      <c r="C3347" s="8">
        <v>2020</v>
      </c>
      <c r="D3347" s="8">
        <v>10</v>
      </c>
      <c r="E3347" s="3" t="str">
        <f t="shared" si="104"/>
        <v>October</v>
      </c>
      <c r="F3347" s="3" t="s">
        <v>8</v>
      </c>
      <c r="G3347" s="8">
        <v>19.69204435</v>
      </c>
      <c r="H3347" s="8">
        <v>19.283999999999999</v>
      </c>
      <c r="I3347" s="8">
        <v>-0.40804434699999997</v>
      </c>
      <c r="J3347" s="8">
        <v>2.9750867900000002</v>
      </c>
      <c r="K3347" s="8">
        <v>-28.368190930000001</v>
      </c>
      <c r="L3347" s="8">
        <v>38.062341170000003</v>
      </c>
      <c r="M3347" s="9" t="str">
        <f>IF(A3347="",M3348,A3347)</f>
        <v>Palau</v>
      </c>
      <c r="N3347" s="3" t="str">
        <f t="shared" si="105"/>
        <v>Oct-2020</v>
      </c>
    </row>
    <row r="3348" spans="1:14" x14ac:dyDescent="0.3">
      <c r="A3348" s="3" t="s">
        <v>286</v>
      </c>
      <c r="B3348" s="3" t="s">
        <v>287</v>
      </c>
      <c r="C3348" s="8">
        <v>2020</v>
      </c>
      <c r="D3348" s="8">
        <v>11</v>
      </c>
      <c r="E3348" s="3" t="str">
        <f t="shared" si="104"/>
        <v>November</v>
      </c>
      <c r="F3348" s="3" t="s">
        <v>8</v>
      </c>
      <c r="G3348" s="8">
        <v>19.726113120000001</v>
      </c>
      <c r="H3348" s="8">
        <v>19.370999999999999</v>
      </c>
      <c r="I3348" s="8">
        <v>-0.355113122</v>
      </c>
      <c r="J3348" s="8">
        <v>2.6199736680000001</v>
      </c>
      <c r="K3348" s="8">
        <v>-30.39925727</v>
      </c>
      <c r="L3348" s="8">
        <v>40.012167009999999</v>
      </c>
      <c r="M3348" s="9" t="str">
        <f>IF(A3348="",M3349,A3348)</f>
        <v>Palau</v>
      </c>
      <c r="N3348" s="3" t="str">
        <f t="shared" si="105"/>
        <v>Nov-2020</v>
      </c>
    </row>
    <row r="3349" spans="1:14" x14ac:dyDescent="0.3">
      <c r="A3349" s="3" t="s">
        <v>286</v>
      </c>
      <c r="B3349" s="3" t="s">
        <v>287</v>
      </c>
      <c r="C3349" s="8">
        <v>2020</v>
      </c>
      <c r="D3349" s="8">
        <v>12</v>
      </c>
      <c r="E3349" s="3" t="str">
        <f t="shared" si="104"/>
        <v>December</v>
      </c>
      <c r="F3349" s="3" t="s">
        <v>8</v>
      </c>
      <c r="G3349" s="8">
        <v>19.740169680000001</v>
      </c>
      <c r="H3349" s="8">
        <v>19.861999999999998</v>
      </c>
      <c r="I3349" s="8">
        <v>0.12183031699999999</v>
      </c>
      <c r="J3349" s="8">
        <v>2.7418039859999999</v>
      </c>
      <c r="K3349" s="8">
        <v>-33.285525</v>
      </c>
      <c r="L3349" s="8">
        <v>40.983981239999999</v>
      </c>
      <c r="M3349" s="9" t="str">
        <f>IF(A3349="",M3350,A3349)</f>
        <v>Palau</v>
      </c>
      <c r="N3349" s="3" t="str">
        <f t="shared" si="105"/>
        <v>Dec-2020</v>
      </c>
    </row>
    <row r="3350" spans="1:14" x14ac:dyDescent="0.3">
      <c r="A3350" s="3" t="s">
        <v>286</v>
      </c>
      <c r="B3350" s="3" t="s">
        <v>287</v>
      </c>
      <c r="C3350" s="8">
        <v>2021</v>
      </c>
      <c r="D3350" s="8">
        <v>1</v>
      </c>
      <c r="E3350" s="3" t="str">
        <f t="shared" si="104"/>
        <v>January</v>
      </c>
      <c r="F3350" s="3" t="s">
        <v>8</v>
      </c>
      <c r="G3350" s="8">
        <v>20.185603910000001</v>
      </c>
      <c r="H3350" s="8">
        <v>20.442</v>
      </c>
      <c r="I3350" s="8">
        <v>0.25639608600000002</v>
      </c>
      <c r="J3350" s="8">
        <v>2.9982000719999999</v>
      </c>
      <c r="K3350" s="8">
        <v>-33.22776004</v>
      </c>
      <c r="L3350" s="8">
        <v>42.261647019999998</v>
      </c>
      <c r="M3350" s="9" t="str">
        <f>IF(A3350="",M3351,A3350)</f>
        <v>Palau</v>
      </c>
      <c r="N3350" s="3" t="str">
        <f t="shared" si="105"/>
        <v>Jan-2021</v>
      </c>
    </row>
    <row r="3351" spans="1:14" x14ac:dyDescent="0.3">
      <c r="A3351" s="3" t="s">
        <v>286</v>
      </c>
      <c r="B3351" s="3" t="s">
        <v>287</v>
      </c>
      <c r="C3351" s="8">
        <v>2021</v>
      </c>
      <c r="D3351" s="8">
        <v>2</v>
      </c>
      <c r="E3351" s="3" t="str">
        <f t="shared" si="104"/>
        <v>February</v>
      </c>
      <c r="F3351" s="3" t="s">
        <v>8</v>
      </c>
      <c r="G3351" s="8">
        <v>20.167775599999999</v>
      </c>
      <c r="H3351" s="8">
        <v>20.187999999999999</v>
      </c>
      <c r="I3351" s="8">
        <v>2.0224401999999999E-2</v>
      </c>
      <c r="J3351" s="8">
        <v>3.0184244740000001</v>
      </c>
      <c r="K3351" s="8">
        <v>-33.940735439999997</v>
      </c>
      <c r="L3351" s="8">
        <v>42.933570709999998</v>
      </c>
      <c r="M3351" s="9" t="str">
        <f>IF(A3351="",M3352,A3351)</f>
        <v>Palau</v>
      </c>
      <c r="N3351" s="3" t="str">
        <f t="shared" si="105"/>
        <v>Feb-2021</v>
      </c>
    </row>
    <row r="3352" spans="1:14" x14ac:dyDescent="0.3">
      <c r="A3352" s="3" t="s">
        <v>286</v>
      </c>
      <c r="B3352" s="3" t="s">
        <v>287</v>
      </c>
      <c r="C3352" s="8">
        <v>2021</v>
      </c>
      <c r="D3352" s="8">
        <v>3</v>
      </c>
      <c r="E3352" s="3" t="str">
        <f t="shared" si="104"/>
        <v>March</v>
      </c>
      <c r="F3352" s="3" t="s">
        <v>8</v>
      </c>
      <c r="G3352" s="8">
        <v>20.12705545</v>
      </c>
      <c r="H3352" s="8">
        <v>20.132000000000001</v>
      </c>
      <c r="I3352" s="8">
        <v>4.9445469999999997E-3</v>
      </c>
      <c r="J3352" s="8">
        <v>3.0233690219999998</v>
      </c>
      <c r="K3352" s="8">
        <v>-35.072607060000003</v>
      </c>
      <c r="L3352" s="8">
        <v>45.881607459999998</v>
      </c>
      <c r="M3352" s="9" t="str">
        <f>IF(A3352="",M3353,A3352)</f>
        <v>Palau</v>
      </c>
      <c r="N3352" s="3" t="str">
        <f t="shared" si="105"/>
        <v>Mar-2021</v>
      </c>
    </row>
    <row r="3353" spans="1:14" x14ac:dyDescent="0.3">
      <c r="A3353" s="3" t="s">
        <v>286</v>
      </c>
      <c r="B3353" s="3" t="s">
        <v>287</v>
      </c>
      <c r="C3353" s="8">
        <v>2021</v>
      </c>
      <c r="D3353" s="8">
        <v>4</v>
      </c>
      <c r="E3353" s="3" t="str">
        <f t="shared" si="104"/>
        <v>April</v>
      </c>
      <c r="F3353" s="3" t="s">
        <v>8</v>
      </c>
      <c r="G3353" s="8">
        <v>20.059624379999999</v>
      </c>
      <c r="H3353" s="8">
        <v>20.140999999999998</v>
      </c>
      <c r="I3353" s="8">
        <v>8.1375617999999997E-2</v>
      </c>
      <c r="J3353" s="8">
        <v>3.1047446399999998</v>
      </c>
      <c r="K3353" s="8">
        <v>-36.182130069999999</v>
      </c>
      <c r="L3353" s="8">
        <v>46.841250989999999</v>
      </c>
      <c r="M3353" s="9" t="str">
        <f>IF(A3353="",M3354,A3353)</f>
        <v>Palau</v>
      </c>
      <c r="N3353" s="3" t="str">
        <f t="shared" si="105"/>
        <v>Apr-2021</v>
      </c>
    </row>
    <row r="3354" spans="1:14" x14ac:dyDescent="0.3">
      <c r="A3354" s="3" t="s">
        <v>286</v>
      </c>
      <c r="B3354" s="3" t="s">
        <v>287</v>
      </c>
      <c r="C3354" s="8">
        <v>2021</v>
      </c>
      <c r="D3354" s="8">
        <v>5</v>
      </c>
      <c r="E3354" s="3" t="str">
        <f t="shared" si="104"/>
        <v>May</v>
      </c>
      <c r="F3354" s="3" t="s">
        <v>8</v>
      </c>
      <c r="G3354" s="8">
        <v>20.08331755</v>
      </c>
      <c r="H3354" s="8">
        <v>20.006</v>
      </c>
      <c r="I3354" s="8">
        <v>-7.7317553999999997E-2</v>
      </c>
      <c r="J3354" s="8">
        <v>3.0274270859999999</v>
      </c>
      <c r="K3354" s="8">
        <v>-36.230112750000004</v>
      </c>
      <c r="L3354" s="8">
        <v>47.835549540000002</v>
      </c>
      <c r="M3354" s="9" t="str">
        <f>IF(A3354="",M3355,A3354)</f>
        <v>Palau</v>
      </c>
      <c r="N3354" s="3" t="str">
        <f t="shared" si="105"/>
        <v>May-2021</v>
      </c>
    </row>
    <row r="3355" spans="1:14" x14ac:dyDescent="0.3">
      <c r="A3355" s="3" t="s">
        <v>286</v>
      </c>
      <c r="B3355" s="3" t="s">
        <v>287</v>
      </c>
      <c r="C3355" s="8">
        <v>2021</v>
      </c>
      <c r="D3355" s="8">
        <v>6</v>
      </c>
      <c r="E3355" s="3" t="str">
        <f t="shared" si="104"/>
        <v>June</v>
      </c>
      <c r="F3355" s="3" t="s">
        <v>8</v>
      </c>
      <c r="G3355" s="8">
        <v>20.141434740000001</v>
      </c>
      <c r="H3355" s="8">
        <v>20.521999999999998</v>
      </c>
      <c r="I3355" s="8">
        <v>0.38056526299999999</v>
      </c>
      <c r="J3355" s="8">
        <v>3.4079923490000001</v>
      </c>
      <c r="K3355" s="8">
        <v>-37.896080840000003</v>
      </c>
      <c r="L3355" s="8">
        <v>49.742270599999998</v>
      </c>
      <c r="M3355" s="9" t="str">
        <f>IF(A3355="",M3356,A3355)</f>
        <v>Palau</v>
      </c>
      <c r="N3355" s="3" t="str">
        <f t="shared" si="105"/>
        <v>Jun-2021</v>
      </c>
    </row>
    <row r="3356" spans="1:14" x14ac:dyDescent="0.3">
      <c r="A3356" s="3" t="s">
        <v>286</v>
      </c>
      <c r="B3356" s="3" t="s">
        <v>287</v>
      </c>
      <c r="C3356" s="8">
        <v>2021</v>
      </c>
      <c r="D3356" s="8">
        <v>7</v>
      </c>
      <c r="E3356" s="3" t="str">
        <f t="shared" si="104"/>
        <v>July</v>
      </c>
      <c r="F3356" s="3" t="s">
        <v>8</v>
      </c>
      <c r="G3356" s="8">
        <v>20.147276860000002</v>
      </c>
      <c r="H3356" s="8">
        <v>20.494</v>
      </c>
      <c r="I3356" s="8">
        <v>0.34672314300000001</v>
      </c>
      <c r="J3356" s="8">
        <v>3.7547154919999999</v>
      </c>
      <c r="K3356" s="8">
        <v>-38.258506820000001</v>
      </c>
      <c r="L3356" s="8">
        <v>51.311435439999997</v>
      </c>
      <c r="M3356" s="9" t="str">
        <f>IF(A3356="",M3357,A3356)</f>
        <v>Palau</v>
      </c>
      <c r="N3356" s="3" t="str">
        <f t="shared" si="105"/>
        <v>Jul-2021</v>
      </c>
    </row>
    <row r="3357" spans="1:14" x14ac:dyDescent="0.3">
      <c r="A3357" s="3" t="s">
        <v>286</v>
      </c>
      <c r="B3357" s="3" t="s">
        <v>287</v>
      </c>
      <c r="C3357" s="8">
        <v>2021</v>
      </c>
      <c r="D3357" s="8">
        <v>8</v>
      </c>
      <c r="E3357" s="3" t="str">
        <f t="shared" si="104"/>
        <v>August</v>
      </c>
      <c r="F3357" s="3" t="s">
        <v>8</v>
      </c>
      <c r="G3357" s="8">
        <v>20.209732710000001</v>
      </c>
      <c r="H3357" s="8">
        <v>20.606999999999999</v>
      </c>
      <c r="I3357" s="8">
        <v>0.39726728700000002</v>
      </c>
      <c r="J3357" s="8">
        <v>4.1519827789999999</v>
      </c>
      <c r="K3357" s="8">
        <v>-40.301037870000002</v>
      </c>
      <c r="L3357" s="8">
        <v>54.775888719999998</v>
      </c>
      <c r="M3357" s="9" t="str">
        <f>IF(A3357="",M3358,A3357)</f>
        <v>Palau</v>
      </c>
      <c r="N3357" s="3" t="str">
        <f t="shared" si="105"/>
        <v>Aug-2021</v>
      </c>
    </row>
    <row r="3358" spans="1:14" x14ac:dyDescent="0.3">
      <c r="A3358" s="3" t="s">
        <v>286</v>
      </c>
      <c r="B3358" s="3" t="s">
        <v>287</v>
      </c>
      <c r="C3358" s="8">
        <v>2021</v>
      </c>
      <c r="D3358" s="8">
        <v>9</v>
      </c>
      <c r="E3358" s="3" t="str">
        <f t="shared" si="104"/>
        <v>September</v>
      </c>
      <c r="F3358" s="3" t="s">
        <v>8</v>
      </c>
      <c r="G3358" s="8">
        <v>20.095722559999999</v>
      </c>
      <c r="H3358" s="8">
        <v>20.867999999999999</v>
      </c>
      <c r="I3358" s="8">
        <v>0.77227744399999998</v>
      </c>
      <c r="J3358" s="8">
        <v>4.9242602230000001</v>
      </c>
      <c r="K3358" s="8">
        <v>-41.480604309999997</v>
      </c>
      <c r="L3358" s="8">
        <v>56.139155989999999</v>
      </c>
      <c r="M3358" s="9" t="str">
        <f>IF(A3358="",M3359,A3358)</f>
        <v>Palau</v>
      </c>
      <c r="N3358" s="3" t="str">
        <f t="shared" si="105"/>
        <v>Sep-2021</v>
      </c>
    </row>
    <row r="3359" spans="1:14" x14ac:dyDescent="0.3">
      <c r="A3359" s="3" t="s">
        <v>286</v>
      </c>
      <c r="B3359" s="3" t="s">
        <v>287</v>
      </c>
      <c r="C3359" s="8">
        <v>2021</v>
      </c>
      <c r="D3359" s="8">
        <v>10</v>
      </c>
      <c r="E3359" s="3" t="str">
        <f t="shared" si="104"/>
        <v>October</v>
      </c>
      <c r="F3359" s="3" t="s">
        <v>8</v>
      </c>
      <c r="G3359" s="8">
        <v>20.08876841</v>
      </c>
      <c r="H3359" s="8">
        <v>21.041</v>
      </c>
      <c r="I3359" s="8">
        <v>0.95223158799999996</v>
      </c>
      <c r="J3359" s="8">
        <v>5.8764918110000002</v>
      </c>
      <c r="K3359" s="8">
        <v>-41.706142610000001</v>
      </c>
      <c r="L3359" s="8">
        <v>57.315901789999998</v>
      </c>
      <c r="M3359" s="9" t="str">
        <f>IF(A3359="",M3360,A3359)</f>
        <v>Palau</v>
      </c>
      <c r="N3359" s="3" t="str">
        <f t="shared" si="105"/>
        <v>Oct-2021</v>
      </c>
    </row>
    <row r="3360" spans="1:14" x14ac:dyDescent="0.3">
      <c r="A3360" s="3" t="s">
        <v>286</v>
      </c>
      <c r="B3360" s="3" t="s">
        <v>287</v>
      </c>
      <c r="C3360" s="8">
        <v>2021</v>
      </c>
      <c r="D3360" s="8">
        <v>11</v>
      </c>
      <c r="E3360" s="3" t="str">
        <f t="shared" si="104"/>
        <v>November</v>
      </c>
      <c r="F3360" s="3" t="s">
        <v>8</v>
      </c>
      <c r="G3360" s="8">
        <v>20.08483829</v>
      </c>
      <c r="H3360" s="8">
        <v>21.271000000000001</v>
      </c>
      <c r="I3360" s="8">
        <v>1.1861617090000001</v>
      </c>
      <c r="J3360" s="8">
        <v>7.0626535199999996</v>
      </c>
      <c r="K3360" s="8">
        <v>-41.346646909999997</v>
      </c>
      <c r="L3360" s="8">
        <v>58.5651273</v>
      </c>
      <c r="M3360" s="9" t="str">
        <f>IF(A3360="",M3361,A3360)</f>
        <v>Palau</v>
      </c>
      <c r="N3360" s="3" t="str">
        <f t="shared" si="105"/>
        <v>Nov-2021</v>
      </c>
    </row>
    <row r="3361" spans="1:14" x14ac:dyDescent="0.3">
      <c r="A3361" s="3" t="s">
        <v>286</v>
      </c>
      <c r="B3361" s="3" t="s">
        <v>287</v>
      </c>
      <c r="C3361" s="8">
        <v>2021</v>
      </c>
      <c r="D3361" s="8">
        <v>12</v>
      </c>
      <c r="E3361" s="3" t="str">
        <f t="shared" si="104"/>
        <v>December</v>
      </c>
      <c r="F3361" s="3" t="s">
        <v>8</v>
      </c>
      <c r="G3361" s="8">
        <v>20.197280159999998</v>
      </c>
      <c r="H3361" s="8">
        <v>21.831</v>
      </c>
      <c r="I3361" s="8">
        <v>1.633719836</v>
      </c>
      <c r="J3361" s="8">
        <v>8.6963733560000005</v>
      </c>
      <c r="K3361" s="8">
        <v>-40.553364969999997</v>
      </c>
      <c r="L3361" s="8">
        <v>61.976976180000001</v>
      </c>
      <c r="M3361" s="9" t="str">
        <f>IF(A3361="",M3362,A3361)</f>
        <v>Palau</v>
      </c>
      <c r="N3361" s="3" t="str">
        <f t="shared" si="105"/>
        <v>Dec-2021</v>
      </c>
    </row>
    <row r="3362" spans="1:14" x14ac:dyDescent="0.3">
      <c r="A3362" s="3" t="s">
        <v>288</v>
      </c>
      <c r="B3362" s="3" t="s">
        <v>289</v>
      </c>
      <c r="C3362" s="8">
        <v>2020</v>
      </c>
      <c r="D3362" s="8">
        <v>1</v>
      </c>
      <c r="E3362" s="3" t="str">
        <f t="shared" si="104"/>
        <v>January</v>
      </c>
      <c r="F3362" s="3" t="s">
        <v>8</v>
      </c>
      <c r="G3362" s="8">
        <v>5098.9867860000004</v>
      </c>
      <c r="H3362" s="8">
        <v>4930.6729999999998</v>
      </c>
      <c r="I3362" s="8">
        <v>-168.31378549999999</v>
      </c>
      <c r="J3362" s="8">
        <v>-168.31378549999999</v>
      </c>
      <c r="K3362" s="8">
        <v>-1442.534913</v>
      </c>
      <c r="L3362" s="8">
        <v>1420.8100300000001</v>
      </c>
      <c r="M3362" s="9" t="str">
        <f>IF(A3362="",M3363,A3362)</f>
        <v>Papua New Guinea</v>
      </c>
      <c r="N3362" s="3" t="str">
        <f t="shared" si="105"/>
        <v>Jan-2020</v>
      </c>
    </row>
    <row r="3363" spans="1:14" x14ac:dyDescent="0.3">
      <c r="A3363" s="3" t="s">
        <v>288</v>
      </c>
      <c r="B3363" s="3" t="s">
        <v>289</v>
      </c>
      <c r="C3363" s="8">
        <v>2020</v>
      </c>
      <c r="D3363" s="8">
        <v>2</v>
      </c>
      <c r="E3363" s="3" t="str">
        <f t="shared" si="104"/>
        <v>February</v>
      </c>
      <c r="F3363" s="3" t="s">
        <v>8</v>
      </c>
      <c r="G3363" s="8">
        <v>5102.3046530000001</v>
      </c>
      <c r="H3363" s="8">
        <v>4868.29</v>
      </c>
      <c r="I3363" s="8">
        <v>-234.01465289999999</v>
      </c>
      <c r="J3363" s="8">
        <v>-402.32843839999998</v>
      </c>
      <c r="K3363" s="8">
        <v>-2073.8311020000001</v>
      </c>
      <c r="L3363" s="8">
        <v>1787.572079</v>
      </c>
      <c r="M3363" s="9" t="str">
        <f>IF(A3363="",M3364,A3363)</f>
        <v>Papua New Guinea</v>
      </c>
      <c r="N3363" s="3" t="str">
        <f t="shared" si="105"/>
        <v>Feb-2020</v>
      </c>
    </row>
    <row r="3364" spans="1:14" x14ac:dyDescent="0.3">
      <c r="A3364" s="3" t="s">
        <v>288</v>
      </c>
      <c r="B3364" s="3" t="s">
        <v>289</v>
      </c>
      <c r="C3364" s="8">
        <v>2020</v>
      </c>
      <c r="D3364" s="8">
        <v>3</v>
      </c>
      <c r="E3364" s="3" t="str">
        <f t="shared" si="104"/>
        <v>March</v>
      </c>
      <c r="F3364" s="3" t="s">
        <v>8</v>
      </c>
      <c r="G3364" s="8">
        <v>5102.7385899999999</v>
      </c>
      <c r="H3364" s="8">
        <v>5009.8919999999998</v>
      </c>
      <c r="I3364" s="8">
        <v>-92.846590129999996</v>
      </c>
      <c r="J3364" s="8">
        <v>-495.1750285</v>
      </c>
      <c r="K3364" s="8">
        <v>-2906.2686480000002</v>
      </c>
      <c r="L3364" s="8">
        <v>2100.9426840000001</v>
      </c>
      <c r="M3364" s="9" t="str">
        <f>IF(A3364="",M3365,A3364)</f>
        <v>Papua New Guinea</v>
      </c>
      <c r="N3364" s="3" t="str">
        <f t="shared" si="105"/>
        <v>Mar-2020</v>
      </c>
    </row>
    <row r="3365" spans="1:14" x14ac:dyDescent="0.3">
      <c r="A3365" s="3" t="s">
        <v>288</v>
      </c>
      <c r="B3365" s="3" t="s">
        <v>289</v>
      </c>
      <c r="C3365" s="8">
        <v>2020</v>
      </c>
      <c r="D3365" s="8">
        <v>4</v>
      </c>
      <c r="E3365" s="3" t="str">
        <f t="shared" si="104"/>
        <v>April</v>
      </c>
      <c r="F3365" s="3" t="s">
        <v>8</v>
      </c>
      <c r="G3365" s="8">
        <v>5104.4075409999996</v>
      </c>
      <c r="H3365" s="8">
        <v>4707.18</v>
      </c>
      <c r="I3365" s="8">
        <v>-397.22754099999997</v>
      </c>
      <c r="J3365" s="8">
        <v>-892.40256950000003</v>
      </c>
      <c r="K3365" s="8">
        <v>-3624.9259999999999</v>
      </c>
      <c r="L3365" s="8">
        <v>2166.1965530000002</v>
      </c>
      <c r="M3365" s="9" t="str">
        <f>IF(A3365="",M3366,A3365)</f>
        <v>Papua New Guinea</v>
      </c>
      <c r="N3365" s="3" t="str">
        <f t="shared" si="105"/>
        <v>Apr-2020</v>
      </c>
    </row>
    <row r="3366" spans="1:14" x14ac:dyDescent="0.3">
      <c r="A3366" s="3" t="s">
        <v>288</v>
      </c>
      <c r="B3366" s="3" t="s">
        <v>289</v>
      </c>
      <c r="C3366" s="8">
        <v>2020</v>
      </c>
      <c r="D3366" s="8">
        <v>5</v>
      </c>
      <c r="E3366" s="3" t="str">
        <f t="shared" si="104"/>
        <v>May</v>
      </c>
      <c r="F3366" s="3" t="s">
        <v>8</v>
      </c>
      <c r="G3366" s="8">
        <v>5113.7088620000004</v>
      </c>
      <c r="H3366" s="8">
        <v>5138.4359999999997</v>
      </c>
      <c r="I3366" s="8">
        <v>24.727137939999999</v>
      </c>
      <c r="J3366" s="8">
        <v>-867.67543160000002</v>
      </c>
      <c r="K3366" s="8">
        <v>-3854.4096509999999</v>
      </c>
      <c r="L3366" s="8">
        <v>2319.5238559999998</v>
      </c>
      <c r="M3366" s="9" t="str">
        <f>IF(A3366="",M3367,A3366)</f>
        <v>Papua New Guinea</v>
      </c>
      <c r="N3366" s="3" t="str">
        <f t="shared" si="105"/>
        <v>May-2020</v>
      </c>
    </row>
    <row r="3367" spans="1:14" x14ac:dyDescent="0.3">
      <c r="A3367" s="3" t="s">
        <v>288</v>
      </c>
      <c r="B3367" s="3" t="s">
        <v>289</v>
      </c>
      <c r="C3367" s="8">
        <v>2020</v>
      </c>
      <c r="D3367" s="8">
        <v>6</v>
      </c>
      <c r="E3367" s="3" t="str">
        <f t="shared" si="104"/>
        <v>June</v>
      </c>
      <c r="F3367" s="3" t="s">
        <v>8</v>
      </c>
      <c r="G3367" s="8">
        <v>5130.0844520000001</v>
      </c>
      <c r="H3367" s="8">
        <v>5387.2190000000001</v>
      </c>
      <c r="I3367" s="8">
        <v>257.13454830000001</v>
      </c>
      <c r="J3367" s="8">
        <v>-610.54088330000002</v>
      </c>
      <c r="K3367" s="8">
        <v>-3882.6387989999998</v>
      </c>
      <c r="L3367" s="8">
        <v>2908.055327</v>
      </c>
      <c r="M3367" s="9" t="str">
        <f>IF(A3367="",M3368,A3367)</f>
        <v>Papua New Guinea</v>
      </c>
      <c r="N3367" s="3" t="str">
        <f t="shared" si="105"/>
        <v>Jun-2020</v>
      </c>
    </row>
    <row r="3368" spans="1:14" x14ac:dyDescent="0.3">
      <c r="A3368" s="3" t="s">
        <v>288</v>
      </c>
      <c r="B3368" s="3" t="s">
        <v>289</v>
      </c>
      <c r="C3368" s="8">
        <v>2020</v>
      </c>
      <c r="D3368" s="8">
        <v>7</v>
      </c>
      <c r="E3368" s="3" t="str">
        <f t="shared" si="104"/>
        <v>July</v>
      </c>
      <c r="F3368" s="3" t="s">
        <v>8</v>
      </c>
      <c r="G3368" s="8">
        <v>5143.7935180000004</v>
      </c>
      <c r="H3368" s="8">
        <v>5695.9790000000003</v>
      </c>
      <c r="I3368" s="8">
        <v>552.18548220000002</v>
      </c>
      <c r="J3368" s="8">
        <v>-58.35540108</v>
      </c>
      <c r="K3368" s="8">
        <v>-3633.1042349999998</v>
      </c>
      <c r="L3368" s="8">
        <v>3872.1557379999999</v>
      </c>
      <c r="M3368" s="9" t="str">
        <f>IF(A3368="",M3369,A3368)</f>
        <v>Papua New Guinea</v>
      </c>
      <c r="N3368" s="3" t="str">
        <f t="shared" si="105"/>
        <v>Jul-2020</v>
      </c>
    </row>
    <row r="3369" spans="1:14" x14ac:dyDescent="0.3">
      <c r="A3369" s="3" t="s">
        <v>288</v>
      </c>
      <c r="B3369" s="3" t="s">
        <v>289</v>
      </c>
      <c r="C3369" s="8">
        <v>2020</v>
      </c>
      <c r="D3369" s="8">
        <v>8</v>
      </c>
      <c r="E3369" s="3" t="str">
        <f t="shared" si="104"/>
        <v>August</v>
      </c>
      <c r="F3369" s="3" t="s">
        <v>8</v>
      </c>
      <c r="G3369" s="8">
        <v>5137.1267580000003</v>
      </c>
      <c r="H3369" s="8">
        <v>5719.7749999999996</v>
      </c>
      <c r="I3369" s="8">
        <v>582.64824199999998</v>
      </c>
      <c r="J3369" s="8">
        <v>524.29284089999999</v>
      </c>
      <c r="K3369" s="8">
        <v>-3381.3298639999998</v>
      </c>
      <c r="L3369" s="8">
        <v>4753.959965</v>
      </c>
      <c r="M3369" s="9" t="str">
        <f>IF(A3369="",M3370,A3369)</f>
        <v>Papua New Guinea</v>
      </c>
      <c r="N3369" s="3" t="str">
        <f t="shared" si="105"/>
        <v>Aug-2020</v>
      </c>
    </row>
    <row r="3370" spans="1:14" x14ac:dyDescent="0.3">
      <c r="A3370" s="3" t="s">
        <v>288</v>
      </c>
      <c r="B3370" s="3" t="s">
        <v>289</v>
      </c>
      <c r="C3370" s="8">
        <v>2020</v>
      </c>
      <c r="D3370" s="8">
        <v>9</v>
      </c>
      <c r="E3370" s="3" t="str">
        <f t="shared" si="104"/>
        <v>September</v>
      </c>
      <c r="F3370" s="3" t="s">
        <v>8</v>
      </c>
      <c r="G3370" s="8">
        <v>5124.5324449999998</v>
      </c>
      <c r="H3370" s="8">
        <v>5734.1589999999997</v>
      </c>
      <c r="I3370" s="8">
        <v>609.62655549999999</v>
      </c>
      <c r="J3370" s="8">
        <v>1133.919396</v>
      </c>
      <c r="K3370" s="8">
        <v>-3209.1794150000001</v>
      </c>
      <c r="L3370" s="8">
        <v>5874.2719710000001</v>
      </c>
      <c r="M3370" s="9" t="str">
        <f>IF(A3370="",M3371,A3370)</f>
        <v>Papua New Guinea</v>
      </c>
      <c r="N3370" s="3" t="str">
        <f t="shared" si="105"/>
        <v>Sep-2020</v>
      </c>
    </row>
    <row r="3371" spans="1:14" x14ac:dyDescent="0.3">
      <c r="A3371" s="3" t="s">
        <v>288</v>
      </c>
      <c r="B3371" s="3" t="s">
        <v>289</v>
      </c>
      <c r="C3371" s="8">
        <v>2020</v>
      </c>
      <c r="D3371" s="8">
        <v>10</v>
      </c>
      <c r="E3371" s="3" t="str">
        <f t="shared" si="104"/>
        <v>October</v>
      </c>
      <c r="F3371" s="3" t="s">
        <v>8</v>
      </c>
      <c r="G3371" s="8">
        <v>5105.1098549999997</v>
      </c>
      <c r="H3371" s="8">
        <v>5467.933</v>
      </c>
      <c r="I3371" s="8">
        <v>362.8231452</v>
      </c>
      <c r="J3371" s="8">
        <v>1496.742542</v>
      </c>
      <c r="K3371" s="8">
        <v>-3240.970092</v>
      </c>
      <c r="L3371" s="8">
        <v>6372.5332930000004</v>
      </c>
      <c r="M3371" s="9" t="str">
        <f>IF(A3371="",M3372,A3371)</f>
        <v>Papua New Guinea</v>
      </c>
      <c r="N3371" s="3" t="str">
        <f t="shared" si="105"/>
        <v>Oct-2020</v>
      </c>
    </row>
    <row r="3372" spans="1:14" x14ac:dyDescent="0.3">
      <c r="A3372" s="3" t="s">
        <v>288</v>
      </c>
      <c r="B3372" s="3" t="s">
        <v>289</v>
      </c>
      <c r="C3372" s="8">
        <v>2020</v>
      </c>
      <c r="D3372" s="8">
        <v>11</v>
      </c>
      <c r="E3372" s="3" t="str">
        <f t="shared" si="104"/>
        <v>November</v>
      </c>
      <c r="F3372" s="3" t="s">
        <v>8</v>
      </c>
      <c r="G3372" s="8">
        <v>5100.07024</v>
      </c>
      <c r="H3372" s="8">
        <v>5380.3710000000001</v>
      </c>
      <c r="I3372" s="8">
        <v>280.30076009999999</v>
      </c>
      <c r="J3372" s="8">
        <v>1777.043302</v>
      </c>
      <c r="K3372" s="8">
        <v>-3329.4524160000001</v>
      </c>
      <c r="L3372" s="8">
        <v>7149.3821079999998</v>
      </c>
      <c r="M3372" s="9" t="str">
        <f>IF(A3372="",M3373,A3372)</f>
        <v>Papua New Guinea</v>
      </c>
      <c r="N3372" s="3" t="str">
        <f t="shared" si="105"/>
        <v>Nov-2020</v>
      </c>
    </row>
    <row r="3373" spans="1:14" x14ac:dyDescent="0.3">
      <c r="A3373" s="3" t="s">
        <v>288</v>
      </c>
      <c r="B3373" s="3" t="s">
        <v>289</v>
      </c>
      <c r="C3373" s="8">
        <v>2020</v>
      </c>
      <c r="D3373" s="8">
        <v>12</v>
      </c>
      <c r="E3373" s="3" t="str">
        <f t="shared" si="104"/>
        <v>December</v>
      </c>
      <c r="F3373" s="3" t="s">
        <v>8</v>
      </c>
      <c r="G3373" s="8">
        <v>5101.071637</v>
      </c>
      <c r="H3373" s="8">
        <v>5384.27</v>
      </c>
      <c r="I3373" s="8">
        <v>283.19836270000002</v>
      </c>
      <c r="J3373" s="8">
        <v>2060.2416640000001</v>
      </c>
      <c r="K3373" s="8">
        <v>-3122.9251850000001</v>
      </c>
      <c r="L3373" s="8">
        <v>7689.2895689999996</v>
      </c>
      <c r="M3373" s="9" t="str">
        <f>IF(A3373="",M3374,A3373)</f>
        <v>Papua New Guinea</v>
      </c>
      <c r="N3373" s="3" t="str">
        <f t="shared" si="105"/>
        <v>Dec-2020</v>
      </c>
    </row>
    <row r="3374" spans="1:14" x14ac:dyDescent="0.3">
      <c r="A3374" s="3" t="s">
        <v>288</v>
      </c>
      <c r="B3374" s="3" t="s">
        <v>289</v>
      </c>
      <c r="C3374" s="8">
        <v>2021</v>
      </c>
      <c r="D3374" s="8">
        <v>1</v>
      </c>
      <c r="E3374" s="3" t="str">
        <f t="shared" si="104"/>
        <v>January</v>
      </c>
      <c r="F3374" s="3" t="s">
        <v>8</v>
      </c>
      <c r="G3374" s="8">
        <v>5157.8051569999998</v>
      </c>
      <c r="H3374" s="8">
        <v>5253.5010000000002</v>
      </c>
      <c r="I3374" s="8">
        <v>95.695843359999998</v>
      </c>
      <c r="J3374" s="8">
        <v>2155.937508</v>
      </c>
      <c r="K3374" s="8">
        <v>-3319.9169830000001</v>
      </c>
      <c r="L3374" s="8">
        <v>7807.0564260000001</v>
      </c>
      <c r="M3374" s="9" t="str">
        <f>IF(A3374="",M3375,A3374)</f>
        <v>Papua New Guinea</v>
      </c>
      <c r="N3374" s="3" t="str">
        <f t="shared" si="105"/>
        <v>Jan-2021</v>
      </c>
    </row>
    <row r="3375" spans="1:14" x14ac:dyDescent="0.3">
      <c r="A3375" s="3" t="s">
        <v>288</v>
      </c>
      <c r="B3375" s="3" t="s">
        <v>289</v>
      </c>
      <c r="C3375" s="8">
        <v>2021</v>
      </c>
      <c r="D3375" s="8">
        <v>2</v>
      </c>
      <c r="E3375" s="3" t="str">
        <f t="shared" si="104"/>
        <v>February</v>
      </c>
      <c r="F3375" s="3" t="s">
        <v>8</v>
      </c>
      <c r="G3375" s="8">
        <v>5164.758425</v>
      </c>
      <c r="H3375" s="8">
        <v>5239.4960000000001</v>
      </c>
      <c r="I3375" s="8">
        <v>74.737575500000005</v>
      </c>
      <c r="J3375" s="8">
        <v>2230.6750830000001</v>
      </c>
      <c r="K3375" s="8">
        <v>-3312.1407159999999</v>
      </c>
      <c r="L3375" s="8">
        <v>8169.7209110000003</v>
      </c>
      <c r="M3375" s="9" t="str">
        <f>IF(A3375="",M3376,A3375)</f>
        <v>Papua New Guinea</v>
      </c>
      <c r="N3375" s="3" t="str">
        <f t="shared" si="105"/>
        <v>Feb-2021</v>
      </c>
    </row>
    <row r="3376" spans="1:14" x14ac:dyDescent="0.3">
      <c r="A3376" s="3" t="s">
        <v>288</v>
      </c>
      <c r="B3376" s="3" t="s">
        <v>289</v>
      </c>
      <c r="C3376" s="8">
        <v>2021</v>
      </c>
      <c r="D3376" s="8">
        <v>3</v>
      </c>
      <c r="E3376" s="3" t="str">
        <f t="shared" si="104"/>
        <v>March</v>
      </c>
      <c r="F3376" s="3" t="s">
        <v>8</v>
      </c>
      <c r="G3376" s="8">
        <v>5162.9283869999999</v>
      </c>
      <c r="H3376" s="8">
        <v>5111.3519999999999</v>
      </c>
      <c r="I3376" s="8">
        <v>-51.576386530000001</v>
      </c>
      <c r="J3376" s="8">
        <v>2179.0986969999999</v>
      </c>
      <c r="K3376" s="8">
        <v>-3611.1222520000001</v>
      </c>
      <c r="L3376" s="8">
        <v>8375.8807880000004</v>
      </c>
      <c r="M3376" s="9" t="str">
        <f>IF(A3376="",M3377,A3376)</f>
        <v>Papua New Guinea</v>
      </c>
      <c r="N3376" s="3" t="str">
        <f t="shared" si="105"/>
        <v>Mar-2021</v>
      </c>
    </row>
    <row r="3377" spans="1:14" x14ac:dyDescent="0.3">
      <c r="A3377" s="3" t="s">
        <v>288</v>
      </c>
      <c r="B3377" s="3" t="s">
        <v>289</v>
      </c>
      <c r="C3377" s="8">
        <v>2021</v>
      </c>
      <c r="D3377" s="8">
        <v>4</v>
      </c>
      <c r="E3377" s="3" t="str">
        <f t="shared" si="104"/>
        <v>April</v>
      </c>
      <c r="F3377" s="3" t="s">
        <v>8</v>
      </c>
      <c r="G3377" s="8">
        <v>5165.9191300000002</v>
      </c>
      <c r="H3377" s="8">
        <v>5125.8860000000004</v>
      </c>
      <c r="I3377" s="8">
        <v>-40.033129940000002</v>
      </c>
      <c r="J3377" s="8">
        <v>2139.0655670000001</v>
      </c>
      <c r="K3377" s="8">
        <v>-3510.0300790000001</v>
      </c>
      <c r="L3377" s="8">
        <v>8474.7211869999992</v>
      </c>
      <c r="M3377" s="9" t="str">
        <f>IF(A3377="",M3378,A3377)</f>
        <v>Papua New Guinea</v>
      </c>
      <c r="N3377" s="3" t="str">
        <f t="shared" si="105"/>
        <v>Apr-2021</v>
      </c>
    </row>
    <row r="3378" spans="1:14" x14ac:dyDescent="0.3">
      <c r="A3378" s="3" t="s">
        <v>288</v>
      </c>
      <c r="B3378" s="3" t="s">
        <v>289</v>
      </c>
      <c r="C3378" s="8">
        <v>2021</v>
      </c>
      <c r="D3378" s="8">
        <v>5</v>
      </c>
      <c r="E3378" s="3" t="str">
        <f t="shared" si="104"/>
        <v>May</v>
      </c>
      <c r="F3378" s="3" t="s">
        <v>8</v>
      </c>
      <c r="G3378" s="8">
        <v>5171.0888660000001</v>
      </c>
      <c r="H3378" s="8">
        <v>5987.3159999999998</v>
      </c>
      <c r="I3378" s="8">
        <v>816.22713380000005</v>
      </c>
      <c r="J3378" s="8">
        <v>2955.2927009999999</v>
      </c>
      <c r="K3378" s="8">
        <v>-3033.4088019999999</v>
      </c>
      <c r="L3378" s="8">
        <v>9501.260209</v>
      </c>
      <c r="M3378" s="9" t="str">
        <f>IF(A3378="",M3379,A3378)</f>
        <v>Papua New Guinea</v>
      </c>
      <c r="N3378" s="3" t="str">
        <f t="shared" si="105"/>
        <v>May-2021</v>
      </c>
    </row>
    <row r="3379" spans="1:14" x14ac:dyDescent="0.3">
      <c r="A3379" s="3" t="s">
        <v>288</v>
      </c>
      <c r="B3379" s="3" t="s">
        <v>289</v>
      </c>
      <c r="C3379" s="8">
        <v>2021</v>
      </c>
      <c r="D3379" s="8">
        <v>6</v>
      </c>
      <c r="E3379" s="3" t="str">
        <f t="shared" si="104"/>
        <v>June</v>
      </c>
      <c r="F3379" s="3" t="s">
        <v>8</v>
      </c>
      <c r="G3379" s="8">
        <v>5191.8447980000001</v>
      </c>
      <c r="H3379" s="8">
        <v>5630.2520000000004</v>
      </c>
      <c r="I3379" s="8">
        <v>438.40720149999999</v>
      </c>
      <c r="J3379" s="8">
        <v>3393.6999019999998</v>
      </c>
      <c r="K3379" s="8">
        <v>-2750.7928350000002</v>
      </c>
      <c r="L3379" s="8">
        <v>10280.69521</v>
      </c>
      <c r="M3379" s="9" t="str">
        <f>IF(A3379="",M3380,A3379)</f>
        <v>Papua New Guinea</v>
      </c>
      <c r="N3379" s="3" t="str">
        <f t="shared" si="105"/>
        <v>Jun-2021</v>
      </c>
    </row>
    <row r="3380" spans="1:14" x14ac:dyDescent="0.3">
      <c r="A3380" s="3" t="s">
        <v>288</v>
      </c>
      <c r="B3380" s="3" t="s">
        <v>289</v>
      </c>
      <c r="C3380" s="8">
        <v>2021</v>
      </c>
      <c r="D3380" s="8">
        <v>7</v>
      </c>
      <c r="E3380" s="3" t="str">
        <f t="shared" si="104"/>
        <v>July</v>
      </c>
      <c r="F3380" s="3" t="s">
        <v>8</v>
      </c>
      <c r="G3380" s="8">
        <v>5203.8140370000001</v>
      </c>
      <c r="H3380" s="8">
        <v>5824.2860000000001</v>
      </c>
      <c r="I3380" s="8">
        <v>620.47196289999999</v>
      </c>
      <c r="J3380" s="8">
        <v>4014.1718649999998</v>
      </c>
      <c r="K3380" s="8">
        <v>-2229.273631</v>
      </c>
      <c r="L3380" s="8">
        <v>11043.494699999999</v>
      </c>
      <c r="M3380" s="9" t="str">
        <f>IF(A3380="",M3381,A3380)</f>
        <v>Papua New Guinea</v>
      </c>
      <c r="N3380" s="3" t="str">
        <f t="shared" si="105"/>
        <v>Jul-2021</v>
      </c>
    </row>
    <row r="3381" spans="1:14" x14ac:dyDescent="0.3">
      <c r="A3381" s="3" t="s">
        <v>288</v>
      </c>
      <c r="B3381" s="3" t="s">
        <v>289</v>
      </c>
      <c r="C3381" s="8">
        <v>2021</v>
      </c>
      <c r="D3381" s="8">
        <v>8</v>
      </c>
      <c r="E3381" s="3" t="str">
        <f t="shared" si="104"/>
        <v>August</v>
      </c>
      <c r="F3381" s="3" t="s">
        <v>8</v>
      </c>
      <c r="G3381" s="8">
        <v>5198.2110659999998</v>
      </c>
      <c r="H3381" s="8">
        <v>5654.9790000000003</v>
      </c>
      <c r="I3381" s="8">
        <v>456.7679339</v>
      </c>
      <c r="J3381" s="8">
        <v>4470.9397989999998</v>
      </c>
      <c r="K3381" s="8">
        <v>-1975.5206720000001</v>
      </c>
      <c r="L3381" s="8">
        <v>11454.187110000001</v>
      </c>
      <c r="M3381" s="9" t="str">
        <f>IF(A3381="",M3382,A3381)</f>
        <v>Papua New Guinea</v>
      </c>
      <c r="N3381" s="3" t="str">
        <f t="shared" si="105"/>
        <v>Aug-2021</v>
      </c>
    </row>
    <row r="3382" spans="1:14" x14ac:dyDescent="0.3">
      <c r="A3382" s="3" t="s">
        <v>288</v>
      </c>
      <c r="B3382" s="3" t="s">
        <v>289</v>
      </c>
      <c r="C3382" s="8">
        <v>2021</v>
      </c>
      <c r="D3382" s="8">
        <v>9</v>
      </c>
      <c r="E3382" s="3" t="str">
        <f t="shared" si="104"/>
        <v>September</v>
      </c>
      <c r="F3382" s="3" t="s">
        <v>8</v>
      </c>
      <c r="G3382" s="8">
        <v>5184.2710619999998</v>
      </c>
      <c r="H3382" s="8">
        <v>6134.0870000000004</v>
      </c>
      <c r="I3382" s="8">
        <v>949.81593780000003</v>
      </c>
      <c r="J3382" s="8">
        <v>5420.7557370000004</v>
      </c>
      <c r="K3382" s="8">
        <v>-1209.626295</v>
      </c>
      <c r="L3382" s="8">
        <v>12364.35189</v>
      </c>
      <c r="M3382" s="9" t="str">
        <f>IF(A3382="",M3383,A3382)</f>
        <v>Papua New Guinea</v>
      </c>
      <c r="N3382" s="3" t="str">
        <f t="shared" si="105"/>
        <v>Sep-2021</v>
      </c>
    </row>
    <row r="3383" spans="1:14" x14ac:dyDescent="0.3">
      <c r="A3383" s="3" t="s">
        <v>288</v>
      </c>
      <c r="B3383" s="3" t="s">
        <v>289</v>
      </c>
      <c r="C3383" s="8">
        <v>2021</v>
      </c>
      <c r="D3383" s="8">
        <v>10</v>
      </c>
      <c r="E3383" s="3" t="str">
        <f t="shared" si="104"/>
        <v>October</v>
      </c>
      <c r="F3383" s="3" t="s">
        <v>8</v>
      </c>
      <c r="G3383" s="8">
        <v>5164.0236960000002</v>
      </c>
      <c r="H3383" s="8">
        <v>6287.2370000000001</v>
      </c>
      <c r="I3383" s="8">
        <v>1123.2133040000001</v>
      </c>
      <c r="J3383" s="8">
        <v>6543.9690410000003</v>
      </c>
      <c r="K3383" s="8">
        <v>-277.2370128</v>
      </c>
      <c r="L3383" s="8">
        <v>13935.16821</v>
      </c>
      <c r="M3383" s="9" t="str">
        <f>IF(A3383="",M3384,A3383)</f>
        <v>Papua New Guinea</v>
      </c>
      <c r="N3383" s="3" t="str">
        <f t="shared" si="105"/>
        <v>Oct-2021</v>
      </c>
    </row>
    <row r="3384" spans="1:14" x14ac:dyDescent="0.3">
      <c r="A3384" s="3" t="s">
        <v>288</v>
      </c>
      <c r="B3384" s="3" t="s">
        <v>289</v>
      </c>
      <c r="C3384" s="8">
        <v>2021</v>
      </c>
      <c r="D3384" s="8">
        <v>11</v>
      </c>
      <c r="E3384" s="3" t="str">
        <f t="shared" si="104"/>
        <v>November</v>
      </c>
      <c r="F3384" s="3" t="s">
        <v>8</v>
      </c>
      <c r="G3384" s="8">
        <v>5158.7215029999998</v>
      </c>
      <c r="H3384" s="8">
        <v>6328.2449999999999</v>
      </c>
      <c r="I3384" s="8">
        <v>1169.5234969999999</v>
      </c>
      <c r="J3384" s="8">
        <v>7713.4925380000004</v>
      </c>
      <c r="K3384" s="8">
        <v>543.14631559999998</v>
      </c>
      <c r="L3384" s="8">
        <v>14998.52576</v>
      </c>
      <c r="M3384" s="9" t="str">
        <f>IF(A3384="",M3385,A3384)</f>
        <v>Papua New Guinea</v>
      </c>
      <c r="N3384" s="3" t="str">
        <f t="shared" si="105"/>
        <v>Nov-2021</v>
      </c>
    </row>
    <row r="3385" spans="1:14" x14ac:dyDescent="0.3">
      <c r="A3385" s="3" t="s">
        <v>288</v>
      </c>
      <c r="B3385" s="3" t="s">
        <v>289</v>
      </c>
      <c r="C3385" s="8">
        <v>2021</v>
      </c>
      <c r="D3385" s="8">
        <v>12</v>
      </c>
      <c r="E3385" s="3" t="str">
        <f t="shared" si="104"/>
        <v>December</v>
      </c>
      <c r="F3385" s="3" t="s">
        <v>8</v>
      </c>
      <c r="G3385" s="8">
        <v>5158.9690170000003</v>
      </c>
      <c r="H3385" s="8">
        <v>6067.0810000000001</v>
      </c>
      <c r="I3385" s="8">
        <v>908.11198339999999</v>
      </c>
      <c r="J3385" s="8">
        <v>8621.6045219999996</v>
      </c>
      <c r="K3385" s="8">
        <v>1325.2666409999999</v>
      </c>
      <c r="L3385" s="8">
        <v>16097.69455</v>
      </c>
      <c r="M3385" s="9" t="str">
        <f>IF(A3385="",M3386,A3385)</f>
        <v>Papua New Guinea</v>
      </c>
      <c r="N3385" s="3" t="str">
        <f t="shared" si="105"/>
        <v>Dec-2021</v>
      </c>
    </row>
    <row r="3386" spans="1:14" x14ac:dyDescent="0.3">
      <c r="A3386" s="3" t="s">
        <v>290</v>
      </c>
      <c r="B3386" s="3" t="s">
        <v>291</v>
      </c>
      <c r="C3386" s="8">
        <v>2020</v>
      </c>
      <c r="D3386" s="8">
        <v>1</v>
      </c>
      <c r="E3386" s="3" t="str">
        <f t="shared" si="104"/>
        <v>January</v>
      </c>
      <c r="F3386" s="3" t="s">
        <v>13</v>
      </c>
      <c r="G3386" s="8">
        <v>36989.725700000003</v>
      </c>
      <c r="H3386" s="8">
        <v>36475</v>
      </c>
      <c r="I3386" s="8">
        <v>-514.97570299999995</v>
      </c>
      <c r="J3386" s="8">
        <v>-514.97570299999995</v>
      </c>
      <c r="K3386" s="8">
        <v>-1784.624272</v>
      </c>
      <c r="L3386" s="8">
        <v>727.26274069999999</v>
      </c>
      <c r="M3386" s="9" t="str">
        <f>IF(A3386="",M3387,A3386)</f>
        <v>Poland</v>
      </c>
      <c r="N3386" s="3" t="str">
        <f t="shared" si="105"/>
        <v>Jan-2020</v>
      </c>
    </row>
    <row r="3387" spans="1:14" x14ac:dyDescent="0.3">
      <c r="A3387" s="3" t="s">
        <v>290</v>
      </c>
      <c r="B3387" s="3" t="s">
        <v>291</v>
      </c>
      <c r="C3387" s="8">
        <v>2020</v>
      </c>
      <c r="D3387" s="8">
        <v>2</v>
      </c>
      <c r="E3387" s="3" t="str">
        <f t="shared" si="104"/>
        <v>February</v>
      </c>
      <c r="F3387" s="3" t="s">
        <v>13</v>
      </c>
      <c r="G3387" s="8">
        <v>37774.759810000003</v>
      </c>
      <c r="H3387" s="8">
        <v>35148</v>
      </c>
      <c r="I3387" s="8">
        <v>-2627.009806</v>
      </c>
      <c r="J3387" s="8">
        <v>-3141.9855090000001</v>
      </c>
      <c r="K3387" s="8">
        <v>-5096.5915340000001</v>
      </c>
      <c r="L3387" s="8">
        <v>-1321.2971190000001</v>
      </c>
      <c r="M3387" s="9" t="str">
        <f>IF(A3387="",M3388,A3387)</f>
        <v>Poland</v>
      </c>
      <c r="N3387" s="3" t="str">
        <f t="shared" si="105"/>
        <v>Feb-2020</v>
      </c>
    </row>
    <row r="3388" spans="1:14" x14ac:dyDescent="0.3">
      <c r="A3388" s="3" t="s">
        <v>290</v>
      </c>
      <c r="B3388" s="3" t="s">
        <v>291</v>
      </c>
      <c r="C3388" s="8">
        <v>2020</v>
      </c>
      <c r="D3388" s="8">
        <v>3</v>
      </c>
      <c r="E3388" s="3" t="str">
        <f t="shared" si="104"/>
        <v>March</v>
      </c>
      <c r="F3388" s="3" t="s">
        <v>13</v>
      </c>
      <c r="G3388" s="8">
        <v>37288.851909999998</v>
      </c>
      <c r="H3388" s="8">
        <v>36737</v>
      </c>
      <c r="I3388" s="8">
        <v>-552.10190999999998</v>
      </c>
      <c r="J3388" s="8">
        <v>-3694.087419</v>
      </c>
      <c r="K3388" s="8">
        <v>-6271.4029140000002</v>
      </c>
      <c r="L3388" s="8">
        <v>-1279.3815830000001</v>
      </c>
      <c r="M3388" s="9" t="str">
        <f>IF(A3388="",M3389,A3388)</f>
        <v>Poland</v>
      </c>
      <c r="N3388" s="3" t="str">
        <f t="shared" si="105"/>
        <v>Mar-2020</v>
      </c>
    </row>
    <row r="3389" spans="1:14" x14ac:dyDescent="0.3">
      <c r="A3389" s="3" t="s">
        <v>290</v>
      </c>
      <c r="B3389" s="3" t="s">
        <v>291</v>
      </c>
      <c r="C3389" s="8">
        <v>2020</v>
      </c>
      <c r="D3389" s="8">
        <v>4</v>
      </c>
      <c r="E3389" s="3" t="str">
        <f t="shared" si="104"/>
        <v>April</v>
      </c>
      <c r="F3389" s="3" t="s">
        <v>13</v>
      </c>
      <c r="G3389" s="8">
        <v>34998.759209999997</v>
      </c>
      <c r="H3389" s="8">
        <v>34063</v>
      </c>
      <c r="I3389" s="8">
        <v>-936.0092085</v>
      </c>
      <c r="J3389" s="8">
        <v>-4630.0966269999999</v>
      </c>
      <c r="K3389" s="8">
        <v>-7556.6205840000002</v>
      </c>
      <c r="L3389" s="8">
        <v>-1827.2931920000001</v>
      </c>
      <c r="M3389" s="9" t="str">
        <f>IF(A3389="",M3390,A3389)</f>
        <v>Poland</v>
      </c>
      <c r="N3389" s="3" t="str">
        <f t="shared" si="105"/>
        <v>Apr-2020</v>
      </c>
    </row>
    <row r="3390" spans="1:14" x14ac:dyDescent="0.3">
      <c r="A3390" s="3" t="s">
        <v>290</v>
      </c>
      <c r="B3390" s="3" t="s">
        <v>291</v>
      </c>
      <c r="C3390" s="8">
        <v>2020</v>
      </c>
      <c r="D3390" s="8">
        <v>5</v>
      </c>
      <c r="E3390" s="3" t="str">
        <f t="shared" si="104"/>
        <v>May</v>
      </c>
      <c r="F3390" s="3" t="s">
        <v>13</v>
      </c>
      <c r="G3390" s="8">
        <v>33112.371440000003</v>
      </c>
      <c r="H3390" s="8">
        <v>33641</v>
      </c>
      <c r="I3390" s="8">
        <v>528.37855730000001</v>
      </c>
      <c r="J3390" s="8">
        <v>-4101.7180699999999</v>
      </c>
      <c r="K3390" s="8">
        <v>-7442.6041740000001</v>
      </c>
      <c r="L3390" s="8">
        <v>-851.77840490000006</v>
      </c>
      <c r="M3390" s="9" t="str">
        <f>IF(A3390="",M3391,A3390)</f>
        <v>Poland</v>
      </c>
      <c r="N3390" s="3" t="str">
        <f t="shared" si="105"/>
        <v>May-2020</v>
      </c>
    </row>
    <row r="3391" spans="1:14" x14ac:dyDescent="0.3">
      <c r="A3391" s="3" t="s">
        <v>290</v>
      </c>
      <c r="B3391" s="3" t="s">
        <v>291</v>
      </c>
      <c r="C3391" s="8">
        <v>2020</v>
      </c>
      <c r="D3391" s="8">
        <v>6</v>
      </c>
      <c r="E3391" s="3" t="str">
        <f t="shared" si="104"/>
        <v>June</v>
      </c>
      <c r="F3391" s="3" t="s">
        <v>13</v>
      </c>
      <c r="G3391" s="8">
        <v>32102.732240000001</v>
      </c>
      <c r="H3391" s="8">
        <v>32506</v>
      </c>
      <c r="I3391" s="8">
        <v>403.01776319999999</v>
      </c>
      <c r="J3391" s="8">
        <v>-3698.7003070000001</v>
      </c>
      <c r="K3391" s="8">
        <v>-7262.0135069999997</v>
      </c>
      <c r="L3391" s="8">
        <v>-219.8003981</v>
      </c>
      <c r="M3391" s="9" t="str">
        <f>IF(A3391="",M3392,A3391)</f>
        <v>Poland</v>
      </c>
      <c r="N3391" s="3" t="str">
        <f t="shared" si="105"/>
        <v>Jun-2020</v>
      </c>
    </row>
    <row r="3392" spans="1:14" x14ac:dyDescent="0.3">
      <c r="A3392" s="3" t="s">
        <v>290</v>
      </c>
      <c r="B3392" s="3" t="s">
        <v>291</v>
      </c>
      <c r="C3392" s="8">
        <v>2020</v>
      </c>
      <c r="D3392" s="8">
        <v>7</v>
      </c>
      <c r="E3392" s="3" t="str">
        <f t="shared" si="104"/>
        <v>July</v>
      </c>
      <c r="F3392" s="3" t="s">
        <v>13</v>
      </c>
      <c r="G3392" s="8">
        <v>32089.00232</v>
      </c>
      <c r="H3392" s="8">
        <v>33414</v>
      </c>
      <c r="I3392" s="8">
        <v>1324.7476750000001</v>
      </c>
      <c r="J3392" s="8">
        <v>-2373.952632</v>
      </c>
      <c r="K3392" s="8">
        <v>-6223.7261060000001</v>
      </c>
      <c r="L3392" s="8">
        <v>1153.493387</v>
      </c>
      <c r="M3392" s="9" t="str">
        <f>IF(A3392="",M3393,A3392)</f>
        <v>Poland</v>
      </c>
      <c r="N3392" s="3" t="str">
        <f t="shared" si="105"/>
        <v>Jul-2020</v>
      </c>
    </row>
    <row r="3393" spans="1:14" x14ac:dyDescent="0.3">
      <c r="A3393" s="3" t="s">
        <v>290</v>
      </c>
      <c r="B3393" s="3" t="s">
        <v>291</v>
      </c>
      <c r="C3393" s="8">
        <v>2020</v>
      </c>
      <c r="D3393" s="8">
        <v>8</v>
      </c>
      <c r="E3393" s="3" t="str">
        <f t="shared" si="104"/>
        <v>August</v>
      </c>
      <c r="F3393" s="3" t="s">
        <v>13</v>
      </c>
      <c r="G3393" s="8">
        <v>32101.994500000001</v>
      </c>
      <c r="H3393" s="8">
        <v>34717</v>
      </c>
      <c r="I3393" s="8">
        <v>2614.7555000000002</v>
      </c>
      <c r="J3393" s="8">
        <v>240.80286799999999</v>
      </c>
      <c r="K3393" s="8">
        <v>-3859.3804239999999</v>
      </c>
      <c r="L3393" s="8">
        <v>3955.6848340000001</v>
      </c>
      <c r="M3393" s="9" t="str">
        <f>IF(A3393="",M3394,A3393)</f>
        <v>Poland</v>
      </c>
      <c r="N3393" s="3" t="str">
        <f t="shared" si="105"/>
        <v>Aug-2020</v>
      </c>
    </row>
    <row r="3394" spans="1:14" x14ac:dyDescent="0.3">
      <c r="A3394" s="3" t="s">
        <v>290</v>
      </c>
      <c r="B3394" s="3" t="s">
        <v>291</v>
      </c>
      <c r="C3394" s="8">
        <v>2020</v>
      </c>
      <c r="D3394" s="8">
        <v>9</v>
      </c>
      <c r="E3394" s="3" t="str">
        <f t="shared" ref="E3394:E3457" si="106">TEXT(DATE(C3394,D3394,1),"MMMM")</f>
        <v>September</v>
      </c>
      <c r="F3394" s="3" t="s">
        <v>13</v>
      </c>
      <c r="G3394" s="8">
        <v>32433.96747</v>
      </c>
      <c r="H3394" s="8">
        <v>34237</v>
      </c>
      <c r="I3394" s="8">
        <v>1802.7825319999999</v>
      </c>
      <c r="J3394" s="8">
        <v>2043.585401</v>
      </c>
      <c r="K3394" s="8">
        <v>-2312.527912</v>
      </c>
      <c r="L3394" s="8">
        <v>6006.9587709999996</v>
      </c>
      <c r="M3394" s="9" t="str">
        <f>IF(A3394="",M3395,A3394)</f>
        <v>Poland</v>
      </c>
      <c r="N3394" s="3" t="str">
        <f t="shared" ref="N3394:N3457" si="107">TEXT(DATE(C3394,D3394,1),"MMM-YYYY")</f>
        <v>Sep-2020</v>
      </c>
    </row>
    <row r="3395" spans="1:14" x14ac:dyDescent="0.3">
      <c r="A3395" s="3" t="s">
        <v>290</v>
      </c>
      <c r="B3395" s="3" t="s">
        <v>291</v>
      </c>
      <c r="C3395" s="8">
        <v>2020</v>
      </c>
      <c r="D3395" s="8">
        <v>10</v>
      </c>
      <c r="E3395" s="3" t="str">
        <f t="shared" si="106"/>
        <v>October</v>
      </c>
      <c r="F3395" s="3" t="s">
        <v>13</v>
      </c>
      <c r="G3395" s="8">
        <v>33757.801460000002</v>
      </c>
      <c r="H3395" s="8">
        <v>49226</v>
      </c>
      <c r="I3395" s="8">
        <v>15467.948539999999</v>
      </c>
      <c r="J3395" s="8">
        <v>17511.533940000001</v>
      </c>
      <c r="K3395" s="8">
        <v>13098.994350000001</v>
      </c>
      <c r="L3395" s="8">
        <v>21713.56755</v>
      </c>
      <c r="M3395" s="9" t="str">
        <f>IF(A3395="",M3396,A3395)</f>
        <v>Poland</v>
      </c>
      <c r="N3395" s="3" t="str">
        <f t="shared" si="107"/>
        <v>Oct-2020</v>
      </c>
    </row>
    <row r="3396" spans="1:14" x14ac:dyDescent="0.3">
      <c r="A3396" s="3" t="s">
        <v>290</v>
      </c>
      <c r="B3396" s="3" t="s">
        <v>291</v>
      </c>
      <c r="C3396" s="8">
        <v>2020</v>
      </c>
      <c r="D3396" s="8">
        <v>11</v>
      </c>
      <c r="E3396" s="3" t="str">
        <f t="shared" si="106"/>
        <v>November</v>
      </c>
      <c r="F3396" s="3" t="s">
        <v>13</v>
      </c>
      <c r="G3396" s="8">
        <v>35089.871679999997</v>
      </c>
      <c r="H3396" s="8">
        <v>64293</v>
      </c>
      <c r="I3396" s="8">
        <v>29202.87832</v>
      </c>
      <c r="J3396" s="8">
        <v>46714.412259999997</v>
      </c>
      <c r="K3396" s="8">
        <v>42038.998760000002</v>
      </c>
      <c r="L3396" s="8">
        <v>51203.606829999997</v>
      </c>
      <c r="M3396" s="9" t="str">
        <f>IF(A3396="",M3397,A3396)</f>
        <v>Poland</v>
      </c>
      <c r="N3396" s="3" t="str">
        <f t="shared" si="107"/>
        <v>Nov-2020</v>
      </c>
    </row>
    <row r="3397" spans="1:14" x14ac:dyDescent="0.3">
      <c r="A3397" s="3" t="s">
        <v>290</v>
      </c>
      <c r="B3397" s="3" t="s">
        <v>291</v>
      </c>
      <c r="C3397" s="8">
        <v>2020</v>
      </c>
      <c r="D3397" s="8">
        <v>12</v>
      </c>
      <c r="E3397" s="3" t="str">
        <f t="shared" si="106"/>
        <v>December</v>
      </c>
      <c r="F3397" s="3" t="s">
        <v>13</v>
      </c>
      <c r="G3397" s="8">
        <v>37363.00099</v>
      </c>
      <c r="H3397" s="8">
        <v>53681</v>
      </c>
      <c r="I3397" s="8">
        <v>16317.74901</v>
      </c>
      <c r="J3397" s="8">
        <v>63032.16128</v>
      </c>
      <c r="K3397" s="8">
        <v>58169.963989999997</v>
      </c>
      <c r="L3397" s="8">
        <v>67733.284419999996</v>
      </c>
      <c r="M3397" s="9" t="str">
        <f>IF(A3397="",M3398,A3397)</f>
        <v>Poland</v>
      </c>
      <c r="N3397" s="3" t="str">
        <f t="shared" si="107"/>
        <v>Dec-2020</v>
      </c>
    </row>
    <row r="3398" spans="1:14" x14ac:dyDescent="0.3">
      <c r="A3398" s="3" t="s">
        <v>290</v>
      </c>
      <c r="B3398" s="3" t="s">
        <v>291</v>
      </c>
      <c r="C3398" s="8">
        <v>2021</v>
      </c>
      <c r="D3398" s="8">
        <v>1</v>
      </c>
      <c r="E3398" s="3" t="str">
        <f t="shared" si="106"/>
        <v>January</v>
      </c>
      <c r="F3398" s="3" t="s">
        <v>13</v>
      </c>
      <c r="G3398" s="8">
        <v>37361.5625</v>
      </c>
      <c r="H3398" s="8">
        <v>48917</v>
      </c>
      <c r="I3398" s="8">
        <v>11555.354170000001</v>
      </c>
      <c r="J3398" s="8">
        <v>74587.515450000006</v>
      </c>
      <c r="K3398" s="8">
        <v>69385.379530000006</v>
      </c>
      <c r="L3398" s="8">
        <v>79389.236449999997</v>
      </c>
      <c r="M3398" s="9" t="str">
        <f>IF(A3398="",M3399,A3398)</f>
        <v>Poland</v>
      </c>
      <c r="N3398" s="3" t="str">
        <f t="shared" si="107"/>
        <v>Jan-2021</v>
      </c>
    </row>
    <row r="3399" spans="1:14" x14ac:dyDescent="0.3">
      <c r="A3399" s="3" t="s">
        <v>290</v>
      </c>
      <c r="B3399" s="3" t="s">
        <v>291</v>
      </c>
      <c r="C3399" s="8">
        <v>2021</v>
      </c>
      <c r="D3399" s="8">
        <v>2</v>
      </c>
      <c r="E3399" s="3" t="str">
        <f t="shared" si="106"/>
        <v>February</v>
      </c>
      <c r="F3399" s="3" t="s">
        <v>13</v>
      </c>
      <c r="G3399" s="8">
        <v>38189.654580000002</v>
      </c>
      <c r="H3399" s="8">
        <v>39818</v>
      </c>
      <c r="I3399" s="8">
        <v>1628.2620870000001</v>
      </c>
      <c r="J3399" s="8">
        <v>76215.777530000007</v>
      </c>
      <c r="K3399" s="8">
        <v>70915.549880000006</v>
      </c>
      <c r="L3399" s="8">
        <v>81366.846369999999</v>
      </c>
      <c r="M3399" s="9" t="str">
        <f>IF(A3399="",M3400,A3399)</f>
        <v>Poland</v>
      </c>
      <c r="N3399" s="3" t="str">
        <f t="shared" si="107"/>
        <v>Feb-2021</v>
      </c>
    </row>
    <row r="3400" spans="1:14" x14ac:dyDescent="0.3">
      <c r="A3400" s="3" t="s">
        <v>290</v>
      </c>
      <c r="B3400" s="3" t="s">
        <v>291</v>
      </c>
      <c r="C3400" s="8">
        <v>2021</v>
      </c>
      <c r="D3400" s="8">
        <v>3</v>
      </c>
      <c r="E3400" s="3" t="str">
        <f t="shared" si="106"/>
        <v>March</v>
      </c>
      <c r="F3400" s="3" t="s">
        <v>13</v>
      </c>
      <c r="G3400" s="8">
        <v>37724.390870000003</v>
      </c>
      <c r="H3400" s="8">
        <v>51088</v>
      </c>
      <c r="I3400" s="8">
        <v>13363.525799999999</v>
      </c>
      <c r="J3400" s="8">
        <v>89579.303329999995</v>
      </c>
      <c r="K3400" s="8">
        <v>84011.237810000006</v>
      </c>
      <c r="L3400" s="8">
        <v>95129.453399999999</v>
      </c>
      <c r="M3400" s="9" t="str">
        <f>IF(A3400="",M3401,A3400)</f>
        <v>Poland</v>
      </c>
      <c r="N3400" s="3" t="str">
        <f t="shared" si="107"/>
        <v>Mar-2021</v>
      </c>
    </row>
    <row r="3401" spans="1:14" x14ac:dyDescent="0.3">
      <c r="A3401" s="3" t="s">
        <v>290</v>
      </c>
      <c r="B3401" s="3" t="s">
        <v>291</v>
      </c>
      <c r="C3401" s="8">
        <v>2021</v>
      </c>
      <c r="D3401" s="8">
        <v>4</v>
      </c>
      <c r="E3401" s="3" t="str">
        <f t="shared" si="106"/>
        <v>April</v>
      </c>
      <c r="F3401" s="3" t="s">
        <v>13</v>
      </c>
      <c r="G3401" s="8">
        <v>35396.332640000001</v>
      </c>
      <c r="H3401" s="8">
        <v>54399</v>
      </c>
      <c r="I3401" s="8">
        <v>19002.584030000002</v>
      </c>
      <c r="J3401" s="8">
        <v>108581.88740000001</v>
      </c>
      <c r="K3401" s="8">
        <v>102787.0947</v>
      </c>
      <c r="L3401" s="8">
        <v>114237.1087</v>
      </c>
      <c r="M3401" s="9" t="str">
        <f>IF(A3401="",M3402,A3401)</f>
        <v>Poland</v>
      </c>
      <c r="N3401" s="3" t="str">
        <f t="shared" si="107"/>
        <v>Apr-2021</v>
      </c>
    </row>
    <row r="3402" spans="1:14" x14ac:dyDescent="0.3">
      <c r="A3402" s="3" t="s">
        <v>290</v>
      </c>
      <c r="B3402" s="3" t="s">
        <v>291</v>
      </c>
      <c r="C3402" s="8">
        <v>2021</v>
      </c>
      <c r="D3402" s="8">
        <v>5</v>
      </c>
      <c r="E3402" s="3" t="str">
        <f t="shared" si="106"/>
        <v>May</v>
      </c>
      <c r="F3402" s="3" t="s">
        <v>13</v>
      </c>
      <c r="G3402" s="8">
        <v>33490.629000000001</v>
      </c>
      <c r="H3402" s="8">
        <v>41003</v>
      </c>
      <c r="I3402" s="8">
        <v>7512.2876679999999</v>
      </c>
      <c r="J3402" s="8">
        <v>116094.175</v>
      </c>
      <c r="K3402" s="8">
        <v>110011.59880000001</v>
      </c>
      <c r="L3402" s="8">
        <v>122062.37480000001</v>
      </c>
      <c r="M3402" s="9" t="str">
        <f>IF(A3402="",M3403,A3402)</f>
        <v>Poland</v>
      </c>
      <c r="N3402" s="3" t="str">
        <f t="shared" si="107"/>
        <v>May-2021</v>
      </c>
    </row>
    <row r="3403" spans="1:14" x14ac:dyDescent="0.3">
      <c r="A3403" s="3" t="s">
        <v>290</v>
      </c>
      <c r="B3403" s="3" t="s">
        <v>291</v>
      </c>
      <c r="C3403" s="8">
        <v>2021</v>
      </c>
      <c r="D3403" s="8">
        <v>6</v>
      </c>
      <c r="E3403" s="3" t="str">
        <f t="shared" si="106"/>
        <v>June</v>
      </c>
      <c r="F3403" s="3" t="s">
        <v>13</v>
      </c>
      <c r="G3403" s="8">
        <v>32444.355459999999</v>
      </c>
      <c r="H3403" s="8">
        <v>35067</v>
      </c>
      <c r="I3403" s="8">
        <v>2622.561209</v>
      </c>
      <c r="J3403" s="8">
        <v>118716.7362</v>
      </c>
      <c r="K3403" s="8">
        <v>112612.837</v>
      </c>
      <c r="L3403" s="8">
        <v>124992.0852</v>
      </c>
      <c r="M3403" s="9" t="str">
        <f>IF(A3403="",M3404,A3403)</f>
        <v>Poland</v>
      </c>
      <c r="N3403" s="3" t="str">
        <f t="shared" si="107"/>
        <v>Jun-2021</v>
      </c>
    </row>
    <row r="3404" spans="1:14" x14ac:dyDescent="0.3">
      <c r="A3404" s="3" t="s">
        <v>290</v>
      </c>
      <c r="B3404" s="3" t="s">
        <v>291</v>
      </c>
      <c r="C3404" s="8">
        <v>2021</v>
      </c>
      <c r="D3404" s="8">
        <v>7</v>
      </c>
      <c r="E3404" s="3" t="str">
        <f t="shared" si="106"/>
        <v>July</v>
      </c>
      <c r="F3404" s="3" t="s">
        <v>13</v>
      </c>
      <c r="G3404" s="8">
        <v>32451.377219999998</v>
      </c>
      <c r="H3404" s="8">
        <v>33909</v>
      </c>
      <c r="I3404" s="8">
        <v>1457.539444</v>
      </c>
      <c r="J3404" s="8">
        <v>120174.2757</v>
      </c>
      <c r="K3404" s="8">
        <v>113771.3342</v>
      </c>
      <c r="L3404" s="8">
        <v>126500.68829999999</v>
      </c>
      <c r="M3404" s="9" t="str">
        <f>IF(A3404="",M3405,A3404)</f>
        <v>Poland</v>
      </c>
      <c r="N3404" s="3" t="str">
        <f t="shared" si="107"/>
        <v>Jul-2021</v>
      </c>
    </row>
    <row r="3405" spans="1:14" x14ac:dyDescent="0.3">
      <c r="A3405" s="3" t="s">
        <v>290</v>
      </c>
      <c r="B3405" s="3" t="s">
        <v>291</v>
      </c>
      <c r="C3405" s="8">
        <v>2021</v>
      </c>
      <c r="D3405" s="8">
        <v>8</v>
      </c>
      <c r="E3405" s="3" t="str">
        <f t="shared" si="106"/>
        <v>August</v>
      </c>
      <c r="F3405" s="3" t="s">
        <v>13</v>
      </c>
      <c r="G3405" s="8">
        <v>32477.58236</v>
      </c>
      <c r="H3405" s="8">
        <v>33019</v>
      </c>
      <c r="I3405" s="8">
        <v>541.33430499999997</v>
      </c>
      <c r="J3405" s="8">
        <v>120715.61</v>
      </c>
      <c r="K3405" s="8">
        <v>114275.8517</v>
      </c>
      <c r="L3405" s="8">
        <v>127177.6691</v>
      </c>
      <c r="M3405" s="9" t="str">
        <f>IF(A3405="",M3406,A3405)</f>
        <v>Poland</v>
      </c>
      <c r="N3405" s="3" t="str">
        <f t="shared" si="107"/>
        <v>Aug-2021</v>
      </c>
    </row>
    <row r="3406" spans="1:14" x14ac:dyDescent="0.3">
      <c r="A3406" s="3" t="s">
        <v>290</v>
      </c>
      <c r="B3406" s="3" t="s">
        <v>291</v>
      </c>
      <c r="C3406" s="8">
        <v>2021</v>
      </c>
      <c r="D3406" s="8">
        <v>9</v>
      </c>
      <c r="E3406" s="3" t="str">
        <f t="shared" si="106"/>
        <v>September</v>
      </c>
      <c r="F3406" s="3" t="s">
        <v>13</v>
      </c>
      <c r="G3406" s="8">
        <v>32787.141060000002</v>
      </c>
      <c r="H3406" s="8">
        <v>33938</v>
      </c>
      <c r="I3406" s="8">
        <v>1150.775611</v>
      </c>
      <c r="J3406" s="8">
        <v>121866.38559999999</v>
      </c>
      <c r="K3406" s="8">
        <v>115404.5407</v>
      </c>
      <c r="L3406" s="8">
        <v>128320.4737</v>
      </c>
      <c r="M3406" s="9" t="str">
        <f>IF(A3406="",M3407,A3406)</f>
        <v>Poland</v>
      </c>
      <c r="N3406" s="3" t="str">
        <f t="shared" si="107"/>
        <v>Sep-2021</v>
      </c>
    </row>
    <row r="3407" spans="1:14" x14ac:dyDescent="0.3">
      <c r="A3407" s="3" t="s">
        <v>290</v>
      </c>
      <c r="B3407" s="3" t="s">
        <v>291</v>
      </c>
      <c r="C3407" s="8">
        <v>2021</v>
      </c>
      <c r="D3407" s="8">
        <v>10</v>
      </c>
      <c r="E3407" s="3" t="str">
        <f t="shared" si="106"/>
        <v>October</v>
      </c>
      <c r="F3407" s="3" t="s">
        <v>13</v>
      </c>
      <c r="G3407" s="8">
        <v>34173.923569999999</v>
      </c>
      <c r="H3407" s="8">
        <v>38854</v>
      </c>
      <c r="I3407" s="8">
        <v>4679.9930949999998</v>
      </c>
      <c r="J3407" s="8">
        <v>126546.3787</v>
      </c>
      <c r="K3407" s="8">
        <v>119755.217</v>
      </c>
      <c r="L3407" s="8">
        <v>133494.17730000001</v>
      </c>
      <c r="M3407" s="9" t="str">
        <f>IF(A3407="",M3408,A3407)</f>
        <v>Poland</v>
      </c>
      <c r="N3407" s="3" t="str">
        <f t="shared" si="107"/>
        <v>Oct-2021</v>
      </c>
    </row>
    <row r="3408" spans="1:14" x14ac:dyDescent="0.3">
      <c r="A3408" s="3" t="s">
        <v>290</v>
      </c>
      <c r="B3408" s="3" t="s">
        <v>291</v>
      </c>
      <c r="C3408" s="8">
        <v>2021</v>
      </c>
      <c r="D3408" s="8">
        <v>11</v>
      </c>
      <c r="E3408" s="3" t="str">
        <f t="shared" si="106"/>
        <v>November</v>
      </c>
      <c r="F3408" s="3" t="s">
        <v>13</v>
      </c>
      <c r="G3408" s="8">
        <v>35484.736700000001</v>
      </c>
      <c r="H3408" s="8">
        <v>49282</v>
      </c>
      <c r="I3408" s="8">
        <v>13797.179969999999</v>
      </c>
      <c r="J3408" s="8">
        <v>140343.55869999999</v>
      </c>
      <c r="K3408" s="8">
        <v>133268.58850000001</v>
      </c>
      <c r="L3408" s="8">
        <v>147119.89189999999</v>
      </c>
      <c r="M3408" s="9" t="str">
        <f>IF(A3408="",M3409,A3408)</f>
        <v>Poland</v>
      </c>
      <c r="N3408" s="3" t="str">
        <f t="shared" si="107"/>
        <v>Nov-2021</v>
      </c>
    </row>
    <row r="3409" spans="1:14" x14ac:dyDescent="0.3">
      <c r="A3409" s="3" t="s">
        <v>290</v>
      </c>
      <c r="B3409" s="3" t="s">
        <v>291</v>
      </c>
      <c r="C3409" s="8">
        <v>2021</v>
      </c>
      <c r="D3409" s="8">
        <v>12</v>
      </c>
      <c r="E3409" s="3" t="str">
        <f t="shared" si="106"/>
        <v>December</v>
      </c>
      <c r="F3409" s="3" t="s">
        <v>13</v>
      </c>
      <c r="G3409" s="8">
        <v>37782.093999999997</v>
      </c>
      <c r="H3409" s="8">
        <v>60583</v>
      </c>
      <c r="I3409" s="8">
        <v>22800.822670000001</v>
      </c>
      <c r="J3409" s="8">
        <v>163144.38130000001</v>
      </c>
      <c r="K3409" s="8">
        <v>156115.16680000001</v>
      </c>
      <c r="L3409" s="8">
        <v>170256.3303</v>
      </c>
      <c r="M3409" s="9" t="str">
        <f>IF(A3409="",M3410,A3409)</f>
        <v>Poland</v>
      </c>
      <c r="N3409" s="3" t="str">
        <f t="shared" si="107"/>
        <v>Dec-2021</v>
      </c>
    </row>
    <row r="3410" spans="1:14" x14ac:dyDescent="0.3">
      <c r="A3410" s="3" t="s">
        <v>292</v>
      </c>
      <c r="B3410" s="3" t="s">
        <v>293</v>
      </c>
      <c r="C3410" s="8">
        <v>2020</v>
      </c>
      <c r="D3410" s="8">
        <v>1</v>
      </c>
      <c r="E3410" s="3" t="str">
        <f t="shared" si="106"/>
        <v>January</v>
      </c>
      <c r="F3410" s="3" t="s">
        <v>8</v>
      </c>
      <c r="G3410" s="8">
        <v>20863.277480000001</v>
      </c>
      <c r="H3410" s="8">
        <v>21583.907999999999</v>
      </c>
      <c r="I3410" s="8">
        <v>720.63052370000003</v>
      </c>
      <c r="J3410" s="8">
        <v>720.63052370000003</v>
      </c>
      <c r="K3410" s="8">
        <v>-5066.006781</v>
      </c>
      <c r="L3410" s="8">
        <v>7997.4994340000003</v>
      </c>
      <c r="M3410" s="9" t="str">
        <f>IF(A3410="",M3411,A3410)</f>
        <v>Democratic People's Republic of Korea</v>
      </c>
      <c r="N3410" s="3" t="str">
        <f t="shared" si="107"/>
        <v>Jan-2020</v>
      </c>
    </row>
    <row r="3411" spans="1:14" x14ac:dyDescent="0.3">
      <c r="A3411" s="3" t="s">
        <v>292</v>
      </c>
      <c r="B3411" s="3" t="s">
        <v>293</v>
      </c>
      <c r="C3411" s="8">
        <v>2020</v>
      </c>
      <c r="D3411" s="8">
        <v>2</v>
      </c>
      <c r="E3411" s="3" t="str">
        <f t="shared" si="106"/>
        <v>February</v>
      </c>
      <c r="F3411" s="3" t="s">
        <v>8</v>
      </c>
      <c r="G3411" s="8">
        <v>20562.1682</v>
      </c>
      <c r="H3411" s="8">
        <v>20541.962</v>
      </c>
      <c r="I3411" s="8">
        <v>-20.206204809999999</v>
      </c>
      <c r="J3411" s="8">
        <v>700.4243189</v>
      </c>
      <c r="K3411" s="8">
        <v>-7403.4037330000001</v>
      </c>
      <c r="L3411" s="8">
        <v>9939.9534609999992</v>
      </c>
      <c r="M3411" s="9" t="str">
        <f>IF(A3411="",M3412,A3411)</f>
        <v>Democratic People's Republic of Korea</v>
      </c>
      <c r="N3411" s="3" t="str">
        <f t="shared" si="107"/>
        <v>Feb-2020</v>
      </c>
    </row>
    <row r="3412" spans="1:14" x14ac:dyDescent="0.3">
      <c r="A3412" s="3" t="s">
        <v>292</v>
      </c>
      <c r="B3412" s="3" t="s">
        <v>293</v>
      </c>
      <c r="C3412" s="8">
        <v>2020</v>
      </c>
      <c r="D3412" s="8">
        <v>3</v>
      </c>
      <c r="E3412" s="3" t="str">
        <f t="shared" si="106"/>
        <v>March</v>
      </c>
      <c r="F3412" s="3" t="s">
        <v>8</v>
      </c>
      <c r="G3412" s="8">
        <v>19689.473849999998</v>
      </c>
      <c r="H3412" s="8">
        <v>20084.937000000002</v>
      </c>
      <c r="I3412" s="8">
        <v>395.46314669999998</v>
      </c>
      <c r="J3412" s="8">
        <v>1095.8874659999999</v>
      </c>
      <c r="K3412" s="8">
        <v>-8765.0926870000003</v>
      </c>
      <c r="L3412" s="8">
        <v>12265.00856</v>
      </c>
      <c r="M3412" s="9" t="str">
        <f>IF(A3412="",M3413,A3412)</f>
        <v>Democratic People's Republic of Korea</v>
      </c>
      <c r="N3412" s="3" t="str">
        <f t="shared" si="107"/>
        <v>Mar-2020</v>
      </c>
    </row>
    <row r="3413" spans="1:14" x14ac:dyDescent="0.3">
      <c r="A3413" s="3" t="s">
        <v>292</v>
      </c>
      <c r="B3413" s="3" t="s">
        <v>293</v>
      </c>
      <c r="C3413" s="8">
        <v>2020</v>
      </c>
      <c r="D3413" s="8">
        <v>4</v>
      </c>
      <c r="E3413" s="3" t="str">
        <f t="shared" si="106"/>
        <v>April</v>
      </c>
      <c r="F3413" s="3" t="s">
        <v>8</v>
      </c>
      <c r="G3413" s="8">
        <v>19094.173650000001</v>
      </c>
      <c r="H3413" s="8">
        <v>19813.195</v>
      </c>
      <c r="I3413" s="8">
        <v>719.02134609999996</v>
      </c>
      <c r="J3413" s="8">
        <v>1814.9088119999999</v>
      </c>
      <c r="K3413" s="8">
        <v>-9031.7146410000005</v>
      </c>
      <c r="L3413" s="8">
        <v>13313.9684</v>
      </c>
      <c r="M3413" s="9" t="str">
        <f>IF(A3413="",M3414,A3413)</f>
        <v>Democratic People's Republic of Korea</v>
      </c>
      <c r="N3413" s="3" t="str">
        <f t="shared" si="107"/>
        <v>Apr-2020</v>
      </c>
    </row>
    <row r="3414" spans="1:14" x14ac:dyDescent="0.3">
      <c r="A3414" s="3" t="s">
        <v>292</v>
      </c>
      <c r="B3414" s="3" t="s">
        <v>293</v>
      </c>
      <c r="C3414" s="8">
        <v>2020</v>
      </c>
      <c r="D3414" s="8">
        <v>5</v>
      </c>
      <c r="E3414" s="3" t="str">
        <f t="shared" si="106"/>
        <v>May</v>
      </c>
      <c r="F3414" s="3" t="s">
        <v>8</v>
      </c>
      <c r="G3414" s="8">
        <v>18286.997630000002</v>
      </c>
      <c r="H3414" s="8">
        <v>19048.482</v>
      </c>
      <c r="I3414" s="8">
        <v>761.48437320000005</v>
      </c>
      <c r="J3414" s="8">
        <v>2576.3931849999999</v>
      </c>
      <c r="K3414" s="8">
        <v>-10944.649450000001</v>
      </c>
      <c r="L3414" s="8">
        <v>16717.99685</v>
      </c>
      <c r="M3414" s="9" t="str">
        <f>IF(A3414="",M3415,A3414)</f>
        <v>Democratic People's Republic of Korea</v>
      </c>
      <c r="N3414" s="3" t="str">
        <f t="shared" si="107"/>
        <v>May-2020</v>
      </c>
    </row>
    <row r="3415" spans="1:14" x14ac:dyDescent="0.3">
      <c r="A3415" s="3" t="s">
        <v>292</v>
      </c>
      <c r="B3415" s="3" t="s">
        <v>293</v>
      </c>
      <c r="C3415" s="8">
        <v>2020</v>
      </c>
      <c r="D3415" s="8">
        <v>6</v>
      </c>
      <c r="E3415" s="3" t="str">
        <f t="shared" si="106"/>
        <v>June</v>
      </c>
      <c r="F3415" s="3" t="s">
        <v>8</v>
      </c>
      <c r="G3415" s="8">
        <v>17642.16937</v>
      </c>
      <c r="H3415" s="8">
        <v>18263.315999999999</v>
      </c>
      <c r="I3415" s="8">
        <v>621.14663069999995</v>
      </c>
      <c r="J3415" s="8">
        <v>3197.539816</v>
      </c>
      <c r="K3415" s="8">
        <v>-11244.98741</v>
      </c>
      <c r="L3415" s="8">
        <v>19223.30877</v>
      </c>
      <c r="M3415" s="9" t="str">
        <f>IF(A3415="",M3416,A3415)</f>
        <v>Democratic People's Republic of Korea</v>
      </c>
      <c r="N3415" s="3" t="str">
        <f t="shared" si="107"/>
        <v>Jun-2020</v>
      </c>
    </row>
    <row r="3416" spans="1:14" x14ac:dyDescent="0.3">
      <c r="A3416" s="3" t="s">
        <v>292</v>
      </c>
      <c r="B3416" s="3" t="s">
        <v>293</v>
      </c>
      <c r="C3416" s="8">
        <v>2020</v>
      </c>
      <c r="D3416" s="8">
        <v>7</v>
      </c>
      <c r="E3416" s="3" t="str">
        <f t="shared" si="106"/>
        <v>July</v>
      </c>
      <c r="F3416" s="3" t="s">
        <v>8</v>
      </c>
      <c r="G3416" s="8">
        <v>17505.208630000001</v>
      </c>
      <c r="H3416" s="8">
        <v>17686.420999999998</v>
      </c>
      <c r="I3416" s="8">
        <v>181.21236719999999</v>
      </c>
      <c r="J3416" s="8">
        <v>3378.7521830000001</v>
      </c>
      <c r="K3416" s="8">
        <v>-12538.71867</v>
      </c>
      <c r="L3416" s="8">
        <v>20002.660179999999</v>
      </c>
      <c r="M3416" s="9" t="str">
        <f>IF(A3416="",M3417,A3416)</f>
        <v>Democratic People's Republic of Korea</v>
      </c>
      <c r="N3416" s="3" t="str">
        <f t="shared" si="107"/>
        <v>Jul-2020</v>
      </c>
    </row>
    <row r="3417" spans="1:14" x14ac:dyDescent="0.3">
      <c r="A3417" s="3" t="s">
        <v>292</v>
      </c>
      <c r="B3417" s="3" t="s">
        <v>293</v>
      </c>
      <c r="C3417" s="8">
        <v>2020</v>
      </c>
      <c r="D3417" s="8">
        <v>8</v>
      </c>
      <c r="E3417" s="3" t="str">
        <f t="shared" si="106"/>
        <v>August</v>
      </c>
      <c r="F3417" s="3" t="s">
        <v>8</v>
      </c>
      <c r="G3417" s="8">
        <v>17247.661609999999</v>
      </c>
      <c r="H3417" s="8">
        <v>17475.240000000002</v>
      </c>
      <c r="I3417" s="8">
        <v>227.57839000000001</v>
      </c>
      <c r="J3417" s="8">
        <v>3606.3305730000002</v>
      </c>
      <c r="K3417" s="8">
        <v>-12761.92807</v>
      </c>
      <c r="L3417" s="8">
        <v>21494.60239</v>
      </c>
      <c r="M3417" s="9" t="str">
        <f>IF(A3417="",M3418,A3417)</f>
        <v>Democratic People's Republic of Korea</v>
      </c>
      <c r="N3417" s="3" t="str">
        <f t="shared" si="107"/>
        <v>Aug-2020</v>
      </c>
    </row>
    <row r="3418" spans="1:14" x14ac:dyDescent="0.3">
      <c r="A3418" s="3" t="s">
        <v>292</v>
      </c>
      <c r="B3418" s="3" t="s">
        <v>293</v>
      </c>
      <c r="C3418" s="8">
        <v>2020</v>
      </c>
      <c r="D3418" s="8">
        <v>9</v>
      </c>
      <c r="E3418" s="3" t="str">
        <f t="shared" si="106"/>
        <v>September</v>
      </c>
      <c r="F3418" s="3" t="s">
        <v>8</v>
      </c>
      <c r="G3418" s="8">
        <v>17965.729579999999</v>
      </c>
      <c r="H3418" s="8">
        <v>18302.776999999998</v>
      </c>
      <c r="I3418" s="8">
        <v>337.0474208</v>
      </c>
      <c r="J3418" s="8">
        <v>3943.3779939999999</v>
      </c>
      <c r="K3418" s="8">
        <v>-13388.64093</v>
      </c>
      <c r="L3418" s="8">
        <v>22247.73704</v>
      </c>
      <c r="M3418" s="9" t="str">
        <f>IF(A3418="",M3419,A3418)</f>
        <v>Democratic People's Republic of Korea</v>
      </c>
      <c r="N3418" s="3" t="str">
        <f t="shared" si="107"/>
        <v>Sep-2020</v>
      </c>
    </row>
    <row r="3419" spans="1:14" x14ac:dyDescent="0.3">
      <c r="A3419" s="3" t="s">
        <v>292</v>
      </c>
      <c r="B3419" s="3" t="s">
        <v>293</v>
      </c>
      <c r="C3419" s="8">
        <v>2020</v>
      </c>
      <c r="D3419" s="8">
        <v>10</v>
      </c>
      <c r="E3419" s="3" t="str">
        <f t="shared" si="106"/>
        <v>October</v>
      </c>
      <c r="F3419" s="3" t="s">
        <v>8</v>
      </c>
      <c r="G3419" s="8">
        <v>18756.826860000001</v>
      </c>
      <c r="H3419" s="8">
        <v>18762.241999999998</v>
      </c>
      <c r="I3419" s="8">
        <v>5.4151369870000003</v>
      </c>
      <c r="J3419" s="8">
        <v>3948.7931309999999</v>
      </c>
      <c r="K3419" s="8">
        <v>-14497.79329</v>
      </c>
      <c r="L3419" s="8">
        <v>22985.710129999999</v>
      </c>
      <c r="M3419" s="9" t="str">
        <f>IF(A3419="",M3420,A3419)</f>
        <v>Democratic People's Republic of Korea</v>
      </c>
      <c r="N3419" s="3" t="str">
        <f t="shared" si="107"/>
        <v>Oct-2020</v>
      </c>
    </row>
    <row r="3420" spans="1:14" x14ac:dyDescent="0.3">
      <c r="A3420" s="3" t="s">
        <v>292</v>
      </c>
      <c r="B3420" s="3" t="s">
        <v>293</v>
      </c>
      <c r="C3420" s="8">
        <v>2020</v>
      </c>
      <c r="D3420" s="8">
        <v>11</v>
      </c>
      <c r="E3420" s="3" t="str">
        <f t="shared" si="106"/>
        <v>November</v>
      </c>
      <c r="F3420" s="3" t="s">
        <v>8</v>
      </c>
      <c r="G3420" s="8">
        <v>19710.063870000002</v>
      </c>
      <c r="H3420" s="8">
        <v>19801.297999999999</v>
      </c>
      <c r="I3420" s="8">
        <v>91.234132729999999</v>
      </c>
      <c r="J3420" s="8">
        <v>4040.0272629999999</v>
      </c>
      <c r="K3420" s="8">
        <v>-15231.742850000001</v>
      </c>
      <c r="L3420" s="8">
        <v>25073.36148</v>
      </c>
      <c r="M3420" s="9" t="str">
        <f>IF(A3420="",M3421,A3420)</f>
        <v>Democratic People's Republic of Korea</v>
      </c>
      <c r="N3420" s="3" t="str">
        <f t="shared" si="107"/>
        <v>Nov-2020</v>
      </c>
    </row>
    <row r="3421" spans="1:14" x14ac:dyDescent="0.3">
      <c r="A3421" s="3" t="s">
        <v>292</v>
      </c>
      <c r="B3421" s="3" t="s">
        <v>293</v>
      </c>
      <c r="C3421" s="8">
        <v>2020</v>
      </c>
      <c r="D3421" s="8">
        <v>12</v>
      </c>
      <c r="E3421" s="3" t="str">
        <f t="shared" si="106"/>
        <v>December</v>
      </c>
      <c r="F3421" s="3" t="s">
        <v>8</v>
      </c>
      <c r="G3421" s="8">
        <v>20942.454529999999</v>
      </c>
      <c r="H3421" s="8">
        <v>21399.125</v>
      </c>
      <c r="I3421" s="8">
        <v>456.6704737</v>
      </c>
      <c r="J3421" s="8">
        <v>4496.6977370000004</v>
      </c>
      <c r="K3421" s="8">
        <v>-16220.64579</v>
      </c>
      <c r="L3421" s="8">
        <v>26395.043290000001</v>
      </c>
      <c r="M3421" s="9" t="str">
        <f>IF(A3421="",M3422,A3421)</f>
        <v>Democratic People's Republic of Korea</v>
      </c>
      <c r="N3421" s="3" t="str">
        <f t="shared" si="107"/>
        <v>Dec-2020</v>
      </c>
    </row>
    <row r="3422" spans="1:14" x14ac:dyDescent="0.3">
      <c r="A3422" s="3" t="s">
        <v>292</v>
      </c>
      <c r="B3422" s="3" t="s">
        <v>293</v>
      </c>
      <c r="C3422" s="8">
        <v>2021</v>
      </c>
      <c r="D3422" s="8">
        <v>1</v>
      </c>
      <c r="E3422" s="3" t="str">
        <f t="shared" si="106"/>
        <v>January</v>
      </c>
      <c r="F3422" s="3" t="s">
        <v>8</v>
      </c>
      <c r="G3422" s="8">
        <v>21139.091939999998</v>
      </c>
      <c r="H3422" s="8">
        <v>20799.203000000001</v>
      </c>
      <c r="I3422" s="8">
        <v>-339.8889446</v>
      </c>
      <c r="J3422" s="8">
        <v>4156.8087930000002</v>
      </c>
      <c r="K3422" s="8">
        <v>-16282.45667</v>
      </c>
      <c r="L3422" s="8">
        <v>27231.829300000001</v>
      </c>
      <c r="M3422" s="9" t="str">
        <f>IF(A3422="",M3423,A3422)</f>
        <v>Democratic People's Republic of Korea</v>
      </c>
      <c r="N3422" s="3" t="str">
        <f t="shared" si="107"/>
        <v>Jan-2021</v>
      </c>
    </row>
    <row r="3423" spans="1:14" x14ac:dyDescent="0.3">
      <c r="A3423" s="3" t="s">
        <v>292</v>
      </c>
      <c r="B3423" s="3" t="s">
        <v>293</v>
      </c>
      <c r="C3423" s="8">
        <v>2021</v>
      </c>
      <c r="D3423" s="8">
        <v>2</v>
      </c>
      <c r="E3423" s="3" t="str">
        <f t="shared" si="106"/>
        <v>February</v>
      </c>
      <c r="F3423" s="3" t="s">
        <v>8</v>
      </c>
      <c r="G3423" s="8">
        <v>20827.23142</v>
      </c>
      <c r="H3423" s="8">
        <v>20482.625</v>
      </c>
      <c r="I3423" s="8">
        <v>-344.60642300000001</v>
      </c>
      <c r="J3423" s="8">
        <v>3812.20237</v>
      </c>
      <c r="K3423" s="8">
        <v>-18312.681120000001</v>
      </c>
      <c r="L3423" s="8">
        <v>27304.066429999999</v>
      </c>
      <c r="M3423" s="9" t="str">
        <f>IF(A3423="",M3424,A3423)</f>
        <v>Democratic People's Republic of Korea</v>
      </c>
      <c r="N3423" s="3" t="str">
        <f t="shared" si="107"/>
        <v>Feb-2021</v>
      </c>
    </row>
    <row r="3424" spans="1:14" x14ac:dyDescent="0.3">
      <c r="A3424" s="3" t="s">
        <v>292</v>
      </c>
      <c r="B3424" s="3" t="s">
        <v>293</v>
      </c>
      <c r="C3424" s="8">
        <v>2021</v>
      </c>
      <c r="D3424" s="8">
        <v>3</v>
      </c>
      <c r="E3424" s="3" t="str">
        <f t="shared" si="106"/>
        <v>March</v>
      </c>
      <c r="F3424" s="3" t="s">
        <v>8</v>
      </c>
      <c r="G3424" s="8">
        <v>19986.796289999998</v>
      </c>
      <c r="H3424" s="8">
        <v>19509.141</v>
      </c>
      <c r="I3424" s="8">
        <v>-477.65529070000002</v>
      </c>
      <c r="J3424" s="8">
        <v>3334.5470789999999</v>
      </c>
      <c r="K3424" s="8">
        <v>-19198.07228</v>
      </c>
      <c r="L3424" s="8">
        <v>28917.74987</v>
      </c>
      <c r="M3424" s="9" t="str">
        <f>IF(A3424="",M3425,A3424)</f>
        <v>Democratic People's Republic of Korea</v>
      </c>
      <c r="N3424" s="3" t="str">
        <f t="shared" si="107"/>
        <v>Mar-2021</v>
      </c>
    </row>
    <row r="3425" spans="1:14" x14ac:dyDescent="0.3">
      <c r="A3425" s="3" t="s">
        <v>292</v>
      </c>
      <c r="B3425" s="3" t="s">
        <v>293</v>
      </c>
      <c r="C3425" s="8">
        <v>2021</v>
      </c>
      <c r="D3425" s="8">
        <v>4</v>
      </c>
      <c r="E3425" s="3" t="str">
        <f t="shared" si="106"/>
        <v>April</v>
      </c>
      <c r="F3425" s="3" t="s">
        <v>8</v>
      </c>
      <c r="G3425" s="8">
        <v>19380.3105</v>
      </c>
      <c r="H3425" s="8">
        <v>18733.863000000001</v>
      </c>
      <c r="I3425" s="8">
        <v>-646.44749590000004</v>
      </c>
      <c r="J3425" s="8">
        <v>2688.0995830000002</v>
      </c>
      <c r="K3425" s="8">
        <v>-21603.90292</v>
      </c>
      <c r="L3425" s="8">
        <v>27531.258249999999</v>
      </c>
      <c r="M3425" s="9" t="str">
        <f>IF(A3425="",M3426,A3425)</f>
        <v>Democratic People's Republic of Korea</v>
      </c>
      <c r="N3425" s="3" t="str">
        <f t="shared" si="107"/>
        <v>Apr-2021</v>
      </c>
    </row>
    <row r="3426" spans="1:14" x14ac:dyDescent="0.3">
      <c r="A3426" s="3" t="s">
        <v>292</v>
      </c>
      <c r="B3426" s="3" t="s">
        <v>293</v>
      </c>
      <c r="C3426" s="8">
        <v>2021</v>
      </c>
      <c r="D3426" s="8">
        <v>5</v>
      </c>
      <c r="E3426" s="3" t="str">
        <f t="shared" si="106"/>
        <v>May</v>
      </c>
      <c r="F3426" s="3" t="s">
        <v>8</v>
      </c>
      <c r="G3426" s="8">
        <v>18481.24955</v>
      </c>
      <c r="H3426" s="8">
        <v>18292.045999999998</v>
      </c>
      <c r="I3426" s="8">
        <v>-189.20354570000001</v>
      </c>
      <c r="J3426" s="8">
        <v>2498.896037</v>
      </c>
      <c r="K3426" s="8">
        <v>-20948.41258</v>
      </c>
      <c r="L3426" s="8">
        <v>28744.549599999998</v>
      </c>
      <c r="M3426" s="9" t="str">
        <f>IF(A3426="",M3427,A3426)</f>
        <v>Democratic People's Republic of Korea</v>
      </c>
      <c r="N3426" s="3" t="str">
        <f t="shared" si="107"/>
        <v>May-2021</v>
      </c>
    </row>
    <row r="3427" spans="1:14" x14ac:dyDescent="0.3">
      <c r="A3427" s="3" t="s">
        <v>292</v>
      </c>
      <c r="B3427" s="3" t="s">
        <v>293</v>
      </c>
      <c r="C3427" s="8">
        <v>2021</v>
      </c>
      <c r="D3427" s="8">
        <v>6</v>
      </c>
      <c r="E3427" s="3" t="str">
        <f t="shared" si="106"/>
        <v>June</v>
      </c>
      <c r="F3427" s="3" t="s">
        <v>8</v>
      </c>
      <c r="G3427" s="8">
        <v>17853.240740000001</v>
      </c>
      <c r="H3427" s="8">
        <v>17741.098999999998</v>
      </c>
      <c r="I3427" s="8">
        <v>-112.1417409</v>
      </c>
      <c r="J3427" s="8">
        <v>2386.7542960000001</v>
      </c>
      <c r="K3427" s="8">
        <v>-21700.651819999999</v>
      </c>
      <c r="L3427" s="8">
        <v>29028.03011</v>
      </c>
      <c r="M3427" s="9" t="str">
        <f>IF(A3427="",M3428,A3427)</f>
        <v>Democratic People's Republic of Korea</v>
      </c>
      <c r="N3427" s="3" t="str">
        <f t="shared" si="107"/>
        <v>Jun-2021</v>
      </c>
    </row>
    <row r="3428" spans="1:14" x14ac:dyDescent="0.3">
      <c r="A3428" s="3" t="s">
        <v>292</v>
      </c>
      <c r="B3428" s="3" t="s">
        <v>293</v>
      </c>
      <c r="C3428" s="8">
        <v>2021</v>
      </c>
      <c r="D3428" s="8">
        <v>7</v>
      </c>
      <c r="E3428" s="3" t="str">
        <f t="shared" si="106"/>
        <v>July</v>
      </c>
      <c r="F3428" s="3" t="s">
        <v>8</v>
      </c>
      <c r="G3428" s="8">
        <v>17743.658719999999</v>
      </c>
      <c r="H3428" s="8">
        <v>18047.817999999999</v>
      </c>
      <c r="I3428" s="8">
        <v>304.15927770000002</v>
      </c>
      <c r="J3428" s="8">
        <v>2690.9135740000002</v>
      </c>
      <c r="K3428" s="8">
        <v>-21393.617300000002</v>
      </c>
      <c r="L3428" s="8">
        <v>28882.16705</v>
      </c>
      <c r="M3428" s="9" t="str">
        <f>IF(A3428="",M3429,A3428)</f>
        <v>Democratic People's Republic of Korea</v>
      </c>
      <c r="N3428" s="3" t="str">
        <f t="shared" si="107"/>
        <v>Jul-2021</v>
      </c>
    </row>
    <row r="3429" spans="1:14" x14ac:dyDescent="0.3">
      <c r="A3429" s="3" t="s">
        <v>292</v>
      </c>
      <c r="B3429" s="3" t="s">
        <v>293</v>
      </c>
      <c r="C3429" s="8">
        <v>2021</v>
      </c>
      <c r="D3429" s="8">
        <v>8</v>
      </c>
      <c r="E3429" s="3" t="str">
        <f t="shared" si="106"/>
        <v>August</v>
      </c>
      <c r="F3429" s="3" t="s">
        <v>8</v>
      </c>
      <c r="G3429" s="8">
        <v>17540.582399999999</v>
      </c>
      <c r="H3429" s="8">
        <v>18401.906999999999</v>
      </c>
      <c r="I3429" s="8">
        <v>861.32459970000002</v>
      </c>
      <c r="J3429" s="8">
        <v>3552.2381740000001</v>
      </c>
      <c r="K3429" s="8">
        <v>-22050.940330000001</v>
      </c>
      <c r="L3429" s="8">
        <v>31850.001039999999</v>
      </c>
      <c r="M3429" s="9" t="str">
        <f>IF(A3429="",M3430,A3429)</f>
        <v>Democratic People's Republic of Korea</v>
      </c>
      <c r="N3429" s="3" t="str">
        <f t="shared" si="107"/>
        <v>Aug-2021</v>
      </c>
    </row>
    <row r="3430" spans="1:14" x14ac:dyDescent="0.3">
      <c r="A3430" s="3" t="s">
        <v>292</v>
      </c>
      <c r="B3430" s="3" t="s">
        <v>293</v>
      </c>
      <c r="C3430" s="8">
        <v>2021</v>
      </c>
      <c r="D3430" s="8">
        <v>9</v>
      </c>
      <c r="E3430" s="3" t="str">
        <f t="shared" si="106"/>
        <v>September</v>
      </c>
      <c r="F3430" s="3" t="s">
        <v>8</v>
      </c>
      <c r="G3430" s="8">
        <v>18238.182629999999</v>
      </c>
      <c r="H3430" s="8">
        <v>18321.842000000001</v>
      </c>
      <c r="I3430" s="8">
        <v>83.659369280000007</v>
      </c>
      <c r="J3430" s="8">
        <v>3635.897543</v>
      </c>
      <c r="K3430" s="8">
        <v>-23524.74627</v>
      </c>
      <c r="L3430" s="8">
        <v>32384.55948</v>
      </c>
      <c r="M3430" s="9" t="str">
        <f>IF(A3430="",M3431,A3430)</f>
        <v>Democratic People's Republic of Korea</v>
      </c>
      <c r="N3430" s="3" t="str">
        <f t="shared" si="107"/>
        <v>Sep-2021</v>
      </c>
    </row>
    <row r="3431" spans="1:14" x14ac:dyDescent="0.3">
      <c r="A3431" s="3" t="s">
        <v>292</v>
      </c>
      <c r="B3431" s="3" t="s">
        <v>293</v>
      </c>
      <c r="C3431" s="8">
        <v>2021</v>
      </c>
      <c r="D3431" s="8">
        <v>10</v>
      </c>
      <c r="E3431" s="3" t="str">
        <f t="shared" si="106"/>
        <v>October</v>
      </c>
      <c r="F3431" s="3" t="s">
        <v>8</v>
      </c>
      <c r="G3431" s="8">
        <v>19084.309260000002</v>
      </c>
      <c r="H3431" s="8">
        <v>18896.727999999999</v>
      </c>
      <c r="I3431" s="8">
        <v>-187.58126129999999</v>
      </c>
      <c r="J3431" s="8">
        <v>3448.3162819999998</v>
      </c>
      <c r="K3431" s="8">
        <v>-24226.797999999999</v>
      </c>
      <c r="L3431" s="8">
        <v>32107.158490000002</v>
      </c>
      <c r="M3431" s="9" t="str">
        <f>IF(A3431="",M3432,A3431)</f>
        <v>Democratic People's Republic of Korea</v>
      </c>
      <c r="N3431" s="3" t="str">
        <f t="shared" si="107"/>
        <v>Oct-2021</v>
      </c>
    </row>
    <row r="3432" spans="1:14" x14ac:dyDescent="0.3">
      <c r="A3432" s="3" t="s">
        <v>292</v>
      </c>
      <c r="B3432" s="3" t="s">
        <v>293</v>
      </c>
      <c r="C3432" s="8">
        <v>2021</v>
      </c>
      <c r="D3432" s="8">
        <v>11</v>
      </c>
      <c r="E3432" s="3" t="str">
        <f t="shared" si="106"/>
        <v>November</v>
      </c>
      <c r="F3432" s="3" t="s">
        <v>8</v>
      </c>
      <c r="G3432" s="8">
        <v>19938.644909999999</v>
      </c>
      <c r="H3432" s="8">
        <v>20330.307000000001</v>
      </c>
      <c r="I3432" s="8">
        <v>391.66208610000001</v>
      </c>
      <c r="J3432" s="8">
        <v>3839.978368</v>
      </c>
      <c r="K3432" s="8">
        <v>-24180.528389999999</v>
      </c>
      <c r="L3432" s="8">
        <v>33536.607210000002</v>
      </c>
      <c r="M3432" s="9" t="str">
        <f>IF(A3432="",M3433,A3432)</f>
        <v>Democratic People's Republic of Korea</v>
      </c>
      <c r="N3432" s="3" t="str">
        <f t="shared" si="107"/>
        <v>Nov-2021</v>
      </c>
    </row>
    <row r="3433" spans="1:14" x14ac:dyDescent="0.3">
      <c r="A3433" s="3" t="s">
        <v>292</v>
      </c>
      <c r="B3433" s="3" t="s">
        <v>293</v>
      </c>
      <c r="C3433" s="8">
        <v>2021</v>
      </c>
      <c r="D3433" s="8">
        <v>12</v>
      </c>
      <c r="E3433" s="3" t="str">
        <f t="shared" si="106"/>
        <v>December</v>
      </c>
      <c r="F3433" s="3" t="s">
        <v>8</v>
      </c>
      <c r="G3433" s="8">
        <v>21198.836009999999</v>
      </c>
      <c r="H3433" s="8">
        <v>22459.936000000002</v>
      </c>
      <c r="I3433" s="8">
        <v>1261.0999890000001</v>
      </c>
      <c r="J3433" s="8">
        <v>5101.078356</v>
      </c>
      <c r="K3433" s="8">
        <v>-23534.738700000002</v>
      </c>
      <c r="L3433" s="8">
        <v>34816.995920000001</v>
      </c>
      <c r="M3433" s="9" t="str">
        <f>IF(A3433="",M3434,A3433)</f>
        <v>Democratic People's Republic of Korea</v>
      </c>
      <c r="N3433" s="3" t="str">
        <f t="shared" si="107"/>
        <v>Dec-2021</v>
      </c>
    </row>
    <row r="3434" spans="1:14" x14ac:dyDescent="0.3">
      <c r="A3434" s="3" t="s">
        <v>294</v>
      </c>
      <c r="B3434" s="3" t="s">
        <v>295</v>
      </c>
      <c r="C3434" s="8">
        <v>2020</v>
      </c>
      <c r="D3434" s="8">
        <v>1</v>
      </c>
      <c r="E3434" s="3" t="str">
        <f t="shared" si="106"/>
        <v>January</v>
      </c>
      <c r="F3434" s="3" t="s">
        <v>13</v>
      </c>
      <c r="G3434" s="8">
        <v>11269.27601</v>
      </c>
      <c r="H3434" s="8">
        <v>11823</v>
      </c>
      <c r="I3434" s="8">
        <v>553.55732439999997</v>
      </c>
      <c r="J3434" s="8">
        <v>553.55732439999997</v>
      </c>
      <c r="K3434" s="8">
        <v>-34.841921499999998</v>
      </c>
      <c r="L3434" s="8">
        <v>1120.79269</v>
      </c>
      <c r="M3434" s="9" t="str">
        <f>IF(A3434="",M3435,A3434)</f>
        <v>Portugal</v>
      </c>
      <c r="N3434" s="3" t="str">
        <f t="shared" si="107"/>
        <v>Jan-2020</v>
      </c>
    </row>
    <row r="3435" spans="1:14" x14ac:dyDescent="0.3">
      <c r="A3435" s="3" t="s">
        <v>294</v>
      </c>
      <c r="B3435" s="3" t="s">
        <v>295</v>
      </c>
      <c r="C3435" s="8">
        <v>2020</v>
      </c>
      <c r="D3435" s="8">
        <v>2</v>
      </c>
      <c r="E3435" s="3" t="str">
        <f t="shared" si="106"/>
        <v>February</v>
      </c>
      <c r="F3435" s="3" t="s">
        <v>13</v>
      </c>
      <c r="G3435" s="8">
        <v>10920.852290000001</v>
      </c>
      <c r="H3435" s="8">
        <v>9886</v>
      </c>
      <c r="I3435" s="8">
        <v>-1035.0189539999999</v>
      </c>
      <c r="J3435" s="8">
        <v>-481.46162930000003</v>
      </c>
      <c r="K3435" s="8">
        <v>-1469.6441259999999</v>
      </c>
      <c r="L3435" s="8">
        <v>376.13109379999997</v>
      </c>
      <c r="M3435" s="9" t="str">
        <f>IF(A3435="",M3436,A3435)</f>
        <v>Portugal</v>
      </c>
      <c r="N3435" s="3" t="str">
        <f t="shared" si="107"/>
        <v>Feb-2020</v>
      </c>
    </row>
    <row r="3436" spans="1:14" x14ac:dyDescent="0.3">
      <c r="A3436" s="3" t="s">
        <v>294</v>
      </c>
      <c r="B3436" s="3" t="s">
        <v>295</v>
      </c>
      <c r="C3436" s="8">
        <v>2020</v>
      </c>
      <c r="D3436" s="8">
        <v>3</v>
      </c>
      <c r="E3436" s="3" t="str">
        <f t="shared" si="106"/>
        <v>March</v>
      </c>
      <c r="F3436" s="3" t="s">
        <v>13</v>
      </c>
      <c r="G3436" s="8">
        <v>10068.304330000001</v>
      </c>
      <c r="H3436" s="8">
        <v>10616</v>
      </c>
      <c r="I3436" s="8">
        <v>547.52899860000002</v>
      </c>
      <c r="J3436" s="8">
        <v>66.067369299999996</v>
      </c>
      <c r="K3436" s="8">
        <v>-1112.204058</v>
      </c>
      <c r="L3436" s="8">
        <v>1144.380085</v>
      </c>
      <c r="M3436" s="9" t="str">
        <f>IF(A3436="",M3437,A3436)</f>
        <v>Portugal</v>
      </c>
      <c r="N3436" s="3" t="str">
        <f t="shared" si="107"/>
        <v>Mar-2020</v>
      </c>
    </row>
    <row r="3437" spans="1:14" x14ac:dyDescent="0.3">
      <c r="A3437" s="3" t="s">
        <v>294</v>
      </c>
      <c r="B3437" s="3" t="s">
        <v>295</v>
      </c>
      <c r="C3437" s="8">
        <v>2020</v>
      </c>
      <c r="D3437" s="8">
        <v>4</v>
      </c>
      <c r="E3437" s="3" t="str">
        <f t="shared" si="106"/>
        <v>April</v>
      </c>
      <c r="F3437" s="3" t="s">
        <v>13</v>
      </c>
      <c r="G3437" s="8">
        <v>9148.1494249999996</v>
      </c>
      <c r="H3437" s="8">
        <v>10448</v>
      </c>
      <c r="I3437" s="8">
        <v>1299.683908</v>
      </c>
      <c r="J3437" s="8">
        <v>1365.751278</v>
      </c>
      <c r="K3437" s="8">
        <v>73.797039290000001</v>
      </c>
      <c r="L3437" s="8">
        <v>2555.5345769999999</v>
      </c>
      <c r="M3437" s="9" t="str">
        <f>IF(A3437="",M3438,A3437)</f>
        <v>Portugal</v>
      </c>
      <c r="N3437" s="3" t="str">
        <f t="shared" si="107"/>
        <v>Apr-2020</v>
      </c>
    </row>
    <row r="3438" spans="1:14" x14ac:dyDescent="0.3">
      <c r="A3438" s="3" t="s">
        <v>294</v>
      </c>
      <c r="B3438" s="3" t="s">
        <v>295</v>
      </c>
      <c r="C3438" s="8">
        <v>2020</v>
      </c>
      <c r="D3438" s="8">
        <v>5</v>
      </c>
      <c r="E3438" s="3" t="str">
        <f t="shared" si="106"/>
        <v>May</v>
      </c>
      <c r="F3438" s="3" t="s">
        <v>13</v>
      </c>
      <c r="G3438" s="8">
        <v>8654.3661229999998</v>
      </c>
      <c r="H3438" s="8">
        <v>9567</v>
      </c>
      <c r="I3438" s="8">
        <v>912.46721060000004</v>
      </c>
      <c r="J3438" s="8">
        <v>2278.218488</v>
      </c>
      <c r="K3438" s="8">
        <v>856.72878360000004</v>
      </c>
      <c r="L3438" s="8">
        <v>3764.2980010000001</v>
      </c>
      <c r="M3438" s="9" t="str">
        <f>IF(A3438="",M3439,A3438)</f>
        <v>Portugal</v>
      </c>
      <c r="N3438" s="3" t="str">
        <f t="shared" si="107"/>
        <v>May-2020</v>
      </c>
    </row>
    <row r="3439" spans="1:14" x14ac:dyDescent="0.3">
      <c r="A3439" s="3" t="s">
        <v>294</v>
      </c>
      <c r="B3439" s="3" t="s">
        <v>295</v>
      </c>
      <c r="C3439" s="8">
        <v>2020</v>
      </c>
      <c r="D3439" s="8">
        <v>6</v>
      </c>
      <c r="E3439" s="3" t="str">
        <f t="shared" si="106"/>
        <v>June</v>
      </c>
      <c r="F3439" s="3" t="s">
        <v>13</v>
      </c>
      <c r="G3439" s="8">
        <v>8312.4572850000004</v>
      </c>
      <c r="H3439" s="8">
        <v>8546</v>
      </c>
      <c r="I3439" s="8">
        <v>233.376048</v>
      </c>
      <c r="J3439" s="8">
        <v>2511.5945360000001</v>
      </c>
      <c r="K3439" s="8">
        <v>943.97012059999997</v>
      </c>
      <c r="L3439" s="8">
        <v>4081.584261</v>
      </c>
      <c r="M3439" s="9" t="str">
        <f>IF(A3439="",M3440,A3439)</f>
        <v>Portugal</v>
      </c>
      <c r="N3439" s="3" t="str">
        <f t="shared" si="107"/>
        <v>Jun-2020</v>
      </c>
    </row>
    <row r="3440" spans="1:14" x14ac:dyDescent="0.3">
      <c r="A3440" s="3" t="s">
        <v>294</v>
      </c>
      <c r="B3440" s="3" t="s">
        <v>295</v>
      </c>
      <c r="C3440" s="8">
        <v>2020</v>
      </c>
      <c r="D3440" s="8">
        <v>7</v>
      </c>
      <c r="E3440" s="3" t="str">
        <f t="shared" si="106"/>
        <v>July</v>
      </c>
      <c r="F3440" s="3" t="s">
        <v>13</v>
      </c>
      <c r="G3440" s="8">
        <v>8305.8792680000006</v>
      </c>
      <c r="H3440" s="8">
        <v>10383</v>
      </c>
      <c r="I3440" s="8">
        <v>2076.9540659999998</v>
      </c>
      <c r="J3440" s="8">
        <v>4588.5486019999998</v>
      </c>
      <c r="K3440" s="8">
        <v>2917.7315010000002</v>
      </c>
      <c r="L3440" s="8">
        <v>6289.6086459999997</v>
      </c>
      <c r="M3440" s="9" t="str">
        <f>IF(A3440="",M3441,A3440)</f>
        <v>Portugal</v>
      </c>
      <c r="N3440" s="3" t="str">
        <f t="shared" si="107"/>
        <v>Jul-2020</v>
      </c>
    </row>
    <row r="3441" spans="1:14" x14ac:dyDescent="0.3">
      <c r="A3441" s="3" t="s">
        <v>294</v>
      </c>
      <c r="B3441" s="3" t="s">
        <v>295</v>
      </c>
      <c r="C3441" s="8">
        <v>2020</v>
      </c>
      <c r="D3441" s="8">
        <v>8</v>
      </c>
      <c r="E3441" s="3" t="str">
        <f t="shared" si="106"/>
        <v>August</v>
      </c>
      <c r="F3441" s="3" t="s">
        <v>13</v>
      </c>
      <c r="G3441" s="8">
        <v>8305.0032429999992</v>
      </c>
      <c r="H3441" s="8">
        <v>9051</v>
      </c>
      <c r="I3441" s="8">
        <v>745.83009070000003</v>
      </c>
      <c r="J3441" s="8">
        <v>5334.3786929999997</v>
      </c>
      <c r="K3441" s="8">
        <v>3596.6877949999998</v>
      </c>
      <c r="L3441" s="8">
        <v>7055.525259</v>
      </c>
      <c r="M3441" s="9" t="str">
        <f>IF(A3441="",M3442,A3441)</f>
        <v>Portugal</v>
      </c>
      <c r="N3441" s="3" t="str">
        <f t="shared" si="107"/>
        <v>Aug-2020</v>
      </c>
    </row>
    <row r="3442" spans="1:14" x14ac:dyDescent="0.3">
      <c r="A3442" s="3" t="s">
        <v>294</v>
      </c>
      <c r="B3442" s="3" t="s">
        <v>295</v>
      </c>
      <c r="C3442" s="8">
        <v>2020</v>
      </c>
      <c r="D3442" s="8">
        <v>9</v>
      </c>
      <c r="E3442" s="3" t="str">
        <f t="shared" si="106"/>
        <v>September</v>
      </c>
      <c r="F3442" s="3" t="s">
        <v>13</v>
      </c>
      <c r="G3442" s="8">
        <v>8102.2232199999999</v>
      </c>
      <c r="H3442" s="8">
        <v>8942</v>
      </c>
      <c r="I3442" s="8">
        <v>839.61011299999996</v>
      </c>
      <c r="J3442" s="8">
        <v>6173.9888060000003</v>
      </c>
      <c r="K3442" s="8">
        <v>4294.7614990000002</v>
      </c>
      <c r="L3442" s="8">
        <v>7978.8565440000002</v>
      </c>
      <c r="M3442" s="9" t="str">
        <f>IF(A3442="",M3443,A3442)</f>
        <v>Portugal</v>
      </c>
      <c r="N3442" s="3" t="str">
        <f t="shared" si="107"/>
        <v>Sep-2020</v>
      </c>
    </row>
    <row r="3443" spans="1:14" x14ac:dyDescent="0.3">
      <c r="A3443" s="3" t="s">
        <v>294</v>
      </c>
      <c r="B3443" s="3" t="s">
        <v>295</v>
      </c>
      <c r="C3443" s="8">
        <v>2020</v>
      </c>
      <c r="D3443" s="8">
        <v>10</v>
      </c>
      <c r="E3443" s="3" t="str">
        <f t="shared" si="106"/>
        <v>October</v>
      </c>
      <c r="F3443" s="3" t="s">
        <v>13</v>
      </c>
      <c r="G3443" s="8">
        <v>8518.0067299999992</v>
      </c>
      <c r="H3443" s="8">
        <v>9946</v>
      </c>
      <c r="I3443" s="8">
        <v>1427.826603</v>
      </c>
      <c r="J3443" s="8">
        <v>7601.8154089999998</v>
      </c>
      <c r="K3443" s="8">
        <v>5650.5768189999999</v>
      </c>
      <c r="L3443" s="8">
        <v>9490.4784980000004</v>
      </c>
      <c r="M3443" s="9" t="str">
        <f>IF(A3443="",M3444,A3443)</f>
        <v>Portugal</v>
      </c>
      <c r="N3443" s="3" t="str">
        <f t="shared" si="107"/>
        <v>Oct-2020</v>
      </c>
    </row>
    <row r="3444" spans="1:14" x14ac:dyDescent="0.3">
      <c r="A3444" s="3" t="s">
        <v>294</v>
      </c>
      <c r="B3444" s="3" t="s">
        <v>295</v>
      </c>
      <c r="C3444" s="8">
        <v>2020</v>
      </c>
      <c r="D3444" s="8">
        <v>11</v>
      </c>
      <c r="E3444" s="3" t="str">
        <f t="shared" si="106"/>
        <v>November</v>
      </c>
      <c r="F3444" s="3" t="s">
        <v>13</v>
      </c>
      <c r="G3444" s="8">
        <v>9500.7796149999995</v>
      </c>
      <c r="H3444" s="8">
        <v>11470</v>
      </c>
      <c r="I3444" s="8">
        <v>1969.053719</v>
      </c>
      <c r="J3444" s="8">
        <v>9570.8691280000003</v>
      </c>
      <c r="K3444" s="8">
        <v>7421.7782429999997</v>
      </c>
      <c r="L3444" s="8">
        <v>11607.646710000001</v>
      </c>
      <c r="M3444" s="9" t="str">
        <f>IF(A3444="",M3445,A3444)</f>
        <v>Portugal</v>
      </c>
      <c r="N3444" s="3" t="str">
        <f t="shared" si="107"/>
        <v>Nov-2020</v>
      </c>
    </row>
    <row r="3445" spans="1:14" x14ac:dyDescent="0.3">
      <c r="A3445" s="3" t="s">
        <v>294</v>
      </c>
      <c r="B3445" s="3" t="s">
        <v>295</v>
      </c>
      <c r="C3445" s="8">
        <v>2020</v>
      </c>
      <c r="D3445" s="8">
        <v>12</v>
      </c>
      <c r="E3445" s="3" t="str">
        <f t="shared" si="106"/>
        <v>December</v>
      </c>
      <c r="F3445" s="3" t="s">
        <v>13</v>
      </c>
      <c r="G3445" s="8">
        <v>11332.67102</v>
      </c>
      <c r="H3445" s="8">
        <v>13007</v>
      </c>
      <c r="I3445" s="8">
        <v>1674.162313</v>
      </c>
      <c r="J3445" s="8">
        <v>11245.031440000001</v>
      </c>
      <c r="K3445" s="8">
        <v>9056.9606339999991</v>
      </c>
      <c r="L3445" s="8">
        <v>13384.254790000001</v>
      </c>
      <c r="M3445" s="9" t="str">
        <f>IF(A3445="",M3446,A3445)</f>
        <v>Portugal</v>
      </c>
      <c r="N3445" s="3" t="str">
        <f t="shared" si="107"/>
        <v>Dec-2020</v>
      </c>
    </row>
    <row r="3446" spans="1:14" x14ac:dyDescent="0.3">
      <c r="A3446" s="3" t="s">
        <v>294</v>
      </c>
      <c r="B3446" s="3" t="s">
        <v>295</v>
      </c>
      <c r="C3446" s="8">
        <v>2021</v>
      </c>
      <c r="D3446" s="8">
        <v>1</v>
      </c>
      <c r="E3446" s="3" t="str">
        <f t="shared" si="106"/>
        <v>January</v>
      </c>
      <c r="F3446" s="3" t="s">
        <v>13</v>
      </c>
      <c r="G3446" s="8">
        <v>11324.10397</v>
      </c>
      <c r="H3446" s="8">
        <v>19671</v>
      </c>
      <c r="I3446" s="8">
        <v>8346.8960299999999</v>
      </c>
      <c r="J3446" s="8">
        <v>19591.927469999999</v>
      </c>
      <c r="K3446" s="8">
        <v>17335.605589999999</v>
      </c>
      <c r="L3446" s="8">
        <v>21834.600119999999</v>
      </c>
      <c r="M3446" s="9" t="str">
        <f>IF(A3446="",M3447,A3446)</f>
        <v>Portugal</v>
      </c>
      <c r="N3446" s="3" t="str">
        <f t="shared" si="107"/>
        <v>Jan-2021</v>
      </c>
    </row>
    <row r="3447" spans="1:14" x14ac:dyDescent="0.3">
      <c r="A3447" s="3" t="s">
        <v>294</v>
      </c>
      <c r="B3447" s="3" t="s">
        <v>295</v>
      </c>
      <c r="C3447" s="8">
        <v>2021</v>
      </c>
      <c r="D3447" s="8">
        <v>2</v>
      </c>
      <c r="E3447" s="3" t="str">
        <f t="shared" si="106"/>
        <v>February</v>
      </c>
      <c r="F3447" s="3" t="s">
        <v>13</v>
      </c>
      <c r="G3447" s="8">
        <v>10966.145259999999</v>
      </c>
      <c r="H3447" s="8">
        <v>12764</v>
      </c>
      <c r="I3447" s="8">
        <v>1797.8547390000001</v>
      </c>
      <c r="J3447" s="8">
        <v>21389.782210000001</v>
      </c>
      <c r="K3447" s="8">
        <v>19044.036240000001</v>
      </c>
      <c r="L3447" s="8">
        <v>23741.600829999999</v>
      </c>
      <c r="M3447" s="9" t="str">
        <f>IF(A3447="",M3448,A3447)</f>
        <v>Portugal</v>
      </c>
      <c r="N3447" s="3" t="str">
        <f t="shared" si="107"/>
        <v>Feb-2021</v>
      </c>
    </row>
    <row r="3448" spans="1:14" x14ac:dyDescent="0.3">
      <c r="A3448" s="3" t="s">
        <v>294</v>
      </c>
      <c r="B3448" s="3" t="s">
        <v>295</v>
      </c>
      <c r="C3448" s="8">
        <v>2021</v>
      </c>
      <c r="D3448" s="8">
        <v>3</v>
      </c>
      <c r="E3448" s="3" t="str">
        <f t="shared" si="106"/>
        <v>March</v>
      </c>
      <c r="F3448" s="3" t="s">
        <v>13</v>
      </c>
      <c r="G3448" s="8">
        <v>10140.01208</v>
      </c>
      <c r="H3448" s="8">
        <v>9578</v>
      </c>
      <c r="I3448" s="8">
        <v>-562.01208459999998</v>
      </c>
      <c r="J3448" s="8">
        <v>20827.770130000001</v>
      </c>
      <c r="K3448" s="8">
        <v>18487.678660000001</v>
      </c>
      <c r="L3448" s="8">
        <v>23319.437030000001</v>
      </c>
      <c r="M3448" s="9" t="str">
        <f>IF(A3448="",M3449,A3448)</f>
        <v>Portugal</v>
      </c>
      <c r="N3448" s="3" t="str">
        <f t="shared" si="107"/>
        <v>Mar-2021</v>
      </c>
    </row>
    <row r="3449" spans="1:14" x14ac:dyDescent="0.3">
      <c r="A3449" s="3" t="s">
        <v>294</v>
      </c>
      <c r="B3449" s="3" t="s">
        <v>295</v>
      </c>
      <c r="C3449" s="8">
        <v>2021</v>
      </c>
      <c r="D3449" s="8">
        <v>4</v>
      </c>
      <c r="E3449" s="3" t="str">
        <f t="shared" si="106"/>
        <v>April</v>
      </c>
      <c r="F3449" s="3" t="s">
        <v>13</v>
      </c>
      <c r="G3449" s="8">
        <v>9161.8484160000007</v>
      </c>
      <c r="H3449" s="8">
        <v>8449</v>
      </c>
      <c r="I3449" s="8">
        <v>-712.84841570000003</v>
      </c>
      <c r="J3449" s="8">
        <v>20114.921709999999</v>
      </c>
      <c r="K3449" s="8">
        <v>17538.582350000001</v>
      </c>
      <c r="L3449" s="8">
        <v>22698.669519999999</v>
      </c>
      <c r="M3449" s="9" t="str">
        <f>IF(A3449="",M3450,A3449)</f>
        <v>Portugal</v>
      </c>
      <c r="N3449" s="3" t="str">
        <f t="shared" si="107"/>
        <v>Apr-2021</v>
      </c>
    </row>
    <row r="3450" spans="1:14" x14ac:dyDescent="0.3">
      <c r="A3450" s="3" t="s">
        <v>294</v>
      </c>
      <c r="B3450" s="3" t="s">
        <v>295</v>
      </c>
      <c r="C3450" s="8">
        <v>2021</v>
      </c>
      <c r="D3450" s="8">
        <v>5</v>
      </c>
      <c r="E3450" s="3" t="str">
        <f t="shared" si="106"/>
        <v>May</v>
      </c>
      <c r="F3450" s="3" t="s">
        <v>13</v>
      </c>
      <c r="G3450" s="8">
        <v>8684.0298490000005</v>
      </c>
      <c r="H3450" s="8">
        <v>8602</v>
      </c>
      <c r="I3450" s="8">
        <v>-82.029848990000005</v>
      </c>
      <c r="J3450" s="8">
        <v>20032.89186</v>
      </c>
      <c r="K3450" s="8">
        <v>17487.465260000001</v>
      </c>
      <c r="L3450" s="8">
        <v>22701.53815</v>
      </c>
      <c r="M3450" s="9" t="str">
        <f>IF(A3450="",M3451,A3450)</f>
        <v>Portugal</v>
      </c>
      <c r="N3450" s="3" t="str">
        <f t="shared" si="107"/>
        <v>May-2021</v>
      </c>
    </row>
    <row r="3451" spans="1:14" x14ac:dyDescent="0.3">
      <c r="A3451" s="3" t="s">
        <v>294</v>
      </c>
      <c r="B3451" s="3" t="s">
        <v>295</v>
      </c>
      <c r="C3451" s="8">
        <v>2021</v>
      </c>
      <c r="D3451" s="8">
        <v>6</v>
      </c>
      <c r="E3451" s="3" t="str">
        <f t="shared" si="106"/>
        <v>June</v>
      </c>
      <c r="F3451" s="3" t="s">
        <v>13</v>
      </c>
      <c r="G3451" s="8">
        <v>8360.8618970000007</v>
      </c>
      <c r="H3451" s="8">
        <v>8240</v>
      </c>
      <c r="I3451" s="8">
        <v>-120.8618967</v>
      </c>
      <c r="J3451" s="8">
        <v>19912.02996</v>
      </c>
      <c r="K3451" s="8">
        <v>17213.783340000002</v>
      </c>
      <c r="L3451" s="8">
        <v>22658.185870000001</v>
      </c>
      <c r="M3451" s="9" t="str">
        <f>IF(A3451="",M3452,A3451)</f>
        <v>Portugal</v>
      </c>
      <c r="N3451" s="3" t="str">
        <f t="shared" si="107"/>
        <v>Jun-2021</v>
      </c>
    </row>
    <row r="3452" spans="1:14" x14ac:dyDescent="0.3">
      <c r="A3452" s="3" t="s">
        <v>294</v>
      </c>
      <c r="B3452" s="3" t="s">
        <v>295</v>
      </c>
      <c r="C3452" s="8">
        <v>2021</v>
      </c>
      <c r="D3452" s="8">
        <v>7</v>
      </c>
      <c r="E3452" s="3" t="str">
        <f t="shared" si="106"/>
        <v>July</v>
      </c>
      <c r="F3452" s="3" t="s">
        <v>13</v>
      </c>
      <c r="G3452" s="8">
        <v>8344.9206819999999</v>
      </c>
      <c r="H3452" s="8">
        <v>8784</v>
      </c>
      <c r="I3452" s="8">
        <v>439.07931830000001</v>
      </c>
      <c r="J3452" s="8">
        <v>20351.109280000001</v>
      </c>
      <c r="K3452" s="8">
        <v>17564.313709999999</v>
      </c>
      <c r="L3452" s="8">
        <v>23166.036090000001</v>
      </c>
      <c r="M3452" s="9" t="str">
        <f>IF(A3452="",M3453,A3452)</f>
        <v>Portugal</v>
      </c>
      <c r="N3452" s="3" t="str">
        <f t="shared" si="107"/>
        <v>Jul-2021</v>
      </c>
    </row>
    <row r="3453" spans="1:14" x14ac:dyDescent="0.3">
      <c r="A3453" s="3" t="s">
        <v>294</v>
      </c>
      <c r="B3453" s="3" t="s">
        <v>295</v>
      </c>
      <c r="C3453" s="8">
        <v>2021</v>
      </c>
      <c r="D3453" s="8">
        <v>8</v>
      </c>
      <c r="E3453" s="3" t="str">
        <f t="shared" si="106"/>
        <v>August</v>
      </c>
      <c r="F3453" s="3" t="s">
        <v>13</v>
      </c>
      <c r="G3453" s="8">
        <v>8326.2426670000004</v>
      </c>
      <c r="H3453" s="8">
        <v>9257</v>
      </c>
      <c r="I3453" s="8">
        <v>930.75733319999995</v>
      </c>
      <c r="J3453" s="8">
        <v>21281.866620000001</v>
      </c>
      <c r="K3453" s="8">
        <v>18467.97465</v>
      </c>
      <c r="L3453" s="8">
        <v>24162.01856</v>
      </c>
      <c r="M3453" s="9" t="str">
        <f>IF(A3453="",M3454,A3453)</f>
        <v>Portugal</v>
      </c>
      <c r="N3453" s="3" t="str">
        <f t="shared" si="107"/>
        <v>Aug-2021</v>
      </c>
    </row>
    <row r="3454" spans="1:14" x14ac:dyDescent="0.3">
      <c r="A3454" s="3" t="s">
        <v>294</v>
      </c>
      <c r="B3454" s="3" t="s">
        <v>295</v>
      </c>
      <c r="C3454" s="8">
        <v>2021</v>
      </c>
      <c r="D3454" s="8">
        <v>9</v>
      </c>
      <c r="E3454" s="3" t="str">
        <f t="shared" si="106"/>
        <v>September</v>
      </c>
      <c r="F3454" s="3" t="s">
        <v>13</v>
      </c>
      <c r="G3454" s="8">
        <v>8138.678954</v>
      </c>
      <c r="H3454" s="8">
        <v>8591</v>
      </c>
      <c r="I3454" s="8">
        <v>452.32104600000002</v>
      </c>
      <c r="J3454" s="8">
        <v>21734.18766</v>
      </c>
      <c r="K3454" s="8">
        <v>18733.335510000001</v>
      </c>
      <c r="L3454" s="8">
        <v>24626.172009999998</v>
      </c>
      <c r="M3454" s="9" t="str">
        <f>IF(A3454="",M3455,A3454)</f>
        <v>Portugal</v>
      </c>
      <c r="N3454" s="3" t="str">
        <f t="shared" si="107"/>
        <v>Sep-2021</v>
      </c>
    </row>
    <row r="3455" spans="1:14" x14ac:dyDescent="0.3">
      <c r="A3455" s="3" t="s">
        <v>294</v>
      </c>
      <c r="B3455" s="3" t="s">
        <v>295</v>
      </c>
      <c r="C3455" s="8">
        <v>2021</v>
      </c>
      <c r="D3455" s="8">
        <v>10</v>
      </c>
      <c r="E3455" s="3" t="str">
        <f t="shared" si="106"/>
        <v>October</v>
      </c>
      <c r="F3455" s="3" t="s">
        <v>13</v>
      </c>
      <c r="G3455" s="8">
        <v>8565.5902029999997</v>
      </c>
      <c r="H3455" s="8">
        <v>9372</v>
      </c>
      <c r="I3455" s="8">
        <v>806.40979700000003</v>
      </c>
      <c r="J3455" s="8">
        <v>22540.597460000001</v>
      </c>
      <c r="K3455" s="8">
        <v>19612.481240000001</v>
      </c>
      <c r="L3455" s="8">
        <v>25408.126479999999</v>
      </c>
      <c r="M3455" s="9" t="str">
        <f>IF(A3455="",M3456,A3455)</f>
        <v>Portugal</v>
      </c>
      <c r="N3455" s="3" t="str">
        <f t="shared" si="107"/>
        <v>Oct-2021</v>
      </c>
    </row>
    <row r="3456" spans="1:14" x14ac:dyDescent="0.3">
      <c r="A3456" s="3" t="s">
        <v>294</v>
      </c>
      <c r="B3456" s="3" t="s">
        <v>295</v>
      </c>
      <c r="C3456" s="8">
        <v>2021</v>
      </c>
      <c r="D3456" s="8">
        <v>11</v>
      </c>
      <c r="E3456" s="3" t="str">
        <f t="shared" si="106"/>
        <v>November</v>
      </c>
      <c r="F3456" s="3" t="s">
        <v>13</v>
      </c>
      <c r="G3456" s="8">
        <v>9546.7427029999999</v>
      </c>
      <c r="H3456" s="8">
        <v>10381</v>
      </c>
      <c r="I3456" s="8">
        <v>834.25729669999998</v>
      </c>
      <c r="J3456" s="8">
        <v>23374.854759999998</v>
      </c>
      <c r="K3456" s="8">
        <v>20242.802390000001</v>
      </c>
      <c r="L3456" s="8">
        <v>26454.794129999998</v>
      </c>
      <c r="M3456" s="9" t="str">
        <f>IF(A3456="",M3457,A3456)</f>
        <v>Portugal</v>
      </c>
      <c r="N3456" s="3" t="str">
        <f t="shared" si="107"/>
        <v>Nov-2021</v>
      </c>
    </row>
    <row r="3457" spans="1:14" x14ac:dyDescent="0.3">
      <c r="A3457" s="3" t="s">
        <v>294</v>
      </c>
      <c r="B3457" s="3" t="s">
        <v>295</v>
      </c>
      <c r="C3457" s="8">
        <v>2021</v>
      </c>
      <c r="D3457" s="8">
        <v>12</v>
      </c>
      <c r="E3457" s="3" t="str">
        <f t="shared" si="106"/>
        <v>December</v>
      </c>
      <c r="F3457" s="3" t="s">
        <v>13</v>
      </c>
      <c r="G3457" s="8">
        <v>11383.6101</v>
      </c>
      <c r="H3457" s="8">
        <v>11499</v>
      </c>
      <c r="I3457" s="8">
        <v>115.38990269999999</v>
      </c>
      <c r="J3457" s="8">
        <v>23490.24466</v>
      </c>
      <c r="K3457" s="8">
        <v>20244.802930000002</v>
      </c>
      <c r="L3457" s="8">
        <v>26618.69195</v>
      </c>
      <c r="M3457" s="9" t="str">
        <f>IF(A3457="",M3458,A3457)</f>
        <v>Portugal</v>
      </c>
      <c r="N3457" s="3" t="str">
        <f t="shared" si="107"/>
        <v>Dec-2021</v>
      </c>
    </row>
    <row r="3458" spans="1:14" x14ac:dyDescent="0.3">
      <c r="A3458" s="3" t="s">
        <v>296</v>
      </c>
      <c r="B3458" s="3" t="s">
        <v>297</v>
      </c>
      <c r="C3458" s="8">
        <v>2020</v>
      </c>
      <c r="D3458" s="8">
        <v>1</v>
      </c>
      <c r="E3458" s="3" t="str">
        <f t="shared" ref="E3458:E3521" si="108">TEXT(DATE(C3458,D3458,1),"MMMM")</f>
        <v>January</v>
      </c>
      <c r="F3458" s="3" t="s">
        <v>13</v>
      </c>
      <c r="G3458" s="8">
        <v>2687.7402820000002</v>
      </c>
      <c r="H3458" s="8">
        <v>2748</v>
      </c>
      <c r="I3458" s="8">
        <v>60.259718220000003</v>
      </c>
      <c r="J3458" s="8">
        <v>60.259718220000003</v>
      </c>
      <c r="K3458" s="8">
        <v>-59.140412120000001</v>
      </c>
      <c r="L3458" s="8">
        <v>169.5013501</v>
      </c>
      <c r="M3458" s="9" t="str">
        <f>IF(A3458="",M3459,A3458)</f>
        <v>Paraguay</v>
      </c>
      <c r="N3458" s="3" t="str">
        <f t="shared" ref="N3458:N3521" si="109">TEXT(DATE(C3458,D3458,1),"MMM-YYYY")</f>
        <v>Jan-2020</v>
      </c>
    </row>
    <row r="3459" spans="1:14" x14ac:dyDescent="0.3">
      <c r="A3459" s="3" t="s">
        <v>296</v>
      </c>
      <c r="B3459" s="3" t="s">
        <v>297</v>
      </c>
      <c r="C3459" s="8">
        <v>2020</v>
      </c>
      <c r="D3459" s="8">
        <v>2</v>
      </c>
      <c r="E3459" s="3" t="str">
        <f t="shared" si="108"/>
        <v>February</v>
      </c>
      <c r="F3459" s="3" t="s">
        <v>13</v>
      </c>
      <c r="G3459" s="8">
        <v>2601.1716929999998</v>
      </c>
      <c r="H3459" s="8">
        <v>2761</v>
      </c>
      <c r="I3459" s="8">
        <v>159.82830730000001</v>
      </c>
      <c r="J3459" s="8">
        <v>220.08802549999999</v>
      </c>
      <c r="K3459" s="8">
        <v>36.159776669999999</v>
      </c>
      <c r="L3459" s="8">
        <v>393.38713660000002</v>
      </c>
      <c r="M3459" s="9" t="str">
        <f>IF(A3459="",M3460,A3459)</f>
        <v>Paraguay</v>
      </c>
      <c r="N3459" s="3" t="str">
        <f t="shared" si="109"/>
        <v>Feb-2020</v>
      </c>
    </row>
    <row r="3460" spans="1:14" x14ac:dyDescent="0.3">
      <c r="A3460" s="3" t="s">
        <v>296</v>
      </c>
      <c r="B3460" s="3" t="s">
        <v>297</v>
      </c>
      <c r="C3460" s="8">
        <v>2020</v>
      </c>
      <c r="D3460" s="8">
        <v>3</v>
      </c>
      <c r="E3460" s="3" t="str">
        <f t="shared" si="108"/>
        <v>March</v>
      </c>
      <c r="F3460" s="3" t="s">
        <v>13</v>
      </c>
      <c r="G3460" s="8">
        <v>2642.2644559999999</v>
      </c>
      <c r="H3460" s="8">
        <v>2912</v>
      </c>
      <c r="I3460" s="8">
        <v>269.73554350000001</v>
      </c>
      <c r="J3460" s="8">
        <v>489.82356900000002</v>
      </c>
      <c r="K3460" s="8">
        <v>248.21885779999999</v>
      </c>
      <c r="L3460" s="8">
        <v>718.89369790000001</v>
      </c>
      <c r="M3460" s="9" t="str">
        <f>IF(A3460="",M3461,A3460)</f>
        <v>Paraguay</v>
      </c>
      <c r="N3460" s="3" t="str">
        <f t="shared" si="109"/>
        <v>Mar-2020</v>
      </c>
    </row>
    <row r="3461" spans="1:14" x14ac:dyDescent="0.3">
      <c r="A3461" s="3" t="s">
        <v>296</v>
      </c>
      <c r="B3461" s="3" t="s">
        <v>297</v>
      </c>
      <c r="C3461" s="8">
        <v>2020</v>
      </c>
      <c r="D3461" s="8">
        <v>4</v>
      </c>
      <c r="E3461" s="3" t="str">
        <f t="shared" si="108"/>
        <v>April</v>
      </c>
      <c r="F3461" s="3" t="s">
        <v>13</v>
      </c>
      <c r="G3461" s="8">
        <v>2712.8811730000002</v>
      </c>
      <c r="H3461" s="8">
        <v>2465</v>
      </c>
      <c r="I3461" s="8">
        <v>-247.88117339999999</v>
      </c>
      <c r="J3461" s="8">
        <v>241.9423956</v>
      </c>
      <c r="K3461" s="8">
        <v>-40.988688269999997</v>
      </c>
      <c r="L3461" s="8">
        <v>506.09497249999998</v>
      </c>
      <c r="M3461" s="9" t="str">
        <f>IF(A3461="",M3462,A3461)</f>
        <v>Paraguay</v>
      </c>
      <c r="N3461" s="3" t="str">
        <f t="shared" si="109"/>
        <v>Apr-2020</v>
      </c>
    </row>
    <row r="3462" spans="1:14" x14ac:dyDescent="0.3">
      <c r="A3462" s="3" t="s">
        <v>296</v>
      </c>
      <c r="B3462" s="3" t="s">
        <v>297</v>
      </c>
      <c r="C3462" s="8">
        <v>2020</v>
      </c>
      <c r="D3462" s="8">
        <v>5</v>
      </c>
      <c r="E3462" s="3" t="str">
        <f t="shared" si="108"/>
        <v>May</v>
      </c>
      <c r="F3462" s="3" t="s">
        <v>13</v>
      </c>
      <c r="G3462" s="8">
        <v>2966.9552450000001</v>
      </c>
      <c r="H3462" s="8">
        <v>2576</v>
      </c>
      <c r="I3462" s="8">
        <v>-390.95524549999999</v>
      </c>
      <c r="J3462" s="8">
        <v>-149.0128498</v>
      </c>
      <c r="K3462" s="8">
        <v>-468.31796700000001</v>
      </c>
      <c r="L3462" s="8">
        <v>157.94341259999999</v>
      </c>
      <c r="M3462" s="9" t="str">
        <f>IF(A3462="",M3463,A3462)</f>
        <v>Paraguay</v>
      </c>
      <c r="N3462" s="3" t="str">
        <f t="shared" si="109"/>
        <v>May-2020</v>
      </c>
    </row>
    <row r="3463" spans="1:14" x14ac:dyDescent="0.3">
      <c r="A3463" s="3" t="s">
        <v>296</v>
      </c>
      <c r="B3463" s="3" t="s">
        <v>297</v>
      </c>
      <c r="C3463" s="8">
        <v>2020</v>
      </c>
      <c r="D3463" s="8">
        <v>6</v>
      </c>
      <c r="E3463" s="3" t="str">
        <f t="shared" si="108"/>
        <v>June</v>
      </c>
      <c r="F3463" s="3" t="s">
        <v>13</v>
      </c>
      <c r="G3463" s="8">
        <v>3242.0170520000001</v>
      </c>
      <c r="H3463" s="8">
        <v>2723</v>
      </c>
      <c r="I3463" s="8">
        <v>-519.01705200000004</v>
      </c>
      <c r="J3463" s="8">
        <v>-668.02990179999995</v>
      </c>
      <c r="K3463" s="8">
        <v>-1018.150348</v>
      </c>
      <c r="L3463" s="8">
        <v>-316.84399910000002</v>
      </c>
      <c r="M3463" s="9" t="str">
        <f>IF(A3463="",M3464,A3463)</f>
        <v>Paraguay</v>
      </c>
      <c r="N3463" s="3" t="str">
        <f t="shared" si="109"/>
        <v>Jun-2020</v>
      </c>
    </row>
    <row r="3464" spans="1:14" x14ac:dyDescent="0.3">
      <c r="A3464" s="3" t="s">
        <v>296</v>
      </c>
      <c r="B3464" s="3" t="s">
        <v>297</v>
      </c>
      <c r="C3464" s="8">
        <v>2020</v>
      </c>
      <c r="D3464" s="8">
        <v>7</v>
      </c>
      <c r="E3464" s="3" t="str">
        <f t="shared" si="108"/>
        <v>July</v>
      </c>
      <c r="F3464" s="3" t="s">
        <v>13</v>
      </c>
      <c r="G3464" s="8">
        <v>3274.4127389999999</v>
      </c>
      <c r="H3464" s="8">
        <v>2875</v>
      </c>
      <c r="I3464" s="8">
        <v>-399.41273869999998</v>
      </c>
      <c r="J3464" s="8">
        <v>-1067.4426410000001</v>
      </c>
      <c r="K3464" s="8">
        <v>-1466.168964</v>
      </c>
      <c r="L3464" s="8">
        <v>-664.43647750000002</v>
      </c>
      <c r="M3464" s="9" t="str">
        <f>IF(A3464="",M3465,A3464)</f>
        <v>Paraguay</v>
      </c>
      <c r="N3464" s="3" t="str">
        <f t="shared" si="109"/>
        <v>Jul-2020</v>
      </c>
    </row>
    <row r="3465" spans="1:14" x14ac:dyDescent="0.3">
      <c r="A3465" s="3" t="s">
        <v>296</v>
      </c>
      <c r="B3465" s="3" t="s">
        <v>297</v>
      </c>
      <c r="C3465" s="8">
        <v>2020</v>
      </c>
      <c r="D3465" s="8">
        <v>8</v>
      </c>
      <c r="E3465" s="3" t="str">
        <f t="shared" si="108"/>
        <v>August</v>
      </c>
      <c r="F3465" s="3" t="s">
        <v>13</v>
      </c>
      <c r="G3465" s="8">
        <v>3081.2895549999998</v>
      </c>
      <c r="H3465" s="8">
        <v>3346</v>
      </c>
      <c r="I3465" s="8">
        <v>264.71044540000003</v>
      </c>
      <c r="J3465" s="8">
        <v>-802.73219519999998</v>
      </c>
      <c r="K3465" s="8">
        <v>-1237.8503390000001</v>
      </c>
      <c r="L3465" s="8">
        <v>-379.22573010000002</v>
      </c>
      <c r="M3465" s="9" t="str">
        <f>IF(A3465="",M3466,A3465)</f>
        <v>Paraguay</v>
      </c>
      <c r="N3465" s="3" t="str">
        <f t="shared" si="109"/>
        <v>Aug-2020</v>
      </c>
    </row>
    <row r="3466" spans="1:14" x14ac:dyDescent="0.3">
      <c r="A3466" s="3" t="s">
        <v>296</v>
      </c>
      <c r="B3466" s="3" t="s">
        <v>297</v>
      </c>
      <c r="C3466" s="8">
        <v>2020</v>
      </c>
      <c r="D3466" s="8">
        <v>9</v>
      </c>
      <c r="E3466" s="3" t="str">
        <f t="shared" si="108"/>
        <v>September</v>
      </c>
      <c r="F3466" s="3" t="s">
        <v>13</v>
      </c>
      <c r="G3466" s="8">
        <v>2839.3861609999999</v>
      </c>
      <c r="H3466" s="8">
        <v>3345</v>
      </c>
      <c r="I3466" s="8">
        <v>505.61383869999997</v>
      </c>
      <c r="J3466" s="8">
        <v>-297.1183565</v>
      </c>
      <c r="K3466" s="8">
        <v>-739.20876169999997</v>
      </c>
      <c r="L3466" s="8">
        <v>167.2598184</v>
      </c>
      <c r="M3466" s="9" t="str">
        <f>IF(A3466="",M3467,A3466)</f>
        <v>Paraguay</v>
      </c>
      <c r="N3466" s="3" t="str">
        <f t="shared" si="109"/>
        <v>Sep-2020</v>
      </c>
    </row>
    <row r="3467" spans="1:14" x14ac:dyDescent="0.3">
      <c r="A3467" s="3" t="s">
        <v>296</v>
      </c>
      <c r="B3467" s="3" t="s">
        <v>297</v>
      </c>
      <c r="C3467" s="8">
        <v>2020</v>
      </c>
      <c r="D3467" s="8">
        <v>10</v>
      </c>
      <c r="E3467" s="3" t="str">
        <f t="shared" si="108"/>
        <v>October</v>
      </c>
      <c r="F3467" s="3" t="s">
        <v>13</v>
      </c>
      <c r="G3467" s="8">
        <v>2695.4730500000001</v>
      </c>
      <c r="H3467" s="8">
        <v>3333</v>
      </c>
      <c r="I3467" s="8">
        <v>637.52694989999998</v>
      </c>
      <c r="J3467" s="8">
        <v>340.40859330000001</v>
      </c>
      <c r="K3467" s="8">
        <v>-116.8421998</v>
      </c>
      <c r="L3467" s="8">
        <v>822.03905469999995</v>
      </c>
      <c r="M3467" s="9" t="str">
        <f>IF(A3467="",M3468,A3467)</f>
        <v>Paraguay</v>
      </c>
      <c r="N3467" s="3" t="str">
        <f t="shared" si="109"/>
        <v>Oct-2020</v>
      </c>
    </row>
    <row r="3468" spans="1:14" x14ac:dyDescent="0.3">
      <c r="A3468" s="3" t="s">
        <v>296</v>
      </c>
      <c r="B3468" s="3" t="s">
        <v>297</v>
      </c>
      <c r="C3468" s="8">
        <v>2020</v>
      </c>
      <c r="D3468" s="8">
        <v>11</v>
      </c>
      <c r="E3468" s="3" t="str">
        <f t="shared" si="108"/>
        <v>November</v>
      </c>
      <c r="F3468" s="3" t="s">
        <v>13</v>
      </c>
      <c r="G3468" s="8">
        <v>2640.493633</v>
      </c>
      <c r="H3468" s="8">
        <v>3005</v>
      </c>
      <c r="I3468" s="8">
        <v>364.50636689999999</v>
      </c>
      <c r="J3468" s="8">
        <v>704.91496029999996</v>
      </c>
      <c r="K3468" s="8">
        <v>217.03593290000001</v>
      </c>
      <c r="L3468" s="8">
        <v>1218.790058</v>
      </c>
      <c r="M3468" s="9" t="str">
        <f>IF(A3468="",M3469,A3468)</f>
        <v>Paraguay</v>
      </c>
      <c r="N3468" s="3" t="str">
        <f t="shared" si="109"/>
        <v>Nov-2020</v>
      </c>
    </row>
    <row r="3469" spans="1:14" x14ac:dyDescent="0.3">
      <c r="A3469" s="3" t="s">
        <v>296</v>
      </c>
      <c r="B3469" s="3" t="s">
        <v>297</v>
      </c>
      <c r="C3469" s="8">
        <v>2020</v>
      </c>
      <c r="D3469" s="8">
        <v>12</v>
      </c>
      <c r="E3469" s="3" t="str">
        <f t="shared" si="108"/>
        <v>December</v>
      </c>
      <c r="F3469" s="3" t="s">
        <v>13</v>
      </c>
      <c r="G3469" s="8">
        <v>2734.4872070000001</v>
      </c>
      <c r="H3469" s="8">
        <v>3453</v>
      </c>
      <c r="I3469" s="8">
        <v>718.5127933</v>
      </c>
      <c r="J3469" s="8">
        <v>1423.427754</v>
      </c>
      <c r="K3469" s="8">
        <v>940.45868640000003</v>
      </c>
      <c r="L3469" s="8">
        <v>1951.707911</v>
      </c>
      <c r="M3469" s="9" t="str">
        <f>IF(A3469="",M3470,A3469)</f>
        <v>Paraguay</v>
      </c>
      <c r="N3469" s="3" t="str">
        <f t="shared" si="109"/>
        <v>Dec-2020</v>
      </c>
    </row>
    <row r="3470" spans="1:14" x14ac:dyDescent="0.3">
      <c r="A3470" s="3" t="s">
        <v>296</v>
      </c>
      <c r="B3470" s="3" t="s">
        <v>297</v>
      </c>
      <c r="C3470" s="8">
        <v>2021</v>
      </c>
      <c r="D3470" s="8">
        <v>1</v>
      </c>
      <c r="E3470" s="3" t="str">
        <f t="shared" si="108"/>
        <v>January</v>
      </c>
      <c r="F3470" s="3" t="s">
        <v>13</v>
      </c>
      <c r="G3470" s="8">
        <v>2738.0573760000002</v>
      </c>
      <c r="H3470" s="8">
        <v>3224</v>
      </c>
      <c r="I3470" s="8">
        <v>481.65817420000002</v>
      </c>
      <c r="J3470" s="8">
        <v>1905.085928</v>
      </c>
      <c r="K3470" s="8">
        <v>1401.462577</v>
      </c>
      <c r="L3470" s="8">
        <v>2462.1499509999999</v>
      </c>
      <c r="M3470" s="9" t="str">
        <f>IF(A3470="",M3471,A3470)</f>
        <v>Paraguay</v>
      </c>
      <c r="N3470" s="3" t="str">
        <f t="shared" si="109"/>
        <v>Jan-2021</v>
      </c>
    </row>
    <row r="3471" spans="1:14" x14ac:dyDescent="0.3">
      <c r="A3471" s="3" t="s">
        <v>296</v>
      </c>
      <c r="B3471" s="3" t="s">
        <v>297</v>
      </c>
      <c r="C3471" s="8">
        <v>2021</v>
      </c>
      <c r="D3471" s="8">
        <v>2</v>
      </c>
      <c r="E3471" s="3" t="str">
        <f t="shared" si="108"/>
        <v>February</v>
      </c>
      <c r="F3471" s="3" t="s">
        <v>13</v>
      </c>
      <c r="G3471" s="8">
        <v>2643.5034900000001</v>
      </c>
      <c r="H3471" s="8">
        <v>3248</v>
      </c>
      <c r="I3471" s="8">
        <v>600.21206010000003</v>
      </c>
      <c r="J3471" s="8">
        <v>2505.2979879999998</v>
      </c>
      <c r="K3471" s="8">
        <v>1999.2389820000001</v>
      </c>
      <c r="L3471" s="8">
        <v>3051.3950840000002</v>
      </c>
      <c r="M3471" s="9" t="str">
        <f>IF(A3471="",M3472,A3471)</f>
        <v>Paraguay</v>
      </c>
      <c r="N3471" s="3" t="str">
        <f t="shared" si="109"/>
        <v>Feb-2021</v>
      </c>
    </row>
    <row r="3472" spans="1:14" x14ac:dyDescent="0.3">
      <c r="A3472" s="3" t="s">
        <v>296</v>
      </c>
      <c r="B3472" s="3" t="s">
        <v>297</v>
      </c>
      <c r="C3472" s="8">
        <v>2021</v>
      </c>
      <c r="D3472" s="8">
        <v>3</v>
      </c>
      <c r="E3472" s="3" t="str">
        <f t="shared" si="108"/>
        <v>March</v>
      </c>
      <c r="F3472" s="3" t="s">
        <v>13</v>
      </c>
      <c r="G3472" s="8">
        <v>2686.7645149999998</v>
      </c>
      <c r="H3472" s="8">
        <v>4676</v>
      </c>
      <c r="I3472" s="8">
        <v>1984.9510359999999</v>
      </c>
      <c r="J3472" s="8">
        <v>4490.2490230000003</v>
      </c>
      <c r="K3472" s="8">
        <v>3956.0121220000001</v>
      </c>
      <c r="L3472" s="8">
        <v>5084.4676339999996</v>
      </c>
      <c r="M3472" s="9" t="str">
        <f>IF(A3472="",M3473,A3472)</f>
        <v>Paraguay</v>
      </c>
      <c r="N3472" s="3" t="str">
        <f t="shared" si="109"/>
        <v>Mar-2021</v>
      </c>
    </row>
    <row r="3473" spans="1:14" x14ac:dyDescent="0.3">
      <c r="A3473" s="3" t="s">
        <v>296</v>
      </c>
      <c r="B3473" s="3" t="s">
        <v>297</v>
      </c>
      <c r="C3473" s="8">
        <v>2021</v>
      </c>
      <c r="D3473" s="8">
        <v>4</v>
      </c>
      <c r="E3473" s="3" t="str">
        <f t="shared" si="108"/>
        <v>April</v>
      </c>
      <c r="F3473" s="3" t="s">
        <v>13</v>
      </c>
      <c r="G3473" s="8">
        <v>2764.954577</v>
      </c>
      <c r="H3473" s="8">
        <v>6339</v>
      </c>
      <c r="I3473" s="8">
        <v>3569.7609729999999</v>
      </c>
      <c r="J3473" s="8">
        <v>8060.0099970000001</v>
      </c>
      <c r="K3473" s="8">
        <v>7501.3952369999997</v>
      </c>
      <c r="L3473" s="8">
        <v>8654.6899119999998</v>
      </c>
      <c r="M3473" s="9" t="str">
        <f>IF(A3473="",M3474,A3473)</f>
        <v>Paraguay</v>
      </c>
      <c r="N3473" s="3" t="str">
        <f t="shared" si="109"/>
        <v>Apr-2021</v>
      </c>
    </row>
    <row r="3474" spans="1:14" x14ac:dyDescent="0.3">
      <c r="A3474" s="3" t="s">
        <v>296</v>
      </c>
      <c r="B3474" s="3" t="s">
        <v>297</v>
      </c>
      <c r="C3474" s="8">
        <v>2021</v>
      </c>
      <c r="D3474" s="8">
        <v>5</v>
      </c>
      <c r="E3474" s="3" t="str">
        <f t="shared" si="108"/>
        <v>May</v>
      </c>
      <c r="F3474" s="3" t="s">
        <v>13</v>
      </c>
      <c r="G3474" s="8">
        <v>3017.033109</v>
      </c>
      <c r="H3474" s="8">
        <v>7601</v>
      </c>
      <c r="I3474" s="8">
        <v>4579.6824409999999</v>
      </c>
      <c r="J3474" s="8">
        <v>12639.692440000001</v>
      </c>
      <c r="K3474" s="8">
        <v>12055.038119999999</v>
      </c>
      <c r="L3474" s="8">
        <v>13267.093360000001</v>
      </c>
      <c r="M3474" s="9" t="str">
        <f>IF(A3474="",M3475,A3474)</f>
        <v>Paraguay</v>
      </c>
      <c r="N3474" s="3" t="str">
        <f t="shared" si="109"/>
        <v>May-2021</v>
      </c>
    </row>
    <row r="3475" spans="1:14" x14ac:dyDescent="0.3">
      <c r="A3475" s="3" t="s">
        <v>296</v>
      </c>
      <c r="B3475" s="3" t="s">
        <v>297</v>
      </c>
      <c r="C3475" s="8">
        <v>2021</v>
      </c>
      <c r="D3475" s="8">
        <v>6</v>
      </c>
      <c r="E3475" s="3" t="str">
        <f t="shared" si="108"/>
        <v>June</v>
      </c>
      <c r="F3475" s="3" t="s">
        <v>13</v>
      </c>
      <c r="G3475" s="8">
        <v>3299.7072440000002</v>
      </c>
      <c r="H3475" s="8">
        <v>7250</v>
      </c>
      <c r="I3475" s="8">
        <v>3946.0083060000002</v>
      </c>
      <c r="J3475" s="8">
        <v>16585.70074</v>
      </c>
      <c r="K3475" s="8">
        <v>15975.910809999999</v>
      </c>
      <c r="L3475" s="8">
        <v>17227.170139999998</v>
      </c>
      <c r="M3475" s="9" t="str">
        <f>IF(A3475="",M3476,A3475)</f>
        <v>Paraguay</v>
      </c>
      <c r="N3475" s="3" t="str">
        <f t="shared" si="109"/>
        <v>Jun-2021</v>
      </c>
    </row>
    <row r="3476" spans="1:14" x14ac:dyDescent="0.3">
      <c r="A3476" s="3" t="s">
        <v>296</v>
      </c>
      <c r="B3476" s="3" t="s">
        <v>297</v>
      </c>
      <c r="C3476" s="8">
        <v>2021</v>
      </c>
      <c r="D3476" s="8">
        <v>7</v>
      </c>
      <c r="E3476" s="3" t="str">
        <f t="shared" si="108"/>
        <v>July</v>
      </c>
      <c r="F3476" s="3" t="s">
        <v>13</v>
      </c>
      <c r="G3476" s="8">
        <v>3335.9469979999999</v>
      </c>
      <c r="H3476" s="8">
        <v>5111</v>
      </c>
      <c r="I3476" s="8">
        <v>1770.7685530000001</v>
      </c>
      <c r="J3476" s="8">
        <v>18356.469300000001</v>
      </c>
      <c r="K3476" s="8">
        <v>17694.7143</v>
      </c>
      <c r="L3476" s="8">
        <v>19010.86722</v>
      </c>
      <c r="M3476" s="9" t="str">
        <f>IF(A3476="",M3477,A3476)</f>
        <v>Paraguay</v>
      </c>
      <c r="N3476" s="3" t="str">
        <f t="shared" si="109"/>
        <v>Jul-2021</v>
      </c>
    </row>
    <row r="3477" spans="1:14" x14ac:dyDescent="0.3">
      <c r="A3477" s="3" t="s">
        <v>296</v>
      </c>
      <c r="B3477" s="3" t="s">
        <v>297</v>
      </c>
      <c r="C3477" s="8">
        <v>2021</v>
      </c>
      <c r="D3477" s="8">
        <v>8</v>
      </c>
      <c r="E3477" s="3" t="str">
        <f t="shared" si="108"/>
        <v>August</v>
      </c>
      <c r="F3477" s="3" t="s">
        <v>13</v>
      </c>
      <c r="G3477" s="8">
        <v>3135.376925</v>
      </c>
      <c r="H3477" s="8">
        <v>3706</v>
      </c>
      <c r="I3477" s="8">
        <v>566.3386256</v>
      </c>
      <c r="J3477" s="8">
        <v>18922.807919999999</v>
      </c>
      <c r="K3477" s="8">
        <v>18270.763040000002</v>
      </c>
      <c r="L3477" s="8">
        <v>19624.120159999999</v>
      </c>
      <c r="M3477" s="9" t="str">
        <f>IF(A3477="",M3478,A3477)</f>
        <v>Paraguay</v>
      </c>
      <c r="N3477" s="3" t="str">
        <f t="shared" si="109"/>
        <v>Aug-2021</v>
      </c>
    </row>
    <row r="3478" spans="1:14" x14ac:dyDescent="0.3">
      <c r="A3478" s="3" t="s">
        <v>296</v>
      </c>
      <c r="B3478" s="3" t="s">
        <v>297</v>
      </c>
      <c r="C3478" s="8">
        <v>2021</v>
      </c>
      <c r="D3478" s="8">
        <v>9</v>
      </c>
      <c r="E3478" s="3" t="str">
        <f t="shared" si="108"/>
        <v>September</v>
      </c>
      <c r="F3478" s="3" t="s">
        <v>13</v>
      </c>
      <c r="G3478" s="8">
        <v>2887.1589560000002</v>
      </c>
      <c r="H3478" s="8">
        <v>2906</v>
      </c>
      <c r="I3478" s="8">
        <v>14.556594110000001</v>
      </c>
      <c r="J3478" s="8">
        <v>18937.364519999999</v>
      </c>
      <c r="K3478" s="8">
        <v>18249.354090000001</v>
      </c>
      <c r="L3478" s="8">
        <v>19650.515729999999</v>
      </c>
      <c r="M3478" s="9" t="str">
        <f>IF(A3478="",M3479,A3478)</f>
        <v>Paraguay</v>
      </c>
      <c r="N3478" s="3" t="str">
        <f t="shared" si="109"/>
        <v>Sep-2021</v>
      </c>
    </row>
    <row r="3479" spans="1:14" x14ac:dyDescent="0.3">
      <c r="A3479" s="3" t="s">
        <v>296</v>
      </c>
      <c r="B3479" s="3" t="s">
        <v>297</v>
      </c>
      <c r="C3479" s="8">
        <v>2021</v>
      </c>
      <c r="D3479" s="8">
        <v>10</v>
      </c>
      <c r="E3479" s="3" t="str">
        <f t="shared" si="108"/>
        <v>October</v>
      </c>
      <c r="F3479" s="3" t="s">
        <v>13</v>
      </c>
      <c r="G3479" s="8">
        <v>2738.222655</v>
      </c>
      <c r="H3479" s="8">
        <v>2906</v>
      </c>
      <c r="I3479" s="8">
        <v>163.49289569999999</v>
      </c>
      <c r="J3479" s="8">
        <v>19100.857410000001</v>
      </c>
      <c r="K3479" s="8">
        <v>18414.948499999999</v>
      </c>
      <c r="L3479" s="8">
        <v>19838.395039999999</v>
      </c>
      <c r="M3479" s="9" t="str">
        <f>IF(A3479="",M3480,A3479)</f>
        <v>Paraguay</v>
      </c>
      <c r="N3479" s="3" t="str">
        <f t="shared" si="109"/>
        <v>Oct-2021</v>
      </c>
    </row>
    <row r="3480" spans="1:14" x14ac:dyDescent="0.3">
      <c r="A3480" s="3" t="s">
        <v>296</v>
      </c>
      <c r="B3480" s="3" t="s">
        <v>297</v>
      </c>
      <c r="C3480" s="8">
        <v>2021</v>
      </c>
      <c r="D3480" s="8">
        <v>11</v>
      </c>
      <c r="E3480" s="3" t="str">
        <f t="shared" si="108"/>
        <v>November</v>
      </c>
      <c r="F3480" s="3" t="s">
        <v>13</v>
      </c>
      <c r="G3480" s="8">
        <v>2684.610725</v>
      </c>
      <c r="H3480" s="8">
        <v>2829</v>
      </c>
      <c r="I3480" s="8">
        <v>140.10482540000001</v>
      </c>
      <c r="J3480" s="8">
        <v>19240.962240000001</v>
      </c>
      <c r="K3480" s="8">
        <v>18513.217530000002</v>
      </c>
      <c r="L3480" s="8">
        <v>20012.859560000001</v>
      </c>
      <c r="M3480" s="9" t="str">
        <f>IF(A3480="",M3481,A3480)</f>
        <v>Paraguay</v>
      </c>
      <c r="N3480" s="3" t="str">
        <f t="shared" si="109"/>
        <v>Nov-2021</v>
      </c>
    </row>
    <row r="3481" spans="1:14" x14ac:dyDescent="0.3">
      <c r="A3481" s="3" t="s">
        <v>296</v>
      </c>
      <c r="B3481" s="3" t="s">
        <v>297</v>
      </c>
      <c r="C3481" s="8">
        <v>2021</v>
      </c>
      <c r="D3481" s="8">
        <v>12</v>
      </c>
      <c r="E3481" s="3" t="str">
        <f t="shared" si="108"/>
        <v>December</v>
      </c>
      <c r="F3481" s="3" t="s">
        <v>13</v>
      </c>
      <c r="G3481" s="8">
        <v>2777.6297890000001</v>
      </c>
      <c r="H3481" s="8">
        <v>3336</v>
      </c>
      <c r="I3481" s="8">
        <v>554.08576089999997</v>
      </c>
      <c r="J3481" s="8">
        <v>19795.047999999999</v>
      </c>
      <c r="K3481" s="8">
        <v>19036.91504</v>
      </c>
      <c r="L3481" s="8">
        <v>20553.321650000002</v>
      </c>
      <c r="M3481" s="9" t="str">
        <f>IF(A3481="",M3482,A3481)</f>
        <v>Paraguay</v>
      </c>
      <c r="N3481" s="3" t="str">
        <f t="shared" si="109"/>
        <v>Dec-2021</v>
      </c>
    </row>
    <row r="3482" spans="1:14" x14ac:dyDescent="0.3">
      <c r="A3482" s="3" t="s">
        <v>298</v>
      </c>
      <c r="B3482" s="3" t="s">
        <v>299</v>
      </c>
      <c r="C3482" s="8">
        <v>2020</v>
      </c>
      <c r="D3482" s="8">
        <v>1</v>
      </c>
      <c r="E3482" s="3" t="str">
        <f t="shared" si="108"/>
        <v>January</v>
      </c>
      <c r="F3482" s="3" t="s">
        <v>13</v>
      </c>
      <c r="G3482" s="8">
        <v>311.9747764</v>
      </c>
      <c r="H3482" s="8">
        <v>305</v>
      </c>
      <c r="I3482" s="8">
        <v>-6.9747763689999998</v>
      </c>
      <c r="J3482" s="8">
        <v>-6.9747763689999998</v>
      </c>
      <c r="K3482" s="8">
        <v>-20.42644276</v>
      </c>
      <c r="L3482" s="8">
        <v>6.4538649430000001</v>
      </c>
      <c r="M3482" s="9" t="str">
        <f>IF(A3482="",M3483,A3482)</f>
        <v>Qatar</v>
      </c>
      <c r="N3482" s="3" t="str">
        <f t="shared" si="109"/>
        <v>Jan-2020</v>
      </c>
    </row>
    <row r="3483" spans="1:14" x14ac:dyDescent="0.3">
      <c r="A3483" s="3" t="s">
        <v>298</v>
      </c>
      <c r="B3483" s="3" t="s">
        <v>299</v>
      </c>
      <c r="C3483" s="8">
        <v>2020</v>
      </c>
      <c r="D3483" s="8">
        <v>2</v>
      </c>
      <c r="E3483" s="3" t="str">
        <f t="shared" si="108"/>
        <v>February</v>
      </c>
      <c r="F3483" s="3" t="s">
        <v>13</v>
      </c>
      <c r="G3483" s="8">
        <v>304.9867979</v>
      </c>
      <c r="H3483" s="8">
        <v>315</v>
      </c>
      <c r="I3483" s="8">
        <v>10.01320207</v>
      </c>
      <c r="J3483" s="8">
        <v>3.0384256970000001</v>
      </c>
      <c r="K3483" s="8">
        <v>-16.233178469999999</v>
      </c>
      <c r="L3483" s="8">
        <v>22.222209429999999</v>
      </c>
      <c r="M3483" s="9" t="str">
        <f>IF(A3483="",M3484,A3483)</f>
        <v>Qatar</v>
      </c>
      <c r="N3483" s="3" t="str">
        <f t="shared" si="109"/>
        <v>Feb-2020</v>
      </c>
    </row>
    <row r="3484" spans="1:14" x14ac:dyDescent="0.3">
      <c r="A3484" s="3" t="s">
        <v>298</v>
      </c>
      <c r="B3484" s="3" t="s">
        <v>299</v>
      </c>
      <c r="C3484" s="8">
        <v>2020</v>
      </c>
      <c r="D3484" s="8">
        <v>3</v>
      </c>
      <c r="E3484" s="3" t="str">
        <f t="shared" si="108"/>
        <v>March</v>
      </c>
      <c r="F3484" s="3" t="s">
        <v>13</v>
      </c>
      <c r="G3484" s="8">
        <v>300.69090240000003</v>
      </c>
      <c r="H3484" s="8">
        <v>351</v>
      </c>
      <c r="I3484" s="8">
        <v>50.309097620000003</v>
      </c>
      <c r="J3484" s="8">
        <v>53.347523320000001</v>
      </c>
      <c r="K3484" s="8">
        <v>28.517999159999999</v>
      </c>
      <c r="L3484" s="8">
        <v>77.142858989999993</v>
      </c>
      <c r="M3484" s="9" t="str">
        <f>IF(A3484="",M3485,A3484)</f>
        <v>Qatar</v>
      </c>
      <c r="N3484" s="3" t="str">
        <f t="shared" si="109"/>
        <v>Mar-2020</v>
      </c>
    </row>
    <row r="3485" spans="1:14" x14ac:dyDescent="0.3">
      <c r="A3485" s="3" t="s">
        <v>298</v>
      </c>
      <c r="B3485" s="3" t="s">
        <v>299</v>
      </c>
      <c r="C3485" s="8">
        <v>2020</v>
      </c>
      <c r="D3485" s="8">
        <v>4</v>
      </c>
      <c r="E3485" s="3" t="str">
        <f t="shared" si="108"/>
        <v>April</v>
      </c>
      <c r="F3485" s="3" t="s">
        <v>13</v>
      </c>
      <c r="G3485" s="8">
        <v>300.44595429999998</v>
      </c>
      <c r="H3485" s="8">
        <v>264</v>
      </c>
      <c r="I3485" s="8">
        <v>-36.445954280000002</v>
      </c>
      <c r="J3485" s="8">
        <v>16.901569039999998</v>
      </c>
      <c r="K3485" s="8">
        <v>-11.480316139999999</v>
      </c>
      <c r="L3485" s="8">
        <v>45.368475369999999</v>
      </c>
      <c r="M3485" s="9" t="str">
        <f>IF(A3485="",M3486,A3485)</f>
        <v>Qatar</v>
      </c>
      <c r="N3485" s="3" t="str">
        <f t="shared" si="109"/>
        <v>Apr-2020</v>
      </c>
    </row>
    <row r="3486" spans="1:14" x14ac:dyDescent="0.3">
      <c r="A3486" s="3" t="s">
        <v>298</v>
      </c>
      <c r="B3486" s="3" t="s">
        <v>299</v>
      </c>
      <c r="C3486" s="8">
        <v>2020</v>
      </c>
      <c r="D3486" s="8">
        <v>5</v>
      </c>
      <c r="E3486" s="3" t="str">
        <f t="shared" si="108"/>
        <v>May</v>
      </c>
      <c r="F3486" s="3" t="s">
        <v>13</v>
      </c>
      <c r="G3486" s="8">
        <v>299.52847450000002</v>
      </c>
      <c r="H3486" s="8">
        <v>378</v>
      </c>
      <c r="I3486" s="8">
        <v>78.471525459999995</v>
      </c>
      <c r="J3486" s="8">
        <v>95.373094499999993</v>
      </c>
      <c r="K3486" s="8">
        <v>63.285208949999998</v>
      </c>
      <c r="L3486" s="8">
        <v>125.5142421</v>
      </c>
      <c r="M3486" s="9" t="str">
        <f>IF(A3486="",M3487,A3486)</f>
        <v>Qatar</v>
      </c>
      <c r="N3486" s="3" t="str">
        <f t="shared" si="109"/>
        <v>May-2020</v>
      </c>
    </row>
    <row r="3487" spans="1:14" x14ac:dyDescent="0.3">
      <c r="A3487" s="3" t="s">
        <v>298</v>
      </c>
      <c r="B3487" s="3" t="s">
        <v>299</v>
      </c>
      <c r="C3487" s="8">
        <v>2020</v>
      </c>
      <c r="D3487" s="8">
        <v>6</v>
      </c>
      <c r="E3487" s="3" t="str">
        <f t="shared" si="108"/>
        <v>June</v>
      </c>
      <c r="F3487" s="3" t="s">
        <v>13</v>
      </c>
      <c r="G3487" s="8">
        <v>292.12221090000003</v>
      </c>
      <c r="H3487" s="8">
        <v>482</v>
      </c>
      <c r="I3487" s="8">
        <v>189.8777891</v>
      </c>
      <c r="J3487" s="8">
        <v>285.25088360000001</v>
      </c>
      <c r="K3487" s="8">
        <v>249.9655909</v>
      </c>
      <c r="L3487" s="8">
        <v>320.55454959999997</v>
      </c>
      <c r="M3487" s="9" t="str">
        <f>IF(A3487="",M3488,A3487)</f>
        <v>Qatar</v>
      </c>
      <c r="N3487" s="3" t="str">
        <f t="shared" si="109"/>
        <v>Jun-2020</v>
      </c>
    </row>
    <row r="3488" spans="1:14" x14ac:dyDescent="0.3">
      <c r="A3488" s="3" t="s">
        <v>298</v>
      </c>
      <c r="B3488" s="3" t="s">
        <v>299</v>
      </c>
      <c r="C3488" s="8">
        <v>2020</v>
      </c>
      <c r="D3488" s="8">
        <v>7</v>
      </c>
      <c r="E3488" s="3" t="str">
        <f t="shared" si="108"/>
        <v>July</v>
      </c>
      <c r="F3488" s="3" t="s">
        <v>13</v>
      </c>
      <c r="G3488" s="8">
        <v>285.08267210000002</v>
      </c>
      <c r="H3488" s="8">
        <v>428</v>
      </c>
      <c r="I3488" s="8">
        <v>142.9173279</v>
      </c>
      <c r="J3488" s="8">
        <v>428.16821160000001</v>
      </c>
      <c r="K3488" s="8">
        <v>388.9942858</v>
      </c>
      <c r="L3488" s="8">
        <v>466.26398740000002</v>
      </c>
      <c r="M3488" s="9" t="str">
        <f>IF(A3488="",M3489,A3488)</f>
        <v>Qatar</v>
      </c>
      <c r="N3488" s="3" t="str">
        <f t="shared" si="109"/>
        <v>Jul-2020</v>
      </c>
    </row>
    <row r="3489" spans="1:14" x14ac:dyDescent="0.3">
      <c r="A3489" s="3" t="s">
        <v>298</v>
      </c>
      <c r="B3489" s="3" t="s">
        <v>299</v>
      </c>
      <c r="C3489" s="8">
        <v>2020</v>
      </c>
      <c r="D3489" s="8">
        <v>8</v>
      </c>
      <c r="E3489" s="3" t="str">
        <f t="shared" si="108"/>
        <v>August</v>
      </c>
      <c r="F3489" s="3" t="s">
        <v>13</v>
      </c>
      <c r="G3489" s="8">
        <v>284.44040960000001</v>
      </c>
      <c r="H3489" s="8">
        <v>332</v>
      </c>
      <c r="I3489" s="8">
        <v>47.559590419999999</v>
      </c>
      <c r="J3489" s="8">
        <v>475.727802</v>
      </c>
      <c r="K3489" s="8">
        <v>434.35200179999998</v>
      </c>
      <c r="L3489" s="8">
        <v>515.74469599999998</v>
      </c>
      <c r="M3489" s="9" t="str">
        <f>IF(A3489="",M3490,A3489)</f>
        <v>Qatar</v>
      </c>
      <c r="N3489" s="3" t="str">
        <f t="shared" si="109"/>
        <v>Aug-2020</v>
      </c>
    </row>
    <row r="3490" spans="1:14" x14ac:dyDescent="0.3">
      <c r="A3490" s="3" t="s">
        <v>298</v>
      </c>
      <c r="B3490" s="3" t="s">
        <v>299</v>
      </c>
      <c r="C3490" s="8">
        <v>2020</v>
      </c>
      <c r="D3490" s="8">
        <v>9</v>
      </c>
      <c r="E3490" s="3" t="str">
        <f t="shared" si="108"/>
        <v>September</v>
      </c>
      <c r="F3490" s="3" t="s">
        <v>13</v>
      </c>
      <c r="G3490" s="8">
        <v>290.5998199</v>
      </c>
      <c r="H3490" s="8">
        <v>343</v>
      </c>
      <c r="I3490" s="8">
        <v>52.400180059999997</v>
      </c>
      <c r="J3490" s="8">
        <v>528.12798199999997</v>
      </c>
      <c r="K3490" s="8">
        <v>486.38058419999999</v>
      </c>
      <c r="L3490" s="8">
        <v>570.67986859999996</v>
      </c>
      <c r="M3490" s="9" t="str">
        <f>IF(A3490="",M3491,A3490)</f>
        <v>Qatar</v>
      </c>
      <c r="N3490" s="3" t="str">
        <f t="shared" si="109"/>
        <v>Sep-2020</v>
      </c>
    </row>
    <row r="3491" spans="1:14" x14ac:dyDescent="0.3">
      <c r="A3491" s="3" t="s">
        <v>298</v>
      </c>
      <c r="B3491" s="3" t="s">
        <v>299</v>
      </c>
      <c r="C3491" s="8">
        <v>2020</v>
      </c>
      <c r="D3491" s="8">
        <v>10</v>
      </c>
      <c r="E3491" s="3" t="str">
        <f t="shared" si="108"/>
        <v>October</v>
      </c>
      <c r="F3491" s="3" t="s">
        <v>13</v>
      </c>
      <c r="G3491" s="8">
        <v>300.91573190000003</v>
      </c>
      <c r="H3491" s="8">
        <v>359</v>
      </c>
      <c r="I3491" s="8">
        <v>58.08426807</v>
      </c>
      <c r="J3491" s="8">
        <v>586.21225010000001</v>
      </c>
      <c r="K3491" s="8">
        <v>542.12164289999998</v>
      </c>
      <c r="L3491" s="8">
        <v>631.71185860000003</v>
      </c>
      <c r="M3491" s="9" t="str">
        <f>IF(A3491="",M3492,A3491)</f>
        <v>Qatar</v>
      </c>
      <c r="N3491" s="3" t="str">
        <f t="shared" si="109"/>
        <v>Oct-2020</v>
      </c>
    </row>
    <row r="3492" spans="1:14" x14ac:dyDescent="0.3">
      <c r="A3492" s="3" t="s">
        <v>298</v>
      </c>
      <c r="B3492" s="3" t="s">
        <v>299</v>
      </c>
      <c r="C3492" s="8">
        <v>2020</v>
      </c>
      <c r="D3492" s="8">
        <v>11</v>
      </c>
      <c r="E3492" s="3" t="str">
        <f t="shared" si="108"/>
        <v>November</v>
      </c>
      <c r="F3492" s="3" t="s">
        <v>13</v>
      </c>
      <c r="G3492" s="8">
        <v>309.00463810000002</v>
      </c>
      <c r="H3492" s="8">
        <v>267</v>
      </c>
      <c r="I3492" s="8">
        <v>-42.004638100000001</v>
      </c>
      <c r="J3492" s="8">
        <v>544.20761200000004</v>
      </c>
      <c r="K3492" s="8">
        <v>494.51561750000002</v>
      </c>
      <c r="L3492" s="8">
        <v>590.88745080000001</v>
      </c>
      <c r="M3492" s="9" t="str">
        <f>IF(A3492="",M3493,A3492)</f>
        <v>Qatar</v>
      </c>
      <c r="N3492" s="3" t="str">
        <f t="shared" si="109"/>
        <v>Nov-2020</v>
      </c>
    </row>
    <row r="3493" spans="1:14" x14ac:dyDescent="0.3">
      <c r="A3493" s="3" t="s">
        <v>298</v>
      </c>
      <c r="B3493" s="3" t="s">
        <v>299</v>
      </c>
      <c r="C3493" s="8">
        <v>2020</v>
      </c>
      <c r="D3493" s="8">
        <v>12</v>
      </c>
      <c r="E3493" s="3" t="str">
        <f t="shared" si="108"/>
        <v>December</v>
      </c>
      <c r="F3493" s="3" t="s">
        <v>13</v>
      </c>
      <c r="G3493" s="8">
        <v>309.75436719999999</v>
      </c>
      <c r="H3493" s="8">
        <v>351</v>
      </c>
      <c r="I3493" s="8">
        <v>41.245632829999998</v>
      </c>
      <c r="J3493" s="8">
        <v>585.45324479999999</v>
      </c>
      <c r="K3493" s="8">
        <v>530.10324119999996</v>
      </c>
      <c r="L3493" s="8">
        <v>634.81705350000004</v>
      </c>
      <c r="M3493" s="9" t="str">
        <f>IF(A3493="",M3494,A3493)</f>
        <v>Qatar</v>
      </c>
      <c r="N3493" s="3" t="str">
        <f t="shared" si="109"/>
        <v>Dec-2020</v>
      </c>
    </row>
    <row r="3494" spans="1:14" x14ac:dyDescent="0.3">
      <c r="A3494" s="3" t="s">
        <v>298</v>
      </c>
      <c r="B3494" s="3" t="s">
        <v>299</v>
      </c>
      <c r="C3494" s="8">
        <v>2021</v>
      </c>
      <c r="D3494" s="8">
        <v>1</v>
      </c>
      <c r="E3494" s="3" t="str">
        <f t="shared" si="108"/>
        <v>January</v>
      </c>
      <c r="F3494" s="3" t="s">
        <v>13</v>
      </c>
      <c r="G3494" s="8">
        <v>309.17321349999997</v>
      </c>
      <c r="H3494" s="8">
        <v>337</v>
      </c>
      <c r="I3494" s="8">
        <v>27.826786469999998</v>
      </c>
      <c r="J3494" s="8">
        <v>613.28003130000002</v>
      </c>
      <c r="K3494" s="8">
        <v>558.39164919999996</v>
      </c>
      <c r="L3494" s="8">
        <v>666.96713039999997</v>
      </c>
      <c r="M3494" s="9" t="str">
        <f>IF(A3494="",M3495,A3494)</f>
        <v>Qatar</v>
      </c>
      <c r="N3494" s="3" t="str">
        <f t="shared" si="109"/>
        <v>Jan-2021</v>
      </c>
    </row>
    <row r="3495" spans="1:14" x14ac:dyDescent="0.3">
      <c r="A3495" s="3" t="s">
        <v>298</v>
      </c>
      <c r="B3495" s="3" t="s">
        <v>299</v>
      </c>
      <c r="C3495" s="8">
        <v>2021</v>
      </c>
      <c r="D3495" s="8">
        <v>2</v>
      </c>
      <c r="E3495" s="3" t="str">
        <f t="shared" si="108"/>
        <v>February</v>
      </c>
      <c r="F3495" s="3" t="s">
        <v>13</v>
      </c>
      <c r="G3495" s="8">
        <v>302.2587307</v>
      </c>
      <c r="H3495" s="8">
        <v>283</v>
      </c>
      <c r="I3495" s="8">
        <v>-19.258730669999998</v>
      </c>
      <c r="J3495" s="8">
        <v>594.02130060000002</v>
      </c>
      <c r="K3495" s="8">
        <v>535.25718129999996</v>
      </c>
      <c r="L3495" s="8">
        <v>650.10903689999998</v>
      </c>
      <c r="M3495" s="9" t="str">
        <f>IF(A3495="",M3496,A3495)</f>
        <v>Qatar</v>
      </c>
      <c r="N3495" s="3" t="str">
        <f t="shared" si="109"/>
        <v>Feb-2021</v>
      </c>
    </row>
    <row r="3496" spans="1:14" x14ac:dyDescent="0.3">
      <c r="A3496" s="3" t="s">
        <v>298</v>
      </c>
      <c r="B3496" s="3" t="s">
        <v>299</v>
      </c>
      <c r="C3496" s="8">
        <v>2021</v>
      </c>
      <c r="D3496" s="8">
        <v>3</v>
      </c>
      <c r="E3496" s="3" t="str">
        <f t="shared" si="108"/>
        <v>March</v>
      </c>
      <c r="F3496" s="3" t="s">
        <v>13</v>
      </c>
      <c r="G3496" s="8">
        <v>297.97365450000001</v>
      </c>
      <c r="H3496" s="8">
        <v>397</v>
      </c>
      <c r="I3496" s="8">
        <v>99.026345539999994</v>
      </c>
      <c r="J3496" s="8">
        <v>693.04764620000003</v>
      </c>
      <c r="K3496" s="8">
        <v>630.48902150000004</v>
      </c>
      <c r="L3496" s="8">
        <v>754.0902499</v>
      </c>
      <c r="M3496" s="9" t="str">
        <f>IF(A3496="",M3497,A3496)</f>
        <v>Qatar</v>
      </c>
      <c r="N3496" s="3" t="str">
        <f t="shared" si="109"/>
        <v>Mar-2021</v>
      </c>
    </row>
    <row r="3497" spans="1:14" x14ac:dyDescent="0.3">
      <c r="A3497" s="3" t="s">
        <v>298</v>
      </c>
      <c r="B3497" s="3" t="s">
        <v>299</v>
      </c>
      <c r="C3497" s="8">
        <v>2021</v>
      </c>
      <c r="D3497" s="8">
        <v>4</v>
      </c>
      <c r="E3497" s="3" t="str">
        <f t="shared" si="108"/>
        <v>April</v>
      </c>
      <c r="F3497" s="3" t="s">
        <v>13</v>
      </c>
      <c r="G3497" s="8">
        <v>297.34595730000001</v>
      </c>
      <c r="H3497" s="8">
        <v>628</v>
      </c>
      <c r="I3497" s="8">
        <v>330.65404269999999</v>
      </c>
      <c r="J3497" s="8">
        <v>1023.701689</v>
      </c>
      <c r="K3497" s="8">
        <v>961.98401539999998</v>
      </c>
      <c r="L3497" s="8">
        <v>1088.2860679999999</v>
      </c>
      <c r="M3497" s="9" t="str">
        <f>IF(A3497="",M3498,A3497)</f>
        <v>Qatar</v>
      </c>
      <c r="N3497" s="3" t="str">
        <f t="shared" si="109"/>
        <v>Apr-2021</v>
      </c>
    </row>
    <row r="3498" spans="1:14" x14ac:dyDescent="0.3">
      <c r="A3498" s="3" t="s">
        <v>298</v>
      </c>
      <c r="B3498" s="3" t="s">
        <v>299</v>
      </c>
      <c r="C3498" s="8">
        <v>2021</v>
      </c>
      <c r="D3498" s="8">
        <v>5</v>
      </c>
      <c r="E3498" s="3" t="str">
        <f t="shared" si="108"/>
        <v>May</v>
      </c>
      <c r="F3498" s="3" t="s">
        <v>13</v>
      </c>
      <c r="G3498" s="8">
        <v>296.949298</v>
      </c>
      <c r="H3498" s="8">
        <v>434</v>
      </c>
      <c r="I3498" s="8">
        <v>137.050702</v>
      </c>
      <c r="J3498" s="8">
        <v>1160.752391</v>
      </c>
      <c r="K3498" s="8">
        <v>1094.873024</v>
      </c>
      <c r="L3498" s="8">
        <v>1223.3088540000001</v>
      </c>
      <c r="M3498" s="9" t="str">
        <f>IF(A3498="",M3499,A3498)</f>
        <v>Qatar</v>
      </c>
      <c r="N3498" s="3" t="str">
        <f t="shared" si="109"/>
        <v>May-2021</v>
      </c>
    </row>
    <row r="3499" spans="1:14" x14ac:dyDescent="0.3">
      <c r="A3499" s="3" t="s">
        <v>298</v>
      </c>
      <c r="B3499" s="3" t="s">
        <v>299</v>
      </c>
      <c r="C3499" s="8">
        <v>2021</v>
      </c>
      <c r="D3499" s="8">
        <v>6</v>
      </c>
      <c r="E3499" s="3" t="str">
        <f t="shared" si="108"/>
        <v>June</v>
      </c>
      <c r="F3499" s="3" t="s">
        <v>13</v>
      </c>
      <c r="G3499" s="8">
        <v>289.95394270000003</v>
      </c>
      <c r="H3499" s="8">
        <v>364</v>
      </c>
      <c r="I3499" s="8">
        <v>74.046057320000003</v>
      </c>
      <c r="J3499" s="8">
        <v>1234.798448</v>
      </c>
      <c r="K3499" s="8">
        <v>1166.3526879999999</v>
      </c>
      <c r="L3499" s="8">
        <v>1300.994183</v>
      </c>
      <c r="M3499" s="9" t="str">
        <f>IF(A3499="",M3500,A3499)</f>
        <v>Qatar</v>
      </c>
      <c r="N3499" s="3" t="str">
        <f t="shared" si="109"/>
        <v>Jun-2021</v>
      </c>
    </row>
    <row r="3500" spans="1:14" x14ac:dyDescent="0.3">
      <c r="A3500" s="3" t="s">
        <v>298</v>
      </c>
      <c r="B3500" s="3" t="s">
        <v>299</v>
      </c>
      <c r="C3500" s="8">
        <v>2021</v>
      </c>
      <c r="D3500" s="8">
        <v>7</v>
      </c>
      <c r="E3500" s="3" t="str">
        <f t="shared" si="108"/>
        <v>July</v>
      </c>
      <c r="F3500" s="3" t="s">
        <v>13</v>
      </c>
      <c r="G3500" s="8">
        <v>282.07452590000003</v>
      </c>
      <c r="H3500" s="8">
        <v>332</v>
      </c>
      <c r="I3500" s="8">
        <v>49.92547407</v>
      </c>
      <c r="J3500" s="8">
        <v>1284.7239219999999</v>
      </c>
      <c r="K3500" s="8">
        <v>1218.098825</v>
      </c>
      <c r="L3500" s="8">
        <v>1353.517503</v>
      </c>
      <c r="M3500" s="9" t="str">
        <f>IF(A3500="",M3501,A3500)</f>
        <v>Qatar</v>
      </c>
      <c r="N3500" s="3" t="str">
        <f t="shared" si="109"/>
        <v>Jul-2021</v>
      </c>
    </row>
    <row r="3501" spans="1:14" x14ac:dyDescent="0.3">
      <c r="A3501" s="3" t="s">
        <v>298</v>
      </c>
      <c r="B3501" s="3" t="s">
        <v>299</v>
      </c>
      <c r="C3501" s="8">
        <v>2021</v>
      </c>
      <c r="D3501" s="8">
        <v>8</v>
      </c>
      <c r="E3501" s="3" t="str">
        <f t="shared" si="108"/>
        <v>August</v>
      </c>
      <c r="F3501" s="3" t="s">
        <v>13</v>
      </c>
      <c r="G3501" s="8">
        <v>281.7170994</v>
      </c>
      <c r="H3501" s="8">
        <v>351</v>
      </c>
      <c r="I3501" s="8">
        <v>69.282900609999999</v>
      </c>
      <c r="J3501" s="8">
        <v>1354.0068229999999</v>
      </c>
      <c r="K3501" s="8">
        <v>1284.229247</v>
      </c>
      <c r="L3501" s="8">
        <v>1425.1329969999999</v>
      </c>
      <c r="M3501" s="9" t="str">
        <f>IF(A3501="",M3502,A3501)</f>
        <v>Qatar</v>
      </c>
      <c r="N3501" s="3" t="str">
        <f t="shared" si="109"/>
        <v>Aug-2021</v>
      </c>
    </row>
    <row r="3502" spans="1:14" x14ac:dyDescent="0.3">
      <c r="A3502" s="3" t="s">
        <v>298</v>
      </c>
      <c r="B3502" s="3" t="s">
        <v>299</v>
      </c>
      <c r="C3502" s="8">
        <v>2021</v>
      </c>
      <c r="D3502" s="8">
        <v>9</v>
      </c>
      <c r="E3502" s="3" t="str">
        <f t="shared" si="108"/>
        <v>September</v>
      </c>
      <c r="F3502" s="3" t="s">
        <v>13</v>
      </c>
      <c r="G3502" s="8">
        <v>288.47899640000003</v>
      </c>
      <c r="H3502" s="8">
        <v>267</v>
      </c>
      <c r="I3502" s="8">
        <v>-21.478996420000001</v>
      </c>
      <c r="J3502" s="8">
        <v>1332.527826</v>
      </c>
      <c r="K3502" s="8">
        <v>1257.549053</v>
      </c>
      <c r="L3502" s="8">
        <v>1405.055051</v>
      </c>
      <c r="M3502" s="9" t="str">
        <f>IF(A3502="",M3503,A3502)</f>
        <v>Qatar</v>
      </c>
      <c r="N3502" s="3" t="str">
        <f t="shared" si="109"/>
        <v>Sep-2021</v>
      </c>
    </row>
    <row r="3503" spans="1:14" x14ac:dyDescent="0.3">
      <c r="A3503" s="3" t="s">
        <v>298</v>
      </c>
      <c r="B3503" s="3" t="s">
        <v>299</v>
      </c>
      <c r="C3503" s="8">
        <v>2021</v>
      </c>
      <c r="D3503" s="8">
        <v>10</v>
      </c>
      <c r="E3503" s="3" t="str">
        <f t="shared" si="108"/>
        <v>October</v>
      </c>
      <c r="F3503" s="3" t="s">
        <v>13</v>
      </c>
      <c r="G3503" s="8">
        <v>298.35385760000003</v>
      </c>
      <c r="H3503" s="8">
        <v>342</v>
      </c>
      <c r="I3503" s="8">
        <v>43.646142349999998</v>
      </c>
      <c r="J3503" s="8">
        <v>1376.1739689999999</v>
      </c>
      <c r="K3503" s="8">
        <v>1302.626782</v>
      </c>
      <c r="L3503" s="8">
        <v>1452.2079570000001</v>
      </c>
      <c r="M3503" s="9" t="str">
        <f>IF(A3503="",M3504,A3503)</f>
        <v>Qatar</v>
      </c>
      <c r="N3503" s="3" t="str">
        <f t="shared" si="109"/>
        <v>Oct-2021</v>
      </c>
    </row>
    <row r="3504" spans="1:14" x14ac:dyDescent="0.3">
      <c r="A3504" s="3" t="s">
        <v>298</v>
      </c>
      <c r="B3504" s="3" t="s">
        <v>299</v>
      </c>
      <c r="C3504" s="8">
        <v>2021</v>
      </c>
      <c r="D3504" s="8">
        <v>11</v>
      </c>
      <c r="E3504" s="3" t="str">
        <f t="shared" si="108"/>
        <v>November</v>
      </c>
      <c r="F3504" s="3" t="s">
        <v>13</v>
      </c>
      <c r="G3504" s="8">
        <v>306.85472720000001</v>
      </c>
      <c r="H3504" s="8">
        <v>323</v>
      </c>
      <c r="I3504" s="8">
        <v>16.145272810000002</v>
      </c>
      <c r="J3504" s="8">
        <v>1392.319242</v>
      </c>
      <c r="K3504" s="8">
        <v>1316.5530409999999</v>
      </c>
      <c r="L3504" s="8">
        <v>1468.17337</v>
      </c>
      <c r="M3504" s="9" t="str">
        <f>IF(A3504="",M3505,A3504)</f>
        <v>Qatar</v>
      </c>
      <c r="N3504" s="3" t="str">
        <f t="shared" si="109"/>
        <v>Nov-2021</v>
      </c>
    </row>
    <row r="3505" spans="1:14" x14ac:dyDescent="0.3">
      <c r="A3505" s="3" t="s">
        <v>298</v>
      </c>
      <c r="B3505" s="3" t="s">
        <v>299</v>
      </c>
      <c r="C3505" s="8">
        <v>2021</v>
      </c>
      <c r="D3505" s="8">
        <v>12</v>
      </c>
      <c r="E3505" s="3" t="str">
        <f t="shared" si="108"/>
        <v>December</v>
      </c>
      <c r="F3505" s="3" t="s">
        <v>13</v>
      </c>
      <c r="G3505" s="8">
        <v>307.62784210000001</v>
      </c>
      <c r="H3505" s="8">
        <v>351</v>
      </c>
      <c r="I3505" s="8">
        <v>43.372157950000002</v>
      </c>
      <c r="J3505" s="8">
        <v>1435.6913999999999</v>
      </c>
      <c r="K3505" s="8">
        <v>1357.588021</v>
      </c>
      <c r="L3505" s="8">
        <v>1513.8485969999999</v>
      </c>
      <c r="M3505" s="9" t="str">
        <f>IF(A3505="",M3506,A3505)</f>
        <v>Qatar</v>
      </c>
      <c r="N3505" s="3" t="str">
        <f t="shared" si="109"/>
        <v>Dec-2021</v>
      </c>
    </row>
    <row r="3506" spans="1:14" x14ac:dyDescent="0.3">
      <c r="A3506" s="3" t="s">
        <v>300</v>
      </c>
      <c r="B3506" s="3" t="s">
        <v>301</v>
      </c>
      <c r="C3506" s="8">
        <v>2020</v>
      </c>
      <c r="D3506" s="8">
        <v>1</v>
      </c>
      <c r="E3506" s="3" t="str">
        <f t="shared" si="108"/>
        <v>January</v>
      </c>
      <c r="F3506" s="3" t="s">
        <v>13</v>
      </c>
      <c r="G3506" s="8">
        <v>24054.935270000002</v>
      </c>
      <c r="H3506" s="8">
        <v>23844</v>
      </c>
      <c r="I3506" s="8">
        <v>-212.26860740000001</v>
      </c>
      <c r="J3506" s="8">
        <v>-212.26860740000001</v>
      </c>
      <c r="K3506" s="8">
        <v>-1093.185111</v>
      </c>
      <c r="L3506" s="8">
        <v>589.88888359999999</v>
      </c>
      <c r="M3506" s="9" t="str">
        <f>IF(A3506="",M3507,A3506)</f>
        <v>Romania</v>
      </c>
      <c r="N3506" s="3" t="str">
        <f t="shared" si="109"/>
        <v>Jan-2020</v>
      </c>
    </row>
    <row r="3507" spans="1:14" x14ac:dyDescent="0.3">
      <c r="A3507" s="3" t="s">
        <v>300</v>
      </c>
      <c r="B3507" s="3" t="s">
        <v>301</v>
      </c>
      <c r="C3507" s="8">
        <v>2020</v>
      </c>
      <c r="D3507" s="8">
        <v>2</v>
      </c>
      <c r="E3507" s="3" t="str">
        <f t="shared" si="108"/>
        <v>February</v>
      </c>
      <c r="F3507" s="3" t="s">
        <v>13</v>
      </c>
      <c r="G3507" s="8">
        <v>23606.84823</v>
      </c>
      <c r="H3507" s="8">
        <v>22159</v>
      </c>
      <c r="I3507" s="8">
        <v>-1449.1815650000001</v>
      </c>
      <c r="J3507" s="8">
        <v>-1661.4501729999999</v>
      </c>
      <c r="K3507" s="8">
        <v>-3009.3306189999998</v>
      </c>
      <c r="L3507" s="8">
        <v>-281.08469600000001</v>
      </c>
      <c r="M3507" s="9" t="str">
        <f>IF(A3507="",M3508,A3507)</f>
        <v>Romania</v>
      </c>
      <c r="N3507" s="3" t="str">
        <f t="shared" si="109"/>
        <v>Feb-2020</v>
      </c>
    </row>
    <row r="3508" spans="1:14" x14ac:dyDescent="0.3">
      <c r="A3508" s="3" t="s">
        <v>300</v>
      </c>
      <c r="B3508" s="3" t="s">
        <v>301</v>
      </c>
      <c r="C3508" s="8">
        <v>2020</v>
      </c>
      <c r="D3508" s="8">
        <v>3</v>
      </c>
      <c r="E3508" s="3" t="str">
        <f t="shared" si="108"/>
        <v>March</v>
      </c>
      <c r="F3508" s="3" t="s">
        <v>13</v>
      </c>
      <c r="G3508" s="8">
        <v>23243.438689999999</v>
      </c>
      <c r="H3508" s="8">
        <v>22737</v>
      </c>
      <c r="I3508" s="8">
        <v>-507.77202440000002</v>
      </c>
      <c r="J3508" s="8">
        <v>-2169.2221970000001</v>
      </c>
      <c r="K3508" s="8">
        <v>-3761.6088530000002</v>
      </c>
      <c r="L3508" s="8">
        <v>-475.98788100000002</v>
      </c>
      <c r="M3508" s="9" t="str">
        <f>IF(A3508="",M3509,A3508)</f>
        <v>Romania</v>
      </c>
      <c r="N3508" s="3" t="str">
        <f t="shared" si="109"/>
        <v>Mar-2020</v>
      </c>
    </row>
    <row r="3509" spans="1:14" x14ac:dyDescent="0.3">
      <c r="A3509" s="3" t="s">
        <v>300</v>
      </c>
      <c r="B3509" s="3" t="s">
        <v>301</v>
      </c>
      <c r="C3509" s="8">
        <v>2020</v>
      </c>
      <c r="D3509" s="8">
        <v>4</v>
      </c>
      <c r="E3509" s="3" t="str">
        <f t="shared" si="108"/>
        <v>April</v>
      </c>
      <c r="F3509" s="3" t="s">
        <v>13</v>
      </c>
      <c r="G3509" s="8">
        <v>21848.479360000001</v>
      </c>
      <c r="H3509" s="8">
        <v>21940</v>
      </c>
      <c r="I3509" s="8">
        <v>90.187303310000004</v>
      </c>
      <c r="J3509" s="8">
        <v>-2079.0348939999999</v>
      </c>
      <c r="K3509" s="8">
        <v>-3994.9903089999998</v>
      </c>
      <c r="L3509" s="8">
        <v>-144.7957993</v>
      </c>
      <c r="M3509" s="9" t="str">
        <f>IF(A3509="",M3510,A3509)</f>
        <v>Romania</v>
      </c>
      <c r="N3509" s="3" t="str">
        <f t="shared" si="109"/>
        <v>Apr-2020</v>
      </c>
    </row>
    <row r="3510" spans="1:14" x14ac:dyDescent="0.3">
      <c r="A3510" s="3" t="s">
        <v>300</v>
      </c>
      <c r="B3510" s="3" t="s">
        <v>301</v>
      </c>
      <c r="C3510" s="8">
        <v>2020</v>
      </c>
      <c r="D3510" s="8">
        <v>5</v>
      </c>
      <c r="E3510" s="3" t="str">
        <f t="shared" si="108"/>
        <v>May</v>
      </c>
      <c r="F3510" s="3" t="s">
        <v>13</v>
      </c>
      <c r="G3510" s="8">
        <v>20709.06797</v>
      </c>
      <c r="H3510" s="8">
        <v>20889</v>
      </c>
      <c r="I3510" s="8">
        <v>178.5986924</v>
      </c>
      <c r="J3510" s="8">
        <v>-1900.436201</v>
      </c>
      <c r="K3510" s="8">
        <v>-4105.8529829999998</v>
      </c>
      <c r="L3510" s="8">
        <v>389.45278459999997</v>
      </c>
      <c r="M3510" s="9" t="str">
        <f>IF(A3510="",M3511,A3510)</f>
        <v>Romania</v>
      </c>
      <c r="N3510" s="3" t="str">
        <f t="shared" si="109"/>
        <v>May-2020</v>
      </c>
    </row>
    <row r="3511" spans="1:14" x14ac:dyDescent="0.3">
      <c r="A3511" s="3" t="s">
        <v>300</v>
      </c>
      <c r="B3511" s="3" t="s">
        <v>301</v>
      </c>
      <c r="C3511" s="8">
        <v>2020</v>
      </c>
      <c r="D3511" s="8">
        <v>6</v>
      </c>
      <c r="E3511" s="3" t="str">
        <f t="shared" si="108"/>
        <v>June</v>
      </c>
      <c r="F3511" s="3" t="s">
        <v>13</v>
      </c>
      <c r="G3511" s="8">
        <v>20104.244750000002</v>
      </c>
      <c r="H3511" s="8">
        <v>21004</v>
      </c>
      <c r="I3511" s="8">
        <v>898.421921</v>
      </c>
      <c r="J3511" s="8">
        <v>-1002.01428</v>
      </c>
      <c r="K3511" s="8">
        <v>-3318.2377719999999</v>
      </c>
      <c r="L3511" s="8">
        <v>1379.604591</v>
      </c>
      <c r="M3511" s="9" t="str">
        <f>IF(A3511="",M3512,A3511)</f>
        <v>Romania</v>
      </c>
      <c r="N3511" s="3" t="str">
        <f t="shared" si="109"/>
        <v>Jun-2020</v>
      </c>
    </row>
    <row r="3512" spans="1:14" x14ac:dyDescent="0.3">
      <c r="A3512" s="3" t="s">
        <v>300</v>
      </c>
      <c r="B3512" s="3" t="s">
        <v>301</v>
      </c>
      <c r="C3512" s="8">
        <v>2020</v>
      </c>
      <c r="D3512" s="8">
        <v>7</v>
      </c>
      <c r="E3512" s="3" t="str">
        <f t="shared" si="108"/>
        <v>July</v>
      </c>
      <c r="F3512" s="3" t="s">
        <v>13</v>
      </c>
      <c r="G3512" s="8">
        <v>19872.356779999998</v>
      </c>
      <c r="H3512" s="8">
        <v>22327</v>
      </c>
      <c r="I3512" s="8">
        <v>2453.3098850000001</v>
      </c>
      <c r="J3512" s="8">
        <v>1451.2956039999999</v>
      </c>
      <c r="K3512" s="8">
        <v>-1112.417811</v>
      </c>
      <c r="L3512" s="8">
        <v>4080.634219</v>
      </c>
      <c r="M3512" s="9" t="str">
        <f>IF(A3512="",M3513,A3512)</f>
        <v>Romania</v>
      </c>
      <c r="N3512" s="3" t="str">
        <f t="shared" si="109"/>
        <v>Jul-2020</v>
      </c>
    </row>
    <row r="3513" spans="1:14" x14ac:dyDescent="0.3">
      <c r="A3513" s="3" t="s">
        <v>300</v>
      </c>
      <c r="B3513" s="3" t="s">
        <v>301</v>
      </c>
      <c r="C3513" s="8">
        <v>2020</v>
      </c>
      <c r="D3513" s="8">
        <v>8</v>
      </c>
      <c r="E3513" s="3" t="str">
        <f t="shared" si="108"/>
        <v>August</v>
      </c>
      <c r="F3513" s="3" t="s">
        <v>13</v>
      </c>
      <c r="G3513" s="8">
        <v>19547.538540000001</v>
      </c>
      <c r="H3513" s="8">
        <v>23291</v>
      </c>
      <c r="I3513" s="8">
        <v>3742.1281269999999</v>
      </c>
      <c r="J3513" s="8">
        <v>5193.4237320000002</v>
      </c>
      <c r="K3513" s="8">
        <v>2532.096869</v>
      </c>
      <c r="L3513" s="8">
        <v>7772.640789</v>
      </c>
      <c r="M3513" s="9" t="str">
        <f>IF(A3513="",M3514,A3513)</f>
        <v>Romania</v>
      </c>
      <c r="N3513" s="3" t="str">
        <f t="shared" si="109"/>
        <v>Aug-2020</v>
      </c>
    </row>
    <row r="3514" spans="1:14" x14ac:dyDescent="0.3">
      <c r="A3514" s="3" t="s">
        <v>300</v>
      </c>
      <c r="B3514" s="3" t="s">
        <v>301</v>
      </c>
      <c r="C3514" s="8">
        <v>2020</v>
      </c>
      <c r="D3514" s="8">
        <v>9</v>
      </c>
      <c r="E3514" s="3" t="str">
        <f t="shared" si="108"/>
        <v>September</v>
      </c>
      <c r="F3514" s="3" t="s">
        <v>13</v>
      </c>
      <c r="G3514" s="8">
        <v>19477.195220000001</v>
      </c>
      <c r="H3514" s="8">
        <v>21797</v>
      </c>
      <c r="I3514" s="8">
        <v>2318.4714479999998</v>
      </c>
      <c r="J3514" s="8">
        <v>7511.8951800000004</v>
      </c>
      <c r="K3514" s="8">
        <v>4642.8470729999999</v>
      </c>
      <c r="L3514" s="8">
        <v>10302.66963</v>
      </c>
      <c r="M3514" s="9" t="str">
        <f>IF(A3514="",M3515,A3514)</f>
        <v>Romania</v>
      </c>
      <c r="N3514" s="3" t="str">
        <f t="shared" si="109"/>
        <v>Sep-2020</v>
      </c>
    </row>
    <row r="3515" spans="1:14" x14ac:dyDescent="0.3">
      <c r="A3515" s="3" t="s">
        <v>300</v>
      </c>
      <c r="B3515" s="3" t="s">
        <v>301</v>
      </c>
      <c r="C3515" s="8">
        <v>2020</v>
      </c>
      <c r="D3515" s="8">
        <v>10</v>
      </c>
      <c r="E3515" s="3" t="str">
        <f t="shared" si="108"/>
        <v>October</v>
      </c>
      <c r="F3515" s="3" t="s">
        <v>13</v>
      </c>
      <c r="G3515" s="8">
        <v>20964.907709999999</v>
      </c>
      <c r="H3515" s="8">
        <v>27607</v>
      </c>
      <c r="I3515" s="8">
        <v>6640.7589589999998</v>
      </c>
      <c r="J3515" s="8">
        <v>14152.654140000001</v>
      </c>
      <c r="K3515" s="8">
        <v>11097.05356</v>
      </c>
      <c r="L3515" s="8">
        <v>17005.282879999999</v>
      </c>
      <c r="M3515" s="9" t="str">
        <f>IF(A3515="",M3516,A3515)</f>
        <v>Romania</v>
      </c>
      <c r="N3515" s="3" t="str">
        <f t="shared" si="109"/>
        <v>Oct-2020</v>
      </c>
    </row>
    <row r="3516" spans="1:14" x14ac:dyDescent="0.3">
      <c r="A3516" s="3" t="s">
        <v>300</v>
      </c>
      <c r="B3516" s="3" t="s">
        <v>301</v>
      </c>
      <c r="C3516" s="8">
        <v>2020</v>
      </c>
      <c r="D3516" s="8">
        <v>11</v>
      </c>
      <c r="E3516" s="3" t="str">
        <f t="shared" si="108"/>
        <v>November</v>
      </c>
      <c r="F3516" s="3" t="s">
        <v>13</v>
      </c>
      <c r="G3516" s="8">
        <v>22264.739290000001</v>
      </c>
      <c r="H3516" s="8">
        <v>34863</v>
      </c>
      <c r="I3516" s="8">
        <v>12596.927379999999</v>
      </c>
      <c r="J3516" s="8">
        <v>26749.58151</v>
      </c>
      <c r="K3516" s="8">
        <v>23475.414700000001</v>
      </c>
      <c r="L3516" s="8">
        <v>29966.629430000001</v>
      </c>
      <c r="M3516" s="9" t="str">
        <f>IF(A3516="",M3517,A3516)</f>
        <v>Romania</v>
      </c>
      <c r="N3516" s="3" t="str">
        <f t="shared" si="109"/>
        <v>Nov-2020</v>
      </c>
    </row>
    <row r="3517" spans="1:14" x14ac:dyDescent="0.3">
      <c r="A3517" s="3" t="s">
        <v>300</v>
      </c>
      <c r="B3517" s="3" t="s">
        <v>301</v>
      </c>
      <c r="C3517" s="8">
        <v>2020</v>
      </c>
      <c r="D3517" s="8">
        <v>12</v>
      </c>
      <c r="E3517" s="3" t="str">
        <f t="shared" si="108"/>
        <v>December</v>
      </c>
      <c r="F3517" s="3" t="s">
        <v>13</v>
      </c>
      <c r="G3517" s="8">
        <v>24006.106360000002</v>
      </c>
      <c r="H3517" s="8">
        <v>34422</v>
      </c>
      <c r="I3517" s="8">
        <v>10414.560310000001</v>
      </c>
      <c r="J3517" s="8">
        <v>37164.141819999997</v>
      </c>
      <c r="K3517" s="8">
        <v>33908.361019999997</v>
      </c>
      <c r="L3517" s="8">
        <v>40544.71931</v>
      </c>
      <c r="M3517" s="9" t="str">
        <f>IF(A3517="",M3518,A3517)</f>
        <v>Romania</v>
      </c>
      <c r="N3517" s="3" t="str">
        <f t="shared" si="109"/>
        <v>Dec-2020</v>
      </c>
    </row>
    <row r="3518" spans="1:14" x14ac:dyDescent="0.3">
      <c r="A3518" s="3" t="s">
        <v>300</v>
      </c>
      <c r="B3518" s="3" t="s">
        <v>301</v>
      </c>
      <c r="C3518" s="8">
        <v>2021</v>
      </c>
      <c r="D3518" s="8">
        <v>1</v>
      </c>
      <c r="E3518" s="3" t="str">
        <f t="shared" si="108"/>
        <v>January</v>
      </c>
      <c r="F3518" s="3" t="s">
        <v>13</v>
      </c>
      <c r="G3518" s="8">
        <v>24036.762019999998</v>
      </c>
      <c r="H3518" s="8">
        <v>29664</v>
      </c>
      <c r="I3518" s="8">
        <v>5627.1546440000002</v>
      </c>
      <c r="J3518" s="8">
        <v>42791.296470000001</v>
      </c>
      <c r="K3518" s="8">
        <v>39533.374459999999</v>
      </c>
      <c r="L3518" s="8">
        <v>46220.751409999997</v>
      </c>
      <c r="M3518" s="9" t="str">
        <f>IF(A3518="",M3519,A3518)</f>
        <v>Romania</v>
      </c>
      <c r="N3518" s="3" t="str">
        <f t="shared" si="109"/>
        <v>Jan-2021</v>
      </c>
    </row>
    <row r="3519" spans="1:14" x14ac:dyDescent="0.3">
      <c r="A3519" s="3" t="s">
        <v>300</v>
      </c>
      <c r="B3519" s="3" t="s">
        <v>301</v>
      </c>
      <c r="C3519" s="8">
        <v>2021</v>
      </c>
      <c r="D3519" s="8">
        <v>2</v>
      </c>
      <c r="E3519" s="3" t="str">
        <f t="shared" si="108"/>
        <v>February</v>
      </c>
      <c r="F3519" s="3" t="s">
        <v>13</v>
      </c>
      <c r="G3519" s="8">
        <v>23579.19065</v>
      </c>
      <c r="H3519" s="8">
        <v>24177</v>
      </c>
      <c r="I3519" s="8">
        <v>597.72601659999998</v>
      </c>
      <c r="J3519" s="8">
        <v>43389.02248</v>
      </c>
      <c r="K3519" s="8">
        <v>39833.544900000001</v>
      </c>
      <c r="L3519" s="8">
        <v>47022.216220000002</v>
      </c>
      <c r="M3519" s="9" t="str">
        <f>IF(A3519="",M3520,A3519)</f>
        <v>Romania</v>
      </c>
      <c r="N3519" s="3" t="str">
        <f t="shared" si="109"/>
        <v>Feb-2021</v>
      </c>
    </row>
    <row r="3520" spans="1:14" x14ac:dyDescent="0.3">
      <c r="A3520" s="3" t="s">
        <v>300</v>
      </c>
      <c r="B3520" s="3" t="s">
        <v>301</v>
      </c>
      <c r="C3520" s="8">
        <v>2021</v>
      </c>
      <c r="D3520" s="8">
        <v>3</v>
      </c>
      <c r="E3520" s="3" t="str">
        <f t="shared" si="108"/>
        <v>March</v>
      </c>
      <c r="F3520" s="3" t="s">
        <v>13</v>
      </c>
      <c r="G3520" s="8">
        <v>23197.47234</v>
      </c>
      <c r="H3520" s="8">
        <v>29759</v>
      </c>
      <c r="I3520" s="8">
        <v>6561.4443240000001</v>
      </c>
      <c r="J3520" s="8">
        <v>49950.466809999998</v>
      </c>
      <c r="K3520" s="8">
        <v>46234.441910000001</v>
      </c>
      <c r="L3520" s="8">
        <v>53754.351020000002</v>
      </c>
      <c r="M3520" s="9" t="str">
        <f>IF(A3520="",M3521,A3520)</f>
        <v>Romania</v>
      </c>
      <c r="N3520" s="3" t="str">
        <f t="shared" si="109"/>
        <v>Mar-2021</v>
      </c>
    </row>
    <row r="3521" spans="1:14" x14ac:dyDescent="0.3">
      <c r="A3521" s="3" t="s">
        <v>300</v>
      </c>
      <c r="B3521" s="3" t="s">
        <v>301</v>
      </c>
      <c r="C3521" s="8">
        <v>2021</v>
      </c>
      <c r="D3521" s="8">
        <v>4</v>
      </c>
      <c r="E3521" s="3" t="str">
        <f t="shared" si="108"/>
        <v>April</v>
      </c>
      <c r="F3521" s="3" t="s">
        <v>13</v>
      </c>
      <c r="G3521" s="8">
        <v>21807.023560000001</v>
      </c>
      <c r="H3521" s="8">
        <v>29896</v>
      </c>
      <c r="I3521" s="8">
        <v>8088.893102</v>
      </c>
      <c r="J3521" s="8">
        <v>58039.359909999999</v>
      </c>
      <c r="K3521" s="8">
        <v>54112.118540000003</v>
      </c>
      <c r="L3521" s="8">
        <v>62101.492100000003</v>
      </c>
      <c r="M3521" s="9" t="str">
        <f>IF(A3521="",M3522,A3521)</f>
        <v>Romania</v>
      </c>
      <c r="N3521" s="3" t="str">
        <f t="shared" si="109"/>
        <v>Apr-2021</v>
      </c>
    </row>
    <row r="3522" spans="1:14" x14ac:dyDescent="0.3">
      <c r="A3522" s="3" t="s">
        <v>300</v>
      </c>
      <c r="B3522" s="3" t="s">
        <v>301</v>
      </c>
      <c r="C3522" s="8">
        <v>2021</v>
      </c>
      <c r="D3522" s="8">
        <v>5</v>
      </c>
      <c r="E3522" s="3" t="str">
        <f t="shared" ref="E3522:E3585" si="110">TEXT(DATE(C3522,D3522,1),"MMMM")</f>
        <v>May</v>
      </c>
      <c r="F3522" s="3" t="s">
        <v>13</v>
      </c>
      <c r="G3522" s="8">
        <v>20670.653539999999</v>
      </c>
      <c r="H3522" s="8">
        <v>24321</v>
      </c>
      <c r="I3522" s="8">
        <v>3650.2631230000002</v>
      </c>
      <c r="J3522" s="8">
        <v>61689.623030000002</v>
      </c>
      <c r="K3522" s="8">
        <v>57687.161939999998</v>
      </c>
      <c r="L3522" s="8">
        <v>65768.771840000001</v>
      </c>
      <c r="M3522" s="9" t="str">
        <f>IF(A3522="",M3523,A3522)</f>
        <v>Romania</v>
      </c>
      <c r="N3522" s="3" t="str">
        <f t="shared" ref="N3522:N3585" si="111">TEXT(DATE(C3522,D3522,1),"MMM-YYYY")</f>
        <v>May-2021</v>
      </c>
    </row>
    <row r="3523" spans="1:14" x14ac:dyDescent="0.3">
      <c r="A3523" s="3" t="s">
        <v>300</v>
      </c>
      <c r="B3523" s="3" t="s">
        <v>301</v>
      </c>
      <c r="C3523" s="8">
        <v>2021</v>
      </c>
      <c r="D3523" s="8">
        <v>6</v>
      </c>
      <c r="E3523" s="3" t="str">
        <f t="shared" si="110"/>
        <v>June</v>
      </c>
      <c r="F3523" s="3" t="s">
        <v>13</v>
      </c>
      <c r="G3523" s="8">
        <v>20065.26799</v>
      </c>
      <c r="H3523" s="8">
        <v>21284</v>
      </c>
      <c r="I3523" s="8">
        <v>1218.648672</v>
      </c>
      <c r="J3523" s="8">
        <v>62908.271710000001</v>
      </c>
      <c r="K3523" s="8">
        <v>58858.902450000001</v>
      </c>
      <c r="L3523" s="8">
        <v>67037.429250000001</v>
      </c>
      <c r="M3523" s="9" t="str">
        <f>IF(A3523="",M3524,A3523)</f>
        <v>Romania</v>
      </c>
      <c r="N3523" s="3" t="str">
        <f t="shared" si="111"/>
        <v>Jun-2021</v>
      </c>
    </row>
    <row r="3524" spans="1:14" x14ac:dyDescent="0.3">
      <c r="A3524" s="3" t="s">
        <v>300</v>
      </c>
      <c r="B3524" s="3" t="s">
        <v>301</v>
      </c>
      <c r="C3524" s="8">
        <v>2021</v>
      </c>
      <c r="D3524" s="8">
        <v>7</v>
      </c>
      <c r="E3524" s="3" t="str">
        <f t="shared" si="110"/>
        <v>July</v>
      </c>
      <c r="F3524" s="3" t="s">
        <v>13</v>
      </c>
      <c r="G3524" s="8">
        <v>19841.002110000001</v>
      </c>
      <c r="H3524" s="8">
        <v>21318</v>
      </c>
      <c r="I3524" s="8">
        <v>1476.9145579999999</v>
      </c>
      <c r="J3524" s="8">
        <v>64385.186260000002</v>
      </c>
      <c r="K3524" s="8">
        <v>60017.550219999997</v>
      </c>
      <c r="L3524" s="8">
        <v>68853.784790000005</v>
      </c>
      <c r="M3524" s="9" t="str">
        <f>IF(A3524="",M3525,A3524)</f>
        <v>Romania</v>
      </c>
      <c r="N3524" s="3" t="str">
        <f t="shared" si="111"/>
        <v>Jul-2021</v>
      </c>
    </row>
    <row r="3525" spans="1:14" x14ac:dyDescent="0.3">
      <c r="A3525" s="3" t="s">
        <v>300</v>
      </c>
      <c r="B3525" s="3" t="s">
        <v>301</v>
      </c>
      <c r="C3525" s="8">
        <v>2021</v>
      </c>
      <c r="D3525" s="8">
        <v>8</v>
      </c>
      <c r="E3525" s="3" t="str">
        <f t="shared" si="110"/>
        <v>August</v>
      </c>
      <c r="F3525" s="3" t="s">
        <v>13</v>
      </c>
      <c r="G3525" s="8">
        <v>19507.58898</v>
      </c>
      <c r="H3525" s="8">
        <v>20709</v>
      </c>
      <c r="I3525" s="8">
        <v>1201.327687</v>
      </c>
      <c r="J3525" s="8">
        <v>65586.513949999993</v>
      </c>
      <c r="K3525" s="8">
        <v>61036.882339999996</v>
      </c>
      <c r="L3525" s="8">
        <v>70317.064069999993</v>
      </c>
      <c r="M3525" s="9" t="str">
        <f>IF(A3525="",M3526,A3525)</f>
        <v>Romania</v>
      </c>
      <c r="N3525" s="3" t="str">
        <f t="shared" si="111"/>
        <v>Aug-2021</v>
      </c>
    </row>
    <row r="3526" spans="1:14" x14ac:dyDescent="0.3">
      <c r="A3526" s="3" t="s">
        <v>300</v>
      </c>
      <c r="B3526" s="3" t="s">
        <v>301</v>
      </c>
      <c r="C3526" s="8">
        <v>2021</v>
      </c>
      <c r="D3526" s="8">
        <v>9</v>
      </c>
      <c r="E3526" s="3" t="str">
        <f t="shared" si="110"/>
        <v>September</v>
      </c>
      <c r="F3526" s="3" t="s">
        <v>13</v>
      </c>
      <c r="G3526" s="8">
        <v>19441.898290000001</v>
      </c>
      <c r="H3526" s="8">
        <v>25294</v>
      </c>
      <c r="I3526" s="8">
        <v>5852.0183779999998</v>
      </c>
      <c r="J3526" s="8">
        <v>71438.532330000002</v>
      </c>
      <c r="K3526" s="8">
        <v>66663.026719999994</v>
      </c>
      <c r="L3526" s="8">
        <v>76312.036900000006</v>
      </c>
      <c r="M3526" s="9" t="str">
        <f>IF(A3526="",M3527,A3526)</f>
        <v>Romania</v>
      </c>
      <c r="N3526" s="3" t="str">
        <f t="shared" si="111"/>
        <v>Sep-2021</v>
      </c>
    </row>
    <row r="3527" spans="1:14" x14ac:dyDescent="0.3">
      <c r="A3527" s="3" t="s">
        <v>300</v>
      </c>
      <c r="B3527" s="3" t="s">
        <v>301</v>
      </c>
      <c r="C3527" s="8">
        <v>2021</v>
      </c>
      <c r="D3527" s="8">
        <v>10</v>
      </c>
      <c r="E3527" s="3" t="str">
        <f t="shared" si="110"/>
        <v>October</v>
      </c>
      <c r="F3527" s="3" t="s">
        <v>13</v>
      </c>
      <c r="G3527" s="8">
        <v>20974.762500000001</v>
      </c>
      <c r="H3527" s="8">
        <v>46472</v>
      </c>
      <c r="I3527" s="8">
        <v>25497.154170000002</v>
      </c>
      <c r="J3527" s="8">
        <v>96935.686499999996</v>
      </c>
      <c r="K3527" s="8">
        <v>92081.860610000003</v>
      </c>
      <c r="L3527" s="8">
        <v>101880.51330000001</v>
      </c>
      <c r="M3527" s="9" t="str">
        <f>IF(A3527="",M3528,A3527)</f>
        <v>Romania</v>
      </c>
      <c r="N3527" s="3" t="str">
        <f t="shared" si="111"/>
        <v>Oct-2021</v>
      </c>
    </row>
    <row r="3528" spans="1:14" x14ac:dyDescent="0.3">
      <c r="A3528" s="3" t="s">
        <v>300</v>
      </c>
      <c r="B3528" s="3" t="s">
        <v>301</v>
      </c>
      <c r="C3528" s="8">
        <v>2021</v>
      </c>
      <c r="D3528" s="8">
        <v>11</v>
      </c>
      <c r="E3528" s="3" t="str">
        <f t="shared" si="110"/>
        <v>November</v>
      </c>
      <c r="F3528" s="3" t="s">
        <v>13</v>
      </c>
      <c r="G3528" s="8">
        <v>22210.697260000001</v>
      </c>
      <c r="H3528" s="8">
        <v>36455</v>
      </c>
      <c r="I3528" s="8">
        <v>14244.2194</v>
      </c>
      <c r="J3528" s="8">
        <v>111179.9059</v>
      </c>
      <c r="K3528" s="8">
        <v>105983.9893</v>
      </c>
      <c r="L3528" s="8">
        <v>116008.06879999999</v>
      </c>
      <c r="M3528" s="9" t="str">
        <f>IF(A3528="",M3529,A3528)</f>
        <v>Romania</v>
      </c>
      <c r="N3528" s="3" t="str">
        <f t="shared" si="111"/>
        <v>Nov-2021</v>
      </c>
    </row>
    <row r="3529" spans="1:14" x14ac:dyDescent="0.3">
      <c r="A3529" s="3" t="s">
        <v>300</v>
      </c>
      <c r="B3529" s="3" t="s">
        <v>301</v>
      </c>
      <c r="C3529" s="8">
        <v>2021</v>
      </c>
      <c r="D3529" s="8">
        <v>12</v>
      </c>
      <c r="E3529" s="3" t="str">
        <f t="shared" si="110"/>
        <v>December</v>
      </c>
      <c r="F3529" s="3" t="s">
        <v>13</v>
      </c>
      <c r="G3529" s="8">
        <v>23961.155190000001</v>
      </c>
      <c r="H3529" s="8">
        <v>26181</v>
      </c>
      <c r="I3529" s="8">
        <v>2219.7614720000001</v>
      </c>
      <c r="J3529" s="8">
        <v>113399.66740000001</v>
      </c>
      <c r="K3529" s="8">
        <v>108287.9302</v>
      </c>
      <c r="L3529" s="8">
        <v>118701.5432</v>
      </c>
      <c r="M3529" s="9" t="str">
        <f>IF(A3529="",M3530,A3529)</f>
        <v>Romania</v>
      </c>
      <c r="N3529" s="3" t="str">
        <f t="shared" si="111"/>
        <v>Dec-2021</v>
      </c>
    </row>
    <row r="3530" spans="1:14" x14ac:dyDescent="0.3">
      <c r="A3530" s="3" t="s">
        <v>302</v>
      </c>
      <c r="B3530" s="3" t="s">
        <v>303</v>
      </c>
      <c r="C3530" s="8">
        <v>2020</v>
      </c>
      <c r="D3530" s="8">
        <v>1</v>
      </c>
      <c r="E3530" s="3" t="str">
        <f t="shared" si="110"/>
        <v>January</v>
      </c>
      <c r="F3530" s="3" t="s">
        <v>13</v>
      </c>
      <c r="G3530" s="8">
        <v>151588.93859999999</v>
      </c>
      <c r="H3530" s="8">
        <v>161007</v>
      </c>
      <c r="I3530" s="8">
        <v>9410.6447759999992</v>
      </c>
      <c r="J3530" s="8">
        <v>9410.6447759999992</v>
      </c>
      <c r="K3530" s="8">
        <v>4783.8066339999996</v>
      </c>
      <c r="L3530" s="8">
        <v>13733.57026</v>
      </c>
      <c r="M3530" s="9" t="str">
        <f>IF(A3530="",M3531,A3530)</f>
        <v>Russian Federation</v>
      </c>
      <c r="N3530" s="3" t="str">
        <f t="shared" si="111"/>
        <v>Jan-2020</v>
      </c>
    </row>
    <row r="3531" spans="1:14" x14ac:dyDescent="0.3">
      <c r="A3531" s="3" t="s">
        <v>302</v>
      </c>
      <c r="B3531" s="3" t="s">
        <v>303</v>
      </c>
      <c r="C3531" s="8">
        <v>2020</v>
      </c>
      <c r="D3531" s="8">
        <v>2</v>
      </c>
      <c r="E3531" s="3" t="str">
        <f t="shared" si="110"/>
        <v>February</v>
      </c>
      <c r="F3531" s="3" t="s">
        <v>13</v>
      </c>
      <c r="G3531" s="8">
        <v>151441.12150000001</v>
      </c>
      <c r="H3531" s="8">
        <v>147290</v>
      </c>
      <c r="I3531" s="8">
        <v>-4158.5381360000001</v>
      </c>
      <c r="J3531" s="8">
        <v>5252.1066410000003</v>
      </c>
      <c r="K3531" s="8">
        <v>-1191.2284119999999</v>
      </c>
      <c r="L3531" s="8">
        <v>11722.927229999999</v>
      </c>
      <c r="M3531" s="9" t="str">
        <f>IF(A3531="",M3532,A3531)</f>
        <v>Russian Federation</v>
      </c>
      <c r="N3531" s="3" t="str">
        <f t="shared" si="111"/>
        <v>Feb-2020</v>
      </c>
    </row>
    <row r="3532" spans="1:14" x14ac:dyDescent="0.3">
      <c r="A3532" s="3" t="s">
        <v>302</v>
      </c>
      <c r="B3532" s="3" t="s">
        <v>303</v>
      </c>
      <c r="C3532" s="8">
        <v>2020</v>
      </c>
      <c r="D3532" s="8">
        <v>3</v>
      </c>
      <c r="E3532" s="3" t="str">
        <f t="shared" si="110"/>
        <v>March</v>
      </c>
      <c r="F3532" s="3" t="s">
        <v>13</v>
      </c>
      <c r="G3532" s="8">
        <v>150755.81849999999</v>
      </c>
      <c r="H3532" s="8">
        <v>154923</v>
      </c>
      <c r="I3532" s="8">
        <v>4159.7648230000004</v>
      </c>
      <c r="J3532" s="8">
        <v>9411.8714629999995</v>
      </c>
      <c r="K3532" s="8">
        <v>1465.9267870000001</v>
      </c>
      <c r="L3532" s="8">
        <v>17717.523069999999</v>
      </c>
      <c r="M3532" s="9" t="str">
        <f>IF(A3532="",M3533,A3532)</f>
        <v>Russian Federation</v>
      </c>
      <c r="N3532" s="3" t="str">
        <f t="shared" si="111"/>
        <v>Mar-2020</v>
      </c>
    </row>
    <row r="3533" spans="1:14" x14ac:dyDescent="0.3">
      <c r="A3533" s="3" t="s">
        <v>302</v>
      </c>
      <c r="B3533" s="3" t="s">
        <v>303</v>
      </c>
      <c r="C3533" s="8">
        <v>2020</v>
      </c>
      <c r="D3533" s="8">
        <v>4</v>
      </c>
      <c r="E3533" s="3" t="str">
        <f t="shared" si="110"/>
        <v>April</v>
      </c>
      <c r="F3533" s="3" t="s">
        <v>13</v>
      </c>
      <c r="G3533" s="8">
        <v>149229.44409999999</v>
      </c>
      <c r="H3533" s="8">
        <v>152500</v>
      </c>
      <c r="I3533" s="8">
        <v>3263.1391939999999</v>
      </c>
      <c r="J3533" s="8">
        <v>12675.01066</v>
      </c>
      <c r="K3533" s="8">
        <v>2888.2440160000001</v>
      </c>
      <c r="L3533" s="8">
        <v>22111.264480000002</v>
      </c>
      <c r="M3533" s="9" t="str">
        <f>IF(A3533="",M3534,A3533)</f>
        <v>Russian Federation</v>
      </c>
      <c r="N3533" s="3" t="str">
        <f t="shared" si="111"/>
        <v>Apr-2020</v>
      </c>
    </row>
    <row r="3534" spans="1:14" x14ac:dyDescent="0.3">
      <c r="A3534" s="3" t="s">
        <v>302</v>
      </c>
      <c r="B3534" s="3" t="s">
        <v>303</v>
      </c>
      <c r="C3534" s="8">
        <v>2020</v>
      </c>
      <c r="D3534" s="8">
        <v>5</v>
      </c>
      <c r="E3534" s="3" t="str">
        <f t="shared" si="110"/>
        <v>May</v>
      </c>
      <c r="F3534" s="3" t="s">
        <v>13</v>
      </c>
      <c r="G3534" s="8">
        <v>147201.61040000001</v>
      </c>
      <c r="H3534" s="8">
        <v>173282</v>
      </c>
      <c r="I3534" s="8">
        <v>26072.972959999999</v>
      </c>
      <c r="J3534" s="8">
        <v>38747.983610000003</v>
      </c>
      <c r="K3534" s="8">
        <v>28010.43189</v>
      </c>
      <c r="L3534" s="8">
        <v>49156.267189999999</v>
      </c>
      <c r="M3534" s="9" t="str">
        <f>IF(A3534="",M3535,A3534)</f>
        <v>Russian Federation</v>
      </c>
      <c r="N3534" s="3" t="str">
        <f t="shared" si="111"/>
        <v>May-2020</v>
      </c>
    </row>
    <row r="3535" spans="1:14" x14ac:dyDescent="0.3">
      <c r="A3535" s="3" t="s">
        <v>302</v>
      </c>
      <c r="B3535" s="3" t="s">
        <v>303</v>
      </c>
      <c r="C3535" s="8">
        <v>2020</v>
      </c>
      <c r="D3535" s="8">
        <v>6</v>
      </c>
      <c r="E3535" s="3" t="str">
        <f t="shared" si="110"/>
        <v>June</v>
      </c>
      <c r="F3535" s="3" t="s">
        <v>13</v>
      </c>
      <c r="G3535" s="8">
        <v>144561.18229999999</v>
      </c>
      <c r="H3535" s="8">
        <v>168436</v>
      </c>
      <c r="I3535" s="8">
        <v>23867.40105</v>
      </c>
      <c r="J3535" s="8">
        <v>62615.384669999999</v>
      </c>
      <c r="K3535" s="8">
        <v>50458.703459999997</v>
      </c>
      <c r="L3535" s="8">
        <v>74181.549570000003</v>
      </c>
      <c r="M3535" s="9" t="str">
        <f>IF(A3535="",M3536,A3535)</f>
        <v>Russian Federation</v>
      </c>
      <c r="N3535" s="3" t="str">
        <f t="shared" si="111"/>
        <v>Jun-2020</v>
      </c>
    </row>
    <row r="3536" spans="1:14" x14ac:dyDescent="0.3">
      <c r="A3536" s="3" t="s">
        <v>302</v>
      </c>
      <c r="B3536" s="3" t="s">
        <v>303</v>
      </c>
      <c r="C3536" s="8">
        <v>2020</v>
      </c>
      <c r="D3536" s="8">
        <v>7</v>
      </c>
      <c r="E3536" s="3" t="str">
        <f t="shared" si="110"/>
        <v>July</v>
      </c>
      <c r="F3536" s="3" t="s">
        <v>13</v>
      </c>
      <c r="G3536" s="8">
        <v>142567.71849999999</v>
      </c>
      <c r="H3536" s="8">
        <v>176450</v>
      </c>
      <c r="I3536" s="8">
        <v>33874.864869999998</v>
      </c>
      <c r="J3536" s="8">
        <v>96490.249530000001</v>
      </c>
      <c r="K3536" s="8">
        <v>83500.680129999993</v>
      </c>
      <c r="L3536" s="8">
        <v>108533.29120000001</v>
      </c>
      <c r="M3536" s="9" t="str">
        <f>IF(A3536="",M3537,A3536)</f>
        <v>Russian Federation</v>
      </c>
      <c r="N3536" s="3" t="str">
        <f t="shared" si="111"/>
        <v>Jul-2020</v>
      </c>
    </row>
    <row r="3537" spans="1:14" x14ac:dyDescent="0.3">
      <c r="A3537" s="3" t="s">
        <v>302</v>
      </c>
      <c r="B3537" s="3" t="s">
        <v>303</v>
      </c>
      <c r="C3537" s="8">
        <v>2020</v>
      </c>
      <c r="D3537" s="8">
        <v>8</v>
      </c>
      <c r="E3537" s="3" t="str">
        <f t="shared" si="110"/>
        <v>August</v>
      </c>
      <c r="F3537" s="3" t="s">
        <v>13</v>
      </c>
      <c r="G3537" s="8">
        <v>141028.47940000001</v>
      </c>
      <c r="H3537" s="8">
        <v>161630</v>
      </c>
      <c r="I3537" s="8">
        <v>20594.10398</v>
      </c>
      <c r="J3537" s="8">
        <v>117084.3535</v>
      </c>
      <c r="K3537" s="8">
        <v>102978.50870000001</v>
      </c>
      <c r="L3537" s="8">
        <v>130003.84789999999</v>
      </c>
      <c r="M3537" s="9" t="str">
        <f>IF(A3537="",M3538,A3537)</f>
        <v>Russian Federation</v>
      </c>
      <c r="N3537" s="3" t="str">
        <f t="shared" si="111"/>
        <v>Aug-2020</v>
      </c>
    </row>
    <row r="3538" spans="1:14" x14ac:dyDescent="0.3">
      <c r="A3538" s="3" t="s">
        <v>302</v>
      </c>
      <c r="B3538" s="3" t="s">
        <v>303</v>
      </c>
      <c r="C3538" s="8">
        <v>2020</v>
      </c>
      <c r="D3538" s="8">
        <v>9</v>
      </c>
      <c r="E3538" s="3" t="str">
        <f t="shared" si="110"/>
        <v>September</v>
      </c>
      <c r="F3538" s="3" t="s">
        <v>13</v>
      </c>
      <c r="G3538" s="8">
        <v>141217.508</v>
      </c>
      <c r="H3538" s="8">
        <v>165758</v>
      </c>
      <c r="I3538" s="8">
        <v>24533.075379999998</v>
      </c>
      <c r="J3538" s="8">
        <v>141617.4289</v>
      </c>
      <c r="K3538" s="8">
        <v>126260.0704</v>
      </c>
      <c r="L3538" s="8">
        <v>154702.15090000001</v>
      </c>
      <c r="M3538" s="9" t="str">
        <f>IF(A3538="",M3539,A3538)</f>
        <v>Russian Federation</v>
      </c>
      <c r="N3538" s="3" t="str">
        <f t="shared" si="111"/>
        <v>Sep-2020</v>
      </c>
    </row>
    <row r="3539" spans="1:14" x14ac:dyDescent="0.3">
      <c r="A3539" s="3" t="s">
        <v>302</v>
      </c>
      <c r="B3539" s="3" t="s">
        <v>303</v>
      </c>
      <c r="C3539" s="8">
        <v>2020</v>
      </c>
      <c r="D3539" s="8">
        <v>10</v>
      </c>
      <c r="E3539" s="3" t="str">
        <f t="shared" si="110"/>
        <v>October</v>
      </c>
      <c r="F3539" s="3" t="s">
        <v>13</v>
      </c>
      <c r="G3539" s="8">
        <v>143293.06880000001</v>
      </c>
      <c r="H3539" s="8">
        <v>215818</v>
      </c>
      <c r="I3539" s="8">
        <v>72517.514509999994</v>
      </c>
      <c r="J3539" s="8">
        <v>214134.94339999999</v>
      </c>
      <c r="K3539" s="8">
        <v>197713.9601</v>
      </c>
      <c r="L3539" s="8">
        <v>227845.68059999999</v>
      </c>
      <c r="M3539" s="9" t="str">
        <f>IF(A3539="",M3540,A3539)</f>
        <v>Russian Federation</v>
      </c>
      <c r="N3539" s="3" t="str">
        <f t="shared" si="111"/>
        <v>Oct-2020</v>
      </c>
    </row>
    <row r="3540" spans="1:14" x14ac:dyDescent="0.3">
      <c r="A3540" s="3" t="s">
        <v>302</v>
      </c>
      <c r="B3540" s="3" t="s">
        <v>303</v>
      </c>
      <c r="C3540" s="8">
        <v>2020</v>
      </c>
      <c r="D3540" s="8">
        <v>11</v>
      </c>
      <c r="E3540" s="3" t="str">
        <f t="shared" si="110"/>
        <v>November</v>
      </c>
      <c r="F3540" s="3" t="s">
        <v>13</v>
      </c>
      <c r="G3540" s="8">
        <v>146380.47390000001</v>
      </c>
      <c r="H3540" s="8">
        <v>228544</v>
      </c>
      <c r="I3540" s="8">
        <v>82156.109429999997</v>
      </c>
      <c r="J3540" s="8">
        <v>296291.0528</v>
      </c>
      <c r="K3540" s="8">
        <v>279949.353</v>
      </c>
      <c r="L3540" s="8">
        <v>310816.2218</v>
      </c>
      <c r="M3540" s="9" t="str">
        <f>IF(A3540="",M3541,A3540)</f>
        <v>Russian Federation</v>
      </c>
      <c r="N3540" s="3" t="str">
        <f t="shared" si="111"/>
        <v>Nov-2020</v>
      </c>
    </row>
    <row r="3541" spans="1:14" x14ac:dyDescent="0.3">
      <c r="A3541" s="3" t="s">
        <v>302</v>
      </c>
      <c r="B3541" s="3" t="s">
        <v>303</v>
      </c>
      <c r="C3541" s="8">
        <v>2020</v>
      </c>
      <c r="D3541" s="8">
        <v>12</v>
      </c>
      <c r="E3541" s="3" t="str">
        <f t="shared" si="110"/>
        <v>December</v>
      </c>
      <c r="F3541" s="3" t="s">
        <v>13</v>
      </c>
      <c r="G3541" s="8">
        <v>149094.8861</v>
      </c>
      <c r="H3541" s="8">
        <v>232948</v>
      </c>
      <c r="I3541" s="8">
        <v>83845.697279999993</v>
      </c>
      <c r="J3541" s="8">
        <v>380136.7501</v>
      </c>
      <c r="K3541" s="8">
        <v>363470.4584</v>
      </c>
      <c r="L3541" s="8">
        <v>395097.46889999998</v>
      </c>
      <c r="M3541" s="9" t="str">
        <f>IF(A3541="",M3542,A3541)</f>
        <v>Russian Federation</v>
      </c>
      <c r="N3541" s="3" t="str">
        <f t="shared" si="111"/>
        <v>Dec-2020</v>
      </c>
    </row>
    <row r="3542" spans="1:14" x14ac:dyDescent="0.3">
      <c r="A3542" s="3" t="s">
        <v>302</v>
      </c>
      <c r="B3542" s="3" t="s">
        <v>303</v>
      </c>
      <c r="C3542" s="8">
        <v>2021</v>
      </c>
      <c r="D3542" s="8">
        <v>1</v>
      </c>
      <c r="E3542" s="3" t="str">
        <f t="shared" si="110"/>
        <v>January</v>
      </c>
      <c r="F3542" s="3" t="s">
        <v>13</v>
      </c>
      <c r="G3542" s="8">
        <v>149122.739</v>
      </c>
      <c r="H3542" s="8">
        <v>222794</v>
      </c>
      <c r="I3542" s="8">
        <v>73659.760980000006</v>
      </c>
      <c r="J3542" s="8">
        <v>453796.5111</v>
      </c>
      <c r="K3542" s="8">
        <v>436579.098</v>
      </c>
      <c r="L3542" s="8">
        <v>470349.9693</v>
      </c>
      <c r="M3542" s="9" t="str">
        <f>IF(A3542="",M3543,A3542)</f>
        <v>Russian Federation</v>
      </c>
      <c r="N3542" s="3" t="str">
        <f t="shared" si="111"/>
        <v>Jan-2021</v>
      </c>
    </row>
    <row r="3543" spans="1:14" x14ac:dyDescent="0.3">
      <c r="A3543" s="3" t="s">
        <v>302</v>
      </c>
      <c r="B3543" s="3" t="s">
        <v>303</v>
      </c>
      <c r="C3543" s="8">
        <v>2021</v>
      </c>
      <c r="D3543" s="8">
        <v>2</v>
      </c>
      <c r="E3543" s="3" t="str">
        <f t="shared" si="110"/>
        <v>February</v>
      </c>
      <c r="F3543" s="3" t="s">
        <v>13</v>
      </c>
      <c r="G3543" s="8">
        <v>148897.97560000001</v>
      </c>
      <c r="H3543" s="8">
        <v>170500</v>
      </c>
      <c r="I3543" s="8">
        <v>21590.524369999999</v>
      </c>
      <c r="J3543" s="8">
        <v>475387.0355</v>
      </c>
      <c r="K3543" s="8">
        <v>457278.60389999999</v>
      </c>
      <c r="L3543" s="8">
        <v>492904.35080000001</v>
      </c>
      <c r="M3543" s="9" t="str">
        <f>IF(A3543="",M3544,A3543)</f>
        <v>Russian Federation</v>
      </c>
      <c r="N3543" s="3" t="str">
        <f t="shared" si="111"/>
        <v>Feb-2021</v>
      </c>
    </row>
    <row r="3544" spans="1:14" x14ac:dyDescent="0.3">
      <c r="A3544" s="3" t="s">
        <v>302</v>
      </c>
      <c r="B3544" s="3" t="s">
        <v>303</v>
      </c>
      <c r="C3544" s="8">
        <v>2021</v>
      </c>
      <c r="D3544" s="8">
        <v>3</v>
      </c>
      <c r="E3544" s="3" t="str">
        <f t="shared" si="110"/>
        <v>March</v>
      </c>
      <c r="F3544" s="3" t="s">
        <v>13</v>
      </c>
      <c r="G3544" s="8">
        <v>148222.73800000001</v>
      </c>
      <c r="H3544" s="8">
        <v>177021</v>
      </c>
      <c r="I3544" s="8">
        <v>28786.762009999999</v>
      </c>
      <c r="J3544" s="8">
        <v>504173.79749999999</v>
      </c>
      <c r="K3544" s="8">
        <v>484091.8639</v>
      </c>
      <c r="L3544" s="8">
        <v>522445.20169999998</v>
      </c>
      <c r="M3544" s="9" t="str">
        <f>IF(A3544="",M3545,A3544)</f>
        <v>Russian Federation</v>
      </c>
      <c r="N3544" s="3" t="str">
        <f t="shared" si="111"/>
        <v>Mar-2021</v>
      </c>
    </row>
    <row r="3545" spans="1:14" x14ac:dyDescent="0.3">
      <c r="A3545" s="3" t="s">
        <v>302</v>
      </c>
      <c r="B3545" s="3" t="s">
        <v>303</v>
      </c>
      <c r="C3545" s="8">
        <v>2021</v>
      </c>
      <c r="D3545" s="8">
        <v>4</v>
      </c>
      <c r="E3545" s="3" t="str">
        <f t="shared" si="110"/>
        <v>April</v>
      </c>
      <c r="F3545" s="3" t="s">
        <v>13</v>
      </c>
      <c r="G3545" s="8">
        <v>146729.29010000001</v>
      </c>
      <c r="H3545" s="8">
        <v>163091</v>
      </c>
      <c r="I3545" s="8">
        <v>16350.2099</v>
      </c>
      <c r="J3545" s="8">
        <v>520524.0074</v>
      </c>
      <c r="K3545" s="8">
        <v>500466.21189999999</v>
      </c>
      <c r="L3545" s="8">
        <v>540114.88179999997</v>
      </c>
      <c r="M3545" s="9" t="str">
        <f>IF(A3545="",M3546,A3545)</f>
        <v>Russian Federation</v>
      </c>
      <c r="N3545" s="3" t="str">
        <f t="shared" si="111"/>
        <v>Apr-2021</v>
      </c>
    </row>
    <row r="3546" spans="1:14" x14ac:dyDescent="0.3">
      <c r="A3546" s="3" t="s">
        <v>302</v>
      </c>
      <c r="B3546" s="3" t="s">
        <v>303</v>
      </c>
      <c r="C3546" s="8">
        <v>2021</v>
      </c>
      <c r="D3546" s="8">
        <v>5</v>
      </c>
      <c r="E3546" s="3" t="str">
        <f t="shared" si="110"/>
        <v>May</v>
      </c>
      <c r="F3546" s="3" t="s">
        <v>13</v>
      </c>
      <c r="G3546" s="8">
        <v>144665.99119999999</v>
      </c>
      <c r="H3546" s="8">
        <v>171292</v>
      </c>
      <c r="I3546" s="8">
        <v>26614.508809999999</v>
      </c>
      <c r="J3546" s="8">
        <v>547138.51619999995</v>
      </c>
      <c r="K3546" s="8">
        <v>526562.87800000003</v>
      </c>
      <c r="L3546" s="8">
        <v>567224.03520000004</v>
      </c>
      <c r="M3546" s="9" t="str">
        <f>IF(A3546="",M3547,A3546)</f>
        <v>Russian Federation</v>
      </c>
      <c r="N3546" s="3" t="str">
        <f t="shared" si="111"/>
        <v>May-2021</v>
      </c>
    </row>
    <row r="3547" spans="1:14" x14ac:dyDescent="0.3">
      <c r="A3547" s="3" t="s">
        <v>302</v>
      </c>
      <c r="B3547" s="3" t="s">
        <v>303</v>
      </c>
      <c r="C3547" s="8">
        <v>2021</v>
      </c>
      <c r="D3547" s="8">
        <v>6</v>
      </c>
      <c r="E3547" s="3" t="str">
        <f t="shared" si="110"/>
        <v>June</v>
      </c>
      <c r="F3547" s="3" t="s">
        <v>13</v>
      </c>
      <c r="G3547" s="8">
        <v>142163.4871</v>
      </c>
      <c r="H3547" s="8">
        <v>188462</v>
      </c>
      <c r="I3547" s="8">
        <v>46287.012920000001</v>
      </c>
      <c r="J3547" s="8">
        <v>593425.52910000004</v>
      </c>
      <c r="K3547" s="8">
        <v>572591.97010000004</v>
      </c>
      <c r="L3547" s="8">
        <v>613613.59569999995</v>
      </c>
      <c r="M3547" s="9" t="str">
        <f>IF(A3547="",M3548,A3547)</f>
        <v>Russian Federation</v>
      </c>
      <c r="N3547" s="3" t="str">
        <f t="shared" si="111"/>
        <v>Jun-2021</v>
      </c>
    </row>
    <row r="3548" spans="1:14" x14ac:dyDescent="0.3">
      <c r="A3548" s="3" t="s">
        <v>302</v>
      </c>
      <c r="B3548" s="3" t="s">
        <v>303</v>
      </c>
      <c r="C3548" s="8">
        <v>2021</v>
      </c>
      <c r="D3548" s="8">
        <v>7</v>
      </c>
      <c r="E3548" s="3" t="str">
        <f t="shared" si="110"/>
        <v>July</v>
      </c>
      <c r="F3548" s="3" t="s">
        <v>13</v>
      </c>
      <c r="G3548" s="8">
        <v>139886.19699999999</v>
      </c>
      <c r="H3548" s="8">
        <v>218473</v>
      </c>
      <c r="I3548" s="8">
        <v>78575.303029999995</v>
      </c>
      <c r="J3548" s="8">
        <v>672000.8321</v>
      </c>
      <c r="K3548" s="8">
        <v>651077.04200000002</v>
      </c>
      <c r="L3548" s="8">
        <v>692964.40249999997</v>
      </c>
      <c r="M3548" s="9" t="str">
        <f>IF(A3548="",M3549,A3548)</f>
        <v>Russian Federation</v>
      </c>
      <c r="N3548" s="3" t="str">
        <f t="shared" si="111"/>
        <v>Jul-2021</v>
      </c>
    </row>
    <row r="3549" spans="1:14" x14ac:dyDescent="0.3">
      <c r="A3549" s="3" t="s">
        <v>302</v>
      </c>
      <c r="B3549" s="3" t="s">
        <v>303</v>
      </c>
      <c r="C3549" s="8">
        <v>2021</v>
      </c>
      <c r="D3549" s="8">
        <v>8</v>
      </c>
      <c r="E3549" s="3" t="str">
        <f t="shared" si="110"/>
        <v>August</v>
      </c>
      <c r="F3549" s="3" t="s">
        <v>13</v>
      </c>
      <c r="G3549" s="8">
        <v>138539.0399</v>
      </c>
      <c r="H3549" s="8">
        <v>208832</v>
      </c>
      <c r="I3549" s="8">
        <v>70281.460139999996</v>
      </c>
      <c r="J3549" s="8">
        <v>742282.29229999997</v>
      </c>
      <c r="K3549" s="8">
        <v>720184.20409999997</v>
      </c>
      <c r="L3549" s="8">
        <v>763614.20900000003</v>
      </c>
      <c r="M3549" s="9" t="str">
        <f>IF(A3549="",M3550,A3549)</f>
        <v>Russian Federation</v>
      </c>
      <c r="N3549" s="3" t="str">
        <f t="shared" si="111"/>
        <v>Aug-2021</v>
      </c>
    </row>
    <row r="3550" spans="1:14" x14ac:dyDescent="0.3">
      <c r="A3550" s="3" t="s">
        <v>302</v>
      </c>
      <c r="B3550" s="3" t="s">
        <v>303</v>
      </c>
      <c r="C3550" s="8">
        <v>2021</v>
      </c>
      <c r="D3550" s="8">
        <v>9</v>
      </c>
      <c r="E3550" s="3" t="str">
        <f t="shared" si="110"/>
        <v>September</v>
      </c>
      <c r="F3550" s="3" t="s">
        <v>13</v>
      </c>
      <c r="G3550" s="8">
        <v>138817.7807</v>
      </c>
      <c r="H3550" s="8">
        <v>204030</v>
      </c>
      <c r="I3550" s="8">
        <v>65200.71931</v>
      </c>
      <c r="J3550" s="8">
        <v>807483.01159999997</v>
      </c>
      <c r="K3550" s="8">
        <v>784795.09499999997</v>
      </c>
      <c r="L3550" s="8">
        <v>830213.44609999994</v>
      </c>
      <c r="M3550" s="9" t="str">
        <f>IF(A3550="",M3551,A3550)</f>
        <v>Russian Federation</v>
      </c>
      <c r="N3550" s="3" t="str">
        <f t="shared" si="111"/>
        <v>Sep-2021</v>
      </c>
    </row>
    <row r="3551" spans="1:14" x14ac:dyDescent="0.3">
      <c r="A3551" s="3" t="s">
        <v>302</v>
      </c>
      <c r="B3551" s="3" t="s">
        <v>303</v>
      </c>
      <c r="C3551" s="8">
        <v>2021</v>
      </c>
      <c r="D3551" s="8">
        <v>10</v>
      </c>
      <c r="E3551" s="3" t="str">
        <f t="shared" si="110"/>
        <v>October</v>
      </c>
      <c r="F3551" s="3" t="s">
        <v>13</v>
      </c>
      <c r="G3551" s="8">
        <v>140909.80059999999</v>
      </c>
      <c r="H3551" s="8">
        <v>266343</v>
      </c>
      <c r="I3551" s="8">
        <v>125421.6994</v>
      </c>
      <c r="J3551" s="8">
        <v>932904.71100000001</v>
      </c>
      <c r="K3551" s="8">
        <v>908314.35250000004</v>
      </c>
      <c r="L3551" s="8">
        <v>956212.07819999999</v>
      </c>
      <c r="M3551" s="9" t="str">
        <f>IF(A3551="",M3552,A3551)</f>
        <v>Russian Federation</v>
      </c>
      <c r="N3551" s="3" t="str">
        <f t="shared" si="111"/>
        <v>Oct-2021</v>
      </c>
    </row>
    <row r="3552" spans="1:14" x14ac:dyDescent="0.3">
      <c r="A3552" s="3" t="s">
        <v>302</v>
      </c>
      <c r="B3552" s="3" t="s">
        <v>303</v>
      </c>
      <c r="C3552" s="8">
        <v>2021</v>
      </c>
      <c r="D3552" s="8">
        <v>11</v>
      </c>
      <c r="E3552" s="3" t="str">
        <f t="shared" si="110"/>
        <v>November</v>
      </c>
      <c r="F3552" s="3" t="s">
        <v>13</v>
      </c>
      <c r="G3552" s="8">
        <v>143799.94699999999</v>
      </c>
      <c r="H3552" s="8">
        <v>242330</v>
      </c>
      <c r="I3552" s="8">
        <v>98518.553020000007</v>
      </c>
      <c r="J3552" s="8">
        <v>1031423.264</v>
      </c>
      <c r="K3552" s="8">
        <v>1006365.4790000001</v>
      </c>
      <c r="L3552" s="8">
        <v>1055912.9550000001</v>
      </c>
      <c r="M3552" s="9" t="str">
        <f>IF(A3552="",M3553,A3552)</f>
        <v>Russian Federation</v>
      </c>
      <c r="N3552" s="3" t="str">
        <f t="shared" si="111"/>
        <v>Nov-2021</v>
      </c>
    </row>
    <row r="3553" spans="1:14" x14ac:dyDescent="0.3">
      <c r="A3553" s="3" t="s">
        <v>302</v>
      </c>
      <c r="B3553" s="3" t="s">
        <v>303</v>
      </c>
      <c r="C3553" s="8">
        <v>2021</v>
      </c>
      <c r="D3553" s="8">
        <v>12</v>
      </c>
      <c r="E3553" s="3" t="str">
        <f t="shared" si="110"/>
        <v>December</v>
      </c>
      <c r="F3553" s="3" t="s">
        <v>13</v>
      </c>
      <c r="G3553" s="8">
        <v>146673.23509999999</v>
      </c>
      <c r="H3553" s="8">
        <v>208426</v>
      </c>
      <c r="I3553" s="8">
        <v>61741.264920000001</v>
      </c>
      <c r="J3553" s="8">
        <v>1093164.5290000001</v>
      </c>
      <c r="K3553" s="8">
        <v>1066970.361</v>
      </c>
      <c r="L3553" s="8">
        <v>1119371.5360000001</v>
      </c>
      <c r="M3553" s="9" t="str">
        <f>IF(A3553="",M3554,A3553)</f>
        <v>Russian Federation</v>
      </c>
      <c r="N3553" s="3" t="str">
        <f t="shared" si="111"/>
        <v>Dec-2021</v>
      </c>
    </row>
    <row r="3554" spans="1:14" x14ac:dyDescent="0.3">
      <c r="A3554" s="3" t="s">
        <v>304</v>
      </c>
      <c r="B3554" s="3" t="s">
        <v>305</v>
      </c>
      <c r="C3554" s="8">
        <v>2020</v>
      </c>
      <c r="D3554" s="8">
        <v>1</v>
      </c>
      <c r="E3554" s="3" t="str">
        <f t="shared" si="110"/>
        <v>January</v>
      </c>
      <c r="F3554" s="3" t="s">
        <v>8</v>
      </c>
      <c r="G3554" s="8">
        <v>5405.0129550000001</v>
      </c>
      <c r="H3554" s="8">
        <v>5500.3829999999998</v>
      </c>
      <c r="I3554" s="8">
        <v>95.370045210000001</v>
      </c>
      <c r="J3554" s="8">
        <v>95.370045210000001</v>
      </c>
      <c r="K3554" s="8">
        <v>-1197.7147440000001</v>
      </c>
      <c r="L3554" s="8">
        <v>1559.3254420000001</v>
      </c>
      <c r="M3554" s="9" t="str">
        <f>IF(A3554="",M3555,A3554)</f>
        <v>Rwanda</v>
      </c>
      <c r="N3554" s="3" t="str">
        <f t="shared" si="111"/>
        <v>Jan-2020</v>
      </c>
    </row>
    <row r="3555" spans="1:14" x14ac:dyDescent="0.3">
      <c r="A3555" s="3" t="s">
        <v>304</v>
      </c>
      <c r="B3555" s="3" t="s">
        <v>305</v>
      </c>
      <c r="C3555" s="8">
        <v>2020</v>
      </c>
      <c r="D3555" s="8">
        <v>2</v>
      </c>
      <c r="E3555" s="3" t="str">
        <f t="shared" si="110"/>
        <v>February</v>
      </c>
      <c r="F3555" s="3" t="s">
        <v>8</v>
      </c>
      <c r="G3555" s="8">
        <v>5420.5129129999996</v>
      </c>
      <c r="H3555" s="8">
        <v>5299.1570000000002</v>
      </c>
      <c r="I3555" s="8">
        <v>-121.3559127</v>
      </c>
      <c r="J3555" s="8">
        <v>-25.985867450000001</v>
      </c>
      <c r="K3555" s="8">
        <v>-1882.452319</v>
      </c>
      <c r="L3555" s="8">
        <v>2028.6566600000001</v>
      </c>
      <c r="M3555" s="9" t="str">
        <f>IF(A3555="",M3556,A3555)</f>
        <v>Rwanda</v>
      </c>
      <c r="N3555" s="3" t="str">
        <f t="shared" si="111"/>
        <v>Feb-2020</v>
      </c>
    </row>
    <row r="3556" spans="1:14" x14ac:dyDescent="0.3">
      <c r="A3556" s="3" t="s">
        <v>304</v>
      </c>
      <c r="B3556" s="3" t="s">
        <v>305</v>
      </c>
      <c r="C3556" s="8">
        <v>2020</v>
      </c>
      <c r="D3556" s="8">
        <v>3</v>
      </c>
      <c r="E3556" s="3" t="str">
        <f t="shared" si="110"/>
        <v>March</v>
      </c>
      <c r="F3556" s="3" t="s">
        <v>8</v>
      </c>
      <c r="G3556" s="8">
        <v>5415.2054109999999</v>
      </c>
      <c r="H3556" s="8">
        <v>5035.2259999999997</v>
      </c>
      <c r="I3556" s="8">
        <v>-379.97941079999998</v>
      </c>
      <c r="J3556" s="8">
        <v>-405.96527830000002</v>
      </c>
      <c r="K3556" s="8">
        <v>-2791.3520239999998</v>
      </c>
      <c r="L3556" s="8">
        <v>2142.2678430000001</v>
      </c>
      <c r="M3556" s="9" t="str">
        <f>IF(A3556="",M3557,A3556)</f>
        <v>Rwanda</v>
      </c>
      <c r="N3556" s="3" t="str">
        <f t="shared" si="111"/>
        <v>Mar-2020</v>
      </c>
    </row>
    <row r="3557" spans="1:14" x14ac:dyDescent="0.3">
      <c r="A3557" s="3" t="s">
        <v>304</v>
      </c>
      <c r="B3557" s="3" t="s">
        <v>305</v>
      </c>
      <c r="C3557" s="8">
        <v>2020</v>
      </c>
      <c r="D3557" s="8">
        <v>4</v>
      </c>
      <c r="E3557" s="3" t="str">
        <f t="shared" si="110"/>
        <v>April</v>
      </c>
      <c r="F3557" s="3" t="s">
        <v>8</v>
      </c>
      <c r="G3557" s="8">
        <v>5445.1825849999996</v>
      </c>
      <c r="H3557" s="8">
        <v>4646.5129999999999</v>
      </c>
      <c r="I3557" s="8">
        <v>-798.66958490000002</v>
      </c>
      <c r="J3557" s="8">
        <v>-1204.634863</v>
      </c>
      <c r="K3557" s="8">
        <v>-3818.1146570000001</v>
      </c>
      <c r="L3557" s="8">
        <v>1598.033844</v>
      </c>
      <c r="M3557" s="9" t="str">
        <f>IF(A3557="",M3558,A3557)</f>
        <v>Rwanda</v>
      </c>
      <c r="N3557" s="3" t="str">
        <f t="shared" si="111"/>
        <v>Apr-2020</v>
      </c>
    </row>
    <row r="3558" spans="1:14" x14ac:dyDescent="0.3">
      <c r="A3558" s="3" t="s">
        <v>304</v>
      </c>
      <c r="B3558" s="3" t="s">
        <v>305</v>
      </c>
      <c r="C3558" s="8">
        <v>2020</v>
      </c>
      <c r="D3558" s="8">
        <v>5</v>
      </c>
      <c r="E3558" s="3" t="str">
        <f t="shared" si="110"/>
        <v>May</v>
      </c>
      <c r="F3558" s="3" t="s">
        <v>8</v>
      </c>
      <c r="G3558" s="8">
        <v>5402.0078009999997</v>
      </c>
      <c r="H3558" s="8">
        <v>4890.6959999999999</v>
      </c>
      <c r="I3558" s="8">
        <v>-511.3118005</v>
      </c>
      <c r="J3558" s="8">
        <v>-1715.9466640000001</v>
      </c>
      <c r="K3558" s="8">
        <v>-4559.5769060000002</v>
      </c>
      <c r="L3558" s="8">
        <v>1255.670901</v>
      </c>
      <c r="M3558" s="9" t="str">
        <f>IF(A3558="",M3559,A3558)</f>
        <v>Rwanda</v>
      </c>
      <c r="N3558" s="3" t="str">
        <f t="shared" si="111"/>
        <v>May-2020</v>
      </c>
    </row>
    <row r="3559" spans="1:14" x14ac:dyDescent="0.3">
      <c r="A3559" s="3" t="s">
        <v>304</v>
      </c>
      <c r="B3559" s="3" t="s">
        <v>305</v>
      </c>
      <c r="C3559" s="8">
        <v>2020</v>
      </c>
      <c r="D3559" s="8">
        <v>6</v>
      </c>
      <c r="E3559" s="3" t="str">
        <f t="shared" si="110"/>
        <v>June</v>
      </c>
      <c r="F3559" s="3" t="s">
        <v>8</v>
      </c>
      <c r="G3559" s="8">
        <v>5419.6019480000004</v>
      </c>
      <c r="H3559" s="8">
        <v>5058.9470000000001</v>
      </c>
      <c r="I3559" s="8">
        <v>-360.65494819999998</v>
      </c>
      <c r="J3559" s="8">
        <v>-2076.6016119999999</v>
      </c>
      <c r="K3559" s="8">
        <v>-5240.2615809999998</v>
      </c>
      <c r="L3559" s="8">
        <v>1196.9651389999999</v>
      </c>
      <c r="M3559" s="9" t="str">
        <f>IF(A3559="",M3560,A3559)</f>
        <v>Rwanda</v>
      </c>
      <c r="N3559" s="3" t="str">
        <f t="shared" si="111"/>
        <v>Jun-2020</v>
      </c>
    </row>
    <row r="3560" spans="1:14" x14ac:dyDescent="0.3">
      <c r="A3560" s="3" t="s">
        <v>304</v>
      </c>
      <c r="B3560" s="3" t="s">
        <v>305</v>
      </c>
      <c r="C3560" s="8">
        <v>2020</v>
      </c>
      <c r="D3560" s="8">
        <v>7</v>
      </c>
      <c r="E3560" s="3" t="str">
        <f t="shared" si="110"/>
        <v>July</v>
      </c>
      <c r="F3560" s="3" t="s">
        <v>8</v>
      </c>
      <c r="G3560" s="8">
        <v>5414.3763980000003</v>
      </c>
      <c r="H3560" s="8">
        <v>5272.9179999999997</v>
      </c>
      <c r="I3560" s="8">
        <v>-141.45839770000001</v>
      </c>
      <c r="J3560" s="8">
        <v>-2218.0600100000001</v>
      </c>
      <c r="K3560" s="8">
        <v>-5596.808172</v>
      </c>
      <c r="L3560" s="8">
        <v>1505.1188059999999</v>
      </c>
      <c r="M3560" s="9" t="str">
        <f>IF(A3560="",M3561,A3560)</f>
        <v>Rwanda</v>
      </c>
      <c r="N3560" s="3" t="str">
        <f t="shared" si="111"/>
        <v>Jul-2020</v>
      </c>
    </row>
    <row r="3561" spans="1:14" x14ac:dyDescent="0.3">
      <c r="A3561" s="3" t="s">
        <v>304</v>
      </c>
      <c r="B3561" s="3" t="s">
        <v>305</v>
      </c>
      <c r="C3561" s="8">
        <v>2020</v>
      </c>
      <c r="D3561" s="8">
        <v>8</v>
      </c>
      <c r="E3561" s="3" t="str">
        <f t="shared" si="110"/>
        <v>August</v>
      </c>
      <c r="F3561" s="3" t="s">
        <v>8</v>
      </c>
      <c r="G3561" s="8">
        <v>5394.5801149999998</v>
      </c>
      <c r="H3561" s="8">
        <v>5489.8779999999997</v>
      </c>
      <c r="I3561" s="8">
        <v>95.297885190000002</v>
      </c>
      <c r="J3561" s="8">
        <v>-2122.7621239999999</v>
      </c>
      <c r="K3561" s="8">
        <v>-5805.8473610000001</v>
      </c>
      <c r="L3561" s="8">
        <v>2046.4486460000001</v>
      </c>
      <c r="M3561" s="9" t="str">
        <f>IF(A3561="",M3562,A3561)</f>
        <v>Rwanda</v>
      </c>
      <c r="N3561" s="3" t="str">
        <f t="shared" si="111"/>
        <v>Aug-2020</v>
      </c>
    </row>
    <row r="3562" spans="1:14" x14ac:dyDescent="0.3">
      <c r="A3562" s="3" t="s">
        <v>304</v>
      </c>
      <c r="B3562" s="3" t="s">
        <v>305</v>
      </c>
      <c r="C3562" s="8">
        <v>2020</v>
      </c>
      <c r="D3562" s="8">
        <v>9</v>
      </c>
      <c r="E3562" s="3" t="str">
        <f t="shared" si="110"/>
        <v>September</v>
      </c>
      <c r="F3562" s="3" t="s">
        <v>8</v>
      </c>
      <c r="G3562" s="8">
        <v>5384.6352619999998</v>
      </c>
      <c r="H3562" s="8">
        <v>5499.7269999999999</v>
      </c>
      <c r="I3562" s="8">
        <v>115.09173749999999</v>
      </c>
      <c r="J3562" s="8">
        <v>-2007.6703869999999</v>
      </c>
      <c r="K3562" s="8">
        <v>-5979.4887449999997</v>
      </c>
      <c r="L3562" s="8">
        <v>2105.0976089999999</v>
      </c>
      <c r="M3562" s="9" t="str">
        <f>IF(A3562="",M3563,A3562)</f>
        <v>Rwanda</v>
      </c>
      <c r="N3562" s="3" t="str">
        <f t="shared" si="111"/>
        <v>Sep-2020</v>
      </c>
    </row>
    <row r="3563" spans="1:14" x14ac:dyDescent="0.3">
      <c r="A3563" s="3" t="s">
        <v>304</v>
      </c>
      <c r="B3563" s="3" t="s">
        <v>305</v>
      </c>
      <c r="C3563" s="8">
        <v>2020</v>
      </c>
      <c r="D3563" s="8">
        <v>10</v>
      </c>
      <c r="E3563" s="3" t="str">
        <f t="shared" si="110"/>
        <v>October</v>
      </c>
      <c r="F3563" s="3" t="s">
        <v>8</v>
      </c>
      <c r="G3563" s="8">
        <v>5387.1502540000001</v>
      </c>
      <c r="H3563" s="8">
        <v>5454.4840000000004</v>
      </c>
      <c r="I3563" s="8">
        <v>67.333746480000002</v>
      </c>
      <c r="J3563" s="8">
        <v>-1940.33664</v>
      </c>
      <c r="K3563" s="8">
        <v>-6502.2954630000004</v>
      </c>
      <c r="L3563" s="8">
        <v>2765.5555949999998</v>
      </c>
      <c r="M3563" s="9" t="str">
        <f>IF(A3563="",M3564,A3563)</f>
        <v>Rwanda</v>
      </c>
      <c r="N3563" s="3" t="str">
        <f t="shared" si="111"/>
        <v>Oct-2020</v>
      </c>
    </row>
    <row r="3564" spans="1:14" x14ac:dyDescent="0.3">
      <c r="A3564" s="3" t="s">
        <v>304</v>
      </c>
      <c r="B3564" s="3" t="s">
        <v>305</v>
      </c>
      <c r="C3564" s="8">
        <v>2020</v>
      </c>
      <c r="D3564" s="8">
        <v>11</v>
      </c>
      <c r="E3564" s="3" t="str">
        <f t="shared" si="110"/>
        <v>November</v>
      </c>
      <c r="F3564" s="3" t="s">
        <v>8</v>
      </c>
      <c r="G3564" s="8">
        <v>5413.8269300000002</v>
      </c>
      <c r="H3564" s="8">
        <v>5521.3829999999998</v>
      </c>
      <c r="I3564" s="8">
        <v>107.5560699</v>
      </c>
      <c r="J3564" s="8">
        <v>-1832.7805699999999</v>
      </c>
      <c r="K3564" s="8">
        <v>-6567.6983399999999</v>
      </c>
      <c r="L3564" s="8">
        <v>3228.7258750000001</v>
      </c>
      <c r="M3564" s="9" t="str">
        <f>IF(A3564="",M3565,A3564)</f>
        <v>Rwanda</v>
      </c>
      <c r="N3564" s="3" t="str">
        <f t="shared" si="111"/>
        <v>Nov-2020</v>
      </c>
    </row>
    <row r="3565" spans="1:14" x14ac:dyDescent="0.3">
      <c r="A3565" s="3" t="s">
        <v>304</v>
      </c>
      <c r="B3565" s="3" t="s">
        <v>305</v>
      </c>
      <c r="C3565" s="8">
        <v>2020</v>
      </c>
      <c r="D3565" s="8">
        <v>12</v>
      </c>
      <c r="E3565" s="3" t="str">
        <f t="shared" si="110"/>
        <v>December</v>
      </c>
      <c r="F3565" s="3" t="s">
        <v>8</v>
      </c>
      <c r="G3565" s="8">
        <v>5402.4672259999998</v>
      </c>
      <c r="H3565" s="8">
        <v>5565.2780000000002</v>
      </c>
      <c r="I3565" s="8">
        <v>162.81077440000001</v>
      </c>
      <c r="J3565" s="8">
        <v>-1669.9697960000001</v>
      </c>
      <c r="K3565" s="8">
        <v>-6798.7726419999999</v>
      </c>
      <c r="L3565" s="8">
        <v>3643.2185709999999</v>
      </c>
      <c r="M3565" s="9" t="str">
        <f>IF(A3565="",M3566,A3565)</f>
        <v>Rwanda</v>
      </c>
      <c r="N3565" s="3" t="str">
        <f t="shared" si="111"/>
        <v>Dec-2020</v>
      </c>
    </row>
    <row r="3566" spans="1:14" x14ac:dyDescent="0.3">
      <c r="A3566" s="3" t="s">
        <v>304</v>
      </c>
      <c r="B3566" s="3" t="s">
        <v>305</v>
      </c>
      <c r="C3566" s="8">
        <v>2021</v>
      </c>
      <c r="D3566" s="8">
        <v>1</v>
      </c>
      <c r="E3566" s="3" t="str">
        <f t="shared" si="110"/>
        <v>January</v>
      </c>
      <c r="F3566" s="3" t="s">
        <v>8</v>
      </c>
      <c r="G3566" s="8">
        <v>5458.6125019999999</v>
      </c>
      <c r="H3566" s="8">
        <v>5813.0720000000001</v>
      </c>
      <c r="I3566" s="8">
        <v>354.45949780000001</v>
      </c>
      <c r="J3566" s="8">
        <v>-1315.5102979999999</v>
      </c>
      <c r="K3566" s="8">
        <v>-6744.0598360000004</v>
      </c>
      <c r="L3566" s="8">
        <v>4233.503224</v>
      </c>
      <c r="M3566" s="9" t="str">
        <f>IF(A3566="",M3567,A3566)</f>
        <v>Rwanda</v>
      </c>
      <c r="N3566" s="3" t="str">
        <f t="shared" si="111"/>
        <v>Jan-2021</v>
      </c>
    </row>
    <row r="3567" spans="1:14" x14ac:dyDescent="0.3">
      <c r="A3567" s="3" t="s">
        <v>304</v>
      </c>
      <c r="B3567" s="3" t="s">
        <v>305</v>
      </c>
      <c r="C3567" s="8">
        <v>2021</v>
      </c>
      <c r="D3567" s="8">
        <v>2</v>
      </c>
      <c r="E3567" s="3" t="str">
        <f t="shared" si="110"/>
        <v>February</v>
      </c>
      <c r="F3567" s="3" t="s">
        <v>8</v>
      </c>
      <c r="G3567" s="8">
        <v>5478.5750200000002</v>
      </c>
      <c r="H3567" s="8">
        <v>5607.5749999999998</v>
      </c>
      <c r="I3567" s="8">
        <v>128.9999804</v>
      </c>
      <c r="J3567" s="8">
        <v>-1186.5103180000001</v>
      </c>
      <c r="K3567" s="8">
        <v>-6552.53982</v>
      </c>
      <c r="L3567" s="8">
        <v>4188.2074659999998</v>
      </c>
      <c r="M3567" s="9" t="str">
        <f>IF(A3567="",M3568,A3567)</f>
        <v>Rwanda</v>
      </c>
      <c r="N3567" s="3" t="str">
        <f t="shared" si="111"/>
        <v>Feb-2021</v>
      </c>
    </row>
    <row r="3568" spans="1:14" x14ac:dyDescent="0.3">
      <c r="A3568" s="3" t="s">
        <v>304</v>
      </c>
      <c r="B3568" s="3" t="s">
        <v>305</v>
      </c>
      <c r="C3568" s="8">
        <v>2021</v>
      </c>
      <c r="D3568" s="8">
        <v>3</v>
      </c>
      <c r="E3568" s="3" t="str">
        <f t="shared" si="110"/>
        <v>March</v>
      </c>
      <c r="F3568" s="3" t="s">
        <v>8</v>
      </c>
      <c r="G3568" s="8">
        <v>5468.1621130000003</v>
      </c>
      <c r="H3568" s="8">
        <v>5466.3379999999997</v>
      </c>
      <c r="I3568" s="8">
        <v>-1.824113439</v>
      </c>
      <c r="J3568" s="8">
        <v>-1188.334431</v>
      </c>
      <c r="K3568" s="8">
        <v>-6671.7457370000002</v>
      </c>
      <c r="L3568" s="8">
        <v>4603.680402</v>
      </c>
      <c r="M3568" s="9" t="str">
        <f>IF(A3568="",M3569,A3568)</f>
        <v>Rwanda</v>
      </c>
      <c r="N3568" s="3" t="str">
        <f t="shared" si="111"/>
        <v>Mar-2021</v>
      </c>
    </row>
    <row r="3569" spans="1:14" x14ac:dyDescent="0.3">
      <c r="A3569" s="3" t="s">
        <v>304</v>
      </c>
      <c r="B3569" s="3" t="s">
        <v>305</v>
      </c>
      <c r="C3569" s="8">
        <v>2021</v>
      </c>
      <c r="D3569" s="8">
        <v>4</v>
      </c>
      <c r="E3569" s="3" t="str">
        <f t="shared" si="110"/>
        <v>April</v>
      </c>
      <c r="F3569" s="3" t="s">
        <v>8</v>
      </c>
      <c r="G3569" s="8">
        <v>5489.9083110000001</v>
      </c>
      <c r="H3569" s="8">
        <v>5352.3609999999999</v>
      </c>
      <c r="I3569" s="8">
        <v>-137.5473112</v>
      </c>
      <c r="J3569" s="8">
        <v>-1325.8817429999999</v>
      </c>
      <c r="K3569" s="8">
        <v>-7102.4332299999996</v>
      </c>
      <c r="L3569" s="8">
        <v>4577.2495449999997</v>
      </c>
      <c r="M3569" s="9" t="str">
        <f>IF(A3569="",M3570,A3569)</f>
        <v>Rwanda</v>
      </c>
      <c r="N3569" s="3" t="str">
        <f t="shared" si="111"/>
        <v>Apr-2021</v>
      </c>
    </row>
    <row r="3570" spans="1:14" x14ac:dyDescent="0.3">
      <c r="A3570" s="3" t="s">
        <v>304</v>
      </c>
      <c r="B3570" s="3" t="s">
        <v>305</v>
      </c>
      <c r="C3570" s="8">
        <v>2021</v>
      </c>
      <c r="D3570" s="8">
        <v>5</v>
      </c>
      <c r="E3570" s="3" t="str">
        <f t="shared" si="110"/>
        <v>May</v>
      </c>
      <c r="F3570" s="3" t="s">
        <v>8</v>
      </c>
      <c r="G3570" s="8">
        <v>5459.5592550000001</v>
      </c>
      <c r="H3570" s="8">
        <v>5283.201</v>
      </c>
      <c r="I3570" s="8">
        <v>-176.3582548</v>
      </c>
      <c r="J3570" s="8">
        <v>-1502.2399969999999</v>
      </c>
      <c r="K3570" s="8">
        <v>-7386.8591999999999</v>
      </c>
      <c r="L3570" s="8">
        <v>4598.5935870000003</v>
      </c>
      <c r="M3570" s="9" t="str">
        <f>IF(A3570="",M3571,A3570)</f>
        <v>Rwanda</v>
      </c>
      <c r="N3570" s="3" t="str">
        <f t="shared" si="111"/>
        <v>May-2021</v>
      </c>
    </row>
    <row r="3571" spans="1:14" x14ac:dyDescent="0.3">
      <c r="A3571" s="3" t="s">
        <v>304</v>
      </c>
      <c r="B3571" s="3" t="s">
        <v>305</v>
      </c>
      <c r="C3571" s="8">
        <v>2021</v>
      </c>
      <c r="D3571" s="8">
        <v>6</v>
      </c>
      <c r="E3571" s="3" t="str">
        <f t="shared" si="110"/>
        <v>June</v>
      </c>
      <c r="F3571" s="3" t="s">
        <v>8</v>
      </c>
      <c r="G3571" s="8">
        <v>5472.7085180000004</v>
      </c>
      <c r="H3571" s="8">
        <v>5615.3249999999998</v>
      </c>
      <c r="I3571" s="8">
        <v>142.61648149999999</v>
      </c>
      <c r="J3571" s="8">
        <v>-1359.6235160000001</v>
      </c>
      <c r="K3571" s="8">
        <v>-7172.4513539999998</v>
      </c>
      <c r="L3571" s="8">
        <v>5165.534541</v>
      </c>
      <c r="M3571" s="9" t="str">
        <f>IF(A3571="",M3572,A3571)</f>
        <v>Rwanda</v>
      </c>
      <c r="N3571" s="3" t="str">
        <f t="shared" si="111"/>
        <v>Jun-2021</v>
      </c>
    </row>
    <row r="3572" spans="1:14" x14ac:dyDescent="0.3">
      <c r="A3572" s="3" t="s">
        <v>304</v>
      </c>
      <c r="B3572" s="3" t="s">
        <v>305</v>
      </c>
      <c r="C3572" s="8">
        <v>2021</v>
      </c>
      <c r="D3572" s="8">
        <v>7</v>
      </c>
      <c r="E3572" s="3" t="str">
        <f t="shared" si="110"/>
        <v>July</v>
      </c>
      <c r="F3572" s="3" t="s">
        <v>8</v>
      </c>
      <c r="G3572" s="8">
        <v>5461.7211399999997</v>
      </c>
      <c r="H3572" s="8">
        <v>6164.97</v>
      </c>
      <c r="I3572" s="8">
        <v>703.24886049999998</v>
      </c>
      <c r="J3572" s="8">
        <v>-656.37465540000005</v>
      </c>
      <c r="K3572" s="8">
        <v>-6745.9074540000001</v>
      </c>
      <c r="L3572" s="8">
        <v>5886.1663440000002</v>
      </c>
      <c r="M3572" s="9" t="str">
        <f>IF(A3572="",M3573,A3572)</f>
        <v>Rwanda</v>
      </c>
      <c r="N3572" s="3" t="str">
        <f t="shared" si="111"/>
        <v>Jul-2021</v>
      </c>
    </row>
    <row r="3573" spans="1:14" x14ac:dyDescent="0.3">
      <c r="A3573" s="3" t="s">
        <v>304</v>
      </c>
      <c r="B3573" s="3" t="s">
        <v>305</v>
      </c>
      <c r="C3573" s="8">
        <v>2021</v>
      </c>
      <c r="D3573" s="8">
        <v>8</v>
      </c>
      <c r="E3573" s="3" t="str">
        <f t="shared" si="110"/>
        <v>August</v>
      </c>
      <c r="F3573" s="3" t="s">
        <v>8</v>
      </c>
      <c r="G3573" s="8">
        <v>5443.5940909999999</v>
      </c>
      <c r="H3573" s="8">
        <v>5936.5469999999996</v>
      </c>
      <c r="I3573" s="8">
        <v>492.95290929999999</v>
      </c>
      <c r="J3573" s="8">
        <v>-163.42174610000001</v>
      </c>
      <c r="K3573" s="8">
        <v>-6465.889443</v>
      </c>
      <c r="L3573" s="8">
        <v>6628.5721700000004</v>
      </c>
      <c r="M3573" s="9" t="str">
        <f>IF(A3573="",M3574,A3573)</f>
        <v>Rwanda</v>
      </c>
      <c r="N3573" s="3" t="str">
        <f t="shared" si="111"/>
        <v>Aug-2021</v>
      </c>
    </row>
    <row r="3574" spans="1:14" x14ac:dyDescent="0.3">
      <c r="A3574" s="3" t="s">
        <v>304</v>
      </c>
      <c r="B3574" s="3" t="s">
        <v>305</v>
      </c>
      <c r="C3574" s="8">
        <v>2021</v>
      </c>
      <c r="D3574" s="8">
        <v>9</v>
      </c>
      <c r="E3574" s="3" t="str">
        <f t="shared" si="110"/>
        <v>September</v>
      </c>
      <c r="F3574" s="3" t="s">
        <v>8</v>
      </c>
      <c r="G3574" s="8">
        <v>5439.332144</v>
      </c>
      <c r="H3574" s="8">
        <v>5770.8419999999996</v>
      </c>
      <c r="I3574" s="8">
        <v>331.5098557</v>
      </c>
      <c r="J3574" s="8">
        <v>168.0881096</v>
      </c>
      <c r="K3574" s="8">
        <v>-6236.7925619999996</v>
      </c>
      <c r="L3574" s="8">
        <v>6969.9799110000004</v>
      </c>
      <c r="M3574" s="9" t="str">
        <f>IF(A3574="",M3575,A3574)</f>
        <v>Rwanda</v>
      </c>
      <c r="N3574" s="3" t="str">
        <f t="shared" si="111"/>
        <v>Sep-2021</v>
      </c>
    </row>
    <row r="3575" spans="1:14" x14ac:dyDescent="0.3">
      <c r="A3575" s="3" t="s">
        <v>304</v>
      </c>
      <c r="B3575" s="3" t="s">
        <v>305</v>
      </c>
      <c r="C3575" s="8">
        <v>2021</v>
      </c>
      <c r="D3575" s="8">
        <v>10</v>
      </c>
      <c r="E3575" s="3" t="str">
        <f t="shared" si="110"/>
        <v>October</v>
      </c>
      <c r="F3575" s="3" t="s">
        <v>8</v>
      </c>
      <c r="G3575" s="8">
        <v>5440.3034870000001</v>
      </c>
      <c r="H3575" s="8">
        <v>5572.1729999999998</v>
      </c>
      <c r="I3575" s="8">
        <v>131.8695127</v>
      </c>
      <c r="J3575" s="8">
        <v>299.95762230000003</v>
      </c>
      <c r="K3575" s="8">
        <v>-6248.3143520000003</v>
      </c>
      <c r="L3575" s="8">
        <v>7089.4423109999998</v>
      </c>
      <c r="M3575" s="9" t="str">
        <f>IF(A3575="",M3576,A3575)</f>
        <v>Rwanda</v>
      </c>
      <c r="N3575" s="3" t="str">
        <f t="shared" si="111"/>
        <v>Oct-2021</v>
      </c>
    </row>
    <row r="3576" spans="1:14" x14ac:dyDescent="0.3">
      <c r="A3576" s="3" t="s">
        <v>304</v>
      </c>
      <c r="B3576" s="3" t="s">
        <v>305</v>
      </c>
      <c r="C3576" s="8">
        <v>2021</v>
      </c>
      <c r="D3576" s="8">
        <v>11</v>
      </c>
      <c r="E3576" s="3" t="str">
        <f t="shared" si="110"/>
        <v>November</v>
      </c>
      <c r="F3576" s="3" t="s">
        <v>8</v>
      </c>
      <c r="G3576" s="8">
        <v>5472.0903259999995</v>
      </c>
      <c r="H3576" s="8">
        <v>5517.982</v>
      </c>
      <c r="I3576" s="8">
        <v>45.891673650000001</v>
      </c>
      <c r="J3576" s="8">
        <v>345.84929590000002</v>
      </c>
      <c r="K3576" s="8">
        <v>-6372.087262</v>
      </c>
      <c r="L3576" s="8">
        <v>7395.2481930000004</v>
      </c>
      <c r="M3576" s="9" t="str">
        <f>IF(A3576="",M3577,A3576)</f>
        <v>Rwanda</v>
      </c>
      <c r="N3576" s="3" t="str">
        <f t="shared" si="111"/>
        <v>Nov-2021</v>
      </c>
    </row>
    <row r="3577" spans="1:14" x14ac:dyDescent="0.3">
      <c r="A3577" s="3" t="s">
        <v>304</v>
      </c>
      <c r="B3577" s="3" t="s">
        <v>305</v>
      </c>
      <c r="C3577" s="8">
        <v>2021</v>
      </c>
      <c r="D3577" s="8">
        <v>12</v>
      </c>
      <c r="E3577" s="3" t="str">
        <f t="shared" si="110"/>
        <v>December</v>
      </c>
      <c r="F3577" s="3" t="s">
        <v>8</v>
      </c>
      <c r="G3577" s="8">
        <v>5453.983972</v>
      </c>
      <c r="H3577" s="8">
        <v>5636.5389999999998</v>
      </c>
      <c r="I3577" s="8">
        <v>182.5550278</v>
      </c>
      <c r="J3577" s="8">
        <v>528.40432380000004</v>
      </c>
      <c r="K3577" s="8">
        <v>-6412.9009379999998</v>
      </c>
      <c r="L3577" s="8">
        <v>7731.8067019999999</v>
      </c>
      <c r="M3577" s="9" t="str">
        <f>IF(A3577="",M3578,A3577)</f>
        <v>Rwanda</v>
      </c>
      <c r="N3577" s="3" t="str">
        <f t="shared" si="111"/>
        <v>Dec-2021</v>
      </c>
    </row>
    <row r="3578" spans="1:14" x14ac:dyDescent="0.3">
      <c r="A3578" s="3" t="s">
        <v>306</v>
      </c>
      <c r="B3578" s="3" t="s">
        <v>307</v>
      </c>
      <c r="C3578" s="8">
        <v>2020</v>
      </c>
      <c r="D3578" s="8">
        <v>1</v>
      </c>
      <c r="E3578" s="3" t="str">
        <f t="shared" si="110"/>
        <v>January</v>
      </c>
      <c r="F3578" s="3" t="s">
        <v>8</v>
      </c>
      <c r="G3578" s="8">
        <v>12927.718639999999</v>
      </c>
      <c r="H3578" s="8">
        <v>13028.928</v>
      </c>
      <c r="I3578" s="8">
        <v>101.2093551</v>
      </c>
      <c r="J3578" s="8">
        <v>101.2093551</v>
      </c>
      <c r="K3578" s="8">
        <v>-3189.5722890000002</v>
      </c>
      <c r="L3578" s="8">
        <v>3864.3197989999999</v>
      </c>
      <c r="M3578" s="9" t="str">
        <f>IF(A3578="",M3579,A3578)</f>
        <v>Saudi Arabia</v>
      </c>
      <c r="N3578" s="3" t="str">
        <f t="shared" si="111"/>
        <v>Jan-2020</v>
      </c>
    </row>
    <row r="3579" spans="1:14" x14ac:dyDescent="0.3">
      <c r="A3579" s="3" t="s">
        <v>306</v>
      </c>
      <c r="B3579" s="3" t="s">
        <v>307</v>
      </c>
      <c r="C3579" s="8">
        <v>2020</v>
      </c>
      <c r="D3579" s="8">
        <v>2</v>
      </c>
      <c r="E3579" s="3" t="str">
        <f t="shared" si="110"/>
        <v>February</v>
      </c>
      <c r="F3579" s="3" t="s">
        <v>8</v>
      </c>
      <c r="G3579" s="8">
        <v>12741.005709999999</v>
      </c>
      <c r="H3579" s="8">
        <v>12347.307000000001</v>
      </c>
      <c r="I3579" s="8">
        <v>-393.69870909999997</v>
      </c>
      <c r="J3579" s="8">
        <v>-292.48935399999999</v>
      </c>
      <c r="K3579" s="8">
        <v>-4831.1766449999996</v>
      </c>
      <c r="L3579" s="8">
        <v>4831.873619</v>
      </c>
      <c r="M3579" s="9" t="str">
        <f>IF(A3579="",M3580,A3579)</f>
        <v>Saudi Arabia</v>
      </c>
      <c r="N3579" s="3" t="str">
        <f t="shared" si="111"/>
        <v>Feb-2020</v>
      </c>
    </row>
    <row r="3580" spans="1:14" x14ac:dyDescent="0.3">
      <c r="A3580" s="3" t="s">
        <v>306</v>
      </c>
      <c r="B3580" s="3" t="s">
        <v>307</v>
      </c>
      <c r="C3580" s="8">
        <v>2020</v>
      </c>
      <c r="D3580" s="8">
        <v>3</v>
      </c>
      <c r="E3580" s="3" t="str">
        <f t="shared" si="110"/>
        <v>March</v>
      </c>
      <c r="F3580" s="3" t="s">
        <v>8</v>
      </c>
      <c r="G3580" s="8">
        <v>12475.869780000001</v>
      </c>
      <c r="H3580" s="8">
        <v>12295.621999999999</v>
      </c>
      <c r="I3580" s="8">
        <v>-180.24777829999999</v>
      </c>
      <c r="J3580" s="8">
        <v>-472.73713229999998</v>
      </c>
      <c r="K3580" s="8">
        <v>-5723.3765530000001</v>
      </c>
      <c r="L3580" s="8">
        <v>5619.4393520000003</v>
      </c>
      <c r="M3580" s="9" t="str">
        <f>IF(A3580="",M3581,A3580)</f>
        <v>Saudi Arabia</v>
      </c>
      <c r="N3580" s="3" t="str">
        <f t="shared" si="111"/>
        <v>Mar-2020</v>
      </c>
    </row>
    <row r="3581" spans="1:14" x14ac:dyDescent="0.3">
      <c r="A3581" s="3" t="s">
        <v>306</v>
      </c>
      <c r="B3581" s="3" t="s">
        <v>307</v>
      </c>
      <c r="C3581" s="8">
        <v>2020</v>
      </c>
      <c r="D3581" s="8">
        <v>4</v>
      </c>
      <c r="E3581" s="3" t="str">
        <f t="shared" si="110"/>
        <v>April</v>
      </c>
      <c r="F3581" s="3" t="s">
        <v>8</v>
      </c>
      <c r="G3581" s="8">
        <v>12163.40804</v>
      </c>
      <c r="H3581" s="8">
        <v>12665.632</v>
      </c>
      <c r="I3581" s="8">
        <v>502.22396300000003</v>
      </c>
      <c r="J3581" s="8">
        <v>29.486830619999999</v>
      </c>
      <c r="K3581" s="8">
        <v>-6385.1375479999997</v>
      </c>
      <c r="L3581" s="8">
        <v>6397.474158</v>
      </c>
      <c r="M3581" s="9" t="str">
        <f>IF(A3581="",M3582,A3581)</f>
        <v>Saudi Arabia</v>
      </c>
      <c r="N3581" s="3" t="str">
        <f t="shared" si="111"/>
        <v>Apr-2020</v>
      </c>
    </row>
    <row r="3582" spans="1:14" x14ac:dyDescent="0.3">
      <c r="A3582" s="3" t="s">
        <v>306</v>
      </c>
      <c r="B3582" s="3" t="s">
        <v>307</v>
      </c>
      <c r="C3582" s="8">
        <v>2020</v>
      </c>
      <c r="D3582" s="8">
        <v>5</v>
      </c>
      <c r="E3582" s="3" t="str">
        <f t="shared" si="110"/>
        <v>May</v>
      </c>
      <c r="F3582" s="3" t="s">
        <v>8</v>
      </c>
      <c r="G3582" s="8">
        <v>11831.05514</v>
      </c>
      <c r="H3582" s="8">
        <v>14025.992</v>
      </c>
      <c r="I3582" s="8">
        <v>2194.9368599999998</v>
      </c>
      <c r="J3582" s="8">
        <v>2224.423691</v>
      </c>
      <c r="K3582" s="8">
        <v>-5083.1771950000002</v>
      </c>
      <c r="L3582" s="8">
        <v>10249.35845</v>
      </c>
      <c r="M3582" s="9" t="str">
        <f>IF(A3582="",M3583,A3582)</f>
        <v>Saudi Arabia</v>
      </c>
      <c r="N3582" s="3" t="str">
        <f t="shared" si="111"/>
        <v>May-2020</v>
      </c>
    </row>
    <row r="3583" spans="1:14" x14ac:dyDescent="0.3">
      <c r="A3583" s="3" t="s">
        <v>306</v>
      </c>
      <c r="B3583" s="3" t="s">
        <v>307</v>
      </c>
      <c r="C3583" s="8">
        <v>2020</v>
      </c>
      <c r="D3583" s="8">
        <v>6</v>
      </c>
      <c r="E3583" s="3" t="str">
        <f t="shared" si="110"/>
        <v>June</v>
      </c>
      <c r="F3583" s="3" t="s">
        <v>8</v>
      </c>
      <c r="G3583" s="8">
        <v>11631.85152</v>
      </c>
      <c r="H3583" s="8">
        <v>16106.790999999999</v>
      </c>
      <c r="I3583" s="8">
        <v>4474.93948</v>
      </c>
      <c r="J3583" s="8">
        <v>6699.363171</v>
      </c>
      <c r="K3583" s="8">
        <v>-1998.613537</v>
      </c>
      <c r="L3583" s="8">
        <v>16187.104240000001</v>
      </c>
      <c r="M3583" s="9" t="str">
        <f>IF(A3583="",M3584,A3583)</f>
        <v>Saudi Arabia</v>
      </c>
      <c r="N3583" s="3" t="str">
        <f t="shared" si="111"/>
        <v>Jun-2020</v>
      </c>
    </row>
    <row r="3584" spans="1:14" x14ac:dyDescent="0.3">
      <c r="A3584" s="3" t="s">
        <v>306</v>
      </c>
      <c r="B3584" s="3" t="s">
        <v>307</v>
      </c>
      <c r="C3584" s="8">
        <v>2020</v>
      </c>
      <c r="D3584" s="8">
        <v>7</v>
      </c>
      <c r="E3584" s="3" t="str">
        <f t="shared" si="110"/>
        <v>July</v>
      </c>
      <c r="F3584" s="3" t="s">
        <v>8</v>
      </c>
      <c r="G3584" s="8">
        <v>11532.38573</v>
      </c>
      <c r="H3584" s="8">
        <v>15573.313</v>
      </c>
      <c r="I3584" s="8">
        <v>4040.9272740000001</v>
      </c>
      <c r="J3584" s="8">
        <v>10740.29045</v>
      </c>
      <c r="K3584" s="8">
        <v>657.06406939999999</v>
      </c>
      <c r="L3584" s="8">
        <v>20958.18621</v>
      </c>
      <c r="M3584" s="9" t="str">
        <f>IF(A3584="",M3585,A3584)</f>
        <v>Saudi Arabia</v>
      </c>
      <c r="N3584" s="3" t="str">
        <f t="shared" si="111"/>
        <v>Jul-2020</v>
      </c>
    </row>
    <row r="3585" spans="1:14" x14ac:dyDescent="0.3">
      <c r="A3585" s="3" t="s">
        <v>306</v>
      </c>
      <c r="B3585" s="3" t="s">
        <v>307</v>
      </c>
      <c r="C3585" s="8">
        <v>2020</v>
      </c>
      <c r="D3585" s="8">
        <v>8</v>
      </c>
      <c r="E3585" s="3" t="str">
        <f t="shared" si="110"/>
        <v>August</v>
      </c>
      <c r="F3585" s="3" t="s">
        <v>8</v>
      </c>
      <c r="G3585" s="8">
        <v>11578.49863</v>
      </c>
      <c r="H3585" s="8">
        <v>14317.681</v>
      </c>
      <c r="I3585" s="8">
        <v>2739.1823730000001</v>
      </c>
      <c r="J3585" s="8">
        <v>13479.472820000001</v>
      </c>
      <c r="K3585" s="8">
        <v>2777.2149380000001</v>
      </c>
      <c r="L3585" s="8">
        <v>24407.0458</v>
      </c>
      <c r="M3585" s="9" t="str">
        <f>IF(A3585="",M3586,A3585)</f>
        <v>Saudi Arabia</v>
      </c>
      <c r="N3585" s="3" t="str">
        <f t="shared" si="111"/>
        <v>Aug-2020</v>
      </c>
    </row>
    <row r="3586" spans="1:14" x14ac:dyDescent="0.3">
      <c r="A3586" s="3" t="s">
        <v>306</v>
      </c>
      <c r="B3586" s="3" t="s">
        <v>307</v>
      </c>
      <c r="C3586" s="8">
        <v>2020</v>
      </c>
      <c r="D3586" s="8">
        <v>9</v>
      </c>
      <c r="E3586" s="3" t="str">
        <f t="shared" ref="E3586:E3649" si="112">TEXT(DATE(C3586,D3586,1),"MMMM")</f>
        <v>September</v>
      </c>
      <c r="F3586" s="3" t="s">
        <v>8</v>
      </c>
      <c r="G3586" s="8">
        <v>11693.36354</v>
      </c>
      <c r="H3586" s="8">
        <v>13492.960999999999</v>
      </c>
      <c r="I3586" s="8">
        <v>1799.5974590000001</v>
      </c>
      <c r="J3586" s="8">
        <v>15279.07028</v>
      </c>
      <c r="K3586" s="8">
        <v>3862.5057539999998</v>
      </c>
      <c r="L3586" s="8">
        <v>27189.853090000001</v>
      </c>
      <c r="M3586" s="9" t="str">
        <f>IF(A3586="",M3587,A3586)</f>
        <v>Saudi Arabia</v>
      </c>
      <c r="N3586" s="3" t="str">
        <f t="shared" ref="N3586:N3649" si="113">TEXT(DATE(C3586,D3586,1),"MMM-YYYY")</f>
        <v>Sep-2020</v>
      </c>
    </row>
    <row r="3587" spans="1:14" x14ac:dyDescent="0.3">
      <c r="A3587" s="3" t="s">
        <v>306</v>
      </c>
      <c r="B3587" s="3" t="s">
        <v>307</v>
      </c>
      <c r="C3587" s="8">
        <v>2020</v>
      </c>
      <c r="D3587" s="8">
        <v>10</v>
      </c>
      <c r="E3587" s="3" t="str">
        <f t="shared" si="112"/>
        <v>October</v>
      </c>
      <c r="F3587" s="3" t="s">
        <v>8</v>
      </c>
      <c r="G3587" s="8">
        <v>12035.628409999999</v>
      </c>
      <c r="H3587" s="8">
        <v>13092.56</v>
      </c>
      <c r="I3587" s="8">
        <v>1056.9315899999999</v>
      </c>
      <c r="J3587" s="8">
        <v>16336.00187</v>
      </c>
      <c r="K3587" s="8">
        <v>4558.3654660000002</v>
      </c>
      <c r="L3587" s="8">
        <v>28481.327840000002</v>
      </c>
      <c r="M3587" s="9" t="str">
        <f>IF(A3587="",M3588,A3587)</f>
        <v>Saudi Arabia</v>
      </c>
      <c r="N3587" s="3" t="str">
        <f t="shared" si="113"/>
        <v>Oct-2020</v>
      </c>
    </row>
    <row r="3588" spans="1:14" x14ac:dyDescent="0.3">
      <c r="A3588" s="3" t="s">
        <v>306</v>
      </c>
      <c r="B3588" s="3" t="s">
        <v>307</v>
      </c>
      <c r="C3588" s="8">
        <v>2020</v>
      </c>
      <c r="D3588" s="8">
        <v>11</v>
      </c>
      <c r="E3588" s="3" t="str">
        <f t="shared" si="112"/>
        <v>November</v>
      </c>
      <c r="F3588" s="3" t="s">
        <v>8</v>
      </c>
      <c r="G3588" s="8">
        <v>12429.62761</v>
      </c>
      <c r="H3588" s="8">
        <v>13191.539000000001</v>
      </c>
      <c r="I3588" s="8">
        <v>761.91138720000004</v>
      </c>
      <c r="J3588" s="8">
        <v>17097.913250000001</v>
      </c>
      <c r="K3588" s="8">
        <v>4156.35304</v>
      </c>
      <c r="L3588" s="8">
        <v>29865.850490000001</v>
      </c>
      <c r="M3588" s="9" t="str">
        <f>IF(A3588="",M3589,A3588)</f>
        <v>Saudi Arabia</v>
      </c>
      <c r="N3588" s="3" t="str">
        <f t="shared" si="113"/>
        <v>Nov-2020</v>
      </c>
    </row>
    <row r="3589" spans="1:14" x14ac:dyDescent="0.3">
      <c r="A3589" s="3" t="s">
        <v>306</v>
      </c>
      <c r="B3589" s="3" t="s">
        <v>307</v>
      </c>
      <c r="C3589" s="8">
        <v>2020</v>
      </c>
      <c r="D3589" s="8">
        <v>12</v>
      </c>
      <c r="E3589" s="3" t="str">
        <f t="shared" si="112"/>
        <v>December</v>
      </c>
      <c r="F3589" s="3" t="s">
        <v>8</v>
      </c>
      <c r="G3589" s="8">
        <v>12742.00188</v>
      </c>
      <c r="H3589" s="8">
        <v>13162.603999999999</v>
      </c>
      <c r="I3589" s="8">
        <v>420.60212189999999</v>
      </c>
      <c r="J3589" s="8">
        <v>17518.515380000001</v>
      </c>
      <c r="K3589" s="8">
        <v>4136.1305929999999</v>
      </c>
      <c r="L3589" s="8">
        <v>31046.635920000001</v>
      </c>
      <c r="M3589" s="9" t="str">
        <f>IF(A3589="",M3590,A3589)</f>
        <v>Saudi Arabia</v>
      </c>
      <c r="N3589" s="3" t="str">
        <f t="shared" si="113"/>
        <v>Dec-2020</v>
      </c>
    </row>
    <row r="3590" spans="1:14" x14ac:dyDescent="0.3">
      <c r="A3590" s="3" t="s">
        <v>306</v>
      </c>
      <c r="B3590" s="3" t="s">
        <v>307</v>
      </c>
      <c r="C3590" s="8">
        <v>2021</v>
      </c>
      <c r="D3590" s="8">
        <v>1</v>
      </c>
      <c r="E3590" s="3" t="str">
        <f t="shared" si="112"/>
        <v>January</v>
      </c>
      <c r="F3590" s="3" t="s">
        <v>8</v>
      </c>
      <c r="G3590" s="8">
        <v>13151.159739999999</v>
      </c>
      <c r="H3590" s="8">
        <v>13029.755999999999</v>
      </c>
      <c r="I3590" s="8">
        <v>-121.4037431</v>
      </c>
      <c r="J3590" s="8">
        <v>17397.111629999999</v>
      </c>
      <c r="K3590" s="8">
        <v>4208.3381790000003</v>
      </c>
      <c r="L3590" s="8">
        <v>31479.688829999999</v>
      </c>
      <c r="M3590" s="9" t="str">
        <f>IF(A3590="",M3591,A3590)</f>
        <v>Saudi Arabia</v>
      </c>
      <c r="N3590" s="3" t="str">
        <f t="shared" si="113"/>
        <v>Jan-2021</v>
      </c>
    </row>
    <row r="3591" spans="1:14" x14ac:dyDescent="0.3">
      <c r="A3591" s="3" t="s">
        <v>306</v>
      </c>
      <c r="B3591" s="3" t="s">
        <v>307</v>
      </c>
      <c r="C3591" s="8">
        <v>2021</v>
      </c>
      <c r="D3591" s="8">
        <v>2</v>
      </c>
      <c r="E3591" s="3" t="str">
        <f t="shared" si="112"/>
        <v>February</v>
      </c>
      <c r="F3591" s="3" t="s">
        <v>8</v>
      </c>
      <c r="G3591" s="8">
        <v>12953.21643</v>
      </c>
      <c r="H3591" s="8">
        <v>12587.001</v>
      </c>
      <c r="I3591" s="8">
        <v>-366.21543229999997</v>
      </c>
      <c r="J3591" s="8">
        <v>17030.896199999999</v>
      </c>
      <c r="K3591" s="8">
        <v>3685.5242589999998</v>
      </c>
      <c r="L3591" s="8">
        <v>32090.793969999999</v>
      </c>
      <c r="M3591" s="9" t="str">
        <f>IF(A3591="",M3592,A3591)</f>
        <v>Saudi Arabia</v>
      </c>
      <c r="N3591" s="3" t="str">
        <f t="shared" si="113"/>
        <v>Feb-2021</v>
      </c>
    </row>
    <row r="3592" spans="1:14" x14ac:dyDescent="0.3">
      <c r="A3592" s="3" t="s">
        <v>306</v>
      </c>
      <c r="B3592" s="3" t="s">
        <v>307</v>
      </c>
      <c r="C3592" s="8">
        <v>2021</v>
      </c>
      <c r="D3592" s="8">
        <v>3</v>
      </c>
      <c r="E3592" s="3" t="str">
        <f t="shared" si="112"/>
        <v>March</v>
      </c>
      <c r="F3592" s="3" t="s">
        <v>8</v>
      </c>
      <c r="G3592" s="8">
        <v>12691.889859999999</v>
      </c>
      <c r="H3592" s="8">
        <v>12890.02</v>
      </c>
      <c r="I3592" s="8">
        <v>198.13013599999999</v>
      </c>
      <c r="J3592" s="8">
        <v>17229.02634</v>
      </c>
      <c r="K3592" s="8">
        <v>3445.289002</v>
      </c>
      <c r="L3592" s="8">
        <v>32160.071950000001</v>
      </c>
      <c r="M3592" s="9" t="str">
        <f>IF(A3592="",M3593,A3592)</f>
        <v>Saudi Arabia</v>
      </c>
      <c r="N3592" s="3" t="str">
        <f t="shared" si="113"/>
        <v>Mar-2021</v>
      </c>
    </row>
    <row r="3593" spans="1:14" x14ac:dyDescent="0.3">
      <c r="A3593" s="3" t="s">
        <v>306</v>
      </c>
      <c r="B3593" s="3" t="s">
        <v>307</v>
      </c>
      <c r="C3593" s="8">
        <v>2021</v>
      </c>
      <c r="D3593" s="8">
        <v>4</v>
      </c>
      <c r="E3593" s="3" t="str">
        <f t="shared" si="112"/>
        <v>April</v>
      </c>
      <c r="F3593" s="3" t="s">
        <v>8</v>
      </c>
      <c r="G3593" s="8">
        <v>12365.466060000001</v>
      </c>
      <c r="H3593" s="8">
        <v>13070.311</v>
      </c>
      <c r="I3593" s="8">
        <v>704.84493999999995</v>
      </c>
      <c r="J3593" s="8">
        <v>17933.871279999999</v>
      </c>
      <c r="K3593" s="8">
        <v>3626.8456120000001</v>
      </c>
      <c r="L3593" s="8">
        <v>33638.787660000002</v>
      </c>
      <c r="M3593" s="9" t="str">
        <f>IF(A3593="",M3594,A3593)</f>
        <v>Saudi Arabia</v>
      </c>
      <c r="N3593" s="3" t="str">
        <f t="shared" si="113"/>
        <v>Apr-2021</v>
      </c>
    </row>
    <row r="3594" spans="1:14" x14ac:dyDescent="0.3">
      <c r="A3594" s="3" t="s">
        <v>306</v>
      </c>
      <c r="B3594" s="3" t="s">
        <v>307</v>
      </c>
      <c r="C3594" s="8">
        <v>2021</v>
      </c>
      <c r="D3594" s="8">
        <v>5</v>
      </c>
      <c r="E3594" s="3" t="str">
        <f t="shared" si="112"/>
        <v>May</v>
      </c>
      <c r="F3594" s="3" t="s">
        <v>8</v>
      </c>
      <c r="G3594" s="8">
        <v>12033.64552</v>
      </c>
      <c r="H3594" s="8">
        <v>13480.811</v>
      </c>
      <c r="I3594" s="8">
        <v>1447.1654759999999</v>
      </c>
      <c r="J3594" s="8">
        <v>19381.036749999999</v>
      </c>
      <c r="K3594" s="8">
        <v>4638.1721500000003</v>
      </c>
      <c r="L3594" s="8">
        <v>35166.498180000002</v>
      </c>
      <c r="M3594" s="9" t="str">
        <f>IF(A3594="",M3595,A3594)</f>
        <v>Saudi Arabia</v>
      </c>
      <c r="N3594" s="3" t="str">
        <f t="shared" si="113"/>
        <v>May-2021</v>
      </c>
    </row>
    <row r="3595" spans="1:14" x14ac:dyDescent="0.3">
      <c r="A3595" s="3" t="s">
        <v>306</v>
      </c>
      <c r="B3595" s="3" t="s">
        <v>307</v>
      </c>
      <c r="C3595" s="8">
        <v>2021</v>
      </c>
      <c r="D3595" s="8">
        <v>6</v>
      </c>
      <c r="E3595" s="3" t="str">
        <f t="shared" si="112"/>
        <v>June</v>
      </c>
      <c r="F3595" s="3" t="s">
        <v>8</v>
      </c>
      <c r="G3595" s="8">
        <v>11824.519340000001</v>
      </c>
      <c r="H3595" s="8">
        <v>13736.550999999999</v>
      </c>
      <c r="I3595" s="8">
        <v>1912.031657</v>
      </c>
      <c r="J3595" s="8">
        <v>21293.06841</v>
      </c>
      <c r="K3595" s="8">
        <v>5719.1923619999998</v>
      </c>
      <c r="L3595" s="8">
        <v>37956.753239999998</v>
      </c>
      <c r="M3595" s="9" t="str">
        <f>IF(A3595="",M3596,A3595)</f>
        <v>Saudi Arabia</v>
      </c>
      <c r="N3595" s="3" t="str">
        <f t="shared" si="113"/>
        <v>Jun-2021</v>
      </c>
    </row>
    <row r="3596" spans="1:14" x14ac:dyDescent="0.3">
      <c r="A3596" s="3" t="s">
        <v>306</v>
      </c>
      <c r="B3596" s="3" t="s">
        <v>307</v>
      </c>
      <c r="C3596" s="8">
        <v>2021</v>
      </c>
      <c r="D3596" s="8">
        <v>7</v>
      </c>
      <c r="E3596" s="3" t="str">
        <f t="shared" si="112"/>
        <v>July</v>
      </c>
      <c r="F3596" s="3" t="s">
        <v>8</v>
      </c>
      <c r="G3596" s="8">
        <v>11725.839760000001</v>
      </c>
      <c r="H3596" s="8">
        <v>14143.508</v>
      </c>
      <c r="I3596" s="8">
        <v>2417.6682350000001</v>
      </c>
      <c r="J3596" s="8">
        <v>23710.736639999999</v>
      </c>
      <c r="K3596" s="8">
        <v>8005.4654920000003</v>
      </c>
      <c r="L3596" s="8">
        <v>40135.685460000001</v>
      </c>
      <c r="M3596" s="9" t="str">
        <f>IF(A3596="",M3597,A3596)</f>
        <v>Saudi Arabia</v>
      </c>
      <c r="N3596" s="3" t="str">
        <f t="shared" si="113"/>
        <v>Jul-2021</v>
      </c>
    </row>
    <row r="3597" spans="1:14" x14ac:dyDescent="0.3">
      <c r="A3597" s="3" t="s">
        <v>306</v>
      </c>
      <c r="B3597" s="3" t="s">
        <v>307</v>
      </c>
      <c r="C3597" s="8">
        <v>2021</v>
      </c>
      <c r="D3597" s="8">
        <v>8</v>
      </c>
      <c r="E3597" s="3" t="str">
        <f t="shared" si="112"/>
        <v>August</v>
      </c>
      <c r="F3597" s="3" t="s">
        <v>8</v>
      </c>
      <c r="G3597" s="8">
        <v>11763.857529999999</v>
      </c>
      <c r="H3597" s="8">
        <v>14205.245999999999</v>
      </c>
      <c r="I3597" s="8">
        <v>2441.388473</v>
      </c>
      <c r="J3597" s="8">
        <v>26152.125120000001</v>
      </c>
      <c r="K3597" s="8">
        <v>10325.930179999999</v>
      </c>
      <c r="L3597" s="8">
        <v>43290.169950000003</v>
      </c>
      <c r="M3597" s="9" t="str">
        <f>IF(A3597="",M3598,A3597)</f>
        <v>Saudi Arabia</v>
      </c>
      <c r="N3597" s="3" t="str">
        <f t="shared" si="113"/>
        <v>Aug-2021</v>
      </c>
    </row>
    <row r="3598" spans="1:14" x14ac:dyDescent="0.3">
      <c r="A3598" s="3" t="s">
        <v>306</v>
      </c>
      <c r="B3598" s="3" t="s">
        <v>307</v>
      </c>
      <c r="C3598" s="8">
        <v>2021</v>
      </c>
      <c r="D3598" s="8">
        <v>9</v>
      </c>
      <c r="E3598" s="3" t="str">
        <f t="shared" si="112"/>
        <v>September</v>
      </c>
      <c r="F3598" s="3" t="s">
        <v>8</v>
      </c>
      <c r="G3598" s="8">
        <v>11885.49625</v>
      </c>
      <c r="H3598" s="8">
        <v>13092.03</v>
      </c>
      <c r="I3598" s="8">
        <v>1206.5337549999999</v>
      </c>
      <c r="J3598" s="8">
        <v>27358.658869999999</v>
      </c>
      <c r="K3598" s="8">
        <v>11707.26622</v>
      </c>
      <c r="L3598" s="8">
        <v>44940.872179999998</v>
      </c>
      <c r="M3598" s="9" t="str">
        <f>IF(A3598="",M3599,A3598)</f>
        <v>Saudi Arabia</v>
      </c>
      <c r="N3598" s="3" t="str">
        <f t="shared" si="113"/>
        <v>Sep-2021</v>
      </c>
    </row>
    <row r="3599" spans="1:14" x14ac:dyDescent="0.3">
      <c r="A3599" s="3" t="s">
        <v>306</v>
      </c>
      <c r="B3599" s="3" t="s">
        <v>307</v>
      </c>
      <c r="C3599" s="8">
        <v>2021</v>
      </c>
      <c r="D3599" s="8">
        <v>10</v>
      </c>
      <c r="E3599" s="3" t="str">
        <f t="shared" si="112"/>
        <v>October</v>
      </c>
      <c r="F3599" s="3" t="s">
        <v>8</v>
      </c>
      <c r="G3599" s="8">
        <v>12240.648719999999</v>
      </c>
      <c r="H3599" s="8">
        <v>12988.949000000001</v>
      </c>
      <c r="I3599" s="8">
        <v>748.30027700000005</v>
      </c>
      <c r="J3599" s="8">
        <v>28106.959149999999</v>
      </c>
      <c r="K3599" s="8">
        <v>12164.93736</v>
      </c>
      <c r="L3599" s="8">
        <v>46587.243049999997</v>
      </c>
      <c r="M3599" s="9" t="str">
        <f>IF(A3599="",M3600,A3599)</f>
        <v>Saudi Arabia</v>
      </c>
      <c r="N3599" s="3" t="str">
        <f t="shared" si="113"/>
        <v>Oct-2021</v>
      </c>
    </row>
    <row r="3600" spans="1:14" x14ac:dyDescent="0.3">
      <c r="A3600" s="3" t="s">
        <v>306</v>
      </c>
      <c r="B3600" s="3" t="s">
        <v>307</v>
      </c>
      <c r="C3600" s="8">
        <v>2021</v>
      </c>
      <c r="D3600" s="8">
        <v>11</v>
      </c>
      <c r="E3600" s="3" t="str">
        <f t="shared" si="112"/>
        <v>November</v>
      </c>
      <c r="F3600" s="3" t="s">
        <v>8</v>
      </c>
      <c r="G3600" s="8">
        <v>12643.375</v>
      </c>
      <c r="H3600" s="8">
        <v>13560.263999999999</v>
      </c>
      <c r="I3600" s="8">
        <v>916.88900479999995</v>
      </c>
      <c r="J3600" s="8">
        <v>29023.848150000002</v>
      </c>
      <c r="K3600" s="8">
        <v>12531.226280000001</v>
      </c>
      <c r="L3600" s="8">
        <v>47454.164819999998</v>
      </c>
      <c r="M3600" s="9" t="str">
        <f>IF(A3600="",M3601,A3600)</f>
        <v>Saudi Arabia</v>
      </c>
      <c r="N3600" s="3" t="str">
        <f t="shared" si="113"/>
        <v>Nov-2021</v>
      </c>
    </row>
    <row r="3601" spans="1:14" x14ac:dyDescent="0.3">
      <c r="A3601" s="3" t="s">
        <v>306</v>
      </c>
      <c r="B3601" s="3" t="s">
        <v>307</v>
      </c>
      <c r="C3601" s="8">
        <v>2021</v>
      </c>
      <c r="D3601" s="8">
        <v>12</v>
      </c>
      <c r="E3601" s="3" t="str">
        <f t="shared" si="112"/>
        <v>December</v>
      </c>
      <c r="F3601" s="3" t="s">
        <v>8</v>
      </c>
      <c r="G3601" s="8">
        <v>12951.52167</v>
      </c>
      <c r="H3601" s="8">
        <v>14198.404</v>
      </c>
      <c r="I3601" s="8">
        <v>1246.882331</v>
      </c>
      <c r="J3601" s="8">
        <v>30270.730479999998</v>
      </c>
      <c r="K3601" s="8">
        <v>13742.39249</v>
      </c>
      <c r="L3601" s="8">
        <v>48940.625039999999</v>
      </c>
      <c r="M3601" s="9" t="str">
        <f>IF(A3601="",M3602,A3601)</f>
        <v>Saudi Arabia</v>
      </c>
      <c r="N3601" s="3" t="str">
        <f t="shared" si="113"/>
        <v>Dec-2021</v>
      </c>
    </row>
    <row r="3602" spans="1:14" x14ac:dyDescent="0.3">
      <c r="A3602" s="3" t="s">
        <v>308</v>
      </c>
      <c r="B3602" s="3" t="s">
        <v>309</v>
      </c>
      <c r="C3602" s="8">
        <v>2020</v>
      </c>
      <c r="D3602" s="8">
        <v>1</v>
      </c>
      <c r="E3602" s="3" t="str">
        <f t="shared" si="112"/>
        <v>January</v>
      </c>
      <c r="F3602" s="3" t="s">
        <v>8</v>
      </c>
      <c r="G3602" s="8">
        <v>21267.259409999999</v>
      </c>
      <c r="H3602" s="8">
        <v>21408.311000000002</v>
      </c>
      <c r="I3602" s="8">
        <v>141.05158829999999</v>
      </c>
      <c r="J3602" s="8">
        <v>141.05158829999999</v>
      </c>
      <c r="K3602" s="8">
        <v>-5013.6523740000002</v>
      </c>
      <c r="L3602" s="8">
        <v>6096.9621070000003</v>
      </c>
      <c r="M3602" s="9" t="str">
        <f>IF(A3602="",M3603,A3602)</f>
        <v>Sudan</v>
      </c>
      <c r="N3602" s="3" t="str">
        <f t="shared" si="113"/>
        <v>Jan-2020</v>
      </c>
    </row>
    <row r="3603" spans="1:14" x14ac:dyDescent="0.3">
      <c r="A3603" s="3" t="s">
        <v>308</v>
      </c>
      <c r="B3603" s="3" t="s">
        <v>309</v>
      </c>
      <c r="C3603" s="8">
        <v>2020</v>
      </c>
      <c r="D3603" s="8">
        <v>2</v>
      </c>
      <c r="E3603" s="3" t="str">
        <f t="shared" si="112"/>
        <v>February</v>
      </c>
      <c r="F3603" s="3" t="s">
        <v>8</v>
      </c>
      <c r="G3603" s="8">
        <v>20920.37256</v>
      </c>
      <c r="H3603" s="8">
        <v>20681.304</v>
      </c>
      <c r="I3603" s="8">
        <v>-239.06855959999999</v>
      </c>
      <c r="J3603" s="8">
        <v>-98.016971299999994</v>
      </c>
      <c r="K3603" s="8">
        <v>-7872.7985669999998</v>
      </c>
      <c r="L3603" s="8">
        <v>9228.4374929999994</v>
      </c>
      <c r="M3603" s="9" t="str">
        <f>IF(A3603="",M3604,A3603)</f>
        <v>Sudan</v>
      </c>
      <c r="N3603" s="3" t="str">
        <f t="shared" si="113"/>
        <v>Feb-2020</v>
      </c>
    </row>
    <row r="3604" spans="1:14" x14ac:dyDescent="0.3">
      <c r="A3604" s="3" t="s">
        <v>308</v>
      </c>
      <c r="B3604" s="3" t="s">
        <v>309</v>
      </c>
      <c r="C3604" s="8">
        <v>2020</v>
      </c>
      <c r="D3604" s="8">
        <v>3</v>
      </c>
      <c r="E3604" s="3" t="str">
        <f t="shared" si="112"/>
        <v>March</v>
      </c>
      <c r="F3604" s="3" t="s">
        <v>8</v>
      </c>
      <c r="G3604" s="8">
        <v>20260.907190000002</v>
      </c>
      <c r="H3604" s="8">
        <v>18922.433000000001</v>
      </c>
      <c r="I3604" s="8">
        <v>-1338.474195</v>
      </c>
      <c r="J3604" s="8">
        <v>-1436.491166</v>
      </c>
      <c r="K3604" s="8">
        <v>-10423.368469999999</v>
      </c>
      <c r="L3604" s="8">
        <v>9477.8409009999996</v>
      </c>
      <c r="M3604" s="9" t="str">
        <f>IF(A3604="",M3605,A3604)</f>
        <v>Sudan</v>
      </c>
      <c r="N3604" s="3" t="str">
        <f t="shared" si="113"/>
        <v>Mar-2020</v>
      </c>
    </row>
    <row r="3605" spans="1:14" x14ac:dyDescent="0.3">
      <c r="A3605" s="3" t="s">
        <v>308</v>
      </c>
      <c r="B3605" s="3" t="s">
        <v>309</v>
      </c>
      <c r="C3605" s="8">
        <v>2020</v>
      </c>
      <c r="D3605" s="8">
        <v>4</v>
      </c>
      <c r="E3605" s="3" t="str">
        <f t="shared" si="112"/>
        <v>April</v>
      </c>
      <c r="F3605" s="3" t="s">
        <v>8</v>
      </c>
      <c r="G3605" s="8">
        <v>20042.648509999999</v>
      </c>
      <c r="H3605" s="8">
        <v>19293.212</v>
      </c>
      <c r="I3605" s="8">
        <v>-749.43651439999996</v>
      </c>
      <c r="J3605" s="8">
        <v>-2185.9276799999998</v>
      </c>
      <c r="K3605" s="8">
        <v>-12551.15871</v>
      </c>
      <c r="L3605" s="8">
        <v>10232.182769999999</v>
      </c>
      <c r="M3605" s="9" t="str">
        <f>IF(A3605="",M3606,A3605)</f>
        <v>Sudan</v>
      </c>
      <c r="N3605" s="3" t="str">
        <f t="shared" si="113"/>
        <v>Apr-2020</v>
      </c>
    </row>
    <row r="3606" spans="1:14" x14ac:dyDescent="0.3">
      <c r="A3606" s="3" t="s">
        <v>308</v>
      </c>
      <c r="B3606" s="3" t="s">
        <v>309</v>
      </c>
      <c r="C3606" s="8">
        <v>2020</v>
      </c>
      <c r="D3606" s="8">
        <v>5</v>
      </c>
      <c r="E3606" s="3" t="str">
        <f t="shared" si="112"/>
        <v>May</v>
      </c>
      <c r="F3606" s="3" t="s">
        <v>8</v>
      </c>
      <c r="G3606" s="8">
        <v>19744.63579</v>
      </c>
      <c r="H3606" s="8">
        <v>21866.468000000001</v>
      </c>
      <c r="I3606" s="8">
        <v>2121.8322050000002</v>
      </c>
      <c r="J3606" s="8">
        <v>-64.095474809999999</v>
      </c>
      <c r="K3606" s="8">
        <v>-11442.43095</v>
      </c>
      <c r="L3606" s="8">
        <v>12601.224910000001</v>
      </c>
      <c r="M3606" s="9" t="str">
        <f>IF(A3606="",M3607,A3606)</f>
        <v>Sudan</v>
      </c>
      <c r="N3606" s="3" t="str">
        <f t="shared" si="113"/>
        <v>May-2020</v>
      </c>
    </row>
    <row r="3607" spans="1:14" x14ac:dyDescent="0.3">
      <c r="A3607" s="3" t="s">
        <v>308</v>
      </c>
      <c r="B3607" s="3" t="s">
        <v>309</v>
      </c>
      <c r="C3607" s="8">
        <v>2020</v>
      </c>
      <c r="D3607" s="8">
        <v>6</v>
      </c>
      <c r="E3607" s="3" t="str">
        <f t="shared" si="112"/>
        <v>June</v>
      </c>
      <c r="F3607" s="3" t="s">
        <v>8</v>
      </c>
      <c r="G3607" s="8">
        <v>19789.47696</v>
      </c>
      <c r="H3607" s="8">
        <v>23535.371999999999</v>
      </c>
      <c r="I3607" s="8">
        <v>3745.8950359999999</v>
      </c>
      <c r="J3607" s="8">
        <v>3681.7995609999998</v>
      </c>
      <c r="K3607" s="8">
        <v>-9285.1186689999995</v>
      </c>
      <c r="L3607" s="8">
        <v>18574.665359999999</v>
      </c>
      <c r="M3607" s="9" t="str">
        <f>IF(A3607="",M3608,A3607)</f>
        <v>Sudan</v>
      </c>
      <c r="N3607" s="3" t="str">
        <f t="shared" si="113"/>
        <v>Jun-2020</v>
      </c>
    </row>
    <row r="3608" spans="1:14" x14ac:dyDescent="0.3">
      <c r="A3608" s="3" t="s">
        <v>308</v>
      </c>
      <c r="B3608" s="3" t="s">
        <v>309</v>
      </c>
      <c r="C3608" s="8">
        <v>2020</v>
      </c>
      <c r="D3608" s="8">
        <v>7</v>
      </c>
      <c r="E3608" s="3" t="str">
        <f t="shared" si="112"/>
        <v>July</v>
      </c>
      <c r="F3608" s="3" t="s">
        <v>8</v>
      </c>
      <c r="G3608" s="8">
        <v>19797.875260000001</v>
      </c>
      <c r="H3608" s="8">
        <v>23174.793000000001</v>
      </c>
      <c r="I3608" s="8">
        <v>3376.917735</v>
      </c>
      <c r="J3608" s="8">
        <v>7058.7172959999998</v>
      </c>
      <c r="K3608" s="8">
        <v>-7426.4257900000002</v>
      </c>
      <c r="L3608" s="8">
        <v>23257.502710000001</v>
      </c>
      <c r="M3608" s="9" t="str">
        <f>IF(A3608="",M3609,A3608)</f>
        <v>Sudan</v>
      </c>
      <c r="N3608" s="3" t="str">
        <f t="shared" si="113"/>
        <v>Jul-2020</v>
      </c>
    </row>
    <row r="3609" spans="1:14" x14ac:dyDescent="0.3">
      <c r="A3609" s="3" t="s">
        <v>308</v>
      </c>
      <c r="B3609" s="3" t="s">
        <v>309</v>
      </c>
      <c r="C3609" s="8">
        <v>2020</v>
      </c>
      <c r="D3609" s="8">
        <v>8</v>
      </c>
      <c r="E3609" s="3" t="str">
        <f t="shared" si="112"/>
        <v>August</v>
      </c>
      <c r="F3609" s="3" t="s">
        <v>8</v>
      </c>
      <c r="G3609" s="8">
        <v>19950.259409999999</v>
      </c>
      <c r="H3609" s="8">
        <v>22614.37</v>
      </c>
      <c r="I3609" s="8">
        <v>2664.1105859999998</v>
      </c>
      <c r="J3609" s="8">
        <v>9722.8278819999996</v>
      </c>
      <c r="K3609" s="8">
        <v>-6184.5358889999998</v>
      </c>
      <c r="L3609" s="8">
        <v>27156.299279999999</v>
      </c>
      <c r="M3609" s="9" t="str">
        <f>IF(A3609="",M3610,A3609)</f>
        <v>Sudan</v>
      </c>
      <c r="N3609" s="3" t="str">
        <f t="shared" si="113"/>
        <v>Aug-2020</v>
      </c>
    </row>
    <row r="3610" spans="1:14" x14ac:dyDescent="0.3">
      <c r="A3610" s="3" t="s">
        <v>308</v>
      </c>
      <c r="B3610" s="3" t="s">
        <v>309</v>
      </c>
      <c r="C3610" s="8">
        <v>2020</v>
      </c>
      <c r="D3610" s="8">
        <v>9</v>
      </c>
      <c r="E3610" s="3" t="str">
        <f t="shared" si="112"/>
        <v>September</v>
      </c>
      <c r="F3610" s="3" t="s">
        <v>8</v>
      </c>
      <c r="G3610" s="8">
        <v>19851.200840000001</v>
      </c>
      <c r="H3610" s="8">
        <v>21333.73</v>
      </c>
      <c r="I3610" s="8">
        <v>1482.5291560000001</v>
      </c>
      <c r="J3610" s="8">
        <v>11205.357040000001</v>
      </c>
      <c r="K3610" s="8">
        <v>-5557.9330749999999</v>
      </c>
      <c r="L3610" s="8">
        <v>29357.679230000002</v>
      </c>
      <c r="M3610" s="9" t="str">
        <f>IF(A3610="",M3611,A3610)</f>
        <v>Sudan</v>
      </c>
      <c r="N3610" s="3" t="str">
        <f t="shared" si="113"/>
        <v>Sep-2020</v>
      </c>
    </row>
    <row r="3611" spans="1:14" x14ac:dyDescent="0.3">
      <c r="A3611" s="3" t="s">
        <v>308</v>
      </c>
      <c r="B3611" s="3" t="s">
        <v>309</v>
      </c>
      <c r="C3611" s="8">
        <v>2020</v>
      </c>
      <c r="D3611" s="8">
        <v>10</v>
      </c>
      <c r="E3611" s="3" t="str">
        <f t="shared" si="112"/>
        <v>October</v>
      </c>
      <c r="F3611" s="3" t="s">
        <v>8</v>
      </c>
      <c r="G3611" s="8">
        <v>19922.26874</v>
      </c>
      <c r="H3611" s="8">
        <v>20575.060000000001</v>
      </c>
      <c r="I3611" s="8">
        <v>652.79126040000006</v>
      </c>
      <c r="J3611" s="8">
        <v>11858.148300000001</v>
      </c>
      <c r="K3611" s="8">
        <v>-5831.0906770000001</v>
      </c>
      <c r="L3611" s="8">
        <v>31683.76268</v>
      </c>
      <c r="M3611" s="9" t="str">
        <f>IF(A3611="",M3612,A3611)</f>
        <v>Sudan</v>
      </c>
      <c r="N3611" s="3" t="str">
        <f t="shared" si="113"/>
        <v>Oct-2020</v>
      </c>
    </row>
    <row r="3612" spans="1:14" x14ac:dyDescent="0.3">
      <c r="A3612" s="3" t="s">
        <v>308</v>
      </c>
      <c r="B3612" s="3" t="s">
        <v>309</v>
      </c>
      <c r="C3612" s="8">
        <v>2020</v>
      </c>
      <c r="D3612" s="8">
        <v>11</v>
      </c>
      <c r="E3612" s="3" t="str">
        <f t="shared" si="112"/>
        <v>November</v>
      </c>
      <c r="F3612" s="3" t="s">
        <v>8</v>
      </c>
      <c r="G3612" s="8">
        <v>20545.48631</v>
      </c>
      <c r="H3612" s="8">
        <v>22901.685000000001</v>
      </c>
      <c r="I3612" s="8">
        <v>2356.1986849999998</v>
      </c>
      <c r="J3612" s="8">
        <v>14214.34698</v>
      </c>
      <c r="K3612" s="8">
        <v>-5496.1614490000002</v>
      </c>
      <c r="L3612" s="8">
        <v>35038.642310000003</v>
      </c>
      <c r="M3612" s="9" t="str">
        <f>IF(A3612="",M3613,A3612)</f>
        <v>Sudan</v>
      </c>
      <c r="N3612" s="3" t="str">
        <f t="shared" si="113"/>
        <v>Nov-2020</v>
      </c>
    </row>
    <row r="3613" spans="1:14" x14ac:dyDescent="0.3">
      <c r="A3613" s="3" t="s">
        <v>308</v>
      </c>
      <c r="B3613" s="3" t="s">
        <v>309</v>
      </c>
      <c r="C3613" s="8">
        <v>2020</v>
      </c>
      <c r="D3613" s="8">
        <v>12</v>
      </c>
      <c r="E3613" s="3" t="str">
        <f t="shared" si="112"/>
        <v>December</v>
      </c>
      <c r="F3613" s="3" t="s">
        <v>8</v>
      </c>
      <c r="G3613" s="8">
        <v>20691.902539999999</v>
      </c>
      <c r="H3613" s="8">
        <v>22795.420999999998</v>
      </c>
      <c r="I3613" s="8">
        <v>2103.518458</v>
      </c>
      <c r="J3613" s="8">
        <v>16317.86544</v>
      </c>
      <c r="K3613" s="8">
        <v>-4430.1356569999998</v>
      </c>
      <c r="L3613" s="8">
        <v>38764.646030000004</v>
      </c>
      <c r="M3613" s="9" t="str">
        <f>IF(A3613="",M3614,A3613)</f>
        <v>Sudan</v>
      </c>
      <c r="N3613" s="3" t="str">
        <f t="shared" si="113"/>
        <v>Dec-2020</v>
      </c>
    </row>
    <row r="3614" spans="1:14" x14ac:dyDescent="0.3">
      <c r="A3614" s="3" t="s">
        <v>308</v>
      </c>
      <c r="B3614" s="3" t="s">
        <v>309</v>
      </c>
      <c r="C3614" s="8">
        <v>2021</v>
      </c>
      <c r="D3614" s="8">
        <v>1</v>
      </c>
      <c r="E3614" s="3" t="str">
        <f t="shared" si="112"/>
        <v>January</v>
      </c>
      <c r="F3614" s="3" t="s">
        <v>8</v>
      </c>
      <c r="G3614" s="8">
        <v>21416.504229999999</v>
      </c>
      <c r="H3614" s="8">
        <v>23819.627</v>
      </c>
      <c r="I3614" s="8">
        <v>2403.1227749999998</v>
      </c>
      <c r="J3614" s="8">
        <v>18720.988219999999</v>
      </c>
      <c r="K3614" s="8">
        <v>-2618.818722</v>
      </c>
      <c r="L3614" s="8">
        <v>40878.928469999999</v>
      </c>
      <c r="M3614" s="9" t="str">
        <f>IF(A3614="",M3615,A3614)</f>
        <v>Sudan</v>
      </c>
      <c r="N3614" s="3" t="str">
        <f t="shared" si="113"/>
        <v>Jan-2021</v>
      </c>
    </row>
    <row r="3615" spans="1:14" x14ac:dyDescent="0.3">
      <c r="A3615" s="3" t="s">
        <v>308</v>
      </c>
      <c r="B3615" s="3" t="s">
        <v>309</v>
      </c>
      <c r="C3615" s="8">
        <v>2021</v>
      </c>
      <c r="D3615" s="8">
        <v>2</v>
      </c>
      <c r="E3615" s="3" t="str">
        <f t="shared" si="112"/>
        <v>February</v>
      </c>
      <c r="F3615" s="3" t="s">
        <v>8</v>
      </c>
      <c r="G3615" s="8">
        <v>21055.532149999999</v>
      </c>
      <c r="H3615" s="8">
        <v>23175.663</v>
      </c>
      <c r="I3615" s="8">
        <v>2120.1308469999999</v>
      </c>
      <c r="J3615" s="8">
        <v>20841.119060000001</v>
      </c>
      <c r="K3615" s="8">
        <v>-516.62465929999996</v>
      </c>
      <c r="L3615" s="8">
        <v>44800.808720000001</v>
      </c>
      <c r="M3615" s="9" t="str">
        <f>IF(A3615="",M3616,A3615)</f>
        <v>Sudan</v>
      </c>
      <c r="N3615" s="3" t="str">
        <f t="shared" si="113"/>
        <v>Feb-2021</v>
      </c>
    </row>
    <row r="3616" spans="1:14" x14ac:dyDescent="0.3">
      <c r="A3616" s="3" t="s">
        <v>308</v>
      </c>
      <c r="B3616" s="3" t="s">
        <v>309</v>
      </c>
      <c r="C3616" s="8">
        <v>2021</v>
      </c>
      <c r="D3616" s="8">
        <v>3</v>
      </c>
      <c r="E3616" s="3" t="str">
        <f t="shared" si="112"/>
        <v>March</v>
      </c>
      <c r="F3616" s="3" t="s">
        <v>8</v>
      </c>
      <c r="G3616" s="8">
        <v>20375.48228</v>
      </c>
      <c r="H3616" s="8">
        <v>23564.062000000002</v>
      </c>
      <c r="I3616" s="8">
        <v>3188.579718</v>
      </c>
      <c r="J3616" s="8">
        <v>24029.698779999999</v>
      </c>
      <c r="K3616" s="8">
        <v>1700.3991840000001</v>
      </c>
      <c r="L3616" s="8">
        <v>48892.933879999997</v>
      </c>
      <c r="M3616" s="9" t="str">
        <f>IF(A3616="",M3617,A3616)</f>
        <v>Sudan</v>
      </c>
      <c r="N3616" s="3" t="str">
        <f t="shared" si="113"/>
        <v>Mar-2021</v>
      </c>
    </row>
    <row r="3617" spans="1:14" x14ac:dyDescent="0.3">
      <c r="A3617" s="3" t="s">
        <v>308</v>
      </c>
      <c r="B3617" s="3" t="s">
        <v>309</v>
      </c>
      <c r="C3617" s="8">
        <v>2021</v>
      </c>
      <c r="D3617" s="8">
        <v>4</v>
      </c>
      <c r="E3617" s="3" t="str">
        <f t="shared" si="112"/>
        <v>April</v>
      </c>
      <c r="F3617" s="3" t="s">
        <v>8</v>
      </c>
      <c r="G3617" s="8">
        <v>20177.651620000001</v>
      </c>
      <c r="H3617" s="8">
        <v>23078.448</v>
      </c>
      <c r="I3617" s="8">
        <v>2900.7963829999999</v>
      </c>
      <c r="J3617" s="8">
        <v>26930.495159999999</v>
      </c>
      <c r="K3617" s="8">
        <v>2918.684675</v>
      </c>
      <c r="L3617" s="8">
        <v>52319.085930000001</v>
      </c>
      <c r="M3617" s="9" t="str">
        <f>IF(A3617="",M3618,A3617)</f>
        <v>Sudan</v>
      </c>
      <c r="N3617" s="3" t="str">
        <f t="shared" si="113"/>
        <v>Apr-2021</v>
      </c>
    </row>
    <row r="3618" spans="1:14" x14ac:dyDescent="0.3">
      <c r="A3618" s="3" t="s">
        <v>308</v>
      </c>
      <c r="B3618" s="3" t="s">
        <v>309</v>
      </c>
      <c r="C3618" s="8">
        <v>2021</v>
      </c>
      <c r="D3618" s="8">
        <v>5</v>
      </c>
      <c r="E3618" s="3" t="str">
        <f t="shared" si="112"/>
        <v>May</v>
      </c>
      <c r="F3618" s="3" t="s">
        <v>8</v>
      </c>
      <c r="G3618" s="8">
        <v>19873.748800000001</v>
      </c>
      <c r="H3618" s="8">
        <v>22587.582999999999</v>
      </c>
      <c r="I3618" s="8">
        <v>2713.8341959999998</v>
      </c>
      <c r="J3618" s="8">
        <v>29644.32936</v>
      </c>
      <c r="K3618" s="8">
        <v>5011.4198649999998</v>
      </c>
      <c r="L3618" s="8">
        <v>56520.481610000003</v>
      </c>
      <c r="M3618" s="9" t="str">
        <f>IF(A3618="",M3619,A3618)</f>
        <v>Sudan</v>
      </c>
      <c r="N3618" s="3" t="str">
        <f t="shared" si="113"/>
        <v>May-2021</v>
      </c>
    </row>
    <row r="3619" spans="1:14" x14ac:dyDescent="0.3">
      <c r="A3619" s="3" t="s">
        <v>308</v>
      </c>
      <c r="B3619" s="3" t="s">
        <v>309</v>
      </c>
      <c r="C3619" s="8">
        <v>2021</v>
      </c>
      <c r="D3619" s="8">
        <v>6</v>
      </c>
      <c r="E3619" s="3" t="str">
        <f t="shared" si="112"/>
        <v>June</v>
      </c>
      <c r="F3619" s="3" t="s">
        <v>8</v>
      </c>
      <c r="G3619" s="8">
        <v>19925.42325</v>
      </c>
      <c r="H3619" s="8">
        <v>23904.26</v>
      </c>
      <c r="I3619" s="8">
        <v>3978.8367549999998</v>
      </c>
      <c r="J3619" s="8">
        <v>33623.166120000002</v>
      </c>
      <c r="K3619" s="8">
        <v>8334.3554490000006</v>
      </c>
      <c r="L3619" s="8">
        <v>62507.795429999998</v>
      </c>
      <c r="M3619" s="9" t="str">
        <f>IF(A3619="",M3620,A3619)</f>
        <v>Sudan</v>
      </c>
      <c r="N3619" s="3" t="str">
        <f t="shared" si="113"/>
        <v>Jun-2021</v>
      </c>
    </row>
    <row r="3620" spans="1:14" x14ac:dyDescent="0.3">
      <c r="A3620" s="3" t="s">
        <v>308</v>
      </c>
      <c r="B3620" s="3" t="s">
        <v>309</v>
      </c>
      <c r="C3620" s="8">
        <v>2021</v>
      </c>
      <c r="D3620" s="8">
        <v>7</v>
      </c>
      <c r="E3620" s="3" t="str">
        <f t="shared" si="112"/>
        <v>July</v>
      </c>
      <c r="F3620" s="3" t="s">
        <v>8</v>
      </c>
      <c r="G3620" s="8">
        <v>19929.317330000002</v>
      </c>
      <c r="H3620" s="8">
        <v>23088.12</v>
      </c>
      <c r="I3620" s="8">
        <v>3158.8026719999998</v>
      </c>
      <c r="J3620" s="8">
        <v>36781.968789999999</v>
      </c>
      <c r="K3620" s="8">
        <v>10838.459440000001</v>
      </c>
      <c r="L3620" s="8">
        <v>66353.264360000001</v>
      </c>
      <c r="M3620" s="9" t="str">
        <f>IF(A3620="",M3621,A3620)</f>
        <v>Sudan</v>
      </c>
      <c r="N3620" s="3" t="str">
        <f t="shared" si="113"/>
        <v>Jul-2021</v>
      </c>
    </row>
    <row r="3621" spans="1:14" x14ac:dyDescent="0.3">
      <c r="A3621" s="3" t="s">
        <v>308</v>
      </c>
      <c r="B3621" s="3" t="s">
        <v>309</v>
      </c>
      <c r="C3621" s="8">
        <v>2021</v>
      </c>
      <c r="D3621" s="8">
        <v>8</v>
      </c>
      <c r="E3621" s="3" t="str">
        <f t="shared" si="112"/>
        <v>August</v>
      </c>
      <c r="F3621" s="3" t="s">
        <v>8</v>
      </c>
      <c r="G3621" s="8">
        <v>20082.760859999999</v>
      </c>
      <c r="H3621" s="8">
        <v>22616.752</v>
      </c>
      <c r="I3621" s="8">
        <v>2533.9911419999999</v>
      </c>
      <c r="J3621" s="8">
        <v>39315.959929999997</v>
      </c>
      <c r="K3621" s="8">
        <v>11304.910680000001</v>
      </c>
      <c r="L3621" s="8">
        <v>71004.783710000003</v>
      </c>
      <c r="M3621" s="9" t="str">
        <f>IF(A3621="",M3622,A3621)</f>
        <v>Sudan</v>
      </c>
      <c r="N3621" s="3" t="str">
        <f t="shared" si="113"/>
        <v>Aug-2021</v>
      </c>
    </row>
    <row r="3622" spans="1:14" x14ac:dyDescent="0.3">
      <c r="A3622" s="3" t="s">
        <v>308</v>
      </c>
      <c r="B3622" s="3" t="s">
        <v>309</v>
      </c>
      <c r="C3622" s="8">
        <v>2021</v>
      </c>
      <c r="D3622" s="8">
        <v>9</v>
      </c>
      <c r="E3622" s="3" t="str">
        <f t="shared" si="112"/>
        <v>September</v>
      </c>
      <c r="F3622" s="3" t="s">
        <v>8</v>
      </c>
      <c r="G3622" s="8">
        <v>20006.22279</v>
      </c>
      <c r="H3622" s="8">
        <v>22552.98</v>
      </c>
      <c r="I3622" s="8">
        <v>2546.7572110000001</v>
      </c>
      <c r="J3622" s="8">
        <v>41862.717140000001</v>
      </c>
      <c r="K3622" s="8">
        <v>13341.52369</v>
      </c>
      <c r="L3622" s="8">
        <v>75280.209690000003</v>
      </c>
      <c r="M3622" s="9" t="str">
        <f>IF(A3622="",M3623,A3622)</f>
        <v>Sudan</v>
      </c>
      <c r="N3622" s="3" t="str">
        <f t="shared" si="113"/>
        <v>Sep-2021</v>
      </c>
    </row>
    <row r="3623" spans="1:14" x14ac:dyDescent="0.3">
      <c r="A3623" s="3" t="s">
        <v>308</v>
      </c>
      <c r="B3623" s="3" t="s">
        <v>309</v>
      </c>
      <c r="C3623" s="8">
        <v>2021</v>
      </c>
      <c r="D3623" s="8">
        <v>10</v>
      </c>
      <c r="E3623" s="3" t="str">
        <f t="shared" si="112"/>
        <v>October</v>
      </c>
      <c r="F3623" s="3" t="s">
        <v>8</v>
      </c>
      <c r="G3623" s="8">
        <v>20043.383330000001</v>
      </c>
      <c r="H3623" s="8">
        <v>22730.534</v>
      </c>
      <c r="I3623" s="8">
        <v>2687.1506690000001</v>
      </c>
      <c r="J3623" s="8">
        <v>44549.867810000003</v>
      </c>
      <c r="K3623" s="8">
        <v>15393.94807</v>
      </c>
      <c r="L3623" s="8">
        <v>78487.164959999995</v>
      </c>
      <c r="M3623" s="9" t="str">
        <f>IF(A3623="",M3624,A3623)</f>
        <v>Sudan</v>
      </c>
      <c r="N3623" s="3" t="str">
        <f t="shared" si="113"/>
        <v>Oct-2021</v>
      </c>
    </row>
    <row r="3624" spans="1:14" x14ac:dyDescent="0.3">
      <c r="A3624" s="3" t="s">
        <v>308</v>
      </c>
      <c r="B3624" s="3" t="s">
        <v>309</v>
      </c>
      <c r="C3624" s="8">
        <v>2021</v>
      </c>
      <c r="D3624" s="8">
        <v>11</v>
      </c>
      <c r="E3624" s="3" t="str">
        <f t="shared" si="112"/>
        <v>November</v>
      </c>
      <c r="F3624" s="3" t="s">
        <v>8</v>
      </c>
      <c r="G3624" s="8">
        <v>20693.795450000001</v>
      </c>
      <c r="H3624" s="8">
        <v>23030.769</v>
      </c>
      <c r="I3624" s="8">
        <v>2336.973555</v>
      </c>
      <c r="J3624" s="8">
        <v>46886.841359999999</v>
      </c>
      <c r="K3624" s="8">
        <v>16432.081409999999</v>
      </c>
      <c r="L3624" s="8">
        <v>78145.202789999996</v>
      </c>
      <c r="M3624" s="9" t="str">
        <f>IF(A3624="",M3625,A3624)</f>
        <v>Sudan</v>
      </c>
      <c r="N3624" s="3" t="str">
        <f t="shared" si="113"/>
        <v>Nov-2021</v>
      </c>
    </row>
    <row r="3625" spans="1:14" x14ac:dyDescent="0.3">
      <c r="A3625" s="3" t="s">
        <v>308</v>
      </c>
      <c r="B3625" s="3" t="s">
        <v>309</v>
      </c>
      <c r="C3625" s="8">
        <v>2021</v>
      </c>
      <c r="D3625" s="8">
        <v>12</v>
      </c>
      <c r="E3625" s="3" t="str">
        <f t="shared" si="112"/>
        <v>December</v>
      </c>
      <c r="F3625" s="3" t="s">
        <v>8</v>
      </c>
      <c r="G3625" s="8">
        <v>20836.16157</v>
      </c>
      <c r="H3625" s="8">
        <v>23252.608</v>
      </c>
      <c r="I3625" s="8">
        <v>2416.4464330000001</v>
      </c>
      <c r="J3625" s="8">
        <v>49303.287799999998</v>
      </c>
      <c r="K3625" s="8">
        <v>17778.20909</v>
      </c>
      <c r="L3625" s="8">
        <v>82137.219500000007</v>
      </c>
      <c r="M3625" s="9" t="str">
        <f>IF(A3625="",M3626,A3625)</f>
        <v>Sudan</v>
      </c>
      <c r="N3625" s="3" t="str">
        <f t="shared" si="113"/>
        <v>Dec-2021</v>
      </c>
    </row>
    <row r="3626" spans="1:14" x14ac:dyDescent="0.3">
      <c r="A3626" s="3" t="s">
        <v>310</v>
      </c>
      <c r="B3626" s="3" t="s">
        <v>311</v>
      </c>
      <c r="C3626" s="8">
        <v>2020</v>
      </c>
      <c r="D3626" s="8">
        <v>1</v>
      </c>
      <c r="E3626" s="3" t="str">
        <f t="shared" si="112"/>
        <v>January</v>
      </c>
      <c r="F3626" s="3" t="s">
        <v>8</v>
      </c>
      <c r="G3626" s="8">
        <v>7362.9981850000004</v>
      </c>
      <c r="H3626" s="8">
        <v>7623.65</v>
      </c>
      <c r="I3626" s="8">
        <v>260.65181460000002</v>
      </c>
      <c r="J3626" s="8">
        <v>260.65181460000002</v>
      </c>
      <c r="K3626" s="8">
        <v>-1707.522277</v>
      </c>
      <c r="L3626" s="8">
        <v>2653.1374949999999</v>
      </c>
      <c r="M3626" s="9" t="str">
        <f>IF(A3626="",M3627,A3626)</f>
        <v>Senegal</v>
      </c>
      <c r="N3626" s="3" t="str">
        <f t="shared" si="113"/>
        <v>Jan-2020</v>
      </c>
    </row>
    <row r="3627" spans="1:14" x14ac:dyDescent="0.3">
      <c r="A3627" s="3" t="s">
        <v>310</v>
      </c>
      <c r="B3627" s="3" t="s">
        <v>311</v>
      </c>
      <c r="C3627" s="8">
        <v>2020</v>
      </c>
      <c r="D3627" s="8">
        <v>2</v>
      </c>
      <c r="E3627" s="3" t="str">
        <f t="shared" si="112"/>
        <v>February</v>
      </c>
      <c r="F3627" s="3" t="s">
        <v>8</v>
      </c>
      <c r="G3627" s="8">
        <v>7202.2442369999999</v>
      </c>
      <c r="H3627" s="8">
        <v>7318.4589999999998</v>
      </c>
      <c r="I3627" s="8">
        <v>116.2147626</v>
      </c>
      <c r="J3627" s="8">
        <v>376.86657719999999</v>
      </c>
      <c r="K3627" s="8">
        <v>-2260.0814569999998</v>
      </c>
      <c r="L3627" s="8">
        <v>3421.9507789999998</v>
      </c>
      <c r="M3627" s="9" t="str">
        <f>IF(A3627="",M3628,A3627)</f>
        <v>Senegal</v>
      </c>
      <c r="N3627" s="3" t="str">
        <f t="shared" si="113"/>
        <v>Feb-2020</v>
      </c>
    </row>
    <row r="3628" spans="1:14" x14ac:dyDescent="0.3">
      <c r="A3628" s="3" t="s">
        <v>310</v>
      </c>
      <c r="B3628" s="3" t="s">
        <v>311</v>
      </c>
      <c r="C3628" s="8">
        <v>2020</v>
      </c>
      <c r="D3628" s="8">
        <v>3</v>
      </c>
      <c r="E3628" s="3" t="str">
        <f t="shared" si="112"/>
        <v>March</v>
      </c>
      <c r="F3628" s="3" t="s">
        <v>8</v>
      </c>
      <c r="G3628" s="8">
        <v>7172.9679020000003</v>
      </c>
      <c r="H3628" s="8">
        <v>6822.9430000000002</v>
      </c>
      <c r="I3628" s="8">
        <v>-350.02490180000001</v>
      </c>
      <c r="J3628" s="8">
        <v>26.84167545</v>
      </c>
      <c r="K3628" s="8">
        <v>-3262.5553650000002</v>
      </c>
      <c r="L3628" s="8">
        <v>3720.3845710000001</v>
      </c>
      <c r="M3628" s="9" t="str">
        <f>IF(A3628="",M3629,A3628)</f>
        <v>Senegal</v>
      </c>
      <c r="N3628" s="3" t="str">
        <f t="shared" si="113"/>
        <v>Mar-2020</v>
      </c>
    </row>
    <row r="3629" spans="1:14" x14ac:dyDescent="0.3">
      <c r="A3629" s="3" t="s">
        <v>310</v>
      </c>
      <c r="B3629" s="3" t="s">
        <v>311</v>
      </c>
      <c r="C3629" s="8">
        <v>2020</v>
      </c>
      <c r="D3629" s="8">
        <v>4</v>
      </c>
      <c r="E3629" s="3" t="str">
        <f t="shared" si="112"/>
        <v>April</v>
      </c>
      <c r="F3629" s="3" t="s">
        <v>8</v>
      </c>
      <c r="G3629" s="8">
        <v>7073.3202309999997</v>
      </c>
      <c r="H3629" s="8">
        <v>6473.7950000000001</v>
      </c>
      <c r="I3629" s="8">
        <v>-599.52523080000003</v>
      </c>
      <c r="J3629" s="8">
        <v>-572.68355529999997</v>
      </c>
      <c r="K3629" s="8">
        <v>-4261.4455520000001</v>
      </c>
      <c r="L3629" s="8">
        <v>3511.5619940000001</v>
      </c>
      <c r="M3629" s="9" t="str">
        <f>IF(A3629="",M3630,A3629)</f>
        <v>Senegal</v>
      </c>
      <c r="N3629" s="3" t="str">
        <f t="shared" si="113"/>
        <v>Apr-2020</v>
      </c>
    </row>
    <row r="3630" spans="1:14" x14ac:dyDescent="0.3">
      <c r="A3630" s="3" t="s">
        <v>310</v>
      </c>
      <c r="B3630" s="3" t="s">
        <v>311</v>
      </c>
      <c r="C3630" s="8">
        <v>2020</v>
      </c>
      <c r="D3630" s="8">
        <v>5</v>
      </c>
      <c r="E3630" s="3" t="str">
        <f t="shared" si="112"/>
        <v>May</v>
      </c>
      <c r="F3630" s="3" t="s">
        <v>8</v>
      </c>
      <c r="G3630" s="8">
        <v>7072.5705539999999</v>
      </c>
      <c r="H3630" s="8">
        <v>6921.1859999999997</v>
      </c>
      <c r="I3630" s="8">
        <v>-151.38455379999999</v>
      </c>
      <c r="J3630" s="8">
        <v>-724.06810919999998</v>
      </c>
      <c r="K3630" s="8">
        <v>-4905.2800800000005</v>
      </c>
      <c r="L3630" s="8">
        <v>3743.1055259999998</v>
      </c>
      <c r="M3630" s="9" t="str">
        <f>IF(A3630="",M3631,A3630)</f>
        <v>Senegal</v>
      </c>
      <c r="N3630" s="3" t="str">
        <f t="shared" si="113"/>
        <v>May-2020</v>
      </c>
    </row>
    <row r="3631" spans="1:14" x14ac:dyDescent="0.3">
      <c r="A3631" s="3" t="s">
        <v>310</v>
      </c>
      <c r="B3631" s="3" t="s">
        <v>311</v>
      </c>
      <c r="C3631" s="8">
        <v>2020</v>
      </c>
      <c r="D3631" s="8">
        <v>6</v>
      </c>
      <c r="E3631" s="3" t="str">
        <f t="shared" si="112"/>
        <v>June</v>
      </c>
      <c r="F3631" s="3" t="s">
        <v>8</v>
      </c>
      <c r="G3631" s="8">
        <v>7107.8863359999996</v>
      </c>
      <c r="H3631" s="8">
        <v>7494.8239999999996</v>
      </c>
      <c r="I3631" s="8">
        <v>386.93766390000002</v>
      </c>
      <c r="J3631" s="8">
        <v>-337.13044530000002</v>
      </c>
      <c r="K3631" s="8">
        <v>-5116.0387579999997</v>
      </c>
      <c r="L3631" s="8">
        <v>4650.7221929999996</v>
      </c>
      <c r="M3631" s="9" t="str">
        <f>IF(A3631="",M3632,A3631)</f>
        <v>Senegal</v>
      </c>
      <c r="N3631" s="3" t="str">
        <f t="shared" si="113"/>
        <v>Jun-2020</v>
      </c>
    </row>
    <row r="3632" spans="1:14" x14ac:dyDescent="0.3">
      <c r="A3632" s="3" t="s">
        <v>310</v>
      </c>
      <c r="B3632" s="3" t="s">
        <v>311</v>
      </c>
      <c r="C3632" s="8">
        <v>2020</v>
      </c>
      <c r="D3632" s="8">
        <v>7</v>
      </c>
      <c r="E3632" s="3" t="str">
        <f t="shared" si="112"/>
        <v>July</v>
      </c>
      <c r="F3632" s="3" t="s">
        <v>8</v>
      </c>
      <c r="G3632" s="8">
        <v>7227.783257</v>
      </c>
      <c r="H3632" s="8">
        <v>8681.7970000000005</v>
      </c>
      <c r="I3632" s="8">
        <v>1454.013743</v>
      </c>
      <c r="J3632" s="8">
        <v>1116.883298</v>
      </c>
      <c r="K3632" s="8">
        <v>-4400.9859759999999</v>
      </c>
      <c r="L3632" s="8">
        <v>6791.9671010000002</v>
      </c>
      <c r="M3632" s="9" t="str">
        <f>IF(A3632="",M3633,A3632)</f>
        <v>Senegal</v>
      </c>
      <c r="N3632" s="3" t="str">
        <f t="shared" si="113"/>
        <v>Jul-2020</v>
      </c>
    </row>
    <row r="3633" spans="1:14" x14ac:dyDescent="0.3">
      <c r="A3633" s="3" t="s">
        <v>310</v>
      </c>
      <c r="B3633" s="3" t="s">
        <v>311</v>
      </c>
      <c r="C3633" s="8">
        <v>2020</v>
      </c>
      <c r="D3633" s="8">
        <v>8</v>
      </c>
      <c r="E3633" s="3" t="str">
        <f t="shared" si="112"/>
        <v>August</v>
      </c>
      <c r="F3633" s="3" t="s">
        <v>8</v>
      </c>
      <c r="G3633" s="8">
        <v>7238.3066479999998</v>
      </c>
      <c r="H3633" s="8">
        <v>8101.47</v>
      </c>
      <c r="I3633" s="8">
        <v>863.16335149999998</v>
      </c>
      <c r="J3633" s="8">
        <v>1980.04665</v>
      </c>
      <c r="K3633" s="8">
        <v>-3484.3981279999998</v>
      </c>
      <c r="L3633" s="8">
        <v>8073.4983300000004</v>
      </c>
      <c r="M3633" s="9" t="str">
        <f>IF(A3633="",M3634,A3633)</f>
        <v>Senegal</v>
      </c>
      <c r="N3633" s="3" t="str">
        <f t="shared" si="113"/>
        <v>Aug-2020</v>
      </c>
    </row>
    <row r="3634" spans="1:14" x14ac:dyDescent="0.3">
      <c r="A3634" s="3" t="s">
        <v>310</v>
      </c>
      <c r="B3634" s="3" t="s">
        <v>311</v>
      </c>
      <c r="C3634" s="8">
        <v>2020</v>
      </c>
      <c r="D3634" s="8">
        <v>9</v>
      </c>
      <c r="E3634" s="3" t="str">
        <f t="shared" si="112"/>
        <v>September</v>
      </c>
      <c r="F3634" s="3" t="s">
        <v>8</v>
      </c>
      <c r="G3634" s="8">
        <v>7258.2644460000001</v>
      </c>
      <c r="H3634" s="8">
        <v>7524.8890000000001</v>
      </c>
      <c r="I3634" s="8">
        <v>266.62455369999998</v>
      </c>
      <c r="J3634" s="8">
        <v>2246.6712029999999</v>
      </c>
      <c r="K3634" s="8">
        <v>-3620.3696490000002</v>
      </c>
      <c r="L3634" s="8">
        <v>8535.6153190000005</v>
      </c>
      <c r="M3634" s="9" t="str">
        <f>IF(A3634="",M3635,A3634)</f>
        <v>Senegal</v>
      </c>
      <c r="N3634" s="3" t="str">
        <f t="shared" si="113"/>
        <v>Sep-2020</v>
      </c>
    </row>
    <row r="3635" spans="1:14" x14ac:dyDescent="0.3">
      <c r="A3635" s="3" t="s">
        <v>310</v>
      </c>
      <c r="B3635" s="3" t="s">
        <v>311</v>
      </c>
      <c r="C3635" s="8">
        <v>2020</v>
      </c>
      <c r="D3635" s="8">
        <v>10</v>
      </c>
      <c r="E3635" s="3" t="str">
        <f t="shared" si="112"/>
        <v>October</v>
      </c>
      <c r="F3635" s="3" t="s">
        <v>8</v>
      </c>
      <c r="G3635" s="8">
        <v>7202.3606710000004</v>
      </c>
      <c r="H3635" s="8">
        <v>7158.174</v>
      </c>
      <c r="I3635" s="8">
        <v>-44.18667104</v>
      </c>
      <c r="J3635" s="8">
        <v>2202.4845319999999</v>
      </c>
      <c r="K3635" s="8">
        <v>-4092.3144120000002</v>
      </c>
      <c r="L3635" s="8">
        <v>8966.4068239999997</v>
      </c>
      <c r="M3635" s="9" t="str">
        <f>IF(A3635="",M3636,A3635)</f>
        <v>Senegal</v>
      </c>
      <c r="N3635" s="3" t="str">
        <f t="shared" si="113"/>
        <v>Oct-2020</v>
      </c>
    </row>
    <row r="3636" spans="1:14" x14ac:dyDescent="0.3">
      <c r="A3636" s="3" t="s">
        <v>310</v>
      </c>
      <c r="B3636" s="3" t="s">
        <v>311</v>
      </c>
      <c r="C3636" s="8">
        <v>2020</v>
      </c>
      <c r="D3636" s="8">
        <v>11</v>
      </c>
      <c r="E3636" s="3" t="str">
        <f t="shared" si="112"/>
        <v>November</v>
      </c>
      <c r="F3636" s="3" t="s">
        <v>8</v>
      </c>
      <c r="G3636" s="8">
        <v>7269.3251970000001</v>
      </c>
      <c r="H3636" s="8">
        <v>7211.9009999999998</v>
      </c>
      <c r="I3636" s="8">
        <v>-57.424197079999999</v>
      </c>
      <c r="J3636" s="8">
        <v>2145.0603350000001</v>
      </c>
      <c r="K3636" s="8">
        <v>-4546.2432129999997</v>
      </c>
      <c r="L3636" s="8">
        <v>9238.5377850000004</v>
      </c>
      <c r="M3636" s="9" t="str">
        <f>IF(A3636="",M3637,A3636)</f>
        <v>Senegal</v>
      </c>
      <c r="N3636" s="3" t="str">
        <f t="shared" si="113"/>
        <v>Nov-2020</v>
      </c>
    </row>
    <row r="3637" spans="1:14" x14ac:dyDescent="0.3">
      <c r="A3637" s="3" t="s">
        <v>310</v>
      </c>
      <c r="B3637" s="3" t="s">
        <v>311</v>
      </c>
      <c r="C3637" s="8">
        <v>2020</v>
      </c>
      <c r="D3637" s="8">
        <v>12</v>
      </c>
      <c r="E3637" s="3" t="str">
        <f t="shared" si="112"/>
        <v>December</v>
      </c>
      <c r="F3637" s="3" t="s">
        <v>8</v>
      </c>
      <c r="G3637" s="8">
        <v>7339.860627</v>
      </c>
      <c r="H3637" s="8">
        <v>7765.5510000000004</v>
      </c>
      <c r="I3637" s="8">
        <v>425.6903729</v>
      </c>
      <c r="J3637" s="8">
        <v>2570.750708</v>
      </c>
      <c r="K3637" s="8">
        <v>-4074.694649</v>
      </c>
      <c r="L3637" s="8">
        <v>10086.811530000001</v>
      </c>
      <c r="M3637" s="9" t="str">
        <f>IF(A3637="",M3638,A3637)</f>
        <v>Senegal</v>
      </c>
      <c r="N3637" s="3" t="str">
        <f t="shared" si="113"/>
        <v>Dec-2020</v>
      </c>
    </row>
    <row r="3638" spans="1:14" x14ac:dyDescent="0.3">
      <c r="A3638" s="3" t="s">
        <v>310</v>
      </c>
      <c r="B3638" s="3" t="s">
        <v>311</v>
      </c>
      <c r="C3638" s="8">
        <v>2021</v>
      </c>
      <c r="D3638" s="8">
        <v>1</v>
      </c>
      <c r="E3638" s="3" t="str">
        <f t="shared" si="112"/>
        <v>January</v>
      </c>
      <c r="F3638" s="3" t="s">
        <v>8</v>
      </c>
      <c r="G3638" s="8">
        <v>7360.434346</v>
      </c>
      <c r="H3638" s="8">
        <v>8354.1569999999992</v>
      </c>
      <c r="I3638" s="8">
        <v>993.72265370000002</v>
      </c>
      <c r="J3638" s="8">
        <v>3564.4733620000002</v>
      </c>
      <c r="K3638" s="8">
        <v>-3242.0262889999999</v>
      </c>
      <c r="L3638" s="8">
        <v>11455.22732</v>
      </c>
      <c r="M3638" s="9" t="str">
        <f>IF(A3638="",M3639,A3638)</f>
        <v>Senegal</v>
      </c>
      <c r="N3638" s="3" t="str">
        <f t="shared" si="113"/>
        <v>Jan-2021</v>
      </c>
    </row>
    <row r="3639" spans="1:14" x14ac:dyDescent="0.3">
      <c r="A3639" s="3" t="s">
        <v>310</v>
      </c>
      <c r="B3639" s="3" t="s">
        <v>311</v>
      </c>
      <c r="C3639" s="8">
        <v>2021</v>
      </c>
      <c r="D3639" s="8">
        <v>2</v>
      </c>
      <c r="E3639" s="3" t="str">
        <f t="shared" si="112"/>
        <v>February</v>
      </c>
      <c r="F3639" s="3" t="s">
        <v>8</v>
      </c>
      <c r="G3639" s="8">
        <v>7194.7161420000002</v>
      </c>
      <c r="H3639" s="8">
        <v>8429.0679999999993</v>
      </c>
      <c r="I3639" s="8">
        <v>1234.351858</v>
      </c>
      <c r="J3639" s="8">
        <v>4798.8252199999997</v>
      </c>
      <c r="K3639" s="8">
        <v>-2292.1687499999998</v>
      </c>
      <c r="L3639" s="8">
        <v>13396.706749999999</v>
      </c>
      <c r="M3639" s="9" t="str">
        <f>IF(A3639="",M3640,A3639)</f>
        <v>Senegal</v>
      </c>
      <c r="N3639" s="3" t="str">
        <f t="shared" si="113"/>
        <v>Feb-2021</v>
      </c>
    </row>
    <row r="3640" spans="1:14" x14ac:dyDescent="0.3">
      <c r="A3640" s="3" t="s">
        <v>310</v>
      </c>
      <c r="B3640" s="3" t="s">
        <v>311</v>
      </c>
      <c r="C3640" s="8">
        <v>2021</v>
      </c>
      <c r="D3640" s="8">
        <v>3</v>
      </c>
      <c r="E3640" s="3" t="str">
        <f t="shared" si="112"/>
        <v>March</v>
      </c>
      <c r="F3640" s="3" t="s">
        <v>8</v>
      </c>
      <c r="G3640" s="8">
        <v>7165.8983760000001</v>
      </c>
      <c r="H3640" s="8">
        <v>8226.9529999999995</v>
      </c>
      <c r="I3640" s="8">
        <v>1061.0546240000001</v>
      </c>
      <c r="J3640" s="8">
        <v>5859.8798429999997</v>
      </c>
      <c r="K3640" s="8">
        <v>-1750.322056</v>
      </c>
      <c r="L3640" s="8">
        <v>14291.38716</v>
      </c>
      <c r="M3640" s="9" t="str">
        <f>IF(A3640="",M3641,A3640)</f>
        <v>Senegal</v>
      </c>
      <c r="N3640" s="3" t="str">
        <f t="shared" si="113"/>
        <v>Mar-2021</v>
      </c>
    </row>
    <row r="3641" spans="1:14" x14ac:dyDescent="0.3">
      <c r="A3641" s="3" t="s">
        <v>310</v>
      </c>
      <c r="B3641" s="3" t="s">
        <v>311</v>
      </c>
      <c r="C3641" s="8">
        <v>2021</v>
      </c>
      <c r="D3641" s="8">
        <v>4</v>
      </c>
      <c r="E3641" s="3" t="str">
        <f t="shared" si="112"/>
        <v>April</v>
      </c>
      <c r="F3641" s="3" t="s">
        <v>8</v>
      </c>
      <c r="G3641" s="8">
        <v>7069.0591930000001</v>
      </c>
      <c r="H3641" s="8">
        <v>7706.4679999999998</v>
      </c>
      <c r="I3641" s="8">
        <v>637.40880709999999</v>
      </c>
      <c r="J3641" s="8">
        <v>6497.2886500000004</v>
      </c>
      <c r="K3641" s="8">
        <v>-1392.9709989999999</v>
      </c>
      <c r="L3641" s="8">
        <v>14840.06839</v>
      </c>
      <c r="M3641" s="9" t="str">
        <f>IF(A3641="",M3642,A3641)</f>
        <v>Senegal</v>
      </c>
      <c r="N3641" s="3" t="str">
        <f t="shared" si="113"/>
        <v>Apr-2021</v>
      </c>
    </row>
    <row r="3642" spans="1:14" x14ac:dyDescent="0.3">
      <c r="A3642" s="3" t="s">
        <v>310</v>
      </c>
      <c r="B3642" s="3" t="s">
        <v>311</v>
      </c>
      <c r="C3642" s="8">
        <v>2021</v>
      </c>
      <c r="D3642" s="8">
        <v>5</v>
      </c>
      <c r="E3642" s="3" t="str">
        <f t="shared" si="112"/>
        <v>May</v>
      </c>
      <c r="F3642" s="3" t="s">
        <v>8</v>
      </c>
      <c r="G3642" s="8">
        <v>7067.5821040000001</v>
      </c>
      <c r="H3642" s="8">
        <v>7588.2960000000003</v>
      </c>
      <c r="I3642" s="8">
        <v>520.71389590000001</v>
      </c>
      <c r="J3642" s="8">
        <v>7018.0025459999997</v>
      </c>
      <c r="K3642" s="8">
        <v>-1467.6106609999999</v>
      </c>
      <c r="L3642" s="8">
        <v>15813.256799999999</v>
      </c>
      <c r="M3642" s="9" t="str">
        <f>IF(A3642="",M3643,A3642)</f>
        <v>Senegal</v>
      </c>
      <c r="N3642" s="3" t="str">
        <f t="shared" si="113"/>
        <v>May-2021</v>
      </c>
    </row>
    <row r="3643" spans="1:14" x14ac:dyDescent="0.3">
      <c r="A3643" s="3" t="s">
        <v>310</v>
      </c>
      <c r="B3643" s="3" t="s">
        <v>311</v>
      </c>
      <c r="C3643" s="8">
        <v>2021</v>
      </c>
      <c r="D3643" s="8">
        <v>6</v>
      </c>
      <c r="E3643" s="3" t="str">
        <f t="shared" si="112"/>
        <v>June</v>
      </c>
      <c r="F3643" s="3" t="s">
        <v>8</v>
      </c>
      <c r="G3643" s="8">
        <v>7103.522234</v>
      </c>
      <c r="H3643" s="8">
        <v>7638.0119999999997</v>
      </c>
      <c r="I3643" s="8">
        <v>534.48976570000002</v>
      </c>
      <c r="J3643" s="8">
        <v>7552.4923120000003</v>
      </c>
      <c r="K3643" s="8">
        <v>-883.17989829999999</v>
      </c>
      <c r="L3643" s="8">
        <v>16395.151730000001</v>
      </c>
      <c r="M3643" s="9" t="str">
        <f>IF(A3643="",M3644,A3643)</f>
        <v>Senegal</v>
      </c>
      <c r="N3643" s="3" t="str">
        <f t="shared" si="113"/>
        <v>Jun-2021</v>
      </c>
    </row>
    <row r="3644" spans="1:14" x14ac:dyDescent="0.3">
      <c r="A3644" s="3" t="s">
        <v>310</v>
      </c>
      <c r="B3644" s="3" t="s">
        <v>311</v>
      </c>
      <c r="C3644" s="8">
        <v>2021</v>
      </c>
      <c r="D3644" s="8">
        <v>7</v>
      </c>
      <c r="E3644" s="3" t="str">
        <f t="shared" si="112"/>
        <v>July</v>
      </c>
      <c r="F3644" s="3" t="s">
        <v>8</v>
      </c>
      <c r="G3644" s="8">
        <v>7224.1465859999998</v>
      </c>
      <c r="H3644" s="8">
        <v>8767.0730000000003</v>
      </c>
      <c r="I3644" s="8">
        <v>1542.926414</v>
      </c>
      <c r="J3644" s="8">
        <v>9095.4187259999999</v>
      </c>
      <c r="K3644" s="8">
        <v>68.476565539999996</v>
      </c>
      <c r="L3644" s="8">
        <v>18724.086569999999</v>
      </c>
      <c r="M3644" s="9" t="str">
        <f>IF(A3644="",M3645,A3644)</f>
        <v>Senegal</v>
      </c>
      <c r="N3644" s="3" t="str">
        <f t="shared" si="113"/>
        <v>Jul-2021</v>
      </c>
    </row>
    <row r="3645" spans="1:14" x14ac:dyDescent="0.3">
      <c r="A3645" s="3" t="s">
        <v>310</v>
      </c>
      <c r="B3645" s="3" t="s">
        <v>311</v>
      </c>
      <c r="C3645" s="8">
        <v>2021</v>
      </c>
      <c r="D3645" s="8">
        <v>8</v>
      </c>
      <c r="E3645" s="3" t="str">
        <f t="shared" si="112"/>
        <v>August</v>
      </c>
      <c r="F3645" s="3" t="s">
        <v>8</v>
      </c>
      <c r="G3645" s="8">
        <v>7231.9744920000003</v>
      </c>
      <c r="H3645" s="8">
        <v>8873.3549999999996</v>
      </c>
      <c r="I3645" s="8">
        <v>1641.380508</v>
      </c>
      <c r="J3645" s="8">
        <v>10736.799230000001</v>
      </c>
      <c r="K3645" s="8">
        <v>1652.1768050000001</v>
      </c>
      <c r="L3645" s="8">
        <v>20735.13811</v>
      </c>
      <c r="M3645" s="9" t="str">
        <f>IF(A3645="",M3646,A3645)</f>
        <v>Senegal</v>
      </c>
      <c r="N3645" s="3" t="str">
        <f t="shared" si="113"/>
        <v>Aug-2021</v>
      </c>
    </row>
    <row r="3646" spans="1:14" x14ac:dyDescent="0.3">
      <c r="A3646" s="3" t="s">
        <v>310</v>
      </c>
      <c r="B3646" s="3" t="s">
        <v>311</v>
      </c>
      <c r="C3646" s="8">
        <v>2021</v>
      </c>
      <c r="D3646" s="8">
        <v>9</v>
      </c>
      <c r="E3646" s="3" t="str">
        <f t="shared" si="112"/>
        <v>September</v>
      </c>
      <c r="F3646" s="3" t="s">
        <v>8</v>
      </c>
      <c r="G3646" s="8">
        <v>7252.0225899999996</v>
      </c>
      <c r="H3646" s="8">
        <v>7638.1170000000002</v>
      </c>
      <c r="I3646" s="8">
        <v>386.09440949999998</v>
      </c>
      <c r="J3646" s="8">
        <v>11122.89364</v>
      </c>
      <c r="K3646" s="8">
        <v>1336.0184489999999</v>
      </c>
      <c r="L3646" s="8">
        <v>20846.048220000001</v>
      </c>
      <c r="M3646" s="9" t="str">
        <f>IF(A3646="",M3647,A3646)</f>
        <v>Senegal</v>
      </c>
      <c r="N3646" s="3" t="str">
        <f t="shared" si="113"/>
        <v>Sep-2021</v>
      </c>
    </row>
    <row r="3647" spans="1:14" x14ac:dyDescent="0.3">
      <c r="A3647" s="3" t="s">
        <v>310</v>
      </c>
      <c r="B3647" s="3" t="s">
        <v>311</v>
      </c>
      <c r="C3647" s="8">
        <v>2021</v>
      </c>
      <c r="D3647" s="8">
        <v>10</v>
      </c>
      <c r="E3647" s="3" t="str">
        <f t="shared" si="112"/>
        <v>October</v>
      </c>
      <c r="F3647" s="3" t="s">
        <v>8</v>
      </c>
      <c r="G3647" s="8">
        <v>7195.905769</v>
      </c>
      <c r="H3647" s="8">
        <v>7164.4530000000004</v>
      </c>
      <c r="I3647" s="8">
        <v>-31.452768679999998</v>
      </c>
      <c r="J3647" s="8">
        <v>11091.44087</v>
      </c>
      <c r="K3647" s="8">
        <v>1169.309839</v>
      </c>
      <c r="L3647" s="8">
        <v>21255.667590000001</v>
      </c>
      <c r="M3647" s="9" t="str">
        <f>IF(A3647="",M3648,A3647)</f>
        <v>Senegal</v>
      </c>
      <c r="N3647" s="3" t="str">
        <f t="shared" si="113"/>
        <v>Oct-2021</v>
      </c>
    </row>
    <row r="3648" spans="1:14" x14ac:dyDescent="0.3">
      <c r="A3648" s="3" t="s">
        <v>310</v>
      </c>
      <c r="B3648" s="3" t="s">
        <v>311</v>
      </c>
      <c r="C3648" s="8">
        <v>2021</v>
      </c>
      <c r="D3648" s="8">
        <v>11</v>
      </c>
      <c r="E3648" s="3" t="str">
        <f t="shared" si="112"/>
        <v>November</v>
      </c>
      <c r="F3648" s="3" t="s">
        <v>8</v>
      </c>
      <c r="G3648" s="8">
        <v>7262.2949619999999</v>
      </c>
      <c r="H3648" s="8">
        <v>7269.5959999999995</v>
      </c>
      <c r="I3648" s="8">
        <v>7.3010378100000004</v>
      </c>
      <c r="J3648" s="8">
        <v>11098.741910000001</v>
      </c>
      <c r="K3648" s="8">
        <v>925.21780349999995</v>
      </c>
      <c r="L3648" s="8">
        <v>21151.712879999999</v>
      </c>
      <c r="M3648" s="9" t="str">
        <f>IF(A3648="",M3649,A3648)</f>
        <v>Senegal</v>
      </c>
      <c r="N3648" s="3" t="str">
        <f t="shared" si="113"/>
        <v>Nov-2021</v>
      </c>
    </row>
    <row r="3649" spans="1:14" x14ac:dyDescent="0.3">
      <c r="A3649" s="3" t="s">
        <v>310</v>
      </c>
      <c r="B3649" s="3" t="s">
        <v>311</v>
      </c>
      <c r="C3649" s="8">
        <v>2021</v>
      </c>
      <c r="D3649" s="8">
        <v>12</v>
      </c>
      <c r="E3649" s="3" t="str">
        <f t="shared" si="112"/>
        <v>December</v>
      </c>
      <c r="F3649" s="3" t="s">
        <v>8</v>
      </c>
      <c r="G3649" s="8">
        <v>7336.2636830000001</v>
      </c>
      <c r="H3649" s="8">
        <v>7411.4520000000002</v>
      </c>
      <c r="I3649" s="8">
        <v>75.188317040000001</v>
      </c>
      <c r="J3649" s="8">
        <v>11173.93023</v>
      </c>
      <c r="K3649" s="8">
        <v>721.67323439999996</v>
      </c>
      <c r="L3649" s="8">
        <v>21556.334569999999</v>
      </c>
      <c r="M3649" s="9" t="str">
        <f>IF(A3649="",M3650,A3649)</f>
        <v>Senegal</v>
      </c>
      <c r="N3649" s="3" t="str">
        <f t="shared" si="113"/>
        <v>Dec-2021</v>
      </c>
    </row>
    <row r="3650" spans="1:14" x14ac:dyDescent="0.3">
      <c r="A3650" s="3" t="s">
        <v>312</v>
      </c>
      <c r="B3650" s="3" t="s">
        <v>313</v>
      </c>
      <c r="C3650" s="8">
        <v>2020</v>
      </c>
      <c r="D3650" s="8">
        <v>1</v>
      </c>
      <c r="E3650" s="3" t="str">
        <f t="shared" ref="E3650:E3713" si="114">TEXT(DATE(C3650,D3650,1),"MMMM")</f>
        <v>January</v>
      </c>
      <c r="F3650" s="3" t="s">
        <v>13</v>
      </c>
      <c r="G3650" s="8">
        <v>1795.1203</v>
      </c>
      <c r="H3650" s="8">
        <v>2091</v>
      </c>
      <c r="I3650" s="8">
        <v>295.87969980000003</v>
      </c>
      <c r="J3650" s="8">
        <v>295.87969980000003</v>
      </c>
      <c r="K3650" s="8">
        <v>237.3777863</v>
      </c>
      <c r="L3650" s="8">
        <v>351.6160443</v>
      </c>
      <c r="M3650" s="9" t="str">
        <f>IF(A3650="",M3651,A3650)</f>
        <v>Singapore</v>
      </c>
      <c r="N3650" s="3" t="str">
        <f t="shared" ref="N3650:N3713" si="115">TEXT(DATE(C3650,D3650,1),"MMM-YYYY")</f>
        <v>Jan-2020</v>
      </c>
    </row>
    <row r="3651" spans="1:14" x14ac:dyDescent="0.3">
      <c r="A3651" s="3" t="s">
        <v>312</v>
      </c>
      <c r="B3651" s="3" t="s">
        <v>313</v>
      </c>
      <c r="C3651" s="8">
        <v>2020</v>
      </c>
      <c r="D3651" s="8">
        <v>2</v>
      </c>
      <c r="E3651" s="3" t="str">
        <f t="shared" si="114"/>
        <v>February</v>
      </c>
      <c r="F3651" s="3" t="s">
        <v>13</v>
      </c>
      <c r="G3651" s="8">
        <v>1805.344656</v>
      </c>
      <c r="H3651" s="8">
        <v>1762</v>
      </c>
      <c r="I3651" s="8">
        <v>-43.344655789999997</v>
      </c>
      <c r="J3651" s="8">
        <v>252.535044</v>
      </c>
      <c r="K3651" s="8">
        <v>162.8096017</v>
      </c>
      <c r="L3651" s="8">
        <v>342.69912890000001</v>
      </c>
      <c r="M3651" s="9" t="str">
        <f>IF(A3651="",M3652,A3651)</f>
        <v>Singapore</v>
      </c>
      <c r="N3651" s="3" t="str">
        <f t="shared" si="115"/>
        <v>Feb-2020</v>
      </c>
    </row>
    <row r="3652" spans="1:14" x14ac:dyDescent="0.3">
      <c r="A3652" s="3" t="s">
        <v>312</v>
      </c>
      <c r="B3652" s="3" t="s">
        <v>313</v>
      </c>
      <c r="C3652" s="8">
        <v>2020</v>
      </c>
      <c r="D3652" s="8">
        <v>3</v>
      </c>
      <c r="E3652" s="3" t="str">
        <f t="shared" si="114"/>
        <v>March</v>
      </c>
      <c r="F3652" s="3" t="s">
        <v>13</v>
      </c>
      <c r="G3652" s="8">
        <v>1822.465242</v>
      </c>
      <c r="H3652" s="8">
        <v>1891</v>
      </c>
      <c r="I3652" s="8">
        <v>68.534757499999998</v>
      </c>
      <c r="J3652" s="8">
        <v>321.06980149999998</v>
      </c>
      <c r="K3652" s="8">
        <v>207.04760469999999</v>
      </c>
      <c r="L3652" s="8">
        <v>432.07934829999999</v>
      </c>
      <c r="M3652" s="9" t="str">
        <f>IF(A3652="",M3653,A3652)</f>
        <v>Singapore</v>
      </c>
      <c r="N3652" s="3" t="str">
        <f t="shared" si="115"/>
        <v>Mar-2020</v>
      </c>
    </row>
    <row r="3653" spans="1:14" x14ac:dyDescent="0.3">
      <c r="A3653" s="3" t="s">
        <v>312</v>
      </c>
      <c r="B3653" s="3" t="s">
        <v>313</v>
      </c>
      <c r="C3653" s="8">
        <v>2020</v>
      </c>
      <c r="D3653" s="8">
        <v>4</v>
      </c>
      <c r="E3653" s="3" t="str">
        <f t="shared" si="114"/>
        <v>April</v>
      </c>
      <c r="F3653" s="3" t="s">
        <v>13</v>
      </c>
      <c r="G3653" s="8">
        <v>1845.645804</v>
      </c>
      <c r="H3653" s="8">
        <v>1913</v>
      </c>
      <c r="I3653" s="8">
        <v>67.354195540000006</v>
      </c>
      <c r="J3653" s="8">
        <v>388.42399710000001</v>
      </c>
      <c r="K3653" s="8">
        <v>249.9205681</v>
      </c>
      <c r="L3653" s="8">
        <v>514.1007055</v>
      </c>
      <c r="M3653" s="9" t="str">
        <f>IF(A3653="",M3654,A3653)</f>
        <v>Singapore</v>
      </c>
      <c r="N3653" s="3" t="str">
        <f t="shared" si="115"/>
        <v>Apr-2020</v>
      </c>
    </row>
    <row r="3654" spans="1:14" x14ac:dyDescent="0.3">
      <c r="A3654" s="3" t="s">
        <v>312</v>
      </c>
      <c r="B3654" s="3" t="s">
        <v>313</v>
      </c>
      <c r="C3654" s="8">
        <v>2020</v>
      </c>
      <c r="D3654" s="8">
        <v>5</v>
      </c>
      <c r="E3654" s="3" t="str">
        <f t="shared" si="114"/>
        <v>May</v>
      </c>
      <c r="F3654" s="3" t="s">
        <v>13</v>
      </c>
      <c r="G3654" s="8">
        <v>1873.3902430000001</v>
      </c>
      <c r="H3654" s="8">
        <v>1874</v>
      </c>
      <c r="I3654" s="8">
        <v>0.60975687899999997</v>
      </c>
      <c r="J3654" s="8">
        <v>389.03375390000002</v>
      </c>
      <c r="K3654" s="8">
        <v>232.18569679999999</v>
      </c>
      <c r="L3654" s="8">
        <v>536.80392970000003</v>
      </c>
      <c r="M3654" s="9" t="str">
        <f>IF(A3654="",M3655,A3654)</f>
        <v>Singapore</v>
      </c>
      <c r="N3654" s="3" t="str">
        <f t="shared" si="115"/>
        <v>May-2020</v>
      </c>
    </row>
    <row r="3655" spans="1:14" x14ac:dyDescent="0.3">
      <c r="A3655" s="3" t="s">
        <v>312</v>
      </c>
      <c r="B3655" s="3" t="s">
        <v>313</v>
      </c>
      <c r="C3655" s="8">
        <v>2020</v>
      </c>
      <c r="D3655" s="8">
        <v>6</v>
      </c>
      <c r="E3655" s="3" t="str">
        <f t="shared" si="114"/>
        <v>June</v>
      </c>
      <c r="F3655" s="3" t="s">
        <v>13</v>
      </c>
      <c r="G3655" s="8">
        <v>1884.665401</v>
      </c>
      <c r="H3655" s="8">
        <v>1761</v>
      </c>
      <c r="I3655" s="8">
        <v>-123.6654015</v>
      </c>
      <c r="J3655" s="8">
        <v>265.36835250000001</v>
      </c>
      <c r="K3655" s="8">
        <v>91.607883540000003</v>
      </c>
      <c r="L3655" s="8">
        <v>431.22997370000002</v>
      </c>
      <c r="M3655" s="9" t="str">
        <f>IF(A3655="",M3656,A3655)</f>
        <v>Singapore</v>
      </c>
      <c r="N3655" s="3" t="str">
        <f t="shared" si="115"/>
        <v>Jun-2020</v>
      </c>
    </row>
    <row r="3656" spans="1:14" x14ac:dyDescent="0.3">
      <c r="A3656" s="3" t="s">
        <v>312</v>
      </c>
      <c r="B3656" s="3" t="s">
        <v>313</v>
      </c>
      <c r="C3656" s="8">
        <v>2020</v>
      </c>
      <c r="D3656" s="8">
        <v>7</v>
      </c>
      <c r="E3656" s="3" t="str">
        <f t="shared" si="114"/>
        <v>July</v>
      </c>
      <c r="F3656" s="3" t="s">
        <v>13</v>
      </c>
      <c r="G3656" s="8">
        <v>1880.3662939999999</v>
      </c>
      <c r="H3656" s="8">
        <v>1759</v>
      </c>
      <c r="I3656" s="8">
        <v>-121.3662939</v>
      </c>
      <c r="J3656" s="8">
        <v>144.0020586</v>
      </c>
      <c r="K3656" s="8">
        <v>-42.258999420000002</v>
      </c>
      <c r="L3656" s="8">
        <v>326.29009230000003</v>
      </c>
      <c r="M3656" s="9" t="str">
        <f>IF(A3656="",M3657,A3656)</f>
        <v>Singapore</v>
      </c>
      <c r="N3656" s="3" t="str">
        <f t="shared" si="115"/>
        <v>Jul-2020</v>
      </c>
    </row>
    <row r="3657" spans="1:14" x14ac:dyDescent="0.3">
      <c r="A3657" s="3" t="s">
        <v>312</v>
      </c>
      <c r="B3657" s="3" t="s">
        <v>313</v>
      </c>
      <c r="C3657" s="8">
        <v>2020</v>
      </c>
      <c r="D3657" s="8">
        <v>8</v>
      </c>
      <c r="E3657" s="3" t="str">
        <f t="shared" si="114"/>
        <v>August</v>
      </c>
      <c r="F3657" s="3" t="s">
        <v>13</v>
      </c>
      <c r="G3657" s="8">
        <v>1850.539338</v>
      </c>
      <c r="H3657" s="8">
        <v>1860</v>
      </c>
      <c r="I3657" s="8">
        <v>9.4606624279999991</v>
      </c>
      <c r="J3657" s="8">
        <v>153.46272099999999</v>
      </c>
      <c r="K3657" s="8">
        <v>-38.244131430000003</v>
      </c>
      <c r="L3657" s="8">
        <v>334.84426450000001</v>
      </c>
      <c r="M3657" s="9" t="str">
        <f>IF(A3657="",M3658,A3657)</f>
        <v>Singapore</v>
      </c>
      <c r="N3657" s="3" t="str">
        <f t="shared" si="115"/>
        <v>Aug-2020</v>
      </c>
    </row>
    <row r="3658" spans="1:14" x14ac:dyDescent="0.3">
      <c r="A3658" s="3" t="s">
        <v>312</v>
      </c>
      <c r="B3658" s="3" t="s">
        <v>313</v>
      </c>
      <c r="C3658" s="8">
        <v>2020</v>
      </c>
      <c r="D3658" s="8">
        <v>9</v>
      </c>
      <c r="E3658" s="3" t="str">
        <f t="shared" si="114"/>
        <v>September</v>
      </c>
      <c r="F3658" s="3" t="s">
        <v>13</v>
      </c>
      <c r="G3658" s="8">
        <v>1820.4631790000001</v>
      </c>
      <c r="H3658" s="8">
        <v>1751</v>
      </c>
      <c r="I3658" s="8">
        <v>-69.463179069999995</v>
      </c>
      <c r="J3658" s="8">
        <v>83.999541960000002</v>
      </c>
      <c r="K3658" s="8">
        <v>-126.0290459</v>
      </c>
      <c r="L3658" s="8">
        <v>287.91653050000002</v>
      </c>
      <c r="M3658" s="9" t="str">
        <f>IF(A3658="",M3659,A3658)</f>
        <v>Singapore</v>
      </c>
      <c r="N3658" s="3" t="str">
        <f t="shared" si="115"/>
        <v>Sep-2020</v>
      </c>
    </row>
    <row r="3659" spans="1:14" x14ac:dyDescent="0.3">
      <c r="A3659" s="3" t="s">
        <v>312</v>
      </c>
      <c r="B3659" s="3" t="s">
        <v>313</v>
      </c>
      <c r="C3659" s="8">
        <v>2020</v>
      </c>
      <c r="D3659" s="8">
        <v>10</v>
      </c>
      <c r="E3659" s="3" t="str">
        <f t="shared" si="114"/>
        <v>October</v>
      </c>
      <c r="F3659" s="3" t="s">
        <v>13</v>
      </c>
      <c r="G3659" s="8">
        <v>1814.1075169999999</v>
      </c>
      <c r="H3659" s="8">
        <v>1770</v>
      </c>
      <c r="I3659" s="8">
        <v>-44.107516850000003</v>
      </c>
      <c r="J3659" s="8">
        <v>39.892025109999999</v>
      </c>
      <c r="K3659" s="8">
        <v>-191.59018349999999</v>
      </c>
      <c r="L3659" s="8">
        <v>249.0782715</v>
      </c>
      <c r="M3659" s="9" t="str">
        <f>IF(A3659="",M3660,A3659)</f>
        <v>Singapore</v>
      </c>
      <c r="N3659" s="3" t="str">
        <f t="shared" si="115"/>
        <v>Oct-2020</v>
      </c>
    </row>
    <row r="3660" spans="1:14" x14ac:dyDescent="0.3">
      <c r="A3660" s="3" t="s">
        <v>312</v>
      </c>
      <c r="B3660" s="3" t="s">
        <v>313</v>
      </c>
      <c r="C3660" s="8">
        <v>2020</v>
      </c>
      <c r="D3660" s="8">
        <v>11</v>
      </c>
      <c r="E3660" s="3" t="str">
        <f t="shared" si="114"/>
        <v>November</v>
      </c>
      <c r="F3660" s="3" t="s">
        <v>13</v>
      </c>
      <c r="G3660" s="8">
        <v>1818.7909990000001</v>
      </c>
      <c r="H3660" s="8">
        <v>1771</v>
      </c>
      <c r="I3660" s="8">
        <v>-47.790999190000001</v>
      </c>
      <c r="J3660" s="8">
        <v>-7.8989740819999996</v>
      </c>
      <c r="K3660" s="8">
        <v>-238.55512820000001</v>
      </c>
      <c r="L3660" s="8">
        <v>214.21434909999999</v>
      </c>
      <c r="M3660" s="9" t="str">
        <f>IF(A3660="",M3661,A3660)</f>
        <v>Singapore</v>
      </c>
      <c r="N3660" s="3" t="str">
        <f t="shared" si="115"/>
        <v>Nov-2020</v>
      </c>
    </row>
    <row r="3661" spans="1:14" x14ac:dyDescent="0.3">
      <c r="A3661" s="3" t="s">
        <v>312</v>
      </c>
      <c r="B3661" s="3" t="s">
        <v>313</v>
      </c>
      <c r="C3661" s="8">
        <v>2020</v>
      </c>
      <c r="D3661" s="8">
        <v>12</v>
      </c>
      <c r="E3661" s="3" t="str">
        <f t="shared" si="114"/>
        <v>December</v>
      </c>
      <c r="F3661" s="3" t="s">
        <v>13</v>
      </c>
      <c r="G3661" s="8">
        <v>1829.9734559999999</v>
      </c>
      <c r="H3661" s="8">
        <v>1851</v>
      </c>
      <c r="I3661" s="8">
        <v>21.02654364</v>
      </c>
      <c r="J3661" s="8">
        <v>13.12756956</v>
      </c>
      <c r="K3661" s="8">
        <v>-233.13227449999999</v>
      </c>
      <c r="L3661" s="8">
        <v>241.6983716</v>
      </c>
      <c r="M3661" s="9" t="str">
        <f>IF(A3661="",M3662,A3661)</f>
        <v>Singapore</v>
      </c>
      <c r="N3661" s="3" t="str">
        <f t="shared" si="115"/>
        <v>Dec-2020</v>
      </c>
    </row>
    <row r="3662" spans="1:14" x14ac:dyDescent="0.3">
      <c r="A3662" s="3" t="s">
        <v>312</v>
      </c>
      <c r="B3662" s="3" t="s">
        <v>313</v>
      </c>
      <c r="C3662" s="8">
        <v>2021</v>
      </c>
      <c r="D3662" s="8">
        <v>1</v>
      </c>
      <c r="E3662" s="3" t="str">
        <f t="shared" si="114"/>
        <v>January</v>
      </c>
      <c r="F3662" s="3" t="s">
        <v>13</v>
      </c>
      <c r="G3662" s="8">
        <v>1835.2527250000001</v>
      </c>
      <c r="H3662" s="8">
        <v>1871</v>
      </c>
      <c r="I3662" s="8">
        <v>35.747274859999997</v>
      </c>
      <c r="J3662" s="8">
        <v>48.874844420000002</v>
      </c>
      <c r="K3662" s="8">
        <v>-212.21772440000001</v>
      </c>
      <c r="L3662" s="8">
        <v>287.73234789999998</v>
      </c>
      <c r="M3662" s="9" t="str">
        <f>IF(A3662="",M3663,A3662)</f>
        <v>Singapore</v>
      </c>
      <c r="N3662" s="3" t="str">
        <f t="shared" si="115"/>
        <v>Jan-2021</v>
      </c>
    </row>
    <row r="3663" spans="1:14" x14ac:dyDescent="0.3">
      <c r="A3663" s="3" t="s">
        <v>312</v>
      </c>
      <c r="B3663" s="3" t="s">
        <v>313</v>
      </c>
      <c r="C3663" s="8">
        <v>2021</v>
      </c>
      <c r="D3663" s="8">
        <v>2</v>
      </c>
      <c r="E3663" s="3" t="str">
        <f t="shared" si="114"/>
        <v>February</v>
      </c>
      <c r="F3663" s="3" t="s">
        <v>13</v>
      </c>
      <c r="G3663" s="8">
        <v>1843.0289620000001</v>
      </c>
      <c r="H3663" s="8">
        <v>1769</v>
      </c>
      <c r="I3663" s="8">
        <v>-74.028961699999996</v>
      </c>
      <c r="J3663" s="8">
        <v>-25.154117280000001</v>
      </c>
      <c r="K3663" s="8">
        <v>-283.88981209999997</v>
      </c>
      <c r="L3663" s="8">
        <v>232.1460423</v>
      </c>
      <c r="M3663" s="9" t="str">
        <f>IF(A3663="",M3664,A3663)</f>
        <v>Singapore</v>
      </c>
      <c r="N3663" s="3" t="str">
        <f t="shared" si="115"/>
        <v>Feb-2021</v>
      </c>
    </row>
    <row r="3664" spans="1:14" x14ac:dyDescent="0.3">
      <c r="A3664" s="3" t="s">
        <v>312</v>
      </c>
      <c r="B3664" s="3" t="s">
        <v>313</v>
      </c>
      <c r="C3664" s="8">
        <v>2021</v>
      </c>
      <c r="D3664" s="8">
        <v>3</v>
      </c>
      <c r="E3664" s="3" t="str">
        <f t="shared" si="114"/>
        <v>March</v>
      </c>
      <c r="F3664" s="3" t="s">
        <v>13</v>
      </c>
      <c r="G3664" s="8">
        <v>1864.214111</v>
      </c>
      <c r="H3664" s="8">
        <v>1924</v>
      </c>
      <c r="I3664" s="8">
        <v>59.785889189999999</v>
      </c>
      <c r="J3664" s="8">
        <v>34.631771909999998</v>
      </c>
      <c r="K3664" s="8">
        <v>-253.38072529999999</v>
      </c>
      <c r="L3664" s="8">
        <v>295.63843739999999</v>
      </c>
      <c r="M3664" s="9" t="str">
        <f>IF(A3664="",M3665,A3664)</f>
        <v>Singapore</v>
      </c>
      <c r="N3664" s="3" t="str">
        <f t="shared" si="115"/>
        <v>Mar-2021</v>
      </c>
    </row>
    <row r="3665" spans="1:14" x14ac:dyDescent="0.3">
      <c r="A3665" s="3" t="s">
        <v>312</v>
      </c>
      <c r="B3665" s="3" t="s">
        <v>313</v>
      </c>
      <c r="C3665" s="8">
        <v>2021</v>
      </c>
      <c r="D3665" s="8">
        <v>4</v>
      </c>
      <c r="E3665" s="3" t="str">
        <f t="shared" si="114"/>
        <v>April</v>
      </c>
      <c r="F3665" s="3" t="s">
        <v>13</v>
      </c>
      <c r="G3665" s="8">
        <v>1885.48083</v>
      </c>
      <c r="H3665" s="8">
        <v>1938</v>
      </c>
      <c r="I3665" s="8">
        <v>52.519170299999999</v>
      </c>
      <c r="J3665" s="8">
        <v>87.150942200000003</v>
      </c>
      <c r="K3665" s="8">
        <v>-200.26324220000001</v>
      </c>
      <c r="L3665" s="8">
        <v>373.1975041</v>
      </c>
      <c r="M3665" s="9" t="str">
        <f>IF(A3665="",M3666,A3665)</f>
        <v>Singapore</v>
      </c>
      <c r="N3665" s="3" t="str">
        <f t="shared" si="115"/>
        <v>Apr-2021</v>
      </c>
    </row>
    <row r="3666" spans="1:14" x14ac:dyDescent="0.3">
      <c r="A3666" s="3" t="s">
        <v>312</v>
      </c>
      <c r="B3666" s="3" t="s">
        <v>313</v>
      </c>
      <c r="C3666" s="8">
        <v>2021</v>
      </c>
      <c r="D3666" s="8">
        <v>5</v>
      </c>
      <c r="E3666" s="3" t="str">
        <f t="shared" si="114"/>
        <v>May</v>
      </c>
      <c r="F3666" s="3" t="s">
        <v>13</v>
      </c>
      <c r="G3666" s="8">
        <v>1910.5436179999999</v>
      </c>
      <c r="H3666" s="8">
        <v>1975</v>
      </c>
      <c r="I3666" s="8">
        <v>64.456382489999996</v>
      </c>
      <c r="J3666" s="8">
        <v>151.60732469999999</v>
      </c>
      <c r="K3666" s="8">
        <v>-164.92084639999999</v>
      </c>
      <c r="L3666" s="8">
        <v>436.01521930000001</v>
      </c>
      <c r="M3666" s="9" t="str">
        <f>IF(A3666="",M3667,A3666)</f>
        <v>Singapore</v>
      </c>
      <c r="N3666" s="3" t="str">
        <f t="shared" si="115"/>
        <v>May-2021</v>
      </c>
    </row>
    <row r="3667" spans="1:14" x14ac:dyDescent="0.3">
      <c r="A3667" s="3" t="s">
        <v>312</v>
      </c>
      <c r="B3667" s="3" t="s">
        <v>313</v>
      </c>
      <c r="C3667" s="8">
        <v>2021</v>
      </c>
      <c r="D3667" s="8">
        <v>6</v>
      </c>
      <c r="E3667" s="3" t="str">
        <f t="shared" si="114"/>
        <v>June</v>
      </c>
      <c r="F3667" s="3" t="s">
        <v>13</v>
      </c>
      <c r="G3667" s="8">
        <v>1924.085145</v>
      </c>
      <c r="H3667" s="8">
        <v>1937</v>
      </c>
      <c r="I3667" s="8">
        <v>12.914855040000001</v>
      </c>
      <c r="J3667" s="8">
        <v>164.52217970000001</v>
      </c>
      <c r="K3667" s="8">
        <v>-160.2395578</v>
      </c>
      <c r="L3667" s="8">
        <v>468.93589759999998</v>
      </c>
      <c r="M3667" s="9" t="str">
        <f>IF(A3667="",M3668,A3667)</f>
        <v>Singapore</v>
      </c>
      <c r="N3667" s="3" t="str">
        <f t="shared" si="115"/>
        <v>Jun-2021</v>
      </c>
    </row>
    <row r="3668" spans="1:14" x14ac:dyDescent="0.3">
      <c r="A3668" s="3" t="s">
        <v>312</v>
      </c>
      <c r="B3668" s="3" t="s">
        <v>313</v>
      </c>
      <c r="C3668" s="8">
        <v>2021</v>
      </c>
      <c r="D3668" s="8">
        <v>7</v>
      </c>
      <c r="E3668" s="3" t="str">
        <f t="shared" si="114"/>
        <v>July</v>
      </c>
      <c r="F3668" s="3" t="s">
        <v>13</v>
      </c>
      <c r="G3668" s="8">
        <v>1918.369074</v>
      </c>
      <c r="H3668" s="8">
        <v>1998</v>
      </c>
      <c r="I3668" s="8">
        <v>79.630926099999996</v>
      </c>
      <c r="J3668" s="8">
        <v>244.15310579999999</v>
      </c>
      <c r="K3668" s="8">
        <v>-87.864718389999993</v>
      </c>
      <c r="L3668" s="8">
        <v>555.89932529999999</v>
      </c>
      <c r="M3668" s="9" t="str">
        <f>IF(A3668="",M3669,A3668)</f>
        <v>Singapore</v>
      </c>
      <c r="N3668" s="3" t="str">
        <f t="shared" si="115"/>
        <v>Jul-2021</v>
      </c>
    </row>
    <row r="3669" spans="1:14" x14ac:dyDescent="0.3">
      <c r="A3669" s="3" t="s">
        <v>312</v>
      </c>
      <c r="B3669" s="3" t="s">
        <v>313</v>
      </c>
      <c r="C3669" s="8">
        <v>2021</v>
      </c>
      <c r="D3669" s="8">
        <v>8</v>
      </c>
      <c r="E3669" s="3" t="str">
        <f t="shared" si="114"/>
        <v>August</v>
      </c>
      <c r="F3669" s="3" t="s">
        <v>13</v>
      </c>
      <c r="G3669" s="8">
        <v>1891.8218449999999</v>
      </c>
      <c r="H3669" s="8">
        <v>1967</v>
      </c>
      <c r="I3669" s="8">
        <v>75.178154930000005</v>
      </c>
      <c r="J3669" s="8">
        <v>319.3312608</v>
      </c>
      <c r="K3669" s="8">
        <v>-18.358933589999999</v>
      </c>
      <c r="L3669" s="8">
        <v>640.01532150000003</v>
      </c>
      <c r="M3669" s="9" t="str">
        <f>IF(A3669="",M3670,A3669)</f>
        <v>Singapore</v>
      </c>
      <c r="N3669" s="3" t="str">
        <f t="shared" si="115"/>
        <v>Aug-2021</v>
      </c>
    </row>
    <row r="3670" spans="1:14" x14ac:dyDescent="0.3">
      <c r="A3670" s="3" t="s">
        <v>312</v>
      </c>
      <c r="B3670" s="3" t="s">
        <v>313</v>
      </c>
      <c r="C3670" s="8">
        <v>2021</v>
      </c>
      <c r="D3670" s="8">
        <v>9</v>
      </c>
      <c r="E3670" s="3" t="str">
        <f t="shared" si="114"/>
        <v>September</v>
      </c>
      <c r="F3670" s="3" t="s">
        <v>13</v>
      </c>
      <c r="G3670" s="8">
        <v>1861.5533700000001</v>
      </c>
      <c r="H3670" s="8">
        <v>1965</v>
      </c>
      <c r="I3670" s="8">
        <v>103.4466302</v>
      </c>
      <c r="J3670" s="8">
        <v>422.77789100000001</v>
      </c>
      <c r="K3670" s="8">
        <v>84.577494340000001</v>
      </c>
      <c r="L3670" s="8">
        <v>762.806556</v>
      </c>
      <c r="M3670" s="9" t="str">
        <f>IF(A3670="",M3671,A3670)</f>
        <v>Singapore</v>
      </c>
      <c r="N3670" s="3" t="str">
        <f t="shared" si="115"/>
        <v>Sep-2021</v>
      </c>
    </row>
    <row r="3671" spans="1:14" x14ac:dyDescent="0.3">
      <c r="A3671" s="3" t="s">
        <v>312</v>
      </c>
      <c r="B3671" s="3" t="s">
        <v>313</v>
      </c>
      <c r="C3671" s="8">
        <v>2021</v>
      </c>
      <c r="D3671" s="8">
        <v>10</v>
      </c>
      <c r="E3671" s="3" t="str">
        <f t="shared" si="114"/>
        <v>October</v>
      </c>
      <c r="F3671" s="3" t="s">
        <v>13</v>
      </c>
      <c r="G3671" s="8">
        <v>1850.5698339999999</v>
      </c>
      <c r="H3671" s="8">
        <v>2492</v>
      </c>
      <c r="I3671" s="8">
        <v>641.43016550000004</v>
      </c>
      <c r="J3671" s="8">
        <v>1064.2080559999999</v>
      </c>
      <c r="K3671" s="8">
        <v>711.7607855</v>
      </c>
      <c r="L3671" s="8">
        <v>1400.8113840000001</v>
      </c>
      <c r="M3671" s="9" t="str">
        <f>IF(A3671="",M3672,A3671)</f>
        <v>Singapore</v>
      </c>
      <c r="N3671" s="3" t="str">
        <f t="shared" si="115"/>
        <v>Oct-2021</v>
      </c>
    </row>
    <row r="3672" spans="1:14" x14ac:dyDescent="0.3">
      <c r="A3672" s="3" t="s">
        <v>312</v>
      </c>
      <c r="B3672" s="3" t="s">
        <v>313</v>
      </c>
      <c r="C3672" s="8">
        <v>2021</v>
      </c>
      <c r="D3672" s="8">
        <v>11</v>
      </c>
      <c r="E3672" s="3" t="str">
        <f t="shared" si="114"/>
        <v>November</v>
      </c>
      <c r="F3672" s="3" t="s">
        <v>13</v>
      </c>
      <c r="G3672" s="8">
        <v>1853.319902</v>
      </c>
      <c r="H3672" s="8">
        <v>2349</v>
      </c>
      <c r="I3672" s="8">
        <v>495.68009760000001</v>
      </c>
      <c r="J3672" s="8">
        <v>1559.888154</v>
      </c>
      <c r="K3672" s="8">
        <v>1198.3597319999999</v>
      </c>
      <c r="L3672" s="8">
        <v>1905.704853</v>
      </c>
      <c r="M3672" s="9" t="str">
        <f>IF(A3672="",M3673,A3672)</f>
        <v>Singapore</v>
      </c>
      <c r="N3672" s="3" t="str">
        <f t="shared" si="115"/>
        <v>Nov-2021</v>
      </c>
    </row>
    <row r="3673" spans="1:14" x14ac:dyDescent="0.3">
      <c r="A3673" s="3" t="s">
        <v>312</v>
      </c>
      <c r="B3673" s="3" t="s">
        <v>313</v>
      </c>
      <c r="C3673" s="8">
        <v>2021</v>
      </c>
      <c r="D3673" s="8">
        <v>12</v>
      </c>
      <c r="E3673" s="3" t="str">
        <f t="shared" si="114"/>
        <v>December</v>
      </c>
      <c r="F3673" s="3" t="s">
        <v>13</v>
      </c>
      <c r="G3673" s="8">
        <v>1869.740538</v>
      </c>
      <c r="H3673" s="8">
        <v>2107</v>
      </c>
      <c r="I3673" s="8">
        <v>237.25946160000001</v>
      </c>
      <c r="J3673" s="8">
        <v>1797.147616</v>
      </c>
      <c r="K3673" s="8">
        <v>1421.701865</v>
      </c>
      <c r="L3673" s="8">
        <v>2158.6189559999998</v>
      </c>
      <c r="M3673" s="9" t="str">
        <f>IF(A3673="",M3674,A3673)</f>
        <v>Singapore</v>
      </c>
      <c r="N3673" s="3" t="str">
        <f t="shared" si="115"/>
        <v>Dec-2021</v>
      </c>
    </row>
    <row r="3674" spans="1:14" x14ac:dyDescent="0.3">
      <c r="A3674" s="3" t="s">
        <v>314</v>
      </c>
      <c r="B3674" s="3" t="s">
        <v>315</v>
      </c>
      <c r="C3674" s="8">
        <v>2020</v>
      </c>
      <c r="D3674" s="8">
        <v>1</v>
      </c>
      <c r="E3674" s="3" t="str">
        <f t="shared" si="114"/>
        <v>January</v>
      </c>
      <c r="F3674" s="3" t="s">
        <v>8</v>
      </c>
      <c r="G3674" s="8">
        <v>403.8162102</v>
      </c>
      <c r="H3674" s="8">
        <v>405.596</v>
      </c>
      <c r="I3674" s="8">
        <v>1.779789845</v>
      </c>
      <c r="J3674" s="8">
        <v>1.779789845</v>
      </c>
      <c r="K3674" s="8">
        <v>-110.019682</v>
      </c>
      <c r="L3674" s="8">
        <v>138.72381720000001</v>
      </c>
      <c r="M3674" s="9" t="str">
        <f>IF(A3674="",M3675,A3674)</f>
        <v>Solomon Islands</v>
      </c>
      <c r="N3674" s="3" t="str">
        <f t="shared" si="115"/>
        <v>Jan-2020</v>
      </c>
    </row>
    <row r="3675" spans="1:14" x14ac:dyDescent="0.3">
      <c r="A3675" s="3" t="s">
        <v>314</v>
      </c>
      <c r="B3675" s="3" t="s">
        <v>315</v>
      </c>
      <c r="C3675" s="8">
        <v>2020</v>
      </c>
      <c r="D3675" s="8">
        <v>2</v>
      </c>
      <c r="E3675" s="3" t="str">
        <f t="shared" si="114"/>
        <v>February</v>
      </c>
      <c r="F3675" s="3" t="s">
        <v>8</v>
      </c>
      <c r="G3675" s="8">
        <v>404.81821459999998</v>
      </c>
      <c r="H3675" s="8">
        <v>395.36</v>
      </c>
      <c r="I3675" s="8">
        <v>-9.4582145700000009</v>
      </c>
      <c r="J3675" s="8">
        <v>-7.6784247260000003</v>
      </c>
      <c r="K3675" s="8">
        <v>-170.58525069999999</v>
      </c>
      <c r="L3675" s="8">
        <v>184.1937604</v>
      </c>
      <c r="M3675" s="9" t="str">
        <f>IF(A3675="",M3676,A3675)</f>
        <v>Solomon Islands</v>
      </c>
      <c r="N3675" s="3" t="str">
        <f t="shared" si="115"/>
        <v>Feb-2020</v>
      </c>
    </row>
    <row r="3676" spans="1:14" x14ac:dyDescent="0.3">
      <c r="A3676" s="3" t="s">
        <v>314</v>
      </c>
      <c r="B3676" s="3" t="s">
        <v>315</v>
      </c>
      <c r="C3676" s="8">
        <v>2020</v>
      </c>
      <c r="D3676" s="8">
        <v>3</v>
      </c>
      <c r="E3676" s="3" t="str">
        <f t="shared" si="114"/>
        <v>March</v>
      </c>
      <c r="F3676" s="3" t="s">
        <v>8</v>
      </c>
      <c r="G3676" s="8">
        <v>405.42501199999998</v>
      </c>
      <c r="H3676" s="8">
        <v>409.971</v>
      </c>
      <c r="I3676" s="8">
        <v>4.5459880180000001</v>
      </c>
      <c r="J3676" s="8">
        <v>-3.1324367080000002</v>
      </c>
      <c r="K3676" s="8">
        <v>-206.45689279999999</v>
      </c>
      <c r="L3676" s="8">
        <v>224.9757611</v>
      </c>
      <c r="M3676" s="9" t="str">
        <f>IF(A3676="",M3677,A3676)</f>
        <v>Solomon Islands</v>
      </c>
      <c r="N3676" s="3" t="str">
        <f t="shared" si="115"/>
        <v>Mar-2020</v>
      </c>
    </row>
    <row r="3677" spans="1:14" x14ac:dyDescent="0.3">
      <c r="A3677" s="3" t="s">
        <v>314</v>
      </c>
      <c r="B3677" s="3" t="s">
        <v>315</v>
      </c>
      <c r="C3677" s="8">
        <v>2020</v>
      </c>
      <c r="D3677" s="8">
        <v>4</v>
      </c>
      <c r="E3677" s="3" t="str">
        <f t="shared" si="114"/>
        <v>April</v>
      </c>
      <c r="F3677" s="3" t="s">
        <v>8</v>
      </c>
      <c r="G3677" s="8">
        <v>405.483069</v>
      </c>
      <c r="H3677" s="8">
        <v>398.286</v>
      </c>
      <c r="I3677" s="8">
        <v>-7.1970690490000004</v>
      </c>
      <c r="J3677" s="8">
        <v>-10.32950576</v>
      </c>
      <c r="K3677" s="8">
        <v>-242.85422919999999</v>
      </c>
      <c r="L3677" s="8">
        <v>255.43567680000001</v>
      </c>
      <c r="M3677" s="9" t="str">
        <f>IF(A3677="",M3678,A3677)</f>
        <v>Solomon Islands</v>
      </c>
      <c r="N3677" s="3" t="str">
        <f t="shared" si="115"/>
        <v>Apr-2020</v>
      </c>
    </row>
    <row r="3678" spans="1:14" x14ac:dyDescent="0.3">
      <c r="A3678" s="3" t="s">
        <v>314</v>
      </c>
      <c r="B3678" s="3" t="s">
        <v>315</v>
      </c>
      <c r="C3678" s="8">
        <v>2020</v>
      </c>
      <c r="D3678" s="8">
        <v>5</v>
      </c>
      <c r="E3678" s="3" t="str">
        <f t="shared" si="114"/>
        <v>May</v>
      </c>
      <c r="F3678" s="3" t="s">
        <v>8</v>
      </c>
      <c r="G3678" s="8">
        <v>406.52739730000002</v>
      </c>
      <c r="H3678" s="8">
        <v>416.13400000000001</v>
      </c>
      <c r="I3678" s="8">
        <v>9.6066027260000002</v>
      </c>
      <c r="J3678" s="8">
        <v>-0.72290303199999995</v>
      </c>
      <c r="K3678" s="8">
        <v>-254.7629421</v>
      </c>
      <c r="L3678" s="8">
        <v>286.0348874</v>
      </c>
      <c r="M3678" s="9" t="str">
        <f>IF(A3678="",M3679,A3678)</f>
        <v>Solomon Islands</v>
      </c>
      <c r="N3678" s="3" t="str">
        <f t="shared" si="115"/>
        <v>May-2020</v>
      </c>
    </row>
    <row r="3679" spans="1:14" x14ac:dyDescent="0.3">
      <c r="A3679" s="3" t="s">
        <v>314</v>
      </c>
      <c r="B3679" s="3" t="s">
        <v>315</v>
      </c>
      <c r="C3679" s="8">
        <v>2020</v>
      </c>
      <c r="D3679" s="8">
        <v>6</v>
      </c>
      <c r="E3679" s="3" t="str">
        <f t="shared" si="114"/>
        <v>June</v>
      </c>
      <c r="F3679" s="3" t="s">
        <v>8</v>
      </c>
      <c r="G3679" s="8">
        <v>407.61017470000002</v>
      </c>
      <c r="H3679" s="8">
        <v>427.37400000000002</v>
      </c>
      <c r="I3679" s="8">
        <v>19.76382533</v>
      </c>
      <c r="J3679" s="8">
        <v>19.040922299999998</v>
      </c>
      <c r="K3679" s="8">
        <v>-254.84867940000001</v>
      </c>
      <c r="L3679" s="8">
        <v>356.25575780000003</v>
      </c>
      <c r="M3679" s="9" t="str">
        <f>IF(A3679="",M3680,A3679)</f>
        <v>Solomon Islands</v>
      </c>
      <c r="N3679" s="3" t="str">
        <f t="shared" si="115"/>
        <v>Jun-2020</v>
      </c>
    </row>
    <row r="3680" spans="1:14" x14ac:dyDescent="0.3">
      <c r="A3680" s="3" t="s">
        <v>314</v>
      </c>
      <c r="B3680" s="3" t="s">
        <v>315</v>
      </c>
      <c r="C3680" s="8">
        <v>2020</v>
      </c>
      <c r="D3680" s="8">
        <v>7</v>
      </c>
      <c r="E3680" s="3" t="str">
        <f t="shared" si="114"/>
        <v>July</v>
      </c>
      <c r="F3680" s="3" t="s">
        <v>8</v>
      </c>
      <c r="G3680" s="8">
        <v>408.62256300000001</v>
      </c>
      <c r="H3680" s="8">
        <v>424.76900000000001</v>
      </c>
      <c r="I3680" s="8">
        <v>16.146436949999998</v>
      </c>
      <c r="J3680" s="8">
        <v>35.18735925</v>
      </c>
      <c r="K3680" s="8">
        <v>-267.6737468</v>
      </c>
      <c r="L3680" s="8">
        <v>366.4911184</v>
      </c>
      <c r="M3680" s="9" t="str">
        <f>IF(A3680="",M3681,A3680)</f>
        <v>Solomon Islands</v>
      </c>
      <c r="N3680" s="3" t="str">
        <f t="shared" si="115"/>
        <v>Jul-2020</v>
      </c>
    </row>
    <row r="3681" spans="1:14" x14ac:dyDescent="0.3">
      <c r="A3681" s="3" t="s">
        <v>314</v>
      </c>
      <c r="B3681" s="3" t="s">
        <v>315</v>
      </c>
      <c r="C3681" s="8">
        <v>2020</v>
      </c>
      <c r="D3681" s="8">
        <v>8</v>
      </c>
      <c r="E3681" s="3" t="str">
        <f t="shared" si="114"/>
        <v>August</v>
      </c>
      <c r="F3681" s="3" t="s">
        <v>8</v>
      </c>
      <c r="G3681" s="8">
        <v>407.95867980000003</v>
      </c>
      <c r="H3681" s="8">
        <v>430.52</v>
      </c>
      <c r="I3681" s="8">
        <v>22.56132023</v>
      </c>
      <c r="J3681" s="8">
        <v>57.74867948</v>
      </c>
      <c r="K3681" s="8">
        <v>-269.47577180000002</v>
      </c>
      <c r="L3681" s="8">
        <v>419.81931479999997</v>
      </c>
      <c r="M3681" s="9" t="str">
        <f>IF(A3681="",M3682,A3681)</f>
        <v>Solomon Islands</v>
      </c>
      <c r="N3681" s="3" t="str">
        <f t="shared" si="115"/>
        <v>Aug-2020</v>
      </c>
    </row>
    <row r="3682" spans="1:14" x14ac:dyDescent="0.3">
      <c r="A3682" s="3" t="s">
        <v>314</v>
      </c>
      <c r="B3682" s="3" t="s">
        <v>315</v>
      </c>
      <c r="C3682" s="8">
        <v>2020</v>
      </c>
      <c r="D3682" s="8">
        <v>9</v>
      </c>
      <c r="E3682" s="3" t="str">
        <f t="shared" si="114"/>
        <v>September</v>
      </c>
      <c r="F3682" s="3" t="s">
        <v>8</v>
      </c>
      <c r="G3682" s="8">
        <v>406.51107539999998</v>
      </c>
      <c r="H3682" s="8">
        <v>428.20100000000002</v>
      </c>
      <c r="I3682" s="8">
        <v>21.689924569999999</v>
      </c>
      <c r="J3682" s="8">
        <v>79.438604049999995</v>
      </c>
      <c r="K3682" s="8">
        <v>-260.2436682</v>
      </c>
      <c r="L3682" s="8">
        <v>459.10530670000003</v>
      </c>
      <c r="M3682" s="9" t="str">
        <f>IF(A3682="",M3683,A3682)</f>
        <v>Solomon Islands</v>
      </c>
      <c r="N3682" s="3" t="str">
        <f t="shared" si="115"/>
        <v>Sep-2020</v>
      </c>
    </row>
    <row r="3683" spans="1:14" x14ac:dyDescent="0.3">
      <c r="A3683" s="3" t="s">
        <v>314</v>
      </c>
      <c r="B3683" s="3" t="s">
        <v>315</v>
      </c>
      <c r="C3683" s="8">
        <v>2020</v>
      </c>
      <c r="D3683" s="8">
        <v>10</v>
      </c>
      <c r="E3683" s="3" t="str">
        <f t="shared" si="114"/>
        <v>October</v>
      </c>
      <c r="F3683" s="3" t="s">
        <v>8</v>
      </c>
      <c r="G3683" s="8">
        <v>404.94125750000001</v>
      </c>
      <c r="H3683" s="8">
        <v>424.65</v>
      </c>
      <c r="I3683" s="8">
        <v>19.70874246</v>
      </c>
      <c r="J3683" s="8">
        <v>99.147346519999999</v>
      </c>
      <c r="K3683" s="8">
        <v>-260.40256890000001</v>
      </c>
      <c r="L3683" s="8">
        <v>493.83841760000001</v>
      </c>
      <c r="M3683" s="9" t="str">
        <f>IF(A3683="",M3684,A3683)</f>
        <v>Solomon Islands</v>
      </c>
      <c r="N3683" s="3" t="str">
        <f t="shared" si="115"/>
        <v>Oct-2020</v>
      </c>
    </row>
    <row r="3684" spans="1:14" x14ac:dyDescent="0.3">
      <c r="A3684" s="3" t="s">
        <v>314</v>
      </c>
      <c r="B3684" s="3" t="s">
        <v>315</v>
      </c>
      <c r="C3684" s="8">
        <v>2020</v>
      </c>
      <c r="D3684" s="8">
        <v>11</v>
      </c>
      <c r="E3684" s="3" t="str">
        <f t="shared" si="114"/>
        <v>November</v>
      </c>
      <c r="F3684" s="3" t="s">
        <v>8</v>
      </c>
      <c r="G3684" s="8">
        <v>404.8441062</v>
      </c>
      <c r="H3684" s="8">
        <v>418.26100000000002</v>
      </c>
      <c r="I3684" s="8">
        <v>13.4168938</v>
      </c>
      <c r="J3684" s="8">
        <v>112.56424029999999</v>
      </c>
      <c r="K3684" s="8">
        <v>-272.33048389999999</v>
      </c>
      <c r="L3684" s="8">
        <v>520.97447309999995</v>
      </c>
      <c r="M3684" s="9" t="str">
        <f>IF(A3684="",M3685,A3684)</f>
        <v>Solomon Islands</v>
      </c>
      <c r="N3684" s="3" t="str">
        <f t="shared" si="115"/>
        <v>Nov-2020</v>
      </c>
    </row>
    <row r="3685" spans="1:14" x14ac:dyDescent="0.3">
      <c r="A3685" s="3" t="s">
        <v>314</v>
      </c>
      <c r="B3685" s="3" t="s">
        <v>315</v>
      </c>
      <c r="C3685" s="8">
        <v>2020</v>
      </c>
      <c r="D3685" s="8">
        <v>12</v>
      </c>
      <c r="E3685" s="3" t="str">
        <f t="shared" si="114"/>
        <v>December</v>
      </c>
      <c r="F3685" s="3" t="s">
        <v>8</v>
      </c>
      <c r="G3685" s="8">
        <v>404.2761453</v>
      </c>
      <c r="H3685" s="8">
        <v>417.358</v>
      </c>
      <c r="I3685" s="8">
        <v>13.081854659999999</v>
      </c>
      <c r="J3685" s="8">
        <v>125.646095</v>
      </c>
      <c r="K3685" s="8">
        <v>-276.51488019999999</v>
      </c>
      <c r="L3685" s="8">
        <v>562.81529569999998</v>
      </c>
      <c r="M3685" s="9" t="str">
        <f>IF(A3685="",M3686,A3685)</f>
        <v>Solomon Islands</v>
      </c>
      <c r="N3685" s="3" t="str">
        <f t="shared" si="115"/>
        <v>Dec-2020</v>
      </c>
    </row>
    <row r="3686" spans="1:14" x14ac:dyDescent="0.3">
      <c r="A3686" s="3" t="s">
        <v>314</v>
      </c>
      <c r="B3686" s="3" t="s">
        <v>315</v>
      </c>
      <c r="C3686" s="8">
        <v>2021</v>
      </c>
      <c r="D3686" s="8">
        <v>1</v>
      </c>
      <c r="E3686" s="3" t="str">
        <f t="shared" si="114"/>
        <v>January</v>
      </c>
      <c r="F3686" s="3" t="s">
        <v>8</v>
      </c>
      <c r="G3686" s="8">
        <v>413.27548080000003</v>
      </c>
      <c r="H3686" s="8">
        <v>425.43</v>
      </c>
      <c r="I3686" s="8">
        <v>12.154519240000001</v>
      </c>
      <c r="J3686" s="8">
        <v>137.80061420000001</v>
      </c>
      <c r="K3686" s="8">
        <v>-286.69578430000001</v>
      </c>
      <c r="L3686" s="8">
        <v>593.55620529999999</v>
      </c>
      <c r="M3686" s="9" t="str">
        <f>IF(A3686="",M3687,A3686)</f>
        <v>Solomon Islands</v>
      </c>
      <c r="N3686" s="3" t="str">
        <f t="shared" si="115"/>
        <v>Jan-2021</v>
      </c>
    </row>
    <row r="3687" spans="1:14" x14ac:dyDescent="0.3">
      <c r="A3687" s="3" t="s">
        <v>314</v>
      </c>
      <c r="B3687" s="3" t="s">
        <v>315</v>
      </c>
      <c r="C3687" s="8">
        <v>2021</v>
      </c>
      <c r="D3687" s="8">
        <v>2</v>
      </c>
      <c r="E3687" s="3" t="str">
        <f t="shared" si="114"/>
        <v>February</v>
      </c>
      <c r="F3687" s="3" t="s">
        <v>8</v>
      </c>
      <c r="G3687" s="8">
        <v>414.4295348</v>
      </c>
      <c r="H3687" s="8">
        <v>432.25900000000001</v>
      </c>
      <c r="I3687" s="8">
        <v>17.829465160000002</v>
      </c>
      <c r="J3687" s="8">
        <v>155.6300794</v>
      </c>
      <c r="K3687" s="8">
        <v>-296.01612449999999</v>
      </c>
      <c r="L3687" s="8">
        <v>635.92788829999995</v>
      </c>
      <c r="M3687" s="9" t="str">
        <f>IF(A3687="",M3688,A3687)</f>
        <v>Solomon Islands</v>
      </c>
      <c r="N3687" s="3" t="str">
        <f t="shared" si="115"/>
        <v>Feb-2021</v>
      </c>
    </row>
    <row r="3688" spans="1:14" x14ac:dyDescent="0.3">
      <c r="A3688" s="3" t="s">
        <v>314</v>
      </c>
      <c r="B3688" s="3" t="s">
        <v>315</v>
      </c>
      <c r="C3688" s="8">
        <v>2021</v>
      </c>
      <c r="D3688" s="8">
        <v>3</v>
      </c>
      <c r="E3688" s="3" t="str">
        <f t="shared" si="114"/>
        <v>March</v>
      </c>
      <c r="F3688" s="3" t="s">
        <v>8</v>
      </c>
      <c r="G3688" s="8">
        <v>414.63879309999999</v>
      </c>
      <c r="H3688" s="8">
        <v>429.46499999999997</v>
      </c>
      <c r="I3688" s="8">
        <v>14.82620693</v>
      </c>
      <c r="J3688" s="8">
        <v>170.45628629999999</v>
      </c>
      <c r="K3688" s="8">
        <v>-306.8936506</v>
      </c>
      <c r="L3688" s="8">
        <v>667.53817530000003</v>
      </c>
      <c r="M3688" s="9" t="str">
        <f>IF(A3688="",M3689,A3688)</f>
        <v>Solomon Islands</v>
      </c>
      <c r="N3688" s="3" t="str">
        <f t="shared" si="115"/>
        <v>Mar-2021</v>
      </c>
    </row>
    <row r="3689" spans="1:14" x14ac:dyDescent="0.3">
      <c r="A3689" s="3" t="s">
        <v>314</v>
      </c>
      <c r="B3689" s="3" t="s">
        <v>315</v>
      </c>
      <c r="C3689" s="8">
        <v>2021</v>
      </c>
      <c r="D3689" s="8">
        <v>4</v>
      </c>
      <c r="E3689" s="3" t="str">
        <f t="shared" si="114"/>
        <v>April</v>
      </c>
      <c r="F3689" s="3" t="s">
        <v>8</v>
      </c>
      <c r="G3689" s="8">
        <v>415.4280723</v>
      </c>
      <c r="H3689" s="8">
        <v>435.92099999999999</v>
      </c>
      <c r="I3689" s="8">
        <v>20.492927699999999</v>
      </c>
      <c r="J3689" s="8">
        <v>190.94921400000001</v>
      </c>
      <c r="K3689" s="8">
        <v>-292.08142270000002</v>
      </c>
      <c r="L3689" s="8">
        <v>714.9463733</v>
      </c>
      <c r="M3689" s="9" t="str">
        <f>IF(A3689="",M3690,A3689)</f>
        <v>Solomon Islands</v>
      </c>
      <c r="N3689" s="3" t="str">
        <f t="shared" si="115"/>
        <v>Apr-2021</v>
      </c>
    </row>
    <row r="3690" spans="1:14" x14ac:dyDescent="0.3">
      <c r="A3690" s="3" t="s">
        <v>314</v>
      </c>
      <c r="B3690" s="3" t="s">
        <v>315</v>
      </c>
      <c r="C3690" s="8">
        <v>2021</v>
      </c>
      <c r="D3690" s="8">
        <v>5</v>
      </c>
      <c r="E3690" s="3" t="str">
        <f t="shared" si="114"/>
        <v>May</v>
      </c>
      <c r="F3690" s="3" t="s">
        <v>8</v>
      </c>
      <c r="G3690" s="8">
        <v>415.77986069999997</v>
      </c>
      <c r="H3690" s="8">
        <v>447.47</v>
      </c>
      <c r="I3690" s="8">
        <v>31.690139299999998</v>
      </c>
      <c r="J3690" s="8">
        <v>222.63935330000001</v>
      </c>
      <c r="K3690" s="8">
        <v>-289.18045949999998</v>
      </c>
      <c r="L3690" s="8">
        <v>763.54523359999996</v>
      </c>
      <c r="M3690" s="9" t="str">
        <f>IF(A3690="",M3691,A3690)</f>
        <v>Solomon Islands</v>
      </c>
      <c r="N3690" s="3" t="str">
        <f t="shared" si="115"/>
        <v>May-2021</v>
      </c>
    </row>
    <row r="3691" spans="1:14" x14ac:dyDescent="0.3">
      <c r="A3691" s="3" t="s">
        <v>314</v>
      </c>
      <c r="B3691" s="3" t="s">
        <v>315</v>
      </c>
      <c r="C3691" s="8">
        <v>2021</v>
      </c>
      <c r="D3691" s="8">
        <v>6</v>
      </c>
      <c r="E3691" s="3" t="str">
        <f t="shared" si="114"/>
        <v>June</v>
      </c>
      <c r="F3691" s="3" t="s">
        <v>8</v>
      </c>
      <c r="G3691" s="8">
        <v>416.90827430000002</v>
      </c>
      <c r="H3691" s="8">
        <v>459.76499999999999</v>
      </c>
      <c r="I3691" s="8">
        <v>42.856725660000002</v>
      </c>
      <c r="J3691" s="8">
        <v>265.49607900000001</v>
      </c>
      <c r="K3691" s="8">
        <v>-256.23992820000001</v>
      </c>
      <c r="L3691" s="8">
        <v>802.3187964</v>
      </c>
      <c r="M3691" s="9" t="str">
        <f>IF(A3691="",M3692,A3691)</f>
        <v>Solomon Islands</v>
      </c>
      <c r="N3691" s="3" t="str">
        <f t="shared" si="115"/>
        <v>Jun-2021</v>
      </c>
    </row>
    <row r="3692" spans="1:14" x14ac:dyDescent="0.3">
      <c r="A3692" s="3" t="s">
        <v>314</v>
      </c>
      <c r="B3692" s="3" t="s">
        <v>315</v>
      </c>
      <c r="C3692" s="8">
        <v>2021</v>
      </c>
      <c r="D3692" s="8">
        <v>7</v>
      </c>
      <c r="E3692" s="3" t="str">
        <f t="shared" si="114"/>
        <v>July</v>
      </c>
      <c r="F3692" s="3" t="s">
        <v>8</v>
      </c>
      <c r="G3692" s="8">
        <v>418.18458199999998</v>
      </c>
      <c r="H3692" s="8">
        <v>473.39400000000001</v>
      </c>
      <c r="I3692" s="8">
        <v>55.20941801</v>
      </c>
      <c r="J3692" s="8">
        <v>320.70549699999998</v>
      </c>
      <c r="K3692" s="8">
        <v>-234.0435214</v>
      </c>
      <c r="L3692" s="8">
        <v>895.72527460000003</v>
      </c>
      <c r="M3692" s="9" t="str">
        <f>IF(A3692="",M3693,A3692)</f>
        <v>Solomon Islands</v>
      </c>
      <c r="N3692" s="3" t="str">
        <f t="shared" si="115"/>
        <v>Jul-2021</v>
      </c>
    </row>
    <row r="3693" spans="1:14" x14ac:dyDescent="0.3">
      <c r="A3693" s="3" t="s">
        <v>314</v>
      </c>
      <c r="B3693" s="3" t="s">
        <v>315</v>
      </c>
      <c r="C3693" s="8">
        <v>2021</v>
      </c>
      <c r="D3693" s="8">
        <v>8</v>
      </c>
      <c r="E3693" s="3" t="str">
        <f t="shared" si="114"/>
        <v>August</v>
      </c>
      <c r="F3693" s="3" t="s">
        <v>8</v>
      </c>
      <c r="G3693" s="8">
        <v>417.74738559999997</v>
      </c>
      <c r="H3693" s="8">
        <v>453.226</v>
      </c>
      <c r="I3693" s="8">
        <v>35.478614409999999</v>
      </c>
      <c r="J3693" s="8">
        <v>356.18411140000001</v>
      </c>
      <c r="K3693" s="8">
        <v>-210.27029379999999</v>
      </c>
      <c r="L3693" s="8">
        <v>940.45760810000002</v>
      </c>
      <c r="M3693" s="9" t="str">
        <f>IF(A3693="",M3694,A3693)</f>
        <v>Solomon Islands</v>
      </c>
      <c r="N3693" s="3" t="str">
        <f t="shared" si="115"/>
        <v>Aug-2021</v>
      </c>
    </row>
    <row r="3694" spans="1:14" x14ac:dyDescent="0.3">
      <c r="A3694" s="3" t="s">
        <v>314</v>
      </c>
      <c r="B3694" s="3" t="s">
        <v>315</v>
      </c>
      <c r="C3694" s="8">
        <v>2021</v>
      </c>
      <c r="D3694" s="8">
        <v>9</v>
      </c>
      <c r="E3694" s="3" t="str">
        <f t="shared" si="114"/>
        <v>September</v>
      </c>
      <c r="F3694" s="3" t="s">
        <v>8</v>
      </c>
      <c r="G3694" s="8">
        <v>415.68363629999999</v>
      </c>
      <c r="H3694" s="8">
        <v>459.73</v>
      </c>
      <c r="I3694" s="8">
        <v>44.046363669999998</v>
      </c>
      <c r="J3694" s="8">
        <v>400.23047509999998</v>
      </c>
      <c r="K3694" s="8">
        <v>-184.68026119999999</v>
      </c>
      <c r="L3694" s="8">
        <v>1011.419858</v>
      </c>
      <c r="M3694" s="9" t="str">
        <f>IF(A3694="",M3695,A3694)</f>
        <v>Solomon Islands</v>
      </c>
      <c r="N3694" s="3" t="str">
        <f t="shared" si="115"/>
        <v>Sep-2021</v>
      </c>
    </row>
    <row r="3695" spans="1:14" x14ac:dyDescent="0.3">
      <c r="A3695" s="3" t="s">
        <v>314</v>
      </c>
      <c r="B3695" s="3" t="s">
        <v>315</v>
      </c>
      <c r="C3695" s="8">
        <v>2021</v>
      </c>
      <c r="D3695" s="8">
        <v>10</v>
      </c>
      <c r="E3695" s="3" t="str">
        <f t="shared" si="114"/>
        <v>October</v>
      </c>
      <c r="F3695" s="3" t="s">
        <v>8</v>
      </c>
      <c r="G3695" s="8">
        <v>414.56051079999997</v>
      </c>
      <c r="H3695" s="8">
        <v>456.30799999999999</v>
      </c>
      <c r="I3695" s="8">
        <v>41.747489160000001</v>
      </c>
      <c r="J3695" s="8">
        <v>441.97796419999997</v>
      </c>
      <c r="K3695" s="8">
        <v>-156.72622999999999</v>
      </c>
      <c r="L3695" s="8">
        <v>1081.9456869999999</v>
      </c>
      <c r="M3695" s="9" t="str">
        <f>IF(A3695="",M3696,A3695)</f>
        <v>Solomon Islands</v>
      </c>
      <c r="N3695" s="3" t="str">
        <f t="shared" si="115"/>
        <v>Oct-2021</v>
      </c>
    </row>
    <row r="3696" spans="1:14" x14ac:dyDescent="0.3">
      <c r="A3696" s="3" t="s">
        <v>314</v>
      </c>
      <c r="B3696" s="3" t="s">
        <v>315</v>
      </c>
      <c r="C3696" s="8">
        <v>2021</v>
      </c>
      <c r="D3696" s="8">
        <v>11</v>
      </c>
      <c r="E3696" s="3" t="str">
        <f t="shared" si="114"/>
        <v>November</v>
      </c>
      <c r="F3696" s="3" t="s">
        <v>8</v>
      </c>
      <c r="G3696" s="8">
        <v>414.2754668</v>
      </c>
      <c r="H3696" s="8">
        <v>454.79</v>
      </c>
      <c r="I3696" s="8">
        <v>40.514533190000002</v>
      </c>
      <c r="J3696" s="8">
        <v>482.49249739999999</v>
      </c>
      <c r="K3696" s="8">
        <v>-139.9995309</v>
      </c>
      <c r="L3696" s="8">
        <v>1131.1349419999999</v>
      </c>
      <c r="M3696" s="9" t="str">
        <f>IF(A3696="",M3697,A3696)</f>
        <v>Solomon Islands</v>
      </c>
      <c r="N3696" s="3" t="str">
        <f t="shared" si="115"/>
        <v>Nov-2021</v>
      </c>
    </row>
    <row r="3697" spans="1:14" x14ac:dyDescent="0.3">
      <c r="A3697" s="3" t="s">
        <v>314</v>
      </c>
      <c r="B3697" s="3" t="s">
        <v>315</v>
      </c>
      <c r="C3697" s="8">
        <v>2021</v>
      </c>
      <c r="D3697" s="8">
        <v>12</v>
      </c>
      <c r="E3697" s="3" t="str">
        <f t="shared" si="114"/>
        <v>December</v>
      </c>
      <c r="F3697" s="3" t="s">
        <v>8</v>
      </c>
      <c r="G3697" s="8">
        <v>413.38058960000001</v>
      </c>
      <c r="H3697" s="8">
        <v>454.77499999999998</v>
      </c>
      <c r="I3697" s="8">
        <v>41.394410370000003</v>
      </c>
      <c r="J3697" s="8">
        <v>523.88690780000002</v>
      </c>
      <c r="K3697" s="8">
        <v>-132.87669840000001</v>
      </c>
      <c r="L3697" s="8">
        <v>1213.5031300000001</v>
      </c>
      <c r="M3697" s="9" t="str">
        <f>IF(A3697="",M3698,A3697)</f>
        <v>Solomon Islands</v>
      </c>
      <c r="N3697" s="3" t="str">
        <f t="shared" si="115"/>
        <v>Dec-2021</v>
      </c>
    </row>
    <row r="3698" spans="1:14" x14ac:dyDescent="0.3">
      <c r="A3698" s="3" t="s">
        <v>316</v>
      </c>
      <c r="B3698" s="3" t="s">
        <v>317</v>
      </c>
      <c r="C3698" s="8">
        <v>2020</v>
      </c>
      <c r="D3698" s="8">
        <v>1</v>
      </c>
      <c r="E3698" s="3" t="str">
        <f t="shared" si="114"/>
        <v>January</v>
      </c>
      <c r="F3698" s="3" t="s">
        <v>8</v>
      </c>
      <c r="G3698" s="8">
        <v>5488.5813500000004</v>
      </c>
      <c r="H3698" s="8">
        <v>5567.9560000000001</v>
      </c>
      <c r="I3698" s="8">
        <v>79.374650410000001</v>
      </c>
      <c r="J3698" s="8">
        <v>79.374650410000001</v>
      </c>
      <c r="K3698" s="8">
        <v>-1303.0549570000001</v>
      </c>
      <c r="L3698" s="8">
        <v>1793.1581920000001</v>
      </c>
      <c r="M3698" s="9" t="str">
        <f>IF(A3698="",M3699,A3698)</f>
        <v>Sierra Leone</v>
      </c>
      <c r="N3698" s="3" t="str">
        <f t="shared" si="115"/>
        <v>Jan-2020</v>
      </c>
    </row>
    <row r="3699" spans="1:14" x14ac:dyDescent="0.3">
      <c r="A3699" s="3" t="s">
        <v>316</v>
      </c>
      <c r="B3699" s="3" t="s">
        <v>317</v>
      </c>
      <c r="C3699" s="8">
        <v>2020</v>
      </c>
      <c r="D3699" s="8">
        <v>2</v>
      </c>
      <c r="E3699" s="3" t="str">
        <f t="shared" si="114"/>
        <v>February</v>
      </c>
      <c r="F3699" s="3" t="s">
        <v>8</v>
      </c>
      <c r="G3699" s="8">
        <v>5403.7884830000003</v>
      </c>
      <c r="H3699" s="8">
        <v>5449.39</v>
      </c>
      <c r="I3699" s="8">
        <v>45.601517000000001</v>
      </c>
      <c r="J3699" s="8">
        <v>124.97616739999999</v>
      </c>
      <c r="K3699" s="8">
        <v>-1937.168858</v>
      </c>
      <c r="L3699" s="8">
        <v>2315.9008330000001</v>
      </c>
      <c r="M3699" s="9" t="str">
        <f>IF(A3699="",M3700,A3699)</f>
        <v>Sierra Leone</v>
      </c>
      <c r="N3699" s="3" t="str">
        <f t="shared" si="115"/>
        <v>Feb-2020</v>
      </c>
    </row>
    <row r="3700" spans="1:14" x14ac:dyDescent="0.3">
      <c r="A3700" s="3" t="s">
        <v>316</v>
      </c>
      <c r="B3700" s="3" t="s">
        <v>317</v>
      </c>
      <c r="C3700" s="8">
        <v>2020</v>
      </c>
      <c r="D3700" s="8">
        <v>3</v>
      </c>
      <c r="E3700" s="3" t="str">
        <f t="shared" si="114"/>
        <v>March</v>
      </c>
      <c r="F3700" s="3" t="s">
        <v>8</v>
      </c>
      <c r="G3700" s="8">
        <v>5389.9692649999997</v>
      </c>
      <c r="H3700" s="8">
        <v>5391.56</v>
      </c>
      <c r="I3700" s="8">
        <v>1.590734951</v>
      </c>
      <c r="J3700" s="8">
        <v>126.5669024</v>
      </c>
      <c r="K3700" s="8">
        <v>-2365.6179099999999</v>
      </c>
      <c r="L3700" s="8">
        <v>2940.8870419999998</v>
      </c>
      <c r="M3700" s="9" t="str">
        <f>IF(A3700="",M3701,A3700)</f>
        <v>Sierra Leone</v>
      </c>
      <c r="N3700" s="3" t="str">
        <f t="shared" si="115"/>
        <v>Mar-2020</v>
      </c>
    </row>
    <row r="3701" spans="1:14" x14ac:dyDescent="0.3">
      <c r="A3701" s="3" t="s">
        <v>316</v>
      </c>
      <c r="B3701" s="3" t="s">
        <v>317</v>
      </c>
      <c r="C3701" s="8">
        <v>2020</v>
      </c>
      <c r="D3701" s="8">
        <v>4</v>
      </c>
      <c r="E3701" s="3" t="str">
        <f t="shared" si="114"/>
        <v>April</v>
      </c>
      <c r="F3701" s="3" t="s">
        <v>8</v>
      </c>
      <c r="G3701" s="8">
        <v>5378.4444560000002</v>
      </c>
      <c r="H3701" s="8">
        <v>5088.7160000000003</v>
      </c>
      <c r="I3701" s="8">
        <v>-289.72845599999999</v>
      </c>
      <c r="J3701" s="8">
        <v>-163.16155370000001</v>
      </c>
      <c r="K3701" s="8">
        <v>-3074.4736819999998</v>
      </c>
      <c r="L3701" s="8">
        <v>2913.8204350000001</v>
      </c>
      <c r="M3701" s="9" t="str">
        <f>IF(A3701="",M3702,A3701)</f>
        <v>Sierra Leone</v>
      </c>
      <c r="N3701" s="3" t="str">
        <f t="shared" si="115"/>
        <v>Apr-2020</v>
      </c>
    </row>
    <row r="3702" spans="1:14" x14ac:dyDescent="0.3">
      <c r="A3702" s="3" t="s">
        <v>316</v>
      </c>
      <c r="B3702" s="3" t="s">
        <v>317</v>
      </c>
      <c r="C3702" s="8">
        <v>2020</v>
      </c>
      <c r="D3702" s="8">
        <v>5</v>
      </c>
      <c r="E3702" s="3" t="str">
        <f t="shared" si="114"/>
        <v>May</v>
      </c>
      <c r="F3702" s="3" t="s">
        <v>8</v>
      </c>
      <c r="G3702" s="8">
        <v>5431.0512250000002</v>
      </c>
      <c r="H3702" s="8">
        <v>5741.2470000000003</v>
      </c>
      <c r="I3702" s="8">
        <v>310.19577470000002</v>
      </c>
      <c r="J3702" s="8">
        <v>147.034221</v>
      </c>
      <c r="K3702" s="8">
        <v>-3197.5854509999999</v>
      </c>
      <c r="L3702" s="8">
        <v>3646.9544999999998</v>
      </c>
      <c r="M3702" s="9" t="str">
        <f>IF(A3702="",M3703,A3702)</f>
        <v>Sierra Leone</v>
      </c>
      <c r="N3702" s="3" t="str">
        <f t="shared" si="115"/>
        <v>May-2020</v>
      </c>
    </row>
    <row r="3703" spans="1:14" x14ac:dyDescent="0.3">
      <c r="A3703" s="3" t="s">
        <v>316</v>
      </c>
      <c r="B3703" s="3" t="s">
        <v>317</v>
      </c>
      <c r="C3703" s="8">
        <v>2020</v>
      </c>
      <c r="D3703" s="8">
        <v>6</v>
      </c>
      <c r="E3703" s="3" t="str">
        <f t="shared" si="114"/>
        <v>June</v>
      </c>
      <c r="F3703" s="3" t="s">
        <v>8</v>
      </c>
      <c r="G3703" s="8">
        <v>5466.1688539999996</v>
      </c>
      <c r="H3703" s="8">
        <v>5820.8469999999998</v>
      </c>
      <c r="I3703" s="8">
        <v>354.67814620000001</v>
      </c>
      <c r="J3703" s="8">
        <v>501.71236720000002</v>
      </c>
      <c r="K3703" s="8">
        <v>-3268.2940950000002</v>
      </c>
      <c r="L3703" s="8">
        <v>4321.9194120000002</v>
      </c>
      <c r="M3703" s="9" t="str">
        <f>IF(A3703="",M3704,A3703)</f>
        <v>Sierra Leone</v>
      </c>
      <c r="N3703" s="3" t="str">
        <f t="shared" si="115"/>
        <v>Jun-2020</v>
      </c>
    </row>
    <row r="3704" spans="1:14" x14ac:dyDescent="0.3">
      <c r="A3704" s="3" t="s">
        <v>316</v>
      </c>
      <c r="B3704" s="3" t="s">
        <v>317</v>
      </c>
      <c r="C3704" s="8">
        <v>2020</v>
      </c>
      <c r="D3704" s="8">
        <v>7</v>
      </c>
      <c r="E3704" s="3" t="str">
        <f t="shared" si="114"/>
        <v>July</v>
      </c>
      <c r="F3704" s="3" t="s">
        <v>8</v>
      </c>
      <c r="G3704" s="8">
        <v>5516.5899790000003</v>
      </c>
      <c r="H3704" s="8">
        <v>5845.9170000000004</v>
      </c>
      <c r="I3704" s="8">
        <v>329.32702060000003</v>
      </c>
      <c r="J3704" s="8">
        <v>831.03938779999999</v>
      </c>
      <c r="K3704" s="8">
        <v>-2933.9950610000001</v>
      </c>
      <c r="L3704" s="8">
        <v>5123.452319</v>
      </c>
      <c r="M3704" s="9" t="str">
        <f>IF(A3704="",M3705,A3704)</f>
        <v>Sierra Leone</v>
      </c>
      <c r="N3704" s="3" t="str">
        <f t="shared" si="115"/>
        <v>Jul-2020</v>
      </c>
    </row>
    <row r="3705" spans="1:14" x14ac:dyDescent="0.3">
      <c r="A3705" s="3" t="s">
        <v>316</v>
      </c>
      <c r="B3705" s="3" t="s">
        <v>317</v>
      </c>
      <c r="C3705" s="8">
        <v>2020</v>
      </c>
      <c r="D3705" s="8">
        <v>8</v>
      </c>
      <c r="E3705" s="3" t="str">
        <f t="shared" si="114"/>
        <v>August</v>
      </c>
      <c r="F3705" s="3" t="s">
        <v>8</v>
      </c>
      <c r="G3705" s="8">
        <v>5514.958646</v>
      </c>
      <c r="H3705" s="8">
        <v>5787.3180000000002</v>
      </c>
      <c r="I3705" s="8">
        <v>272.359354</v>
      </c>
      <c r="J3705" s="8">
        <v>1103.3987420000001</v>
      </c>
      <c r="K3705" s="8">
        <v>-3243.4801499999999</v>
      </c>
      <c r="L3705" s="8">
        <v>5648.6251359999997</v>
      </c>
      <c r="M3705" s="9" t="str">
        <f>IF(A3705="",M3706,A3705)</f>
        <v>Sierra Leone</v>
      </c>
      <c r="N3705" s="3" t="str">
        <f t="shared" si="115"/>
        <v>Aug-2020</v>
      </c>
    </row>
    <row r="3706" spans="1:14" x14ac:dyDescent="0.3">
      <c r="A3706" s="3" t="s">
        <v>316</v>
      </c>
      <c r="B3706" s="3" t="s">
        <v>317</v>
      </c>
      <c r="C3706" s="8">
        <v>2020</v>
      </c>
      <c r="D3706" s="8">
        <v>9</v>
      </c>
      <c r="E3706" s="3" t="str">
        <f t="shared" si="114"/>
        <v>September</v>
      </c>
      <c r="F3706" s="3" t="s">
        <v>8</v>
      </c>
      <c r="G3706" s="8">
        <v>5509.9350359999999</v>
      </c>
      <c r="H3706" s="8">
        <v>5715.5039999999999</v>
      </c>
      <c r="I3706" s="8">
        <v>205.56896359999999</v>
      </c>
      <c r="J3706" s="8">
        <v>1308.967705</v>
      </c>
      <c r="K3706" s="8">
        <v>-3499.5594270000001</v>
      </c>
      <c r="L3706" s="8">
        <v>6224.2414159999998</v>
      </c>
      <c r="M3706" s="9" t="str">
        <f>IF(A3706="",M3707,A3706)</f>
        <v>Sierra Leone</v>
      </c>
      <c r="N3706" s="3" t="str">
        <f t="shared" si="115"/>
        <v>Sep-2020</v>
      </c>
    </row>
    <row r="3707" spans="1:14" x14ac:dyDescent="0.3">
      <c r="A3707" s="3" t="s">
        <v>316</v>
      </c>
      <c r="B3707" s="3" t="s">
        <v>317</v>
      </c>
      <c r="C3707" s="8">
        <v>2020</v>
      </c>
      <c r="D3707" s="8">
        <v>10</v>
      </c>
      <c r="E3707" s="3" t="str">
        <f t="shared" si="114"/>
        <v>October</v>
      </c>
      <c r="F3707" s="3" t="s">
        <v>8</v>
      </c>
      <c r="G3707" s="8">
        <v>5490.6613129999996</v>
      </c>
      <c r="H3707" s="8">
        <v>5574.7150000000001</v>
      </c>
      <c r="I3707" s="8">
        <v>84.05368713</v>
      </c>
      <c r="J3707" s="8">
        <v>1393.021393</v>
      </c>
      <c r="K3707" s="8">
        <v>-3429.1711559999999</v>
      </c>
      <c r="L3707" s="8">
        <v>6539.3300280000003</v>
      </c>
      <c r="M3707" s="9" t="str">
        <f>IF(A3707="",M3708,A3707)</f>
        <v>Sierra Leone</v>
      </c>
      <c r="N3707" s="3" t="str">
        <f t="shared" si="115"/>
        <v>Oct-2020</v>
      </c>
    </row>
    <row r="3708" spans="1:14" x14ac:dyDescent="0.3">
      <c r="A3708" s="3" t="s">
        <v>316</v>
      </c>
      <c r="B3708" s="3" t="s">
        <v>317</v>
      </c>
      <c r="C3708" s="8">
        <v>2020</v>
      </c>
      <c r="D3708" s="8">
        <v>11</v>
      </c>
      <c r="E3708" s="3" t="str">
        <f t="shared" si="114"/>
        <v>November</v>
      </c>
      <c r="F3708" s="3" t="s">
        <v>8</v>
      </c>
      <c r="G3708" s="8">
        <v>5472.6705689999999</v>
      </c>
      <c r="H3708" s="8">
        <v>5438.1469999999999</v>
      </c>
      <c r="I3708" s="8">
        <v>-34.523568679999997</v>
      </c>
      <c r="J3708" s="8">
        <v>1358.497824</v>
      </c>
      <c r="K3708" s="8">
        <v>-3982.1098529999999</v>
      </c>
      <c r="L3708" s="8">
        <v>7003.8557289999999</v>
      </c>
      <c r="M3708" s="9" t="str">
        <f>IF(A3708="",M3709,A3708)</f>
        <v>Sierra Leone</v>
      </c>
      <c r="N3708" s="3" t="str">
        <f t="shared" si="115"/>
        <v>Nov-2020</v>
      </c>
    </row>
    <row r="3709" spans="1:14" x14ac:dyDescent="0.3">
      <c r="A3709" s="3" t="s">
        <v>316</v>
      </c>
      <c r="B3709" s="3" t="s">
        <v>317</v>
      </c>
      <c r="C3709" s="8">
        <v>2020</v>
      </c>
      <c r="D3709" s="8">
        <v>12</v>
      </c>
      <c r="E3709" s="3" t="str">
        <f t="shared" si="114"/>
        <v>December</v>
      </c>
      <c r="F3709" s="3" t="s">
        <v>8</v>
      </c>
      <c r="G3709" s="8">
        <v>5457.0505789999997</v>
      </c>
      <c r="H3709" s="8">
        <v>5562.2</v>
      </c>
      <c r="I3709" s="8">
        <v>105.1494206</v>
      </c>
      <c r="J3709" s="8">
        <v>1463.647244</v>
      </c>
      <c r="K3709" s="8">
        <v>-3774.714379</v>
      </c>
      <c r="L3709" s="8">
        <v>7152.8692359999995</v>
      </c>
      <c r="M3709" s="9" t="str">
        <f>IF(A3709="",M3710,A3709)</f>
        <v>Sierra Leone</v>
      </c>
      <c r="N3709" s="3" t="str">
        <f t="shared" si="115"/>
        <v>Dec-2020</v>
      </c>
    </row>
    <row r="3710" spans="1:14" x14ac:dyDescent="0.3">
      <c r="A3710" s="3" t="s">
        <v>316</v>
      </c>
      <c r="B3710" s="3" t="s">
        <v>317</v>
      </c>
      <c r="C3710" s="8">
        <v>2021</v>
      </c>
      <c r="D3710" s="8">
        <v>1</v>
      </c>
      <c r="E3710" s="3" t="str">
        <f t="shared" si="114"/>
        <v>January</v>
      </c>
      <c r="F3710" s="3" t="s">
        <v>8</v>
      </c>
      <c r="G3710" s="8">
        <v>5363.6779189999997</v>
      </c>
      <c r="H3710" s="8">
        <v>5550.9780000000001</v>
      </c>
      <c r="I3710" s="8">
        <v>187.30008140000001</v>
      </c>
      <c r="J3710" s="8">
        <v>1650.947326</v>
      </c>
      <c r="K3710" s="8">
        <v>-4061.490996</v>
      </c>
      <c r="L3710" s="8">
        <v>7524.2750999999998</v>
      </c>
      <c r="M3710" s="9" t="str">
        <f>IF(A3710="",M3711,A3710)</f>
        <v>Sierra Leone</v>
      </c>
      <c r="N3710" s="3" t="str">
        <f t="shared" si="115"/>
        <v>Jan-2021</v>
      </c>
    </row>
    <row r="3711" spans="1:14" x14ac:dyDescent="0.3">
      <c r="A3711" s="3" t="s">
        <v>316</v>
      </c>
      <c r="B3711" s="3" t="s">
        <v>317</v>
      </c>
      <c r="C3711" s="8">
        <v>2021</v>
      </c>
      <c r="D3711" s="8">
        <v>2</v>
      </c>
      <c r="E3711" s="3" t="str">
        <f t="shared" si="114"/>
        <v>February</v>
      </c>
      <c r="F3711" s="3" t="s">
        <v>8</v>
      </c>
      <c r="G3711" s="8">
        <v>5283.5282100000004</v>
      </c>
      <c r="H3711" s="8">
        <v>5364.8940000000002</v>
      </c>
      <c r="I3711" s="8">
        <v>81.365790079999996</v>
      </c>
      <c r="J3711" s="8">
        <v>1732.313116</v>
      </c>
      <c r="K3711" s="8">
        <v>-4061.6722490000002</v>
      </c>
      <c r="L3711" s="8">
        <v>8050.1081409999997</v>
      </c>
      <c r="M3711" s="9" t="str">
        <f>IF(A3711="",M3712,A3711)</f>
        <v>Sierra Leone</v>
      </c>
      <c r="N3711" s="3" t="str">
        <f t="shared" si="115"/>
        <v>Feb-2021</v>
      </c>
    </row>
    <row r="3712" spans="1:14" x14ac:dyDescent="0.3">
      <c r="A3712" s="3" t="s">
        <v>316</v>
      </c>
      <c r="B3712" s="3" t="s">
        <v>317</v>
      </c>
      <c r="C3712" s="8">
        <v>2021</v>
      </c>
      <c r="D3712" s="8">
        <v>3</v>
      </c>
      <c r="E3712" s="3" t="str">
        <f t="shared" si="114"/>
        <v>March</v>
      </c>
      <c r="F3712" s="3" t="s">
        <v>8</v>
      </c>
      <c r="G3712" s="8">
        <v>5271.4755530000002</v>
      </c>
      <c r="H3712" s="8">
        <v>5416.723</v>
      </c>
      <c r="I3712" s="8">
        <v>145.2474473</v>
      </c>
      <c r="J3712" s="8">
        <v>1877.560563</v>
      </c>
      <c r="K3712" s="8">
        <v>-4108.0198330000003</v>
      </c>
      <c r="L3712" s="8">
        <v>8248.4117920000008</v>
      </c>
      <c r="M3712" s="9" t="str">
        <f>IF(A3712="",M3713,A3712)</f>
        <v>Sierra Leone</v>
      </c>
      <c r="N3712" s="3" t="str">
        <f t="shared" si="115"/>
        <v>Mar-2021</v>
      </c>
    </row>
    <row r="3713" spans="1:14" x14ac:dyDescent="0.3">
      <c r="A3713" s="3" t="s">
        <v>316</v>
      </c>
      <c r="B3713" s="3" t="s">
        <v>317</v>
      </c>
      <c r="C3713" s="8">
        <v>2021</v>
      </c>
      <c r="D3713" s="8">
        <v>4</v>
      </c>
      <c r="E3713" s="3" t="str">
        <f t="shared" si="114"/>
        <v>April</v>
      </c>
      <c r="F3713" s="3" t="s">
        <v>8</v>
      </c>
      <c r="G3713" s="8">
        <v>5260.1347779999996</v>
      </c>
      <c r="H3713" s="8">
        <v>5285.3059999999996</v>
      </c>
      <c r="I3713" s="8">
        <v>25.171222369999999</v>
      </c>
      <c r="J3713" s="8">
        <v>1902.7317860000001</v>
      </c>
      <c r="K3713" s="8">
        <v>-4437.4085379999997</v>
      </c>
      <c r="L3713" s="8">
        <v>8682.0503320000007</v>
      </c>
      <c r="M3713" s="9" t="str">
        <f>IF(A3713="",M3714,A3713)</f>
        <v>Sierra Leone</v>
      </c>
      <c r="N3713" s="3" t="str">
        <f t="shared" si="115"/>
        <v>Apr-2021</v>
      </c>
    </row>
    <row r="3714" spans="1:14" x14ac:dyDescent="0.3">
      <c r="A3714" s="3" t="s">
        <v>316</v>
      </c>
      <c r="B3714" s="3" t="s">
        <v>317</v>
      </c>
      <c r="C3714" s="8">
        <v>2021</v>
      </c>
      <c r="D3714" s="8">
        <v>5</v>
      </c>
      <c r="E3714" s="3" t="str">
        <f t="shared" ref="E3714:E3777" si="116">TEXT(DATE(C3714,D3714,1),"MMMM")</f>
        <v>May</v>
      </c>
      <c r="F3714" s="3" t="s">
        <v>8</v>
      </c>
      <c r="G3714" s="8">
        <v>5307.0692200000003</v>
      </c>
      <c r="H3714" s="8">
        <v>5289.9470000000001</v>
      </c>
      <c r="I3714" s="8">
        <v>-17.12221976</v>
      </c>
      <c r="J3714" s="8">
        <v>1885.6095660000001</v>
      </c>
      <c r="K3714" s="8">
        <v>-4706.5670700000001</v>
      </c>
      <c r="L3714" s="8">
        <v>8853.4118550000003</v>
      </c>
      <c r="M3714" s="9" t="str">
        <f>IF(A3714="",M3715,A3714)</f>
        <v>Sierra Leone</v>
      </c>
      <c r="N3714" s="3" t="str">
        <f t="shared" ref="N3714:N3777" si="117">TEXT(DATE(C3714,D3714,1),"MMM-YYYY")</f>
        <v>May-2021</v>
      </c>
    </row>
    <row r="3715" spans="1:14" x14ac:dyDescent="0.3">
      <c r="A3715" s="3" t="s">
        <v>316</v>
      </c>
      <c r="B3715" s="3" t="s">
        <v>317</v>
      </c>
      <c r="C3715" s="8">
        <v>2021</v>
      </c>
      <c r="D3715" s="8">
        <v>6</v>
      </c>
      <c r="E3715" s="3" t="str">
        <f t="shared" si="116"/>
        <v>June</v>
      </c>
      <c r="F3715" s="3" t="s">
        <v>8</v>
      </c>
      <c r="G3715" s="8">
        <v>5346.4104280000001</v>
      </c>
      <c r="H3715" s="8">
        <v>5628.6049999999996</v>
      </c>
      <c r="I3715" s="8">
        <v>282.1945723</v>
      </c>
      <c r="J3715" s="8">
        <v>2167.804138</v>
      </c>
      <c r="K3715" s="8">
        <v>-4693.550115</v>
      </c>
      <c r="L3715" s="8">
        <v>9080.9320119999993</v>
      </c>
      <c r="M3715" s="9" t="str">
        <f>IF(A3715="",M3716,A3715)</f>
        <v>Sierra Leone</v>
      </c>
      <c r="N3715" s="3" t="str">
        <f t="shared" si="117"/>
        <v>Jun-2021</v>
      </c>
    </row>
    <row r="3716" spans="1:14" x14ac:dyDescent="0.3">
      <c r="A3716" s="3" t="s">
        <v>316</v>
      </c>
      <c r="B3716" s="3" t="s">
        <v>317</v>
      </c>
      <c r="C3716" s="8">
        <v>2021</v>
      </c>
      <c r="D3716" s="8">
        <v>7</v>
      </c>
      <c r="E3716" s="3" t="str">
        <f t="shared" si="116"/>
        <v>July</v>
      </c>
      <c r="F3716" s="3" t="s">
        <v>8</v>
      </c>
      <c r="G3716" s="8">
        <v>5395.0447249999997</v>
      </c>
      <c r="H3716" s="8">
        <v>5704.1289999999999</v>
      </c>
      <c r="I3716" s="8">
        <v>309.08427510000001</v>
      </c>
      <c r="J3716" s="8">
        <v>2476.8884130000001</v>
      </c>
      <c r="K3716" s="8">
        <v>-4548.0986970000004</v>
      </c>
      <c r="L3716" s="8">
        <v>9563.0205370000003</v>
      </c>
      <c r="M3716" s="9" t="str">
        <f>IF(A3716="",M3717,A3716)</f>
        <v>Sierra Leone</v>
      </c>
      <c r="N3716" s="3" t="str">
        <f t="shared" si="117"/>
        <v>Jul-2021</v>
      </c>
    </row>
    <row r="3717" spans="1:14" x14ac:dyDescent="0.3">
      <c r="A3717" s="3" t="s">
        <v>316</v>
      </c>
      <c r="B3717" s="3" t="s">
        <v>317</v>
      </c>
      <c r="C3717" s="8">
        <v>2021</v>
      </c>
      <c r="D3717" s="8">
        <v>8</v>
      </c>
      <c r="E3717" s="3" t="str">
        <f t="shared" si="116"/>
        <v>August</v>
      </c>
      <c r="F3717" s="3" t="s">
        <v>8</v>
      </c>
      <c r="G3717" s="8">
        <v>5389.3564820000001</v>
      </c>
      <c r="H3717" s="8">
        <v>5448.4849999999997</v>
      </c>
      <c r="I3717" s="8">
        <v>59.128518030000002</v>
      </c>
      <c r="J3717" s="8">
        <v>2536.0169310000001</v>
      </c>
      <c r="K3717" s="8">
        <v>-4498.4259160000001</v>
      </c>
      <c r="L3717" s="8">
        <v>9756.9753020000007</v>
      </c>
      <c r="M3717" s="9" t="str">
        <f>IF(A3717="",M3718,A3717)</f>
        <v>Sierra Leone</v>
      </c>
      <c r="N3717" s="3" t="str">
        <f t="shared" si="117"/>
        <v>Aug-2021</v>
      </c>
    </row>
    <row r="3718" spans="1:14" x14ac:dyDescent="0.3">
      <c r="A3718" s="3" t="s">
        <v>316</v>
      </c>
      <c r="B3718" s="3" t="s">
        <v>317</v>
      </c>
      <c r="C3718" s="8">
        <v>2021</v>
      </c>
      <c r="D3718" s="8">
        <v>9</v>
      </c>
      <c r="E3718" s="3" t="str">
        <f t="shared" si="116"/>
        <v>September</v>
      </c>
      <c r="F3718" s="3" t="s">
        <v>8</v>
      </c>
      <c r="G3718" s="8">
        <v>5376.7310159999997</v>
      </c>
      <c r="H3718" s="8">
        <v>5348.34</v>
      </c>
      <c r="I3718" s="8">
        <v>-28.39101595</v>
      </c>
      <c r="J3718" s="8">
        <v>2507.625916</v>
      </c>
      <c r="K3718" s="8">
        <v>-4780.9731590000001</v>
      </c>
      <c r="L3718" s="8">
        <v>9973.5874000000003</v>
      </c>
      <c r="M3718" s="9" t="str">
        <f>IF(A3718="",M3719,A3718)</f>
        <v>Sierra Leone</v>
      </c>
      <c r="N3718" s="3" t="str">
        <f t="shared" si="117"/>
        <v>Sep-2021</v>
      </c>
    </row>
    <row r="3719" spans="1:14" x14ac:dyDescent="0.3">
      <c r="A3719" s="3" t="s">
        <v>316</v>
      </c>
      <c r="B3719" s="3" t="s">
        <v>317</v>
      </c>
      <c r="C3719" s="8">
        <v>2021</v>
      </c>
      <c r="D3719" s="8">
        <v>10</v>
      </c>
      <c r="E3719" s="3" t="str">
        <f t="shared" si="116"/>
        <v>October</v>
      </c>
      <c r="F3719" s="3" t="s">
        <v>8</v>
      </c>
      <c r="G3719" s="8">
        <v>5372.9424570000001</v>
      </c>
      <c r="H3719" s="8">
        <v>5298.7659999999996</v>
      </c>
      <c r="I3719" s="8">
        <v>-74.176457409999998</v>
      </c>
      <c r="J3719" s="8">
        <v>2433.449458</v>
      </c>
      <c r="K3719" s="8">
        <v>-5152.0202099999997</v>
      </c>
      <c r="L3719" s="8">
        <v>10078.609640000001</v>
      </c>
      <c r="M3719" s="9" t="str">
        <f>IF(A3719="",M3720,A3719)</f>
        <v>Sierra Leone</v>
      </c>
      <c r="N3719" s="3" t="str">
        <f t="shared" si="117"/>
        <v>Oct-2021</v>
      </c>
    </row>
    <row r="3720" spans="1:14" x14ac:dyDescent="0.3">
      <c r="A3720" s="3" t="s">
        <v>316</v>
      </c>
      <c r="B3720" s="3" t="s">
        <v>317</v>
      </c>
      <c r="C3720" s="8">
        <v>2021</v>
      </c>
      <c r="D3720" s="8">
        <v>11</v>
      </c>
      <c r="E3720" s="3" t="str">
        <f t="shared" si="116"/>
        <v>November</v>
      </c>
      <c r="F3720" s="3" t="s">
        <v>8</v>
      </c>
      <c r="G3720" s="8">
        <v>5342.9946810000001</v>
      </c>
      <c r="H3720" s="8">
        <v>5357.9290000000001</v>
      </c>
      <c r="I3720" s="8">
        <v>14.934319240000001</v>
      </c>
      <c r="J3720" s="8">
        <v>2448.383777</v>
      </c>
      <c r="K3720" s="8">
        <v>-5094.6809919999996</v>
      </c>
      <c r="L3720" s="8">
        <v>10267.210520000001</v>
      </c>
      <c r="M3720" s="9" t="str">
        <f>IF(A3720="",M3721,A3720)</f>
        <v>Sierra Leone</v>
      </c>
      <c r="N3720" s="3" t="str">
        <f t="shared" si="117"/>
        <v>Nov-2021</v>
      </c>
    </row>
    <row r="3721" spans="1:14" x14ac:dyDescent="0.3">
      <c r="A3721" s="3" t="s">
        <v>316</v>
      </c>
      <c r="B3721" s="3" t="s">
        <v>317</v>
      </c>
      <c r="C3721" s="8">
        <v>2021</v>
      </c>
      <c r="D3721" s="8">
        <v>12</v>
      </c>
      <c r="E3721" s="3" t="str">
        <f t="shared" si="116"/>
        <v>December</v>
      </c>
      <c r="F3721" s="3" t="s">
        <v>8</v>
      </c>
      <c r="G3721" s="8">
        <v>5334.2710800000004</v>
      </c>
      <c r="H3721" s="8">
        <v>5644.808</v>
      </c>
      <c r="I3721" s="8">
        <v>310.53691950000001</v>
      </c>
      <c r="J3721" s="8">
        <v>2758.920697</v>
      </c>
      <c r="K3721" s="8">
        <v>-4856.4734420000004</v>
      </c>
      <c r="L3721" s="8">
        <v>10603.775</v>
      </c>
      <c r="M3721" s="9" t="str">
        <f>IF(A3721="",M3722,A3721)</f>
        <v>Sierra Leone</v>
      </c>
      <c r="N3721" s="3" t="str">
        <f t="shared" si="117"/>
        <v>Dec-2021</v>
      </c>
    </row>
    <row r="3722" spans="1:14" x14ac:dyDescent="0.3">
      <c r="A3722" s="3" t="s">
        <v>318</v>
      </c>
      <c r="B3722" s="3" t="s">
        <v>319</v>
      </c>
      <c r="C3722" s="8">
        <v>2020</v>
      </c>
      <c r="D3722" s="8">
        <v>1</v>
      </c>
      <c r="E3722" s="3" t="str">
        <f t="shared" si="116"/>
        <v>January</v>
      </c>
      <c r="F3722" s="3" t="s">
        <v>13</v>
      </c>
      <c r="G3722" s="8">
        <v>3413.14536</v>
      </c>
      <c r="H3722" s="8">
        <v>4545</v>
      </c>
      <c r="I3722" s="8">
        <v>1131.85464</v>
      </c>
      <c r="J3722" s="8">
        <v>1131.85464</v>
      </c>
      <c r="K3722" s="8">
        <v>845.48645910000005</v>
      </c>
      <c r="L3722" s="8">
        <v>1396.8485479999999</v>
      </c>
      <c r="M3722" s="9" t="str">
        <f>IF(A3722="",M3723,A3722)</f>
        <v>El Salvador</v>
      </c>
      <c r="N3722" s="3" t="str">
        <f t="shared" si="117"/>
        <v>Jan-2020</v>
      </c>
    </row>
    <row r="3723" spans="1:14" x14ac:dyDescent="0.3">
      <c r="A3723" s="3" t="s">
        <v>318</v>
      </c>
      <c r="B3723" s="3" t="s">
        <v>319</v>
      </c>
      <c r="C3723" s="8">
        <v>2020</v>
      </c>
      <c r="D3723" s="8">
        <v>2</v>
      </c>
      <c r="E3723" s="3" t="str">
        <f t="shared" si="116"/>
        <v>February</v>
      </c>
      <c r="F3723" s="3" t="s">
        <v>13</v>
      </c>
      <c r="G3723" s="8">
        <v>3391.7771120000002</v>
      </c>
      <c r="H3723" s="8">
        <v>3102</v>
      </c>
      <c r="I3723" s="8">
        <v>-289.77711169999998</v>
      </c>
      <c r="J3723" s="8">
        <v>842.07752779999998</v>
      </c>
      <c r="K3723" s="8">
        <v>471.64545279999999</v>
      </c>
      <c r="L3723" s="8">
        <v>1215.54611</v>
      </c>
      <c r="M3723" s="9" t="str">
        <f>IF(A3723="",M3724,A3723)</f>
        <v>El Salvador</v>
      </c>
      <c r="N3723" s="3" t="str">
        <f t="shared" si="117"/>
        <v>Feb-2020</v>
      </c>
    </row>
    <row r="3724" spans="1:14" x14ac:dyDescent="0.3">
      <c r="A3724" s="3" t="s">
        <v>318</v>
      </c>
      <c r="B3724" s="3" t="s">
        <v>319</v>
      </c>
      <c r="C3724" s="8">
        <v>2020</v>
      </c>
      <c r="D3724" s="8">
        <v>3</v>
      </c>
      <c r="E3724" s="3" t="str">
        <f t="shared" si="116"/>
        <v>March</v>
      </c>
      <c r="F3724" s="3" t="s">
        <v>13</v>
      </c>
      <c r="G3724" s="8">
        <v>3400.1500270000001</v>
      </c>
      <c r="H3724" s="8">
        <v>2610</v>
      </c>
      <c r="I3724" s="8">
        <v>-790.15002700000002</v>
      </c>
      <c r="J3724" s="8">
        <v>51.927500889999997</v>
      </c>
      <c r="K3724" s="8">
        <v>-421.48637480000002</v>
      </c>
      <c r="L3724" s="8">
        <v>524.01831189999996</v>
      </c>
      <c r="M3724" s="9" t="str">
        <f>IF(A3724="",M3725,A3724)</f>
        <v>El Salvador</v>
      </c>
      <c r="N3724" s="3" t="str">
        <f t="shared" si="117"/>
        <v>Mar-2020</v>
      </c>
    </row>
    <row r="3725" spans="1:14" x14ac:dyDescent="0.3">
      <c r="A3725" s="3" t="s">
        <v>318</v>
      </c>
      <c r="B3725" s="3" t="s">
        <v>319</v>
      </c>
      <c r="C3725" s="8">
        <v>2020</v>
      </c>
      <c r="D3725" s="8">
        <v>4</v>
      </c>
      <c r="E3725" s="3" t="str">
        <f t="shared" si="116"/>
        <v>April</v>
      </c>
      <c r="F3725" s="3" t="s">
        <v>13</v>
      </c>
      <c r="G3725" s="8">
        <v>3437.0277289999999</v>
      </c>
      <c r="H3725" s="8">
        <v>1906</v>
      </c>
      <c r="I3725" s="8">
        <v>-1531.0277289999999</v>
      </c>
      <c r="J3725" s="8">
        <v>-1479.100228</v>
      </c>
      <c r="K3725" s="8">
        <v>-2065.668467</v>
      </c>
      <c r="L3725" s="8">
        <v>-923.66412270000001</v>
      </c>
      <c r="M3725" s="9" t="str">
        <f>IF(A3725="",M3726,A3725)</f>
        <v>El Salvador</v>
      </c>
      <c r="N3725" s="3" t="str">
        <f t="shared" si="117"/>
        <v>Apr-2020</v>
      </c>
    </row>
    <row r="3726" spans="1:14" x14ac:dyDescent="0.3">
      <c r="A3726" s="3" t="s">
        <v>318</v>
      </c>
      <c r="B3726" s="3" t="s">
        <v>319</v>
      </c>
      <c r="C3726" s="8">
        <v>2020</v>
      </c>
      <c r="D3726" s="8">
        <v>5</v>
      </c>
      <c r="E3726" s="3" t="str">
        <f t="shared" si="116"/>
        <v>May</v>
      </c>
      <c r="F3726" s="3" t="s">
        <v>13</v>
      </c>
      <c r="G3726" s="8">
        <v>3485.432843</v>
      </c>
      <c r="H3726" s="8">
        <v>2082</v>
      </c>
      <c r="I3726" s="8">
        <v>-1403.432843</v>
      </c>
      <c r="J3726" s="8">
        <v>-2882.5330709999998</v>
      </c>
      <c r="K3726" s="8">
        <v>-3529.9786819999999</v>
      </c>
      <c r="L3726" s="8">
        <v>-2238.3199650000001</v>
      </c>
      <c r="M3726" s="9" t="str">
        <f>IF(A3726="",M3727,A3726)</f>
        <v>El Salvador</v>
      </c>
      <c r="N3726" s="3" t="str">
        <f t="shared" si="117"/>
        <v>May-2020</v>
      </c>
    </row>
    <row r="3727" spans="1:14" x14ac:dyDescent="0.3">
      <c r="A3727" s="3" t="s">
        <v>318</v>
      </c>
      <c r="B3727" s="3" t="s">
        <v>319</v>
      </c>
      <c r="C3727" s="8">
        <v>2020</v>
      </c>
      <c r="D3727" s="8">
        <v>6</v>
      </c>
      <c r="E3727" s="3" t="str">
        <f t="shared" si="116"/>
        <v>June</v>
      </c>
      <c r="F3727" s="3" t="s">
        <v>13</v>
      </c>
      <c r="G3727" s="8">
        <v>3522.4906729999998</v>
      </c>
      <c r="H3727" s="8">
        <v>5930</v>
      </c>
      <c r="I3727" s="8">
        <v>2407.5093270000002</v>
      </c>
      <c r="J3727" s="8">
        <v>-475.02374429999998</v>
      </c>
      <c r="K3727" s="8">
        <v>-1162.2663319999999</v>
      </c>
      <c r="L3727" s="8">
        <v>247.03043260000001</v>
      </c>
      <c r="M3727" s="9" t="str">
        <f>IF(A3727="",M3728,A3727)</f>
        <v>El Salvador</v>
      </c>
      <c r="N3727" s="3" t="str">
        <f t="shared" si="117"/>
        <v>Jun-2020</v>
      </c>
    </row>
    <row r="3728" spans="1:14" x14ac:dyDescent="0.3">
      <c r="A3728" s="3" t="s">
        <v>318</v>
      </c>
      <c r="B3728" s="3" t="s">
        <v>319</v>
      </c>
      <c r="C3728" s="8">
        <v>2020</v>
      </c>
      <c r="D3728" s="8">
        <v>7</v>
      </c>
      <c r="E3728" s="3" t="str">
        <f t="shared" si="116"/>
        <v>July</v>
      </c>
      <c r="F3728" s="3" t="s">
        <v>13</v>
      </c>
      <c r="G3728" s="8">
        <v>3528.5794660000001</v>
      </c>
      <c r="H3728" s="8">
        <v>8467</v>
      </c>
      <c r="I3728" s="8">
        <v>4938.4205339999999</v>
      </c>
      <c r="J3728" s="8">
        <v>4463.3967890000004</v>
      </c>
      <c r="K3728" s="8">
        <v>3685.4618620000001</v>
      </c>
      <c r="L3728" s="8">
        <v>5267.4706910000004</v>
      </c>
      <c r="M3728" s="9" t="str">
        <f>IF(A3728="",M3729,A3728)</f>
        <v>El Salvador</v>
      </c>
      <c r="N3728" s="3" t="str">
        <f t="shared" si="117"/>
        <v>Jul-2020</v>
      </c>
    </row>
    <row r="3729" spans="1:14" x14ac:dyDescent="0.3">
      <c r="A3729" s="3" t="s">
        <v>318</v>
      </c>
      <c r="B3729" s="3" t="s">
        <v>319</v>
      </c>
      <c r="C3729" s="8">
        <v>2020</v>
      </c>
      <c r="D3729" s="8">
        <v>8</v>
      </c>
      <c r="E3729" s="3" t="str">
        <f t="shared" si="116"/>
        <v>August</v>
      </c>
      <c r="F3729" s="3" t="s">
        <v>13</v>
      </c>
      <c r="G3729" s="8">
        <v>3512.0218850000001</v>
      </c>
      <c r="H3729" s="8">
        <v>5210</v>
      </c>
      <c r="I3729" s="8">
        <v>1697.9781149999999</v>
      </c>
      <c r="J3729" s="8">
        <v>6161.3749040000002</v>
      </c>
      <c r="K3729" s="8">
        <v>5334.4792939999998</v>
      </c>
      <c r="L3729" s="8">
        <v>7006.4771090000004</v>
      </c>
      <c r="M3729" s="9" t="str">
        <f>IF(A3729="",M3730,A3729)</f>
        <v>El Salvador</v>
      </c>
      <c r="N3729" s="3" t="str">
        <f t="shared" si="117"/>
        <v>Aug-2020</v>
      </c>
    </row>
    <row r="3730" spans="1:14" x14ac:dyDescent="0.3">
      <c r="A3730" s="3" t="s">
        <v>318</v>
      </c>
      <c r="B3730" s="3" t="s">
        <v>319</v>
      </c>
      <c r="C3730" s="8">
        <v>2020</v>
      </c>
      <c r="D3730" s="8">
        <v>9</v>
      </c>
      <c r="E3730" s="3" t="str">
        <f t="shared" si="116"/>
        <v>September</v>
      </c>
      <c r="F3730" s="3" t="s">
        <v>8</v>
      </c>
      <c r="G3730" s="8">
        <v>3492.2950580000002</v>
      </c>
      <c r="H3730" s="8">
        <v>3993.65</v>
      </c>
      <c r="I3730" s="8">
        <v>501.35494249999999</v>
      </c>
      <c r="J3730" s="8">
        <v>6662.7298469999996</v>
      </c>
      <c r="K3730" s="8">
        <v>5298.6195390000003</v>
      </c>
      <c r="L3730" s="8">
        <v>8226.0688859999991</v>
      </c>
      <c r="M3730" s="9" t="str">
        <f>IF(A3730="",M3731,A3730)</f>
        <v>El Salvador</v>
      </c>
      <c r="N3730" s="3" t="str">
        <f t="shared" si="117"/>
        <v>Sep-2020</v>
      </c>
    </row>
    <row r="3731" spans="1:14" x14ac:dyDescent="0.3">
      <c r="A3731" s="3" t="s">
        <v>318</v>
      </c>
      <c r="B3731" s="3" t="s">
        <v>319</v>
      </c>
      <c r="C3731" s="8">
        <v>2020</v>
      </c>
      <c r="D3731" s="8">
        <v>10</v>
      </c>
      <c r="E3731" s="3" t="str">
        <f t="shared" si="116"/>
        <v>October</v>
      </c>
      <c r="F3731" s="3" t="s">
        <v>8</v>
      </c>
      <c r="G3731" s="8">
        <v>3455.9527800000001</v>
      </c>
      <c r="H3731" s="8">
        <v>3887.1350000000002</v>
      </c>
      <c r="I3731" s="8">
        <v>431.18221999999997</v>
      </c>
      <c r="J3731" s="8">
        <v>7093.9120670000002</v>
      </c>
      <c r="K3731" s="8">
        <v>5321.7501599999996</v>
      </c>
      <c r="L3731" s="8">
        <v>9123.3814380000003</v>
      </c>
      <c r="M3731" s="9" t="str">
        <f>IF(A3731="",M3732,A3731)</f>
        <v>El Salvador</v>
      </c>
      <c r="N3731" s="3" t="str">
        <f t="shared" si="117"/>
        <v>Oct-2020</v>
      </c>
    </row>
    <row r="3732" spans="1:14" x14ac:dyDescent="0.3">
      <c r="A3732" s="3" t="s">
        <v>318</v>
      </c>
      <c r="B3732" s="3" t="s">
        <v>319</v>
      </c>
      <c r="C3732" s="8">
        <v>2020</v>
      </c>
      <c r="D3732" s="8">
        <v>11</v>
      </c>
      <c r="E3732" s="3" t="str">
        <f t="shared" si="116"/>
        <v>November</v>
      </c>
      <c r="F3732" s="3" t="s">
        <v>8</v>
      </c>
      <c r="G3732" s="8">
        <v>3425.27297</v>
      </c>
      <c r="H3732" s="8">
        <v>3851.1880000000001</v>
      </c>
      <c r="I3732" s="8">
        <v>425.91502969999999</v>
      </c>
      <c r="J3732" s="8">
        <v>7519.8270970000003</v>
      </c>
      <c r="K3732" s="8">
        <v>5319.1664600000004</v>
      </c>
      <c r="L3732" s="8">
        <v>9889.7344900000007</v>
      </c>
      <c r="M3732" s="9" t="str">
        <f>IF(A3732="",M3733,A3732)</f>
        <v>El Salvador</v>
      </c>
      <c r="N3732" s="3" t="str">
        <f t="shared" si="117"/>
        <v>Nov-2020</v>
      </c>
    </row>
    <row r="3733" spans="1:14" x14ac:dyDescent="0.3">
      <c r="A3733" s="3" t="s">
        <v>318</v>
      </c>
      <c r="B3733" s="3" t="s">
        <v>319</v>
      </c>
      <c r="C3733" s="8">
        <v>2020</v>
      </c>
      <c r="D3733" s="8">
        <v>12</v>
      </c>
      <c r="E3733" s="3" t="str">
        <f t="shared" si="116"/>
        <v>December</v>
      </c>
      <c r="F3733" s="3" t="s">
        <v>8</v>
      </c>
      <c r="G3733" s="8">
        <v>3381.7458270000002</v>
      </c>
      <c r="H3733" s="8">
        <v>4053.8270000000002</v>
      </c>
      <c r="I3733" s="8">
        <v>672.08117259999995</v>
      </c>
      <c r="J3733" s="8">
        <v>8191.9082689999996</v>
      </c>
      <c r="K3733" s="8">
        <v>5479.9091170000002</v>
      </c>
      <c r="L3733" s="8">
        <v>11052.95528</v>
      </c>
      <c r="M3733" s="9" t="str">
        <f>IF(A3733="",M3734,A3733)</f>
        <v>El Salvador</v>
      </c>
      <c r="N3733" s="3" t="str">
        <f t="shared" si="117"/>
        <v>Dec-2020</v>
      </c>
    </row>
    <row r="3734" spans="1:14" x14ac:dyDescent="0.3">
      <c r="A3734" s="3" t="s">
        <v>318</v>
      </c>
      <c r="B3734" s="3" t="s">
        <v>319</v>
      </c>
      <c r="C3734" s="8">
        <v>2021</v>
      </c>
      <c r="D3734" s="8">
        <v>1</v>
      </c>
      <c r="E3734" s="3" t="str">
        <f t="shared" si="116"/>
        <v>January</v>
      </c>
      <c r="F3734" s="3" t="s">
        <v>8</v>
      </c>
      <c r="G3734" s="8">
        <v>3388.4161450000001</v>
      </c>
      <c r="H3734" s="8">
        <v>4300.2830000000004</v>
      </c>
      <c r="I3734" s="8">
        <v>911.86685460000001</v>
      </c>
      <c r="J3734" s="8">
        <v>9103.7751239999998</v>
      </c>
      <c r="K3734" s="8">
        <v>5859.0328689999997</v>
      </c>
      <c r="L3734" s="8">
        <v>12607.24575</v>
      </c>
      <c r="M3734" s="9" t="str">
        <f>IF(A3734="",M3735,A3734)</f>
        <v>El Salvador</v>
      </c>
      <c r="N3734" s="3" t="str">
        <f t="shared" si="117"/>
        <v>Jan-2021</v>
      </c>
    </row>
    <row r="3735" spans="1:14" x14ac:dyDescent="0.3">
      <c r="A3735" s="3" t="s">
        <v>318</v>
      </c>
      <c r="B3735" s="3" t="s">
        <v>319</v>
      </c>
      <c r="C3735" s="8">
        <v>2021</v>
      </c>
      <c r="D3735" s="8">
        <v>2</v>
      </c>
      <c r="E3735" s="3" t="str">
        <f t="shared" si="116"/>
        <v>February</v>
      </c>
      <c r="F3735" s="3" t="s">
        <v>8</v>
      </c>
      <c r="G3735" s="8">
        <v>3379.266329</v>
      </c>
      <c r="H3735" s="8">
        <v>4180.9229999999998</v>
      </c>
      <c r="I3735" s="8">
        <v>801.65667089999999</v>
      </c>
      <c r="J3735" s="8">
        <v>9905.4317950000004</v>
      </c>
      <c r="K3735" s="8">
        <v>6219.5663109999996</v>
      </c>
      <c r="L3735" s="8">
        <v>13602.788119999999</v>
      </c>
      <c r="M3735" s="9" t="str">
        <f>IF(A3735="",M3736,A3735)</f>
        <v>El Salvador</v>
      </c>
      <c r="N3735" s="3" t="str">
        <f t="shared" si="117"/>
        <v>Feb-2021</v>
      </c>
    </row>
    <row r="3736" spans="1:14" x14ac:dyDescent="0.3">
      <c r="A3736" s="3" t="s">
        <v>318</v>
      </c>
      <c r="B3736" s="3" t="s">
        <v>319</v>
      </c>
      <c r="C3736" s="8">
        <v>2021</v>
      </c>
      <c r="D3736" s="8">
        <v>3</v>
      </c>
      <c r="E3736" s="3" t="str">
        <f t="shared" si="116"/>
        <v>March</v>
      </c>
      <c r="F3736" s="3" t="s">
        <v>8</v>
      </c>
      <c r="G3736" s="8">
        <v>3384.6593929999999</v>
      </c>
      <c r="H3736" s="8">
        <v>4102.982</v>
      </c>
      <c r="I3736" s="8">
        <v>718.3226075</v>
      </c>
      <c r="J3736" s="8">
        <v>10623.7544</v>
      </c>
      <c r="K3736" s="8">
        <v>6483.279998</v>
      </c>
      <c r="L3736" s="8">
        <v>14800.38566</v>
      </c>
      <c r="M3736" s="9" t="str">
        <f>IF(A3736="",M3737,A3736)</f>
        <v>El Salvador</v>
      </c>
      <c r="N3736" s="3" t="str">
        <f t="shared" si="117"/>
        <v>Mar-2021</v>
      </c>
    </row>
    <row r="3737" spans="1:14" x14ac:dyDescent="0.3">
      <c r="A3737" s="3" t="s">
        <v>318</v>
      </c>
      <c r="B3737" s="3" t="s">
        <v>319</v>
      </c>
      <c r="C3737" s="8">
        <v>2021</v>
      </c>
      <c r="D3737" s="8">
        <v>4</v>
      </c>
      <c r="E3737" s="3" t="str">
        <f t="shared" si="116"/>
        <v>April</v>
      </c>
      <c r="F3737" s="3" t="s">
        <v>8</v>
      </c>
      <c r="G3737" s="8">
        <v>3423.9639099999999</v>
      </c>
      <c r="H3737" s="8">
        <v>4118.3180000000002</v>
      </c>
      <c r="I3737" s="8">
        <v>694.35408949999999</v>
      </c>
      <c r="J3737" s="8">
        <v>11318.108490000001</v>
      </c>
      <c r="K3737" s="8">
        <v>6993.0222999999996</v>
      </c>
      <c r="L3737" s="8">
        <v>15897.548210000001</v>
      </c>
      <c r="M3737" s="9" t="str">
        <f>IF(A3737="",M3738,A3737)</f>
        <v>El Salvador</v>
      </c>
      <c r="N3737" s="3" t="str">
        <f t="shared" si="117"/>
        <v>Apr-2021</v>
      </c>
    </row>
    <row r="3738" spans="1:14" x14ac:dyDescent="0.3">
      <c r="A3738" s="3" t="s">
        <v>318</v>
      </c>
      <c r="B3738" s="3" t="s">
        <v>319</v>
      </c>
      <c r="C3738" s="8">
        <v>2021</v>
      </c>
      <c r="D3738" s="8">
        <v>5</v>
      </c>
      <c r="E3738" s="3" t="str">
        <f t="shared" si="116"/>
        <v>May</v>
      </c>
      <c r="F3738" s="3" t="s">
        <v>8</v>
      </c>
      <c r="G3738" s="8">
        <v>3461.4056340000002</v>
      </c>
      <c r="H3738" s="8">
        <v>4193.68</v>
      </c>
      <c r="I3738" s="8">
        <v>732.27436620000003</v>
      </c>
      <c r="J3738" s="8">
        <v>12050.38286</v>
      </c>
      <c r="K3738" s="8">
        <v>7322.1555340000004</v>
      </c>
      <c r="L3738" s="8">
        <v>16851.581610000001</v>
      </c>
      <c r="M3738" s="9" t="str">
        <f>IF(A3738="",M3739,A3738)</f>
        <v>El Salvador</v>
      </c>
      <c r="N3738" s="3" t="str">
        <f t="shared" si="117"/>
        <v>May-2021</v>
      </c>
    </row>
    <row r="3739" spans="1:14" x14ac:dyDescent="0.3">
      <c r="A3739" s="3" t="s">
        <v>318</v>
      </c>
      <c r="B3739" s="3" t="s">
        <v>319</v>
      </c>
      <c r="C3739" s="8">
        <v>2021</v>
      </c>
      <c r="D3739" s="8">
        <v>6</v>
      </c>
      <c r="E3739" s="3" t="str">
        <f t="shared" si="116"/>
        <v>June</v>
      </c>
      <c r="F3739" s="3" t="s">
        <v>8</v>
      </c>
      <c r="G3739" s="8">
        <v>3494.7299680000001</v>
      </c>
      <c r="H3739" s="8">
        <v>4226.0569999999998</v>
      </c>
      <c r="I3739" s="8">
        <v>731.32703170000002</v>
      </c>
      <c r="J3739" s="8">
        <v>12781.70989</v>
      </c>
      <c r="K3739" s="8">
        <v>7621.897309</v>
      </c>
      <c r="L3739" s="8">
        <v>18119.913079999998</v>
      </c>
      <c r="M3739" s="9" t="str">
        <f>IF(A3739="",M3740,A3739)</f>
        <v>El Salvador</v>
      </c>
      <c r="N3739" s="3" t="str">
        <f t="shared" si="117"/>
        <v>Jun-2021</v>
      </c>
    </row>
    <row r="3740" spans="1:14" x14ac:dyDescent="0.3">
      <c r="A3740" s="3" t="s">
        <v>318</v>
      </c>
      <c r="B3740" s="3" t="s">
        <v>319</v>
      </c>
      <c r="C3740" s="8">
        <v>2021</v>
      </c>
      <c r="D3740" s="8">
        <v>7</v>
      </c>
      <c r="E3740" s="3" t="str">
        <f t="shared" si="116"/>
        <v>July</v>
      </c>
      <c r="F3740" s="3" t="s">
        <v>8</v>
      </c>
      <c r="G3740" s="8">
        <v>3506.5225180000002</v>
      </c>
      <c r="H3740" s="8">
        <v>4406.3040000000001</v>
      </c>
      <c r="I3740" s="8">
        <v>899.78148250000004</v>
      </c>
      <c r="J3740" s="8">
        <v>13681.49137</v>
      </c>
      <c r="K3740" s="8">
        <v>8173.9742459999998</v>
      </c>
      <c r="L3740" s="8">
        <v>19550.03455</v>
      </c>
      <c r="M3740" s="9" t="str">
        <f>IF(A3740="",M3741,A3740)</f>
        <v>El Salvador</v>
      </c>
      <c r="N3740" s="3" t="str">
        <f t="shared" si="117"/>
        <v>Jul-2021</v>
      </c>
    </row>
    <row r="3741" spans="1:14" x14ac:dyDescent="0.3">
      <c r="A3741" s="3" t="s">
        <v>318</v>
      </c>
      <c r="B3741" s="3" t="s">
        <v>319</v>
      </c>
      <c r="C3741" s="8">
        <v>2021</v>
      </c>
      <c r="D3741" s="8">
        <v>8</v>
      </c>
      <c r="E3741" s="3" t="str">
        <f t="shared" si="116"/>
        <v>August</v>
      </c>
      <c r="F3741" s="3" t="s">
        <v>8</v>
      </c>
      <c r="G3741" s="8">
        <v>3507.0314899999998</v>
      </c>
      <c r="H3741" s="8">
        <v>4523.9880000000003</v>
      </c>
      <c r="I3741" s="8">
        <v>1016.95651</v>
      </c>
      <c r="J3741" s="8">
        <v>14698.44788</v>
      </c>
      <c r="K3741" s="8">
        <v>8838.4469000000008</v>
      </c>
      <c r="L3741" s="8">
        <v>20940.141090000001</v>
      </c>
      <c r="M3741" s="9" t="str">
        <f>IF(A3741="",M3742,A3741)</f>
        <v>El Salvador</v>
      </c>
      <c r="N3741" s="3" t="str">
        <f t="shared" si="117"/>
        <v>Aug-2021</v>
      </c>
    </row>
    <row r="3742" spans="1:14" x14ac:dyDescent="0.3">
      <c r="A3742" s="3" t="s">
        <v>318</v>
      </c>
      <c r="B3742" s="3" t="s">
        <v>319</v>
      </c>
      <c r="C3742" s="8">
        <v>2021</v>
      </c>
      <c r="D3742" s="8">
        <v>9</v>
      </c>
      <c r="E3742" s="3" t="str">
        <f t="shared" si="116"/>
        <v>September</v>
      </c>
      <c r="F3742" s="3" t="s">
        <v>8</v>
      </c>
      <c r="G3742" s="8">
        <v>3475.2683919999999</v>
      </c>
      <c r="H3742" s="8">
        <v>4514.5559999999996</v>
      </c>
      <c r="I3742" s="8">
        <v>1039.2876080000001</v>
      </c>
      <c r="J3742" s="8">
        <v>15737.735489999999</v>
      </c>
      <c r="K3742" s="8">
        <v>9426.9134259999992</v>
      </c>
      <c r="L3742" s="8">
        <v>22459.3783</v>
      </c>
      <c r="M3742" s="9" t="str">
        <f>IF(A3742="",M3743,A3742)</f>
        <v>El Salvador</v>
      </c>
      <c r="N3742" s="3" t="str">
        <f t="shared" si="117"/>
        <v>Sep-2021</v>
      </c>
    </row>
    <row r="3743" spans="1:14" x14ac:dyDescent="0.3">
      <c r="A3743" s="3" t="s">
        <v>318</v>
      </c>
      <c r="B3743" s="3" t="s">
        <v>319</v>
      </c>
      <c r="C3743" s="8">
        <v>2021</v>
      </c>
      <c r="D3743" s="8">
        <v>10</v>
      </c>
      <c r="E3743" s="3" t="str">
        <f t="shared" si="116"/>
        <v>October</v>
      </c>
      <c r="F3743" s="3" t="s">
        <v>8</v>
      </c>
      <c r="G3743" s="8">
        <v>3450.201485</v>
      </c>
      <c r="H3743" s="8">
        <v>4433.9030000000002</v>
      </c>
      <c r="I3743" s="8">
        <v>983.7015146</v>
      </c>
      <c r="J3743" s="8">
        <v>16721.437010000001</v>
      </c>
      <c r="K3743" s="8">
        <v>10186.65581</v>
      </c>
      <c r="L3743" s="8">
        <v>24095.62372</v>
      </c>
      <c r="M3743" s="9" t="str">
        <f>IF(A3743="",M3744,A3743)</f>
        <v>El Salvador</v>
      </c>
      <c r="N3743" s="3" t="str">
        <f t="shared" si="117"/>
        <v>Oct-2021</v>
      </c>
    </row>
    <row r="3744" spans="1:14" x14ac:dyDescent="0.3">
      <c r="A3744" s="3" t="s">
        <v>318</v>
      </c>
      <c r="B3744" s="3" t="s">
        <v>319</v>
      </c>
      <c r="C3744" s="8">
        <v>2021</v>
      </c>
      <c r="D3744" s="8">
        <v>11</v>
      </c>
      <c r="E3744" s="3" t="str">
        <f t="shared" si="116"/>
        <v>November</v>
      </c>
      <c r="F3744" s="3" t="s">
        <v>8</v>
      </c>
      <c r="G3744" s="8">
        <v>3412.6393990000001</v>
      </c>
      <c r="H3744" s="8">
        <v>3915.0990000000002</v>
      </c>
      <c r="I3744" s="8">
        <v>502.45960059999999</v>
      </c>
      <c r="J3744" s="8">
        <v>17223.89661</v>
      </c>
      <c r="K3744" s="8">
        <v>10247.52058</v>
      </c>
      <c r="L3744" s="8">
        <v>25499.969710000001</v>
      </c>
      <c r="M3744" s="9" t="str">
        <f>IF(A3744="",M3745,A3744)</f>
        <v>El Salvador</v>
      </c>
      <c r="N3744" s="3" t="str">
        <f t="shared" si="117"/>
        <v>Nov-2021</v>
      </c>
    </row>
    <row r="3745" spans="1:14" x14ac:dyDescent="0.3">
      <c r="A3745" s="3" t="s">
        <v>318</v>
      </c>
      <c r="B3745" s="3" t="s">
        <v>319</v>
      </c>
      <c r="C3745" s="8">
        <v>2021</v>
      </c>
      <c r="D3745" s="8">
        <v>12</v>
      </c>
      <c r="E3745" s="3" t="str">
        <f t="shared" si="116"/>
        <v>December</v>
      </c>
      <c r="F3745" s="3" t="s">
        <v>8</v>
      </c>
      <c r="G3745" s="8">
        <v>3378.1955939999998</v>
      </c>
      <c r="H3745" s="8">
        <v>3655.0659999999998</v>
      </c>
      <c r="I3745" s="8">
        <v>276.8704065</v>
      </c>
      <c r="J3745" s="8">
        <v>17500.76701</v>
      </c>
      <c r="K3745" s="8">
        <v>10196.2989</v>
      </c>
      <c r="L3745" s="8">
        <v>25754.458689999999</v>
      </c>
      <c r="M3745" s="9" t="str">
        <f>IF(A3745="",M3746,A3745)</f>
        <v>El Salvador</v>
      </c>
      <c r="N3745" s="3" t="str">
        <f t="shared" si="117"/>
        <v>Dec-2021</v>
      </c>
    </row>
    <row r="3746" spans="1:14" x14ac:dyDescent="0.3">
      <c r="A3746" s="3" t="s">
        <v>320</v>
      </c>
      <c r="B3746" s="3" t="s">
        <v>321</v>
      </c>
      <c r="C3746" s="8">
        <v>2020</v>
      </c>
      <c r="D3746" s="8">
        <v>1</v>
      </c>
      <c r="E3746" s="3" t="str">
        <f t="shared" si="116"/>
        <v>January</v>
      </c>
      <c r="F3746" s="3" t="s">
        <v>13</v>
      </c>
      <c r="G3746" s="8">
        <v>21.372382389999999</v>
      </c>
      <c r="H3746" s="8">
        <v>23</v>
      </c>
      <c r="I3746" s="8">
        <v>1.6276176060000001</v>
      </c>
      <c r="J3746" s="8">
        <v>1.6276176060000001</v>
      </c>
      <c r="K3746" s="8">
        <v>-1.0270874489999999</v>
      </c>
      <c r="L3746" s="8">
        <v>4.0797241030000002</v>
      </c>
      <c r="M3746" s="9" t="str">
        <f>IF(A3746="",M3747,A3746)</f>
        <v>San Marino</v>
      </c>
      <c r="N3746" s="3" t="str">
        <f t="shared" si="117"/>
        <v>Jan-2020</v>
      </c>
    </row>
    <row r="3747" spans="1:14" x14ac:dyDescent="0.3">
      <c r="A3747" s="3" t="s">
        <v>320</v>
      </c>
      <c r="B3747" s="3" t="s">
        <v>321</v>
      </c>
      <c r="C3747" s="8">
        <v>2020</v>
      </c>
      <c r="D3747" s="8">
        <v>2</v>
      </c>
      <c r="E3747" s="3" t="str">
        <f t="shared" si="116"/>
        <v>February</v>
      </c>
      <c r="F3747" s="3" t="s">
        <v>13</v>
      </c>
      <c r="G3747" s="8">
        <v>21.378754199999999</v>
      </c>
      <c r="H3747" s="8">
        <v>26</v>
      </c>
      <c r="I3747" s="8">
        <v>4.6212458009999997</v>
      </c>
      <c r="J3747" s="8">
        <v>6.2488634080000001</v>
      </c>
      <c r="K3747" s="8">
        <v>2.3994813210000001</v>
      </c>
      <c r="L3747" s="8">
        <v>9.7941789549999996</v>
      </c>
      <c r="M3747" s="9" t="str">
        <f>IF(A3747="",M3748,A3747)</f>
        <v>San Marino</v>
      </c>
      <c r="N3747" s="3" t="str">
        <f t="shared" si="117"/>
        <v>Feb-2020</v>
      </c>
    </row>
    <row r="3748" spans="1:14" x14ac:dyDescent="0.3">
      <c r="A3748" s="3" t="s">
        <v>320</v>
      </c>
      <c r="B3748" s="3" t="s">
        <v>321</v>
      </c>
      <c r="C3748" s="8">
        <v>2020</v>
      </c>
      <c r="D3748" s="8">
        <v>3</v>
      </c>
      <c r="E3748" s="3" t="str">
        <f t="shared" si="116"/>
        <v>March</v>
      </c>
      <c r="F3748" s="3" t="s">
        <v>13</v>
      </c>
      <c r="G3748" s="8">
        <v>21.35283222</v>
      </c>
      <c r="H3748" s="8">
        <v>50</v>
      </c>
      <c r="I3748" s="8">
        <v>28.64716778</v>
      </c>
      <c r="J3748" s="8">
        <v>34.896031190000002</v>
      </c>
      <c r="K3748" s="8">
        <v>30.168714810000001</v>
      </c>
      <c r="L3748" s="8">
        <v>39.240224619999999</v>
      </c>
      <c r="M3748" s="9" t="str">
        <f>IF(A3748="",M3749,A3748)</f>
        <v>San Marino</v>
      </c>
      <c r="N3748" s="3" t="str">
        <f t="shared" si="117"/>
        <v>Mar-2020</v>
      </c>
    </row>
    <row r="3749" spans="1:14" x14ac:dyDescent="0.3">
      <c r="A3749" s="3" t="s">
        <v>320</v>
      </c>
      <c r="B3749" s="3" t="s">
        <v>321</v>
      </c>
      <c r="C3749" s="8">
        <v>2020</v>
      </c>
      <c r="D3749" s="8">
        <v>4</v>
      </c>
      <c r="E3749" s="3" t="str">
        <f t="shared" si="116"/>
        <v>April</v>
      </c>
      <c r="F3749" s="3" t="s">
        <v>13</v>
      </c>
      <c r="G3749" s="8">
        <v>21.32557298</v>
      </c>
      <c r="H3749" s="8">
        <v>31</v>
      </c>
      <c r="I3749" s="8">
        <v>9.674427025</v>
      </c>
      <c r="J3749" s="8">
        <v>44.570458209999998</v>
      </c>
      <c r="K3749" s="8">
        <v>39.304857030000001</v>
      </c>
      <c r="L3749" s="8">
        <v>49.892048430000003</v>
      </c>
      <c r="M3749" s="9" t="str">
        <f>IF(A3749="",M3750,A3749)</f>
        <v>San Marino</v>
      </c>
      <c r="N3749" s="3" t="str">
        <f t="shared" si="117"/>
        <v>Apr-2020</v>
      </c>
    </row>
    <row r="3750" spans="1:14" x14ac:dyDescent="0.3">
      <c r="A3750" s="3" t="s">
        <v>320</v>
      </c>
      <c r="B3750" s="3" t="s">
        <v>321</v>
      </c>
      <c r="C3750" s="8">
        <v>2020</v>
      </c>
      <c r="D3750" s="8">
        <v>5</v>
      </c>
      <c r="E3750" s="3" t="str">
        <f t="shared" si="116"/>
        <v>May</v>
      </c>
      <c r="F3750" s="3" t="s">
        <v>13</v>
      </c>
      <c r="G3750" s="8">
        <v>21.379928339999999</v>
      </c>
      <c r="H3750" s="8">
        <v>25</v>
      </c>
      <c r="I3750" s="8">
        <v>3.6200716559999999</v>
      </c>
      <c r="J3750" s="8">
        <v>48.190529869999999</v>
      </c>
      <c r="K3750" s="8">
        <v>41.793574020000001</v>
      </c>
      <c r="L3750" s="8">
        <v>54.4097589</v>
      </c>
      <c r="M3750" s="9" t="str">
        <f>IF(A3750="",M3751,A3750)</f>
        <v>San Marino</v>
      </c>
      <c r="N3750" s="3" t="str">
        <f t="shared" si="117"/>
        <v>May-2020</v>
      </c>
    </row>
    <row r="3751" spans="1:14" x14ac:dyDescent="0.3">
      <c r="A3751" s="3" t="s">
        <v>320</v>
      </c>
      <c r="B3751" s="3" t="s">
        <v>321</v>
      </c>
      <c r="C3751" s="8">
        <v>2020</v>
      </c>
      <c r="D3751" s="8">
        <v>6</v>
      </c>
      <c r="E3751" s="3" t="str">
        <f t="shared" si="116"/>
        <v>June</v>
      </c>
      <c r="F3751" s="3" t="s">
        <v>13</v>
      </c>
      <c r="G3751" s="8">
        <v>21.158071450000001</v>
      </c>
      <c r="H3751" s="8">
        <v>29</v>
      </c>
      <c r="I3751" s="8">
        <v>7.8419285529999998</v>
      </c>
      <c r="J3751" s="8">
        <v>56.032458419999998</v>
      </c>
      <c r="K3751" s="8">
        <v>49.261013699999999</v>
      </c>
      <c r="L3751" s="8">
        <v>63.107183460000002</v>
      </c>
      <c r="M3751" s="9" t="str">
        <f>IF(A3751="",M3752,A3751)</f>
        <v>San Marino</v>
      </c>
      <c r="N3751" s="3" t="str">
        <f t="shared" si="117"/>
        <v>Jun-2020</v>
      </c>
    </row>
    <row r="3752" spans="1:14" x14ac:dyDescent="0.3">
      <c r="A3752" s="3" t="s">
        <v>320</v>
      </c>
      <c r="B3752" s="3" t="s">
        <v>321</v>
      </c>
      <c r="C3752" s="8">
        <v>2020</v>
      </c>
      <c r="D3752" s="8">
        <v>7</v>
      </c>
      <c r="E3752" s="3" t="str">
        <f t="shared" si="116"/>
        <v>July</v>
      </c>
      <c r="F3752" s="3" t="s">
        <v>13</v>
      </c>
      <c r="G3752" s="8">
        <v>21.196502349999999</v>
      </c>
      <c r="H3752" s="8">
        <v>24</v>
      </c>
      <c r="I3752" s="8">
        <v>2.8034976469999999</v>
      </c>
      <c r="J3752" s="8">
        <v>58.835956070000002</v>
      </c>
      <c r="K3752" s="8">
        <v>51.52737372</v>
      </c>
      <c r="L3752" s="8">
        <v>66.30984952</v>
      </c>
      <c r="M3752" s="9" t="str">
        <f>IF(A3752="",M3753,A3752)</f>
        <v>San Marino</v>
      </c>
      <c r="N3752" s="3" t="str">
        <f t="shared" si="117"/>
        <v>Jul-2020</v>
      </c>
    </row>
    <row r="3753" spans="1:14" x14ac:dyDescent="0.3">
      <c r="A3753" s="3" t="s">
        <v>320</v>
      </c>
      <c r="B3753" s="3" t="s">
        <v>321</v>
      </c>
      <c r="C3753" s="8">
        <v>2020</v>
      </c>
      <c r="D3753" s="8">
        <v>8</v>
      </c>
      <c r="E3753" s="3" t="str">
        <f t="shared" si="116"/>
        <v>August</v>
      </c>
      <c r="F3753" s="3" t="s">
        <v>13</v>
      </c>
      <c r="G3753" s="8">
        <v>21.239040599999999</v>
      </c>
      <c r="H3753" s="8">
        <v>21</v>
      </c>
      <c r="I3753" s="8">
        <v>-0.23904059799999999</v>
      </c>
      <c r="J3753" s="8">
        <v>58.596915469999999</v>
      </c>
      <c r="K3753" s="8">
        <v>50.59730613</v>
      </c>
      <c r="L3753" s="8">
        <v>66.744795999999994</v>
      </c>
      <c r="M3753" s="9" t="str">
        <f>IF(A3753="",M3754,A3753)</f>
        <v>San Marino</v>
      </c>
      <c r="N3753" s="3" t="str">
        <f t="shared" si="117"/>
        <v>Aug-2020</v>
      </c>
    </row>
    <row r="3754" spans="1:14" x14ac:dyDescent="0.3">
      <c r="A3754" s="3" t="s">
        <v>320</v>
      </c>
      <c r="B3754" s="3" t="s">
        <v>321</v>
      </c>
      <c r="C3754" s="8">
        <v>2020</v>
      </c>
      <c r="D3754" s="8">
        <v>9</v>
      </c>
      <c r="E3754" s="3" t="str">
        <f t="shared" si="116"/>
        <v>September</v>
      </c>
      <c r="F3754" s="3" t="s">
        <v>13</v>
      </c>
      <c r="G3754" s="8">
        <v>21.22818294</v>
      </c>
      <c r="H3754" s="8">
        <v>18</v>
      </c>
      <c r="I3754" s="8">
        <v>-3.2281829430000002</v>
      </c>
      <c r="J3754" s="8">
        <v>55.368732530000003</v>
      </c>
      <c r="K3754" s="8">
        <v>46.898539810000003</v>
      </c>
      <c r="L3754" s="8">
        <v>63.702229330000002</v>
      </c>
      <c r="M3754" s="9" t="str">
        <f>IF(A3754="",M3755,A3754)</f>
        <v>San Marino</v>
      </c>
      <c r="N3754" s="3" t="str">
        <f t="shared" si="117"/>
        <v>Sep-2020</v>
      </c>
    </row>
    <row r="3755" spans="1:14" x14ac:dyDescent="0.3">
      <c r="A3755" s="3" t="s">
        <v>320</v>
      </c>
      <c r="B3755" s="3" t="s">
        <v>321</v>
      </c>
      <c r="C3755" s="8">
        <v>2020</v>
      </c>
      <c r="D3755" s="8">
        <v>10</v>
      </c>
      <c r="E3755" s="3" t="str">
        <f t="shared" si="116"/>
        <v>October</v>
      </c>
      <c r="F3755" s="3" t="s">
        <v>13</v>
      </c>
      <c r="G3755" s="8">
        <v>21.268642939999999</v>
      </c>
      <c r="H3755" s="8">
        <v>25</v>
      </c>
      <c r="I3755" s="8">
        <v>3.731357064</v>
      </c>
      <c r="J3755" s="8">
        <v>59.100089590000003</v>
      </c>
      <c r="K3755" s="8">
        <v>49.945136589999997</v>
      </c>
      <c r="L3755" s="8">
        <v>68.110313970000007</v>
      </c>
      <c r="M3755" s="9" t="str">
        <f>IF(A3755="",M3756,A3755)</f>
        <v>San Marino</v>
      </c>
      <c r="N3755" s="3" t="str">
        <f t="shared" si="117"/>
        <v>Oct-2020</v>
      </c>
    </row>
    <row r="3756" spans="1:14" x14ac:dyDescent="0.3">
      <c r="A3756" s="3" t="s">
        <v>320</v>
      </c>
      <c r="B3756" s="3" t="s">
        <v>321</v>
      </c>
      <c r="C3756" s="8">
        <v>2020</v>
      </c>
      <c r="D3756" s="8">
        <v>11</v>
      </c>
      <c r="E3756" s="3" t="str">
        <f t="shared" si="116"/>
        <v>November</v>
      </c>
      <c r="F3756" s="3" t="s">
        <v>13</v>
      </c>
      <c r="G3756" s="8">
        <v>21.373430419999998</v>
      </c>
      <c r="H3756" s="8">
        <v>26</v>
      </c>
      <c r="I3756" s="8">
        <v>4.626569581</v>
      </c>
      <c r="J3756" s="8">
        <v>63.726659169999998</v>
      </c>
      <c r="K3756" s="8">
        <v>53.856676049999997</v>
      </c>
      <c r="L3756" s="8">
        <v>73.665739009999996</v>
      </c>
      <c r="M3756" s="9" t="str">
        <f>IF(A3756="",M3757,A3756)</f>
        <v>San Marino</v>
      </c>
      <c r="N3756" s="3" t="str">
        <f t="shared" si="117"/>
        <v>Nov-2020</v>
      </c>
    </row>
    <row r="3757" spans="1:14" x14ac:dyDescent="0.3">
      <c r="A3757" s="3" t="s">
        <v>320</v>
      </c>
      <c r="B3757" s="3" t="s">
        <v>321</v>
      </c>
      <c r="C3757" s="8">
        <v>2020</v>
      </c>
      <c r="D3757" s="8">
        <v>12</v>
      </c>
      <c r="E3757" s="3" t="str">
        <f t="shared" si="116"/>
        <v>December</v>
      </c>
      <c r="F3757" s="3" t="s">
        <v>13</v>
      </c>
      <c r="G3757" s="8">
        <v>21.477190780000001</v>
      </c>
      <c r="H3757" s="8">
        <v>45</v>
      </c>
      <c r="I3757" s="8">
        <v>23.522809219999999</v>
      </c>
      <c r="J3757" s="8">
        <v>87.249468390000004</v>
      </c>
      <c r="K3757" s="8">
        <v>77.141633940000006</v>
      </c>
      <c r="L3757" s="8">
        <v>97.206177280000006</v>
      </c>
      <c r="M3757" s="9" t="str">
        <f>IF(A3757="",M3758,A3757)</f>
        <v>San Marino</v>
      </c>
      <c r="N3757" s="3" t="str">
        <f t="shared" si="117"/>
        <v>Dec-2020</v>
      </c>
    </row>
    <row r="3758" spans="1:14" x14ac:dyDescent="0.3">
      <c r="A3758" s="3" t="s">
        <v>320</v>
      </c>
      <c r="B3758" s="3" t="s">
        <v>321</v>
      </c>
      <c r="C3758" s="8">
        <v>2021</v>
      </c>
      <c r="D3758" s="8">
        <v>1</v>
      </c>
      <c r="E3758" s="3" t="str">
        <f t="shared" si="116"/>
        <v>January</v>
      </c>
      <c r="F3758" s="3" t="s">
        <v>13</v>
      </c>
      <c r="G3758" s="8">
        <v>21.46759437</v>
      </c>
      <c r="H3758" s="8">
        <v>22</v>
      </c>
      <c r="I3758" s="8">
        <v>0.53240562999999996</v>
      </c>
      <c r="J3758" s="8">
        <v>87.781874020000004</v>
      </c>
      <c r="K3758" s="8">
        <v>77.167463670000004</v>
      </c>
      <c r="L3758" s="8">
        <v>98.134620260000005</v>
      </c>
      <c r="M3758" s="9" t="str">
        <f>IF(A3758="",M3759,A3758)</f>
        <v>San Marino</v>
      </c>
      <c r="N3758" s="3" t="str">
        <f t="shared" si="117"/>
        <v>Jan-2021</v>
      </c>
    </row>
    <row r="3759" spans="1:14" x14ac:dyDescent="0.3">
      <c r="A3759" s="3" t="s">
        <v>320</v>
      </c>
      <c r="B3759" s="3" t="s">
        <v>321</v>
      </c>
      <c r="C3759" s="8">
        <v>2021</v>
      </c>
      <c r="D3759" s="8">
        <v>2</v>
      </c>
      <c r="E3759" s="3" t="str">
        <f t="shared" si="116"/>
        <v>February</v>
      </c>
      <c r="F3759" s="3" t="s">
        <v>13</v>
      </c>
      <c r="G3759" s="8">
        <v>21.452736049999999</v>
      </c>
      <c r="H3759" s="8">
        <v>32</v>
      </c>
      <c r="I3759" s="8">
        <v>10.54726395</v>
      </c>
      <c r="J3759" s="8">
        <v>98.329137970000005</v>
      </c>
      <c r="K3759" s="8">
        <v>87.619967630000005</v>
      </c>
      <c r="L3759" s="8">
        <v>109.1993674</v>
      </c>
      <c r="M3759" s="9" t="str">
        <f>IF(A3759="",M3760,A3759)</f>
        <v>San Marino</v>
      </c>
      <c r="N3759" s="3" t="str">
        <f t="shared" si="117"/>
        <v>Feb-2021</v>
      </c>
    </row>
    <row r="3760" spans="1:14" x14ac:dyDescent="0.3">
      <c r="A3760" s="3" t="s">
        <v>320</v>
      </c>
      <c r="B3760" s="3" t="s">
        <v>321</v>
      </c>
      <c r="C3760" s="8">
        <v>2021</v>
      </c>
      <c r="D3760" s="8">
        <v>3</v>
      </c>
      <c r="E3760" s="3" t="str">
        <f t="shared" si="116"/>
        <v>March</v>
      </c>
      <c r="F3760" s="3" t="s">
        <v>13</v>
      </c>
      <c r="G3760" s="8">
        <v>21.48506682</v>
      </c>
      <c r="H3760" s="8">
        <v>36</v>
      </c>
      <c r="I3760" s="8">
        <v>14.51493318</v>
      </c>
      <c r="J3760" s="8">
        <v>112.8440712</v>
      </c>
      <c r="K3760" s="8">
        <v>101.30283300000001</v>
      </c>
      <c r="L3760" s="8">
        <v>124.31447300000001</v>
      </c>
      <c r="M3760" s="9" t="str">
        <f>IF(A3760="",M3761,A3760)</f>
        <v>San Marino</v>
      </c>
      <c r="N3760" s="3" t="str">
        <f t="shared" si="117"/>
        <v>Mar-2021</v>
      </c>
    </row>
    <row r="3761" spans="1:14" x14ac:dyDescent="0.3">
      <c r="A3761" s="3" t="s">
        <v>320</v>
      </c>
      <c r="B3761" s="3" t="s">
        <v>321</v>
      </c>
      <c r="C3761" s="8">
        <v>2021</v>
      </c>
      <c r="D3761" s="8">
        <v>4</v>
      </c>
      <c r="E3761" s="3" t="str">
        <f t="shared" si="116"/>
        <v>April</v>
      </c>
      <c r="F3761" s="3" t="s">
        <v>13</v>
      </c>
      <c r="G3761" s="8">
        <v>21.509478529999999</v>
      </c>
      <c r="H3761" s="8">
        <v>28</v>
      </c>
      <c r="I3761" s="8">
        <v>6.4905214659999997</v>
      </c>
      <c r="J3761" s="8">
        <v>119.33459259999999</v>
      </c>
      <c r="K3761" s="8">
        <v>107.31815020000001</v>
      </c>
      <c r="L3761" s="8">
        <v>131.57241010000001</v>
      </c>
      <c r="M3761" s="9" t="str">
        <f>IF(A3761="",M3762,A3761)</f>
        <v>San Marino</v>
      </c>
      <c r="N3761" s="3" t="str">
        <f t="shared" si="117"/>
        <v>Apr-2021</v>
      </c>
    </row>
    <row r="3762" spans="1:14" x14ac:dyDescent="0.3">
      <c r="A3762" s="3" t="s">
        <v>320</v>
      </c>
      <c r="B3762" s="3" t="s">
        <v>321</v>
      </c>
      <c r="C3762" s="8">
        <v>2021</v>
      </c>
      <c r="D3762" s="8">
        <v>5</v>
      </c>
      <c r="E3762" s="3" t="str">
        <f t="shared" si="116"/>
        <v>May</v>
      </c>
      <c r="F3762" s="3" t="s">
        <v>13</v>
      </c>
      <c r="G3762" s="8">
        <v>21.429154919999998</v>
      </c>
      <c r="H3762" s="8">
        <v>21</v>
      </c>
      <c r="I3762" s="8">
        <v>-0.42915492100000002</v>
      </c>
      <c r="J3762" s="8">
        <v>118.90543769999999</v>
      </c>
      <c r="K3762" s="8">
        <v>105.46875199999999</v>
      </c>
      <c r="L3762" s="8">
        <v>131.468806</v>
      </c>
      <c r="M3762" s="9" t="str">
        <f>IF(A3762="",M3763,A3762)</f>
        <v>San Marino</v>
      </c>
      <c r="N3762" s="3" t="str">
        <f t="shared" si="117"/>
        <v>May-2021</v>
      </c>
    </row>
    <row r="3763" spans="1:14" x14ac:dyDescent="0.3">
      <c r="A3763" s="3" t="s">
        <v>320</v>
      </c>
      <c r="B3763" s="3" t="s">
        <v>321</v>
      </c>
      <c r="C3763" s="8">
        <v>2021</v>
      </c>
      <c r="D3763" s="8">
        <v>6</v>
      </c>
      <c r="E3763" s="3" t="str">
        <f t="shared" si="116"/>
        <v>June</v>
      </c>
      <c r="F3763" s="3" t="s">
        <v>13</v>
      </c>
      <c r="G3763" s="8">
        <v>21.390835890000002</v>
      </c>
      <c r="H3763" s="8">
        <v>20</v>
      </c>
      <c r="I3763" s="8">
        <v>-1.3908358869999999</v>
      </c>
      <c r="J3763" s="8">
        <v>117.51460179999999</v>
      </c>
      <c r="K3763" s="8">
        <v>103.38880930000001</v>
      </c>
      <c r="L3763" s="8">
        <v>130.56694630000001</v>
      </c>
      <c r="M3763" s="9" t="str">
        <f>IF(A3763="",M3764,A3763)</f>
        <v>San Marino</v>
      </c>
      <c r="N3763" s="3" t="str">
        <f t="shared" si="117"/>
        <v>Jun-2021</v>
      </c>
    </row>
    <row r="3764" spans="1:14" x14ac:dyDescent="0.3">
      <c r="A3764" s="3" t="s">
        <v>320</v>
      </c>
      <c r="B3764" s="3" t="s">
        <v>321</v>
      </c>
      <c r="C3764" s="8">
        <v>2021</v>
      </c>
      <c r="D3764" s="8">
        <v>7</v>
      </c>
      <c r="E3764" s="3" t="str">
        <f t="shared" si="116"/>
        <v>July</v>
      </c>
      <c r="F3764" s="3" t="s">
        <v>13</v>
      </c>
      <c r="G3764" s="8">
        <v>21.33587734</v>
      </c>
      <c r="H3764" s="8">
        <v>24</v>
      </c>
      <c r="I3764" s="8">
        <v>2.6641226570000001</v>
      </c>
      <c r="J3764" s="8">
        <v>120.1787245</v>
      </c>
      <c r="K3764" s="8">
        <v>105.86498419999999</v>
      </c>
      <c r="L3764" s="8">
        <v>133.39372969999999</v>
      </c>
      <c r="M3764" s="9" t="str">
        <f>IF(A3764="",M3765,A3764)</f>
        <v>San Marino</v>
      </c>
      <c r="N3764" s="3" t="str">
        <f t="shared" si="117"/>
        <v>Jul-2021</v>
      </c>
    </row>
    <row r="3765" spans="1:14" x14ac:dyDescent="0.3">
      <c r="A3765" s="3" t="s">
        <v>320</v>
      </c>
      <c r="B3765" s="3" t="s">
        <v>321</v>
      </c>
      <c r="C3765" s="8">
        <v>2021</v>
      </c>
      <c r="D3765" s="8">
        <v>8</v>
      </c>
      <c r="E3765" s="3" t="str">
        <f t="shared" si="116"/>
        <v>August</v>
      </c>
      <c r="F3765" s="3" t="s">
        <v>13</v>
      </c>
      <c r="G3765" s="8">
        <v>21.327671299999999</v>
      </c>
      <c r="H3765" s="8">
        <v>22</v>
      </c>
      <c r="I3765" s="8">
        <v>0.672328704</v>
      </c>
      <c r="J3765" s="8">
        <v>120.8510532</v>
      </c>
      <c r="K3765" s="8">
        <v>105.676874</v>
      </c>
      <c r="L3765" s="8">
        <v>134.6206091</v>
      </c>
      <c r="M3765" s="9" t="str">
        <f>IF(A3765="",M3766,A3765)</f>
        <v>San Marino</v>
      </c>
      <c r="N3765" s="3" t="str">
        <f t="shared" si="117"/>
        <v>Aug-2021</v>
      </c>
    </row>
    <row r="3766" spans="1:14" x14ac:dyDescent="0.3">
      <c r="A3766" s="3" t="s">
        <v>320</v>
      </c>
      <c r="B3766" s="3" t="s">
        <v>321</v>
      </c>
      <c r="C3766" s="8">
        <v>2021</v>
      </c>
      <c r="D3766" s="8">
        <v>9</v>
      </c>
      <c r="E3766" s="3" t="str">
        <f t="shared" si="116"/>
        <v>September</v>
      </c>
      <c r="F3766" s="3" t="s">
        <v>13</v>
      </c>
      <c r="G3766" s="8">
        <v>21.365010430000002</v>
      </c>
      <c r="H3766" s="8">
        <v>23</v>
      </c>
      <c r="I3766" s="8">
        <v>1.6349895679999999</v>
      </c>
      <c r="J3766" s="8">
        <v>122.4860427</v>
      </c>
      <c r="K3766" s="8">
        <v>107.3030546</v>
      </c>
      <c r="L3766" s="8">
        <v>137.11691519999999</v>
      </c>
      <c r="M3766" s="9" t="str">
        <f>IF(A3766="",M3767,A3766)</f>
        <v>San Marino</v>
      </c>
      <c r="N3766" s="3" t="str">
        <f t="shared" si="117"/>
        <v>Sep-2021</v>
      </c>
    </row>
    <row r="3767" spans="1:14" x14ac:dyDescent="0.3">
      <c r="A3767" s="3" t="s">
        <v>320</v>
      </c>
      <c r="B3767" s="3" t="s">
        <v>321</v>
      </c>
      <c r="C3767" s="8">
        <v>2021</v>
      </c>
      <c r="D3767" s="8">
        <v>10</v>
      </c>
      <c r="E3767" s="3" t="str">
        <f t="shared" si="116"/>
        <v>October</v>
      </c>
      <c r="F3767" s="3" t="s">
        <v>13</v>
      </c>
      <c r="G3767" s="8">
        <v>21.42449118</v>
      </c>
      <c r="H3767" s="8">
        <v>26</v>
      </c>
      <c r="I3767" s="8">
        <v>4.5755088209999997</v>
      </c>
      <c r="J3767" s="8">
        <v>127.0615516</v>
      </c>
      <c r="K3767" s="8">
        <v>111.5527731</v>
      </c>
      <c r="L3767" s="8">
        <v>142.3736926</v>
      </c>
      <c r="M3767" s="9" t="str">
        <f>IF(A3767="",M3768,A3767)</f>
        <v>San Marino</v>
      </c>
      <c r="N3767" s="3" t="str">
        <f t="shared" si="117"/>
        <v>Oct-2021</v>
      </c>
    </row>
    <row r="3768" spans="1:14" x14ac:dyDescent="0.3">
      <c r="A3768" s="3" t="s">
        <v>320</v>
      </c>
      <c r="B3768" s="3" t="s">
        <v>321</v>
      </c>
      <c r="C3768" s="8">
        <v>2021</v>
      </c>
      <c r="D3768" s="8">
        <v>11</v>
      </c>
      <c r="E3768" s="3" t="str">
        <f t="shared" si="116"/>
        <v>November</v>
      </c>
      <c r="F3768" s="3" t="s">
        <v>13</v>
      </c>
      <c r="G3768" s="8">
        <v>21.3937569</v>
      </c>
      <c r="H3768" s="8">
        <v>23</v>
      </c>
      <c r="I3768" s="8">
        <v>1.6062430990000001</v>
      </c>
      <c r="J3768" s="8">
        <v>128.6677947</v>
      </c>
      <c r="K3768" s="8">
        <v>113.2078516</v>
      </c>
      <c r="L3768" s="8">
        <v>144.211006</v>
      </c>
      <c r="M3768" s="9" t="str">
        <f>IF(A3768="",M3769,A3768)</f>
        <v>San Marino</v>
      </c>
      <c r="N3768" s="3" t="str">
        <f t="shared" si="117"/>
        <v>Nov-2021</v>
      </c>
    </row>
    <row r="3769" spans="1:14" x14ac:dyDescent="0.3">
      <c r="A3769" s="3" t="s">
        <v>320</v>
      </c>
      <c r="B3769" s="3" t="s">
        <v>321</v>
      </c>
      <c r="C3769" s="8">
        <v>2021</v>
      </c>
      <c r="D3769" s="8">
        <v>12</v>
      </c>
      <c r="E3769" s="3" t="str">
        <f t="shared" si="116"/>
        <v>December</v>
      </c>
      <c r="F3769" s="3" t="s">
        <v>13</v>
      </c>
      <c r="G3769" s="8">
        <v>21.537907000000001</v>
      </c>
      <c r="H3769" s="8">
        <v>35</v>
      </c>
      <c r="I3769" s="8">
        <v>13.462092999999999</v>
      </c>
      <c r="J3769" s="8">
        <v>142.12988770000001</v>
      </c>
      <c r="K3769" s="8">
        <v>125.87295640000001</v>
      </c>
      <c r="L3769" s="8">
        <v>157.9245186</v>
      </c>
      <c r="M3769" s="9" t="str">
        <f>IF(A3769="",M3770,A3769)</f>
        <v>San Marino</v>
      </c>
      <c r="N3769" s="3" t="str">
        <f t="shared" si="117"/>
        <v>Dec-2021</v>
      </c>
    </row>
    <row r="3770" spans="1:14" x14ac:dyDescent="0.3">
      <c r="A3770" s="3" t="s">
        <v>322</v>
      </c>
      <c r="B3770" s="3" t="s">
        <v>323</v>
      </c>
      <c r="C3770" s="8">
        <v>2020</v>
      </c>
      <c r="D3770" s="8">
        <v>1</v>
      </c>
      <c r="E3770" s="3" t="str">
        <f t="shared" si="116"/>
        <v>January</v>
      </c>
      <c r="F3770" s="3" t="s">
        <v>8</v>
      </c>
      <c r="G3770" s="8">
        <v>14232.963589999999</v>
      </c>
      <c r="H3770" s="8">
        <v>14512.938</v>
      </c>
      <c r="I3770" s="8">
        <v>279.9744111</v>
      </c>
      <c r="J3770" s="8">
        <v>279.9744111</v>
      </c>
      <c r="K3770" s="8">
        <v>-3293.8411540000002</v>
      </c>
      <c r="L3770" s="8">
        <v>4552.0257979999997</v>
      </c>
      <c r="M3770" s="9" t="str">
        <f>IF(A3770="",M3771,A3770)</f>
        <v>Somalia</v>
      </c>
      <c r="N3770" s="3" t="str">
        <f t="shared" si="117"/>
        <v>Jan-2020</v>
      </c>
    </row>
    <row r="3771" spans="1:14" x14ac:dyDescent="0.3">
      <c r="A3771" s="3" t="s">
        <v>322</v>
      </c>
      <c r="B3771" s="3" t="s">
        <v>323</v>
      </c>
      <c r="C3771" s="8">
        <v>2020</v>
      </c>
      <c r="D3771" s="8">
        <v>2</v>
      </c>
      <c r="E3771" s="3" t="str">
        <f t="shared" si="116"/>
        <v>February</v>
      </c>
      <c r="F3771" s="3" t="s">
        <v>8</v>
      </c>
      <c r="G3771" s="8">
        <v>14203.20521</v>
      </c>
      <c r="H3771" s="8">
        <v>14268.021000000001</v>
      </c>
      <c r="I3771" s="8">
        <v>64.81578863</v>
      </c>
      <c r="J3771" s="8">
        <v>344.79019970000002</v>
      </c>
      <c r="K3771" s="8">
        <v>-4933.9623920000004</v>
      </c>
      <c r="L3771" s="8">
        <v>6262.9173650000002</v>
      </c>
      <c r="M3771" s="9" t="str">
        <f>IF(A3771="",M3772,A3771)</f>
        <v>Somalia</v>
      </c>
      <c r="N3771" s="3" t="str">
        <f t="shared" si="117"/>
        <v>Feb-2020</v>
      </c>
    </row>
    <row r="3772" spans="1:14" x14ac:dyDescent="0.3">
      <c r="A3772" s="3" t="s">
        <v>322</v>
      </c>
      <c r="B3772" s="3" t="s">
        <v>323</v>
      </c>
      <c r="C3772" s="8">
        <v>2020</v>
      </c>
      <c r="D3772" s="8">
        <v>3</v>
      </c>
      <c r="E3772" s="3" t="str">
        <f t="shared" si="116"/>
        <v>March</v>
      </c>
      <c r="F3772" s="3" t="s">
        <v>8</v>
      </c>
      <c r="G3772" s="8">
        <v>14053.57964</v>
      </c>
      <c r="H3772" s="8">
        <v>14213.38</v>
      </c>
      <c r="I3772" s="8">
        <v>159.8003598</v>
      </c>
      <c r="J3772" s="8">
        <v>504.59055949999998</v>
      </c>
      <c r="K3772" s="8">
        <v>-6093.26926</v>
      </c>
      <c r="L3772" s="8">
        <v>7706.3544089999996</v>
      </c>
      <c r="M3772" s="9" t="str">
        <f>IF(A3772="",M3773,A3772)</f>
        <v>Somalia</v>
      </c>
      <c r="N3772" s="3" t="str">
        <f t="shared" si="117"/>
        <v>Mar-2020</v>
      </c>
    </row>
    <row r="3773" spans="1:14" x14ac:dyDescent="0.3">
      <c r="A3773" s="3" t="s">
        <v>322</v>
      </c>
      <c r="B3773" s="3" t="s">
        <v>323</v>
      </c>
      <c r="C3773" s="8">
        <v>2020</v>
      </c>
      <c r="D3773" s="8">
        <v>4</v>
      </c>
      <c r="E3773" s="3" t="str">
        <f t="shared" si="116"/>
        <v>April</v>
      </c>
      <c r="F3773" s="3" t="s">
        <v>8</v>
      </c>
      <c r="G3773" s="8">
        <v>14013.88305</v>
      </c>
      <c r="H3773" s="8">
        <v>14114.937</v>
      </c>
      <c r="I3773" s="8">
        <v>101.0539469</v>
      </c>
      <c r="J3773" s="8">
        <v>605.64450639999995</v>
      </c>
      <c r="K3773" s="8">
        <v>-6742.4912430000004</v>
      </c>
      <c r="L3773" s="8">
        <v>8527.6188050000001</v>
      </c>
      <c r="M3773" s="9" t="str">
        <f>IF(A3773="",M3774,A3773)</f>
        <v>Somalia</v>
      </c>
      <c r="N3773" s="3" t="str">
        <f t="shared" si="117"/>
        <v>Apr-2020</v>
      </c>
    </row>
    <row r="3774" spans="1:14" x14ac:dyDescent="0.3">
      <c r="A3774" s="3" t="s">
        <v>322</v>
      </c>
      <c r="B3774" s="3" t="s">
        <v>323</v>
      </c>
      <c r="C3774" s="8">
        <v>2020</v>
      </c>
      <c r="D3774" s="8">
        <v>5</v>
      </c>
      <c r="E3774" s="3" t="str">
        <f t="shared" si="116"/>
        <v>May</v>
      </c>
      <c r="F3774" s="3" t="s">
        <v>8</v>
      </c>
      <c r="G3774" s="8">
        <v>13976.16647</v>
      </c>
      <c r="H3774" s="8">
        <v>14913.571</v>
      </c>
      <c r="I3774" s="8">
        <v>937.40453000000002</v>
      </c>
      <c r="J3774" s="8">
        <v>1543.0490359999999</v>
      </c>
      <c r="K3774" s="8">
        <v>-6657.3488520000001</v>
      </c>
      <c r="L3774" s="8">
        <v>10426.804819999999</v>
      </c>
      <c r="M3774" s="9" t="str">
        <f>IF(A3774="",M3775,A3774)</f>
        <v>Somalia</v>
      </c>
      <c r="N3774" s="3" t="str">
        <f t="shared" si="117"/>
        <v>May-2020</v>
      </c>
    </row>
    <row r="3775" spans="1:14" x14ac:dyDescent="0.3">
      <c r="A3775" s="3" t="s">
        <v>322</v>
      </c>
      <c r="B3775" s="3" t="s">
        <v>323</v>
      </c>
      <c r="C3775" s="8">
        <v>2020</v>
      </c>
      <c r="D3775" s="8">
        <v>6</v>
      </c>
      <c r="E3775" s="3" t="str">
        <f t="shared" si="116"/>
        <v>June</v>
      </c>
      <c r="F3775" s="3" t="s">
        <v>8</v>
      </c>
      <c r="G3775" s="8">
        <v>13995.98545</v>
      </c>
      <c r="H3775" s="8">
        <v>15059.16</v>
      </c>
      <c r="I3775" s="8">
        <v>1063.174546</v>
      </c>
      <c r="J3775" s="8">
        <v>2606.2235820000001</v>
      </c>
      <c r="K3775" s="8">
        <v>-7342.3873759999997</v>
      </c>
      <c r="L3775" s="8">
        <v>12408.920899999999</v>
      </c>
      <c r="M3775" s="9" t="str">
        <f>IF(A3775="",M3776,A3775)</f>
        <v>Somalia</v>
      </c>
      <c r="N3775" s="3" t="str">
        <f t="shared" si="117"/>
        <v>Jun-2020</v>
      </c>
    </row>
    <row r="3776" spans="1:14" x14ac:dyDescent="0.3">
      <c r="A3776" s="3" t="s">
        <v>322</v>
      </c>
      <c r="B3776" s="3" t="s">
        <v>323</v>
      </c>
      <c r="C3776" s="8">
        <v>2020</v>
      </c>
      <c r="D3776" s="8">
        <v>7</v>
      </c>
      <c r="E3776" s="3" t="str">
        <f t="shared" si="116"/>
        <v>July</v>
      </c>
      <c r="F3776" s="3" t="s">
        <v>8</v>
      </c>
      <c r="G3776" s="8">
        <v>14051.542170000001</v>
      </c>
      <c r="H3776" s="8">
        <v>14906.439</v>
      </c>
      <c r="I3776" s="8">
        <v>854.89683079999998</v>
      </c>
      <c r="J3776" s="8">
        <v>3461.1204130000001</v>
      </c>
      <c r="K3776" s="8">
        <v>-7261.333149</v>
      </c>
      <c r="L3776" s="8">
        <v>13939.421340000001</v>
      </c>
      <c r="M3776" s="9" t="str">
        <f>IF(A3776="",M3777,A3776)</f>
        <v>Somalia</v>
      </c>
      <c r="N3776" s="3" t="str">
        <f t="shared" si="117"/>
        <v>Jul-2020</v>
      </c>
    </row>
    <row r="3777" spans="1:14" x14ac:dyDescent="0.3">
      <c r="A3777" s="3" t="s">
        <v>322</v>
      </c>
      <c r="B3777" s="3" t="s">
        <v>323</v>
      </c>
      <c r="C3777" s="8">
        <v>2020</v>
      </c>
      <c r="D3777" s="8">
        <v>8</v>
      </c>
      <c r="E3777" s="3" t="str">
        <f t="shared" si="116"/>
        <v>August</v>
      </c>
      <c r="F3777" s="3" t="s">
        <v>8</v>
      </c>
      <c r="G3777" s="8">
        <v>14063.623680000001</v>
      </c>
      <c r="H3777" s="8">
        <v>14855.365</v>
      </c>
      <c r="I3777" s="8">
        <v>791.74131620000003</v>
      </c>
      <c r="J3777" s="8">
        <v>4252.8617290000002</v>
      </c>
      <c r="K3777" s="8">
        <v>-7733.4741809999996</v>
      </c>
      <c r="L3777" s="8">
        <v>15972.501819999999</v>
      </c>
      <c r="M3777" s="9" t="str">
        <f>IF(A3777="",M3778,A3777)</f>
        <v>Somalia</v>
      </c>
      <c r="N3777" s="3" t="str">
        <f t="shared" si="117"/>
        <v>Aug-2020</v>
      </c>
    </row>
    <row r="3778" spans="1:14" x14ac:dyDescent="0.3">
      <c r="A3778" s="3" t="s">
        <v>322</v>
      </c>
      <c r="B3778" s="3" t="s">
        <v>323</v>
      </c>
      <c r="C3778" s="8">
        <v>2020</v>
      </c>
      <c r="D3778" s="8">
        <v>9</v>
      </c>
      <c r="E3778" s="3" t="str">
        <f t="shared" ref="E3778:E3841" si="118">TEXT(DATE(C3778,D3778,1),"MMMM")</f>
        <v>September</v>
      </c>
      <c r="F3778" s="3" t="s">
        <v>8</v>
      </c>
      <c r="G3778" s="8">
        <v>14037.308230000001</v>
      </c>
      <c r="H3778" s="8">
        <v>14649.331</v>
      </c>
      <c r="I3778" s="8">
        <v>612.02276549999999</v>
      </c>
      <c r="J3778" s="8">
        <v>4864.8844950000002</v>
      </c>
      <c r="K3778" s="8">
        <v>-7890.3506509999997</v>
      </c>
      <c r="L3778" s="8">
        <v>18076.124899999999</v>
      </c>
      <c r="M3778" s="9" t="str">
        <f>IF(A3778="",M3779,A3778)</f>
        <v>Somalia</v>
      </c>
      <c r="N3778" s="3" t="str">
        <f t="shared" ref="N3778:N3841" si="119">TEXT(DATE(C3778,D3778,1),"MMM-YYYY")</f>
        <v>Sep-2020</v>
      </c>
    </row>
    <row r="3779" spans="1:14" x14ac:dyDescent="0.3">
      <c r="A3779" s="3" t="s">
        <v>322</v>
      </c>
      <c r="B3779" s="3" t="s">
        <v>323</v>
      </c>
      <c r="C3779" s="8">
        <v>2020</v>
      </c>
      <c r="D3779" s="8">
        <v>10</v>
      </c>
      <c r="E3779" s="3" t="str">
        <f t="shared" si="118"/>
        <v>October</v>
      </c>
      <c r="F3779" s="3" t="s">
        <v>8</v>
      </c>
      <c r="G3779" s="8">
        <v>14088.728649999999</v>
      </c>
      <c r="H3779" s="8">
        <v>14318.548000000001</v>
      </c>
      <c r="I3779" s="8">
        <v>229.81935039999999</v>
      </c>
      <c r="J3779" s="8">
        <v>5094.703845</v>
      </c>
      <c r="K3779" s="8">
        <v>-8039.8938090000001</v>
      </c>
      <c r="L3779" s="8">
        <v>18858.559280000001</v>
      </c>
      <c r="M3779" s="9" t="str">
        <f>IF(A3779="",M3780,A3779)</f>
        <v>Somalia</v>
      </c>
      <c r="N3779" s="3" t="str">
        <f t="shared" si="119"/>
        <v>Oct-2020</v>
      </c>
    </row>
    <row r="3780" spans="1:14" x14ac:dyDescent="0.3">
      <c r="A3780" s="3" t="s">
        <v>322</v>
      </c>
      <c r="B3780" s="3" t="s">
        <v>323</v>
      </c>
      <c r="C3780" s="8">
        <v>2020</v>
      </c>
      <c r="D3780" s="8">
        <v>11</v>
      </c>
      <c r="E3780" s="3" t="str">
        <f t="shared" si="118"/>
        <v>November</v>
      </c>
      <c r="F3780" s="3" t="s">
        <v>8</v>
      </c>
      <c r="G3780" s="8">
        <v>14174.21689</v>
      </c>
      <c r="H3780" s="8">
        <v>14449.847</v>
      </c>
      <c r="I3780" s="8">
        <v>275.63010989999998</v>
      </c>
      <c r="J3780" s="8">
        <v>5370.3339550000001</v>
      </c>
      <c r="K3780" s="8">
        <v>-8154.8631150000001</v>
      </c>
      <c r="L3780" s="8">
        <v>19943.009569999998</v>
      </c>
      <c r="M3780" s="9" t="str">
        <f>IF(A3780="",M3781,A3780)</f>
        <v>Somalia</v>
      </c>
      <c r="N3780" s="3" t="str">
        <f t="shared" si="119"/>
        <v>Nov-2020</v>
      </c>
    </row>
    <row r="3781" spans="1:14" x14ac:dyDescent="0.3">
      <c r="A3781" s="3" t="s">
        <v>322</v>
      </c>
      <c r="B3781" s="3" t="s">
        <v>323</v>
      </c>
      <c r="C3781" s="8">
        <v>2020</v>
      </c>
      <c r="D3781" s="8">
        <v>12</v>
      </c>
      <c r="E3781" s="3" t="str">
        <f t="shared" si="118"/>
        <v>December</v>
      </c>
      <c r="F3781" s="3" t="s">
        <v>8</v>
      </c>
      <c r="G3781" s="8">
        <v>14228.38365</v>
      </c>
      <c r="H3781" s="8">
        <v>14732.01</v>
      </c>
      <c r="I3781" s="8">
        <v>503.6263482</v>
      </c>
      <c r="J3781" s="8">
        <v>5873.9603029999998</v>
      </c>
      <c r="K3781" s="8">
        <v>-8850.8841269999994</v>
      </c>
      <c r="L3781" s="8">
        <v>22034.502670000002</v>
      </c>
      <c r="M3781" s="9" t="str">
        <f>IF(A3781="",M3782,A3781)</f>
        <v>Somalia</v>
      </c>
      <c r="N3781" s="3" t="str">
        <f t="shared" si="119"/>
        <v>Dec-2020</v>
      </c>
    </row>
    <row r="3782" spans="1:14" x14ac:dyDescent="0.3">
      <c r="A3782" s="3" t="s">
        <v>322</v>
      </c>
      <c r="B3782" s="3" t="s">
        <v>323</v>
      </c>
      <c r="C3782" s="8">
        <v>2021</v>
      </c>
      <c r="D3782" s="8">
        <v>1</v>
      </c>
      <c r="E3782" s="3" t="str">
        <f t="shared" si="118"/>
        <v>January</v>
      </c>
      <c r="F3782" s="3" t="s">
        <v>8</v>
      </c>
      <c r="G3782" s="8">
        <v>14173.7461</v>
      </c>
      <c r="H3782" s="8">
        <v>14695.281000000001</v>
      </c>
      <c r="I3782" s="8">
        <v>521.53489909999996</v>
      </c>
      <c r="J3782" s="8">
        <v>6395.4952020000001</v>
      </c>
      <c r="K3782" s="8">
        <v>-9405.7149850000005</v>
      </c>
      <c r="L3782" s="8">
        <v>23190.963370000001</v>
      </c>
      <c r="M3782" s="9" t="str">
        <f>IF(A3782="",M3783,A3782)</f>
        <v>Somalia</v>
      </c>
      <c r="N3782" s="3" t="str">
        <f t="shared" si="119"/>
        <v>Jan-2021</v>
      </c>
    </row>
    <row r="3783" spans="1:14" x14ac:dyDescent="0.3">
      <c r="A3783" s="3" t="s">
        <v>322</v>
      </c>
      <c r="B3783" s="3" t="s">
        <v>323</v>
      </c>
      <c r="C3783" s="8">
        <v>2021</v>
      </c>
      <c r="D3783" s="8">
        <v>2</v>
      </c>
      <c r="E3783" s="3" t="str">
        <f t="shared" si="118"/>
        <v>February</v>
      </c>
      <c r="F3783" s="3" t="s">
        <v>8</v>
      </c>
      <c r="G3783" s="8">
        <v>14138.942929999999</v>
      </c>
      <c r="H3783" s="8">
        <v>16178.088</v>
      </c>
      <c r="I3783" s="8">
        <v>2039.145066</v>
      </c>
      <c r="J3783" s="8">
        <v>8434.6402679999992</v>
      </c>
      <c r="K3783" s="8">
        <v>-6605.4043190000002</v>
      </c>
      <c r="L3783" s="8">
        <v>25514.217980000001</v>
      </c>
      <c r="M3783" s="9" t="str">
        <f>IF(A3783="",M3784,A3783)</f>
        <v>Somalia</v>
      </c>
      <c r="N3783" s="3" t="str">
        <f t="shared" si="119"/>
        <v>Feb-2021</v>
      </c>
    </row>
    <row r="3784" spans="1:14" x14ac:dyDescent="0.3">
      <c r="A3784" s="3" t="s">
        <v>322</v>
      </c>
      <c r="B3784" s="3" t="s">
        <v>323</v>
      </c>
      <c r="C3784" s="8">
        <v>2021</v>
      </c>
      <c r="D3784" s="8">
        <v>3</v>
      </c>
      <c r="E3784" s="3" t="str">
        <f t="shared" si="118"/>
        <v>March</v>
      </c>
      <c r="F3784" s="3" t="s">
        <v>8</v>
      </c>
      <c r="G3784" s="8">
        <v>13994.79531</v>
      </c>
      <c r="H3784" s="8">
        <v>16816.516</v>
      </c>
      <c r="I3784" s="8">
        <v>2821.7206900000001</v>
      </c>
      <c r="J3784" s="8">
        <v>11256.36096</v>
      </c>
      <c r="K3784" s="8">
        <v>-4095.3688400000001</v>
      </c>
      <c r="L3784" s="8">
        <v>28766.56309</v>
      </c>
      <c r="M3784" s="9" t="str">
        <f>IF(A3784="",M3785,A3784)</f>
        <v>Somalia</v>
      </c>
      <c r="N3784" s="3" t="str">
        <f t="shared" si="119"/>
        <v>Mar-2021</v>
      </c>
    </row>
    <row r="3785" spans="1:14" x14ac:dyDescent="0.3">
      <c r="A3785" s="3" t="s">
        <v>322</v>
      </c>
      <c r="B3785" s="3" t="s">
        <v>323</v>
      </c>
      <c r="C3785" s="8">
        <v>2021</v>
      </c>
      <c r="D3785" s="8">
        <v>4</v>
      </c>
      <c r="E3785" s="3" t="str">
        <f t="shared" si="118"/>
        <v>April</v>
      </c>
      <c r="F3785" s="3" t="s">
        <v>8</v>
      </c>
      <c r="G3785" s="8">
        <v>13951.579180000001</v>
      </c>
      <c r="H3785" s="8">
        <v>16595.178</v>
      </c>
      <c r="I3785" s="8">
        <v>2643.5988179999999</v>
      </c>
      <c r="J3785" s="8">
        <v>13899.959779999999</v>
      </c>
      <c r="K3785" s="8">
        <v>-1903.208658</v>
      </c>
      <c r="L3785" s="8">
        <v>32758.244729999999</v>
      </c>
      <c r="M3785" s="9" t="str">
        <f>IF(A3785="",M3786,A3785)</f>
        <v>Somalia</v>
      </c>
      <c r="N3785" s="3" t="str">
        <f t="shared" si="119"/>
        <v>Apr-2021</v>
      </c>
    </row>
    <row r="3786" spans="1:14" x14ac:dyDescent="0.3">
      <c r="A3786" s="3" t="s">
        <v>322</v>
      </c>
      <c r="B3786" s="3" t="s">
        <v>323</v>
      </c>
      <c r="C3786" s="8">
        <v>2021</v>
      </c>
      <c r="D3786" s="8">
        <v>5</v>
      </c>
      <c r="E3786" s="3" t="str">
        <f t="shared" si="118"/>
        <v>May</v>
      </c>
      <c r="F3786" s="3" t="s">
        <v>8</v>
      </c>
      <c r="G3786" s="8">
        <v>13917.036239999999</v>
      </c>
      <c r="H3786" s="8">
        <v>15798.796</v>
      </c>
      <c r="I3786" s="8">
        <v>1881.7597619999999</v>
      </c>
      <c r="J3786" s="8">
        <v>15781.71954</v>
      </c>
      <c r="K3786" s="8">
        <v>-912.40091819999998</v>
      </c>
      <c r="L3786" s="8">
        <v>35251.498440000003</v>
      </c>
      <c r="M3786" s="9" t="str">
        <f>IF(A3786="",M3787,A3786)</f>
        <v>Somalia</v>
      </c>
      <c r="N3786" s="3" t="str">
        <f t="shared" si="119"/>
        <v>May-2021</v>
      </c>
    </row>
    <row r="3787" spans="1:14" x14ac:dyDescent="0.3">
      <c r="A3787" s="3" t="s">
        <v>322</v>
      </c>
      <c r="B3787" s="3" t="s">
        <v>323</v>
      </c>
      <c r="C3787" s="8">
        <v>2021</v>
      </c>
      <c r="D3787" s="8">
        <v>6</v>
      </c>
      <c r="E3787" s="3" t="str">
        <f t="shared" si="118"/>
        <v>June</v>
      </c>
      <c r="F3787" s="3" t="s">
        <v>8</v>
      </c>
      <c r="G3787" s="8">
        <v>13929.10936</v>
      </c>
      <c r="H3787" s="8">
        <v>15076.402</v>
      </c>
      <c r="I3787" s="8">
        <v>1147.2926440000001</v>
      </c>
      <c r="J3787" s="8">
        <v>16929.012180000002</v>
      </c>
      <c r="K3787" s="8">
        <v>-644.25439819999997</v>
      </c>
      <c r="L3787" s="8">
        <v>36127.211450000003</v>
      </c>
      <c r="M3787" s="9" t="str">
        <f>IF(A3787="",M3788,A3787)</f>
        <v>Somalia</v>
      </c>
      <c r="N3787" s="3" t="str">
        <f t="shared" si="119"/>
        <v>Jun-2021</v>
      </c>
    </row>
    <row r="3788" spans="1:14" x14ac:dyDescent="0.3">
      <c r="A3788" s="3" t="s">
        <v>322</v>
      </c>
      <c r="B3788" s="3" t="s">
        <v>323</v>
      </c>
      <c r="C3788" s="8">
        <v>2021</v>
      </c>
      <c r="D3788" s="8">
        <v>7</v>
      </c>
      <c r="E3788" s="3" t="str">
        <f t="shared" si="118"/>
        <v>July</v>
      </c>
      <c r="F3788" s="3" t="s">
        <v>8</v>
      </c>
      <c r="G3788" s="8">
        <v>13990.63668</v>
      </c>
      <c r="H3788" s="8">
        <v>15166.883</v>
      </c>
      <c r="I3788" s="8">
        <v>1176.246316</v>
      </c>
      <c r="J3788" s="8">
        <v>18105.2585</v>
      </c>
      <c r="K3788" s="8">
        <v>1022.348284</v>
      </c>
      <c r="L3788" s="8">
        <v>38030.544580000002</v>
      </c>
      <c r="M3788" s="9" t="str">
        <f>IF(A3788="",M3789,A3788)</f>
        <v>Somalia</v>
      </c>
      <c r="N3788" s="3" t="str">
        <f t="shared" si="119"/>
        <v>Jul-2021</v>
      </c>
    </row>
    <row r="3789" spans="1:14" x14ac:dyDescent="0.3">
      <c r="A3789" s="3" t="s">
        <v>322</v>
      </c>
      <c r="B3789" s="3" t="s">
        <v>323</v>
      </c>
      <c r="C3789" s="8">
        <v>2021</v>
      </c>
      <c r="D3789" s="8">
        <v>8</v>
      </c>
      <c r="E3789" s="3" t="str">
        <f t="shared" si="118"/>
        <v>August</v>
      </c>
      <c r="F3789" s="3" t="s">
        <v>8</v>
      </c>
      <c r="G3789" s="8">
        <v>14003.34007</v>
      </c>
      <c r="H3789" s="8">
        <v>16260.338</v>
      </c>
      <c r="I3789" s="8">
        <v>2256.997926</v>
      </c>
      <c r="J3789" s="8">
        <v>20362.256420000002</v>
      </c>
      <c r="K3789" s="8">
        <v>3211.2546400000001</v>
      </c>
      <c r="L3789" s="8">
        <v>40394.483440000004</v>
      </c>
      <c r="M3789" s="9" t="str">
        <f>IF(A3789="",M3790,A3789)</f>
        <v>Somalia</v>
      </c>
      <c r="N3789" s="3" t="str">
        <f t="shared" si="119"/>
        <v>Aug-2021</v>
      </c>
    </row>
    <row r="3790" spans="1:14" x14ac:dyDescent="0.3">
      <c r="A3790" s="3" t="s">
        <v>322</v>
      </c>
      <c r="B3790" s="3" t="s">
        <v>323</v>
      </c>
      <c r="C3790" s="8">
        <v>2021</v>
      </c>
      <c r="D3790" s="8">
        <v>9</v>
      </c>
      <c r="E3790" s="3" t="str">
        <f t="shared" si="118"/>
        <v>September</v>
      </c>
      <c r="F3790" s="3" t="s">
        <v>8</v>
      </c>
      <c r="G3790" s="8">
        <v>13973.529270000001</v>
      </c>
      <c r="H3790" s="8">
        <v>15784.695</v>
      </c>
      <c r="I3790" s="8">
        <v>1811.1657250000001</v>
      </c>
      <c r="J3790" s="8">
        <v>22173.422149999999</v>
      </c>
      <c r="K3790" s="8">
        <v>3866.0387150000001</v>
      </c>
      <c r="L3790" s="8">
        <v>42988.533409999996</v>
      </c>
      <c r="M3790" s="9" t="str">
        <f>IF(A3790="",M3791,A3790)</f>
        <v>Somalia</v>
      </c>
      <c r="N3790" s="3" t="str">
        <f t="shared" si="119"/>
        <v>Sep-2021</v>
      </c>
    </row>
    <row r="3791" spans="1:14" x14ac:dyDescent="0.3">
      <c r="A3791" s="3" t="s">
        <v>322</v>
      </c>
      <c r="B3791" s="3" t="s">
        <v>323</v>
      </c>
      <c r="C3791" s="8">
        <v>2021</v>
      </c>
      <c r="D3791" s="8">
        <v>10</v>
      </c>
      <c r="E3791" s="3" t="str">
        <f t="shared" si="118"/>
        <v>October</v>
      </c>
      <c r="F3791" s="3" t="s">
        <v>8</v>
      </c>
      <c r="G3791" s="8">
        <v>14028.924279999999</v>
      </c>
      <c r="H3791" s="8">
        <v>15098.553</v>
      </c>
      <c r="I3791" s="8">
        <v>1069.6287150000001</v>
      </c>
      <c r="J3791" s="8">
        <v>23243.050859999999</v>
      </c>
      <c r="K3791" s="8">
        <v>4461.2184079999997</v>
      </c>
      <c r="L3791" s="8">
        <v>45406.822330000003</v>
      </c>
      <c r="M3791" s="9" t="str">
        <f>IF(A3791="",M3792,A3791)</f>
        <v>Somalia</v>
      </c>
      <c r="N3791" s="3" t="str">
        <f t="shared" si="119"/>
        <v>Oct-2021</v>
      </c>
    </row>
    <row r="3792" spans="1:14" x14ac:dyDescent="0.3">
      <c r="A3792" s="3" t="s">
        <v>322</v>
      </c>
      <c r="B3792" s="3" t="s">
        <v>323</v>
      </c>
      <c r="C3792" s="8">
        <v>2021</v>
      </c>
      <c r="D3792" s="8">
        <v>11</v>
      </c>
      <c r="E3792" s="3" t="str">
        <f t="shared" si="118"/>
        <v>November</v>
      </c>
      <c r="F3792" s="3" t="s">
        <v>8</v>
      </c>
      <c r="G3792" s="8">
        <v>14109.427879999999</v>
      </c>
      <c r="H3792" s="8">
        <v>15370.418</v>
      </c>
      <c r="I3792" s="8">
        <v>1260.9901179999999</v>
      </c>
      <c r="J3792" s="8">
        <v>24504.040980000002</v>
      </c>
      <c r="K3792" s="8">
        <v>4989.3304870000002</v>
      </c>
      <c r="L3792" s="8">
        <v>46066.188159999998</v>
      </c>
      <c r="M3792" s="9" t="str">
        <f>IF(A3792="",M3793,A3792)</f>
        <v>Somalia</v>
      </c>
      <c r="N3792" s="3" t="str">
        <f t="shared" si="119"/>
        <v>Nov-2021</v>
      </c>
    </row>
    <row r="3793" spans="1:14" x14ac:dyDescent="0.3">
      <c r="A3793" s="3" t="s">
        <v>322</v>
      </c>
      <c r="B3793" s="3" t="s">
        <v>323</v>
      </c>
      <c r="C3793" s="8">
        <v>2021</v>
      </c>
      <c r="D3793" s="8">
        <v>12</v>
      </c>
      <c r="E3793" s="3" t="str">
        <f t="shared" si="118"/>
        <v>December</v>
      </c>
      <c r="F3793" s="3" t="s">
        <v>8</v>
      </c>
      <c r="G3793" s="8">
        <v>14167.51136</v>
      </c>
      <c r="H3793" s="8">
        <v>15134.09</v>
      </c>
      <c r="I3793" s="8">
        <v>966.57863699999996</v>
      </c>
      <c r="J3793" s="8">
        <v>25470.619620000001</v>
      </c>
      <c r="K3793" s="8">
        <v>5205.0736100000004</v>
      </c>
      <c r="L3793" s="8">
        <v>46987.907919999998</v>
      </c>
      <c r="M3793" s="9" t="str">
        <f>IF(A3793="",M3794,A3793)</f>
        <v>Somalia</v>
      </c>
      <c r="N3793" s="3" t="str">
        <f t="shared" si="119"/>
        <v>Dec-2021</v>
      </c>
    </row>
    <row r="3794" spans="1:14" x14ac:dyDescent="0.3">
      <c r="A3794" s="3" t="s">
        <v>324</v>
      </c>
      <c r="B3794" s="3" t="s">
        <v>325</v>
      </c>
      <c r="C3794" s="8">
        <v>2020</v>
      </c>
      <c r="D3794" s="8">
        <v>1</v>
      </c>
      <c r="E3794" s="3" t="str">
        <f t="shared" si="118"/>
        <v>January</v>
      </c>
      <c r="F3794" s="3" t="s">
        <v>13</v>
      </c>
      <c r="G3794" s="8">
        <v>9216.8983250000001</v>
      </c>
      <c r="H3794" s="8">
        <v>9886</v>
      </c>
      <c r="I3794" s="8">
        <v>669.101675</v>
      </c>
      <c r="J3794" s="8">
        <v>669.101675</v>
      </c>
      <c r="K3794" s="8">
        <v>204.90150700000001</v>
      </c>
      <c r="L3794" s="8">
        <v>1097.777169</v>
      </c>
      <c r="M3794" s="9" t="str">
        <f>IF(A3794="",M3795,A3794)</f>
        <v>Serbia</v>
      </c>
      <c r="N3794" s="3" t="str">
        <f t="shared" si="119"/>
        <v>Jan-2020</v>
      </c>
    </row>
    <row r="3795" spans="1:14" x14ac:dyDescent="0.3">
      <c r="A3795" s="3" t="s">
        <v>324</v>
      </c>
      <c r="B3795" s="3" t="s">
        <v>325</v>
      </c>
      <c r="C3795" s="8">
        <v>2020</v>
      </c>
      <c r="D3795" s="8">
        <v>2</v>
      </c>
      <c r="E3795" s="3" t="str">
        <f t="shared" si="118"/>
        <v>February</v>
      </c>
      <c r="F3795" s="3" t="s">
        <v>13</v>
      </c>
      <c r="G3795" s="8">
        <v>9263.1287310000007</v>
      </c>
      <c r="H3795" s="8">
        <v>9205</v>
      </c>
      <c r="I3795" s="8">
        <v>-58.12873055</v>
      </c>
      <c r="J3795" s="8">
        <v>610.97294450000004</v>
      </c>
      <c r="K3795" s="8">
        <v>-55.991502240000003</v>
      </c>
      <c r="L3795" s="8">
        <v>1265.9492170000001</v>
      </c>
      <c r="M3795" s="9" t="str">
        <f>IF(A3795="",M3796,A3795)</f>
        <v>Serbia</v>
      </c>
      <c r="N3795" s="3" t="str">
        <f t="shared" si="119"/>
        <v>Feb-2020</v>
      </c>
    </row>
    <row r="3796" spans="1:14" x14ac:dyDescent="0.3">
      <c r="A3796" s="3" t="s">
        <v>324</v>
      </c>
      <c r="B3796" s="3" t="s">
        <v>325</v>
      </c>
      <c r="C3796" s="8">
        <v>2020</v>
      </c>
      <c r="D3796" s="8">
        <v>3</v>
      </c>
      <c r="E3796" s="3" t="str">
        <f t="shared" si="118"/>
        <v>March</v>
      </c>
      <c r="F3796" s="3" t="s">
        <v>13</v>
      </c>
      <c r="G3796" s="8">
        <v>8912.1964449999996</v>
      </c>
      <c r="H3796" s="8">
        <v>9050</v>
      </c>
      <c r="I3796" s="8">
        <v>137.80355520000001</v>
      </c>
      <c r="J3796" s="8">
        <v>748.77649970000004</v>
      </c>
      <c r="K3796" s="8">
        <v>-55.640030889999998</v>
      </c>
      <c r="L3796" s="8">
        <v>1589.962293</v>
      </c>
      <c r="M3796" s="9" t="str">
        <f>IF(A3796="",M3797,A3796)</f>
        <v>Serbia</v>
      </c>
      <c r="N3796" s="3" t="str">
        <f t="shared" si="119"/>
        <v>Mar-2020</v>
      </c>
    </row>
    <row r="3797" spans="1:14" x14ac:dyDescent="0.3">
      <c r="A3797" s="3" t="s">
        <v>324</v>
      </c>
      <c r="B3797" s="3" t="s">
        <v>325</v>
      </c>
      <c r="C3797" s="8">
        <v>2020</v>
      </c>
      <c r="D3797" s="8">
        <v>4</v>
      </c>
      <c r="E3797" s="3" t="str">
        <f t="shared" si="118"/>
        <v>April</v>
      </c>
      <c r="F3797" s="3" t="s">
        <v>13</v>
      </c>
      <c r="G3797" s="8">
        <v>8412.0156599999991</v>
      </c>
      <c r="H3797" s="8">
        <v>8710</v>
      </c>
      <c r="I3797" s="8">
        <v>297.98434040000001</v>
      </c>
      <c r="J3797" s="8">
        <v>1046.7608399999999</v>
      </c>
      <c r="K3797" s="8">
        <v>165.70424869999999</v>
      </c>
      <c r="L3797" s="8">
        <v>1966.037092</v>
      </c>
      <c r="M3797" s="9" t="str">
        <f>IF(A3797="",M3798,A3797)</f>
        <v>Serbia</v>
      </c>
      <c r="N3797" s="3" t="str">
        <f t="shared" si="119"/>
        <v>Apr-2020</v>
      </c>
    </row>
    <row r="3798" spans="1:14" x14ac:dyDescent="0.3">
      <c r="A3798" s="3" t="s">
        <v>324</v>
      </c>
      <c r="B3798" s="3" t="s">
        <v>325</v>
      </c>
      <c r="C3798" s="8">
        <v>2020</v>
      </c>
      <c r="D3798" s="8">
        <v>5</v>
      </c>
      <c r="E3798" s="3" t="str">
        <f t="shared" si="118"/>
        <v>May</v>
      </c>
      <c r="F3798" s="3" t="s">
        <v>13</v>
      </c>
      <c r="G3798" s="8">
        <v>8001.7696900000001</v>
      </c>
      <c r="H3798" s="8">
        <v>7943</v>
      </c>
      <c r="I3798" s="8">
        <v>-58.769690150000002</v>
      </c>
      <c r="J3798" s="8">
        <v>987.99114989999998</v>
      </c>
      <c r="K3798" s="8">
        <v>-60.65501167</v>
      </c>
      <c r="L3798" s="8">
        <v>2017.1366330000001</v>
      </c>
      <c r="M3798" s="9" t="str">
        <f>IF(A3798="",M3799,A3798)</f>
        <v>Serbia</v>
      </c>
      <c r="N3798" s="3" t="str">
        <f t="shared" si="119"/>
        <v>May-2020</v>
      </c>
    </row>
    <row r="3799" spans="1:14" x14ac:dyDescent="0.3">
      <c r="A3799" s="3" t="s">
        <v>324</v>
      </c>
      <c r="B3799" s="3" t="s">
        <v>325</v>
      </c>
      <c r="C3799" s="8">
        <v>2020</v>
      </c>
      <c r="D3799" s="8">
        <v>6</v>
      </c>
      <c r="E3799" s="3" t="str">
        <f t="shared" si="118"/>
        <v>June</v>
      </c>
      <c r="F3799" s="3" t="s">
        <v>13</v>
      </c>
      <c r="G3799" s="8">
        <v>7743.4834890000002</v>
      </c>
      <c r="H3799" s="8">
        <v>8222</v>
      </c>
      <c r="I3799" s="8">
        <v>478.51651049999998</v>
      </c>
      <c r="J3799" s="8">
        <v>1466.50766</v>
      </c>
      <c r="K3799" s="8">
        <v>347.3660519</v>
      </c>
      <c r="L3799" s="8">
        <v>2608.6372689999998</v>
      </c>
      <c r="M3799" s="9" t="str">
        <f>IF(A3799="",M3800,A3799)</f>
        <v>Serbia</v>
      </c>
      <c r="N3799" s="3" t="str">
        <f t="shared" si="119"/>
        <v>Jun-2020</v>
      </c>
    </row>
    <row r="3800" spans="1:14" x14ac:dyDescent="0.3">
      <c r="A3800" s="3" t="s">
        <v>324</v>
      </c>
      <c r="B3800" s="3" t="s">
        <v>325</v>
      </c>
      <c r="C3800" s="8">
        <v>2020</v>
      </c>
      <c r="D3800" s="8">
        <v>7</v>
      </c>
      <c r="E3800" s="3" t="str">
        <f t="shared" si="118"/>
        <v>July</v>
      </c>
      <c r="F3800" s="3" t="s">
        <v>13</v>
      </c>
      <c r="G3800" s="8">
        <v>7657.5888359999999</v>
      </c>
      <c r="H3800" s="8">
        <v>9959</v>
      </c>
      <c r="I3800" s="8">
        <v>2301.4111640000001</v>
      </c>
      <c r="J3800" s="8">
        <v>3767.9188239999999</v>
      </c>
      <c r="K3800" s="8">
        <v>2582.3630320000002</v>
      </c>
      <c r="L3800" s="8">
        <v>4942.6409080000003</v>
      </c>
      <c r="M3800" s="9" t="str">
        <f>IF(A3800="",M3801,A3800)</f>
        <v>Serbia</v>
      </c>
      <c r="N3800" s="3" t="str">
        <f t="shared" si="119"/>
        <v>Jul-2020</v>
      </c>
    </row>
    <row r="3801" spans="1:14" x14ac:dyDescent="0.3">
      <c r="A3801" s="3" t="s">
        <v>324</v>
      </c>
      <c r="B3801" s="3" t="s">
        <v>325</v>
      </c>
      <c r="C3801" s="8">
        <v>2020</v>
      </c>
      <c r="D3801" s="8">
        <v>8</v>
      </c>
      <c r="E3801" s="3" t="str">
        <f t="shared" si="118"/>
        <v>August</v>
      </c>
      <c r="F3801" s="3" t="s">
        <v>13</v>
      </c>
      <c r="G3801" s="8">
        <v>7575.2065990000001</v>
      </c>
      <c r="H3801" s="8">
        <v>8626</v>
      </c>
      <c r="I3801" s="8">
        <v>1050.7934009999999</v>
      </c>
      <c r="J3801" s="8">
        <v>4818.7122250000002</v>
      </c>
      <c r="K3801" s="8">
        <v>3508.6110530000001</v>
      </c>
      <c r="L3801" s="8">
        <v>6206.2377290000004</v>
      </c>
      <c r="M3801" s="9" t="str">
        <f>IF(A3801="",M3802,A3801)</f>
        <v>Serbia</v>
      </c>
      <c r="N3801" s="3" t="str">
        <f t="shared" si="119"/>
        <v>Aug-2020</v>
      </c>
    </row>
    <row r="3802" spans="1:14" x14ac:dyDescent="0.3">
      <c r="A3802" s="3" t="s">
        <v>324</v>
      </c>
      <c r="B3802" s="3" t="s">
        <v>325</v>
      </c>
      <c r="C3802" s="8">
        <v>2020</v>
      </c>
      <c r="D3802" s="8">
        <v>9</v>
      </c>
      <c r="E3802" s="3" t="str">
        <f t="shared" si="118"/>
        <v>September</v>
      </c>
      <c r="F3802" s="3" t="s">
        <v>13</v>
      </c>
      <c r="G3802" s="8">
        <v>7626.2815849999997</v>
      </c>
      <c r="H3802" s="8">
        <v>7646</v>
      </c>
      <c r="I3802" s="8">
        <v>19.718414930000002</v>
      </c>
      <c r="J3802" s="8">
        <v>4838.4306390000002</v>
      </c>
      <c r="K3802" s="8">
        <v>3443.4375829999999</v>
      </c>
      <c r="L3802" s="8">
        <v>6288.6959280000001</v>
      </c>
      <c r="M3802" s="9" t="str">
        <f>IF(A3802="",M3803,A3802)</f>
        <v>Serbia</v>
      </c>
      <c r="N3802" s="3" t="str">
        <f t="shared" si="119"/>
        <v>Sep-2020</v>
      </c>
    </row>
    <row r="3803" spans="1:14" x14ac:dyDescent="0.3">
      <c r="A3803" s="3" t="s">
        <v>324</v>
      </c>
      <c r="B3803" s="3" t="s">
        <v>325</v>
      </c>
      <c r="C3803" s="8">
        <v>2020</v>
      </c>
      <c r="D3803" s="8">
        <v>10</v>
      </c>
      <c r="E3803" s="3" t="str">
        <f t="shared" si="118"/>
        <v>October</v>
      </c>
      <c r="F3803" s="3" t="s">
        <v>13</v>
      </c>
      <c r="G3803" s="8">
        <v>8017.4376769999999</v>
      </c>
      <c r="H3803" s="8">
        <v>8580</v>
      </c>
      <c r="I3803" s="8">
        <v>562.56232339999997</v>
      </c>
      <c r="J3803" s="8">
        <v>5400.9929629999997</v>
      </c>
      <c r="K3803" s="8">
        <v>3980.0089680000001</v>
      </c>
      <c r="L3803" s="8">
        <v>6825.2115100000001</v>
      </c>
      <c r="M3803" s="9" t="str">
        <f>IF(A3803="",M3804,A3803)</f>
        <v>Serbia</v>
      </c>
      <c r="N3803" s="3" t="str">
        <f t="shared" si="119"/>
        <v>Oct-2020</v>
      </c>
    </row>
    <row r="3804" spans="1:14" x14ac:dyDescent="0.3">
      <c r="A3804" s="3" t="s">
        <v>324</v>
      </c>
      <c r="B3804" s="3" t="s">
        <v>325</v>
      </c>
      <c r="C3804" s="8">
        <v>2020</v>
      </c>
      <c r="D3804" s="8">
        <v>11</v>
      </c>
      <c r="E3804" s="3" t="str">
        <f t="shared" si="118"/>
        <v>November</v>
      </c>
      <c r="F3804" s="3" t="s">
        <v>13</v>
      </c>
      <c r="G3804" s="8">
        <v>8549.5966150000004</v>
      </c>
      <c r="H3804" s="8">
        <v>11914</v>
      </c>
      <c r="I3804" s="8">
        <v>3364.4033850000001</v>
      </c>
      <c r="J3804" s="8">
        <v>8765.3963469999999</v>
      </c>
      <c r="K3804" s="8">
        <v>7315.3455560000002</v>
      </c>
      <c r="L3804" s="8">
        <v>10280.996359999999</v>
      </c>
      <c r="M3804" s="9" t="str">
        <f>IF(A3804="",M3805,A3804)</f>
        <v>Serbia</v>
      </c>
      <c r="N3804" s="3" t="str">
        <f t="shared" si="119"/>
        <v>Nov-2020</v>
      </c>
    </row>
    <row r="3805" spans="1:14" x14ac:dyDescent="0.3">
      <c r="A3805" s="3" t="s">
        <v>324</v>
      </c>
      <c r="B3805" s="3" t="s">
        <v>325</v>
      </c>
      <c r="C3805" s="8">
        <v>2020</v>
      </c>
      <c r="D3805" s="8">
        <v>12</v>
      </c>
      <c r="E3805" s="3" t="str">
        <f t="shared" si="118"/>
        <v>December</v>
      </c>
      <c r="F3805" s="3" t="s">
        <v>13</v>
      </c>
      <c r="G3805" s="8">
        <v>9150.3145659999991</v>
      </c>
      <c r="H3805" s="8">
        <v>17109</v>
      </c>
      <c r="I3805" s="8">
        <v>7958.685434</v>
      </c>
      <c r="J3805" s="8">
        <v>16724.08178</v>
      </c>
      <c r="K3805" s="8">
        <v>15061.504650000001</v>
      </c>
      <c r="L3805" s="8">
        <v>18306.126110000001</v>
      </c>
      <c r="M3805" s="9" t="str">
        <f>IF(A3805="",M3806,A3805)</f>
        <v>Serbia</v>
      </c>
      <c r="N3805" s="3" t="str">
        <f t="shared" si="119"/>
        <v>Dec-2020</v>
      </c>
    </row>
    <row r="3806" spans="1:14" x14ac:dyDescent="0.3">
      <c r="A3806" s="3" t="s">
        <v>324</v>
      </c>
      <c r="B3806" s="3" t="s">
        <v>325</v>
      </c>
      <c r="C3806" s="8">
        <v>2021</v>
      </c>
      <c r="D3806" s="8">
        <v>1</v>
      </c>
      <c r="E3806" s="3" t="str">
        <f t="shared" si="118"/>
        <v>January</v>
      </c>
      <c r="F3806" s="3" t="s">
        <v>13</v>
      </c>
      <c r="G3806" s="8">
        <v>9148.4792670000006</v>
      </c>
      <c r="H3806" s="8">
        <v>10417</v>
      </c>
      <c r="I3806" s="8">
        <v>1268.4374</v>
      </c>
      <c r="J3806" s="8">
        <v>17992.519179999999</v>
      </c>
      <c r="K3806" s="8">
        <v>16249.20874</v>
      </c>
      <c r="L3806" s="8">
        <v>19706.603050000002</v>
      </c>
      <c r="M3806" s="9" t="str">
        <f>IF(A3806="",M3807,A3806)</f>
        <v>Serbia</v>
      </c>
      <c r="N3806" s="3" t="str">
        <f t="shared" si="119"/>
        <v>Jan-2021</v>
      </c>
    </row>
    <row r="3807" spans="1:14" x14ac:dyDescent="0.3">
      <c r="A3807" s="3" t="s">
        <v>324</v>
      </c>
      <c r="B3807" s="3" t="s">
        <v>325</v>
      </c>
      <c r="C3807" s="8">
        <v>2021</v>
      </c>
      <c r="D3807" s="8">
        <v>2</v>
      </c>
      <c r="E3807" s="3" t="str">
        <f t="shared" si="118"/>
        <v>February</v>
      </c>
      <c r="F3807" s="3" t="s">
        <v>13</v>
      </c>
      <c r="G3807" s="8">
        <v>9198.3661190000003</v>
      </c>
      <c r="H3807" s="8">
        <v>10166</v>
      </c>
      <c r="I3807" s="8">
        <v>967.55054800000005</v>
      </c>
      <c r="J3807" s="8">
        <v>18960.069729999999</v>
      </c>
      <c r="K3807" s="8">
        <v>17084.297910000001</v>
      </c>
      <c r="L3807" s="8">
        <v>20763.848190000001</v>
      </c>
      <c r="M3807" s="9" t="str">
        <f>IF(A3807="",M3808,A3807)</f>
        <v>Serbia</v>
      </c>
      <c r="N3807" s="3" t="str">
        <f t="shared" si="119"/>
        <v>Feb-2021</v>
      </c>
    </row>
    <row r="3808" spans="1:14" x14ac:dyDescent="0.3">
      <c r="A3808" s="3" t="s">
        <v>324</v>
      </c>
      <c r="B3808" s="3" t="s">
        <v>325</v>
      </c>
      <c r="C3808" s="8">
        <v>2021</v>
      </c>
      <c r="D3808" s="8">
        <v>3</v>
      </c>
      <c r="E3808" s="3" t="str">
        <f t="shared" si="118"/>
        <v>March</v>
      </c>
      <c r="F3808" s="3" t="s">
        <v>13</v>
      </c>
      <c r="G3808" s="8">
        <v>8845.4128430000001</v>
      </c>
      <c r="H3808" s="8">
        <v>12952</v>
      </c>
      <c r="I3808" s="8">
        <v>4106.5038240000003</v>
      </c>
      <c r="J3808" s="8">
        <v>23066.573550000001</v>
      </c>
      <c r="K3808" s="8">
        <v>21093.98272</v>
      </c>
      <c r="L3808" s="8">
        <v>25054.929810000001</v>
      </c>
      <c r="M3808" s="9" t="str">
        <f>IF(A3808="",M3809,A3808)</f>
        <v>Serbia</v>
      </c>
      <c r="N3808" s="3" t="str">
        <f t="shared" si="119"/>
        <v>Mar-2021</v>
      </c>
    </row>
    <row r="3809" spans="1:14" x14ac:dyDescent="0.3">
      <c r="A3809" s="3" t="s">
        <v>324</v>
      </c>
      <c r="B3809" s="3" t="s">
        <v>325</v>
      </c>
      <c r="C3809" s="8">
        <v>2021</v>
      </c>
      <c r="D3809" s="8">
        <v>4</v>
      </c>
      <c r="E3809" s="3" t="str">
        <f t="shared" si="118"/>
        <v>April</v>
      </c>
      <c r="F3809" s="3" t="s">
        <v>13</v>
      </c>
      <c r="G3809" s="8">
        <v>8352.5796979999996</v>
      </c>
      <c r="H3809" s="8">
        <v>12659</v>
      </c>
      <c r="I3809" s="8">
        <v>4306.336969</v>
      </c>
      <c r="J3809" s="8">
        <v>27372.910520000001</v>
      </c>
      <c r="K3809" s="8">
        <v>25425.217799999999</v>
      </c>
      <c r="L3809" s="8">
        <v>29344.167379999999</v>
      </c>
      <c r="M3809" s="9" t="str">
        <f>IF(A3809="",M3810,A3809)</f>
        <v>Serbia</v>
      </c>
      <c r="N3809" s="3" t="str">
        <f t="shared" si="119"/>
        <v>Apr-2021</v>
      </c>
    </row>
    <row r="3810" spans="1:14" x14ac:dyDescent="0.3">
      <c r="A3810" s="3" t="s">
        <v>324</v>
      </c>
      <c r="B3810" s="3" t="s">
        <v>325</v>
      </c>
      <c r="C3810" s="8">
        <v>2021</v>
      </c>
      <c r="D3810" s="8">
        <v>5</v>
      </c>
      <c r="E3810" s="3" t="str">
        <f t="shared" si="118"/>
        <v>May</v>
      </c>
      <c r="F3810" s="3" t="s">
        <v>13</v>
      </c>
      <c r="G3810" s="8">
        <v>7943.8597900000004</v>
      </c>
      <c r="H3810" s="8">
        <v>10525</v>
      </c>
      <c r="I3810" s="8">
        <v>2581.056877</v>
      </c>
      <c r="J3810" s="8">
        <v>29953.967400000001</v>
      </c>
      <c r="K3810" s="8">
        <v>27775.676240000001</v>
      </c>
      <c r="L3810" s="8">
        <v>31955.748670000001</v>
      </c>
      <c r="M3810" s="9" t="str">
        <f>IF(A3810="",M3811,A3810)</f>
        <v>Serbia</v>
      </c>
      <c r="N3810" s="3" t="str">
        <f t="shared" si="119"/>
        <v>May-2021</v>
      </c>
    </row>
    <row r="3811" spans="1:14" x14ac:dyDescent="0.3">
      <c r="A3811" s="3" t="s">
        <v>324</v>
      </c>
      <c r="B3811" s="3" t="s">
        <v>325</v>
      </c>
      <c r="C3811" s="8">
        <v>2021</v>
      </c>
      <c r="D3811" s="8">
        <v>6</v>
      </c>
      <c r="E3811" s="3" t="str">
        <f t="shared" si="118"/>
        <v>June</v>
      </c>
      <c r="F3811" s="3" t="s">
        <v>13</v>
      </c>
      <c r="G3811" s="8">
        <v>7711.8458039999996</v>
      </c>
      <c r="H3811" s="8">
        <v>9098</v>
      </c>
      <c r="I3811" s="8">
        <v>1386.070862</v>
      </c>
      <c r="J3811" s="8">
        <v>31340.038260000001</v>
      </c>
      <c r="K3811" s="8">
        <v>29039.118640000001</v>
      </c>
      <c r="L3811" s="8">
        <v>33401.688690000003</v>
      </c>
      <c r="M3811" s="9" t="str">
        <f>IF(A3811="",M3812,A3811)</f>
        <v>Serbia</v>
      </c>
      <c r="N3811" s="3" t="str">
        <f t="shared" si="119"/>
        <v>Jun-2021</v>
      </c>
    </row>
    <row r="3812" spans="1:14" x14ac:dyDescent="0.3">
      <c r="A3812" s="3" t="s">
        <v>324</v>
      </c>
      <c r="B3812" s="3" t="s">
        <v>325</v>
      </c>
      <c r="C3812" s="8">
        <v>2021</v>
      </c>
      <c r="D3812" s="8">
        <v>7</v>
      </c>
      <c r="E3812" s="3" t="str">
        <f t="shared" si="118"/>
        <v>July</v>
      </c>
      <c r="F3812" s="3" t="s">
        <v>13</v>
      </c>
      <c r="G3812" s="8">
        <v>7607.9586149999996</v>
      </c>
      <c r="H3812" s="8">
        <v>8417</v>
      </c>
      <c r="I3812" s="8">
        <v>808.9580512</v>
      </c>
      <c r="J3812" s="8">
        <v>32148.996309999999</v>
      </c>
      <c r="K3812" s="8">
        <v>29834.131410000002</v>
      </c>
      <c r="L3812" s="8">
        <v>34357.479509999997</v>
      </c>
      <c r="M3812" s="9" t="str">
        <f>IF(A3812="",M3813,A3812)</f>
        <v>Serbia</v>
      </c>
      <c r="N3812" s="3" t="str">
        <f t="shared" si="119"/>
        <v>Jul-2021</v>
      </c>
    </row>
    <row r="3813" spans="1:14" x14ac:dyDescent="0.3">
      <c r="A3813" s="3" t="s">
        <v>324</v>
      </c>
      <c r="B3813" s="3" t="s">
        <v>325</v>
      </c>
      <c r="C3813" s="8">
        <v>2021</v>
      </c>
      <c r="D3813" s="8">
        <v>8</v>
      </c>
      <c r="E3813" s="3" t="str">
        <f t="shared" si="118"/>
        <v>August</v>
      </c>
      <c r="F3813" s="3" t="s">
        <v>13</v>
      </c>
      <c r="G3813" s="8">
        <v>7515.0469389999998</v>
      </c>
      <c r="H3813" s="8">
        <v>8447</v>
      </c>
      <c r="I3813" s="8">
        <v>931.86972720000006</v>
      </c>
      <c r="J3813" s="8">
        <v>33080.866040000001</v>
      </c>
      <c r="K3813" s="8">
        <v>30732.106520000001</v>
      </c>
      <c r="L3813" s="8">
        <v>35302.22855</v>
      </c>
      <c r="M3813" s="9" t="str">
        <f>IF(A3813="",M3814,A3813)</f>
        <v>Serbia</v>
      </c>
      <c r="N3813" s="3" t="str">
        <f t="shared" si="119"/>
        <v>Aug-2021</v>
      </c>
    </row>
    <row r="3814" spans="1:14" x14ac:dyDescent="0.3">
      <c r="A3814" s="3" t="s">
        <v>324</v>
      </c>
      <c r="B3814" s="3" t="s">
        <v>325</v>
      </c>
      <c r="C3814" s="8">
        <v>2021</v>
      </c>
      <c r="D3814" s="8">
        <v>9</v>
      </c>
      <c r="E3814" s="3" t="str">
        <f t="shared" si="118"/>
        <v>September</v>
      </c>
      <c r="F3814" s="3" t="s">
        <v>13</v>
      </c>
      <c r="G3814" s="8">
        <v>7578.6435240000001</v>
      </c>
      <c r="H3814" s="8">
        <v>11032</v>
      </c>
      <c r="I3814" s="8">
        <v>3453.2731429999999</v>
      </c>
      <c r="J3814" s="8">
        <v>36534.139179999998</v>
      </c>
      <c r="K3814" s="8">
        <v>34180.280070000001</v>
      </c>
      <c r="L3814" s="8">
        <v>38850.284140000003</v>
      </c>
      <c r="M3814" s="9" t="str">
        <f>IF(A3814="",M3815,A3814)</f>
        <v>Serbia</v>
      </c>
      <c r="N3814" s="3" t="str">
        <f t="shared" si="119"/>
        <v>Sep-2021</v>
      </c>
    </row>
    <row r="3815" spans="1:14" x14ac:dyDescent="0.3">
      <c r="A3815" s="3" t="s">
        <v>324</v>
      </c>
      <c r="B3815" s="3" t="s">
        <v>325</v>
      </c>
      <c r="C3815" s="8">
        <v>2021</v>
      </c>
      <c r="D3815" s="8">
        <v>10</v>
      </c>
      <c r="E3815" s="3" t="str">
        <f t="shared" si="118"/>
        <v>October</v>
      </c>
      <c r="F3815" s="3" t="s">
        <v>13</v>
      </c>
      <c r="G3815" s="8">
        <v>7967.7081939999998</v>
      </c>
      <c r="H3815" s="8">
        <v>14666</v>
      </c>
      <c r="I3815" s="8">
        <v>6698.2084729999997</v>
      </c>
      <c r="J3815" s="8">
        <v>43232.347659999999</v>
      </c>
      <c r="K3815" s="8">
        <v>40865.428039999999</v>
      </c>
      <c r="L3815" s="8">
        <v>45634.973409999999</v>
      </c>
      <c r="M3815" s="9" t="str">
        <f>IF(A3815="",M3816,A3815)</f>
        <v>Serbia</v>
      </c>
      <c r="N3815" s="3" t="str">
        <f t="shared" si="119"/>
        <v>Oct-2021</v>
      </c>
    </row>
    <row r="3816" spans="1:14" x14ac:dyDescent="0.3">
      <c r="A3816" s="3" t="s">
        <v>324</v>
      </c>
      <c r="B3816" s="3" t="s">
        <v>325</v>
      </c>
      <c r="C3816" s="8">
        <v>2021</v>
      </c>
      <c r="D3816" s="8">
        <v>11</v>
      </c>
      <c r="E3816" s="3" t="str">
        <f t="shared" si="118"/>
        <v>November</v>
      </c>
      <c r="F3816" s="3" t="s">
        <v>13</v>
      </c>
      <c r="G3816" s="8">
        <v>8484.5677830000004</v>
      </c>
      <c r="H3816" s="8">
        <v>15113</v>
      </c>
      <c r="I3816" s="8">
        <v>6628.3488829999997</v>
      </c>
      <c r="J3816" s="8">
        <v>49860.696539999997</v>
      </c>
      <c r="K3816" s="8">
        <v>47402.689579999998</v>
      </c>
      <c r="L3816" s="8">
        <v>52200.777390000003</v>
      </c>
      <c r="M3816" s="9" t="str">
        <f>IF(A3816="",M3817,A3816)</f>
        <v>Serbia</v>
      </c>
      <c r="N3816" s="3" t="str">
        <f t="shared" si="119"/>
        <v>Nov-2021</v>
      </c>
    </row>
    <row r="3817" spans="1:14" x14ac:dyDescent="0.3">
      <c r="A3817" s="3" t="s">
        <v>324</v>
      </c>
      <c r="B3817" s="3" t="s">
        <v>325</v>
      </c>
      <c r="C3817" s="8">
        <v>2021</v>
      </c>
      <c r="D3817" s="8">
        <v>12</v>
      </c>
      <c r="E3817" s="3" t="str">
        <f t="shared" si="118"/>
        <v>December</v>
      </c>
      <c r="F3817" s="3" t="s">
        <v>13</v>
      </c>
      <c r="G3817" s="8">
        <v>9103.2101899999998</v>
      </c>
      <c r="H3817" s="8">
        <v>12409</v>
      </c>
      <c r="I3817" s="8">
        <v>3305.7064770000002</v>
      </c>
      <c r="J3817" s="8">
        <v>53166.403019999998</v>
      </c>
      <c r="K3817" s="8">
        <v>50673.473879999998</v>
      </c>
      <c r="L3817" s="8">
        <v>55684.573550000001</v>
      </c>
      <c r="M3817" s="9" t="str">
        <f>IF(A3817="",M3818,A3817)</f>
        <v>Serbia</v>
      </c>
      <c r="N3817" s="3" t="str">
        <f t="shared" si="119"/>
        <v>Dec-2021</v>
      </c>
    </row>
    <row r="3818" spans="1:14" x14ac:dyDescent="0.3">
      <c r="A3818" s="3" t="s">
        <v>326</v>
      </c>
      <c r="B3818" s="3" t="s">
        <v>327</v>
      </c>
      <c r="C3818" s="8">
        <v>2020</v>
      </c>
      <c r="D3818" s="8">
        <v>1</v>
      </c>
      <c r="E3818" s="3" t="str">
        <f t="shared" si="118"/>
        <v>January</v>
      </c>
      <c r="F3818" s="3" t="s">
        <v>8</v>
      </c>
      <c r="G3818" s="8">
        <v>7600.2524409999996</v>
      </c>
      <c r="H3818" s="8">
        <v>7809.68</v>
      </c>
      <c r="I3818" s="8">
        <v>209.4275586</v>
      </c>
      <c r="J3818" s="8">
        <v>209.4275586</v>
      </c>
      <c r="K3818" s="8">
        <v>-1617.778039</v>
      </c>
      <c r="L3818" s="8">
        <v>2635.9280589999998</v>
      </c>
      <c r="M3818" s="9" t="str">
        <f>IF(A3818="",M3819,A3818)</f>
        <v>South Sudan</v>
      </c>
      <c r="N3818" s="3" t="str">
        <f t="shared" si="119"/>
        <v>Jan-2020</v>
      </c>
    </row>
    <row r="3819" spans="1:14" x14ac:dyDescent="0.3">
      <c r="A3819" s="3" t="s">
        <v>326</v>
      </c>
      <c r="B3819" s="3" t="s">
        <v>327</v>
      </c>
      <c r="C3819" s="8">
        <v>2020</v>
      </c>
      <c r="D3819" s="8">
        <v>2</v>
      </c>
      <c r="E3819" s="3" t="str">
        <f t="shared" si="118"/>
        <v>February</v>
      </c>
      <c r="F3819" s="3" t="s">
        <v>8</v>
      </c>
      <c r="G3819" s="8">
        <v>7507.4005989999996</v>
      </c>
      <c r="H3819" s="8">
        <v>7488.8339999999998</v>
      </c>
      <c r="I3819" s="8">
        <v>-18.56659891</v>
      </c>
      <c r="J3819" s="8">
        <v>190.8609597</v>
      </c>
      <c r="K3819" s="8">
        <v>-2436.3000489999999</v>
      </c>
      <c r="L3819" s="8">
        <v>3264.3236419999998</v>
      </c>
      <c r="M3819" s="9" t="str">
        <f>IF(A3819="",M3820,A3819)</f>
        <v>South Sudan</v>
      </c>
      <c r="N3819" s="3" t="str">
        <f t="shared" si="119"/>
        <v>Feb-2020</v>
      </c>
    </row>
    <row r="3820" spans="1:14" x14ac:dyDescent="0.3">
      <c r="A3820" s="3" t="s">
        <v>326</v>
      </c>
      <c r="B3820" s="3" t="s">
        <v>327</v>
      </c>
      <c r="C3820" s="8">
        <v>2020</v>
      </c>
      <c r="D3820" s="8">
        <v>3</v>
      </c>
      <c r="E3820" s="3" t="str">
        <f t="shared" si="118"/>
        <v>March</v>
      </c>
      <c r="F3820" s="3" t="s">
        <v>8</v>
      </c>
      <c r="G3820" s="8">
        <v>7391.7812290000002</v>
      </c>
      <c r="H3820" s="8">
        <v>7111.875</v>
      </c>
      <c r="I3820" s="8">
        <v>-279.90622880000001</v>
      </c>
      <c r="J3820" s="8">
        <v>-89.045269180000005</v>
      </c>
      <c r="K3820" s="8">
        <v>-3206.0564300000001</v>
      </c>
      <c r="L3820" s="8">
        <v>3766.6596530000002</v>
      </c>
      <c r="M3820" s="9" t="str">
        <f>IF(A3820="",M3821,A3820)</f>
        <v>South Sudan</v>
      </c>
      <c r="N3820" s="3" t="str">
        <f t="shared" si="119"/>
        <v>Mar-2020</v>
      </c>
    </row>
    <row r="3821" spans="1:14" x14ac:dyDescent="0.3">
      <c r="A3821" s="3" t="s">
        <v>326</v>
      </c>
      <c r="B3821" s="3" t="s">
        <v>327</v>
      </c>
      <c r="C3821" s="8">
        <v>2020</v>
      </c>
      <c r="D3821" s="8">
        <v>4</v>
      </c>
      <c r="E3821" s="3" t="str">
        <f t="shared" si="118"/>
        <v>April</v>
      </c>
      <c r="F3821" s="3" t="s">
        <v>8</v>
      </c>
      <c r="G3821" s="8">
        <v>7442.379664</v>
      </c>
      <c r="H3821" s="8">
        <v>6817.6019999999999</v>
      </c>
      <c r="I3821" s="8">
        <v>-624.77766440000005</v>
      </c>
      <c r="J3821" s="8">
        <v>-713.82293360000006</v>
      </c>
      <c r="K3821" s="8">
        <v>-4375.3701769999998</v>
      </c>
      <c r="L3821" s="8">
        <v>3779.2206040000001</v>
      </c>
      <c r="M3821" s="9" t="str">
        <f>IF(A3821="",M3822,A3821)</f>
        <v>South Sudan</v>
      </c>
      <c r="N3821" s="3" t="str">
        <f t="shared" si="119"/>
        <v>Apr-2020</v>
      </c>
    </row>
    <row r="3822" spans="1:14" x14ac:dyDescent="0.3">
      <c r="A3822" s="3" t="s">
        <v>326</v>
      </c>
      <c r="B3822" s="3" t="s">
        <v>327</v>
      </c>
      <c r="C3822" s="8">
        <v>2020</v>
      </c>
      <c r="D3822" s="8">
        <v>5</v>
      </c>
      <c r="E3822" s="3" t="str">
        <f t="shared" si="118"/>
        <v>May</v>
      </c>
      <c r="F3822" s="3" t="s">
        <v>8</v>
      </c>
      <c r="G3822" s="8">
        <v>7468.2303039999997</v>
      </c>
      <c r="H3822" s="8">
        <v>7543.0110000000004</v>
      </c>
      <c r="I3822" s="8">
        <v>74.780695719999997</v>
      </c>
      <c r="J3822" s="8">
        <v>-639.04223790000003</v>
      </c>
      <c r="K3822" s="8">
        <v>-4842.4125160000003</v>
      </c>
      <c r="L3822" s="8">
        <v>4072.4728700000001</v>
      </c>
      <c r="M3822" s="9" t="str">
        <f>IF(A3822="",M3823,A3822)</f>
        <v>South Sudan</v>
      </c>
      <c r="N3822" s="3" t="str">
        <f t="shared" si="119"/>
        <v>May-2020</v>
      </c>
    </row>
    <row r="3823" spans="1:14" x14ac:dyDescent="0.3">
      <c r="A3823" s="3" t="s">
        <v>326</v>
      </c>
      <c r="B3823" s="3" t="s">
        <v>327</v>
      </c>
      <c r="C3823" s="8">
        <v>2020</v>
      </c>
      <c r="D3823" s="8">
        <v>6</v>
      </c>
      <c r="E3823" s="3" t="str">
        <f t="shared" si="118"/>
        <v>June</v>
      </c>
      <c r="F3823" s="3" t="s">
        <v>8</v>
      </c>
      <c r="G3823" s="8">
        <v>7562.6116080000002</v>
      </c>
      <c r="H3823" s="8">
        <v>8003.1279999999997</v>
      </c>
      <c r="I3823" s="8">
        <v>440.5163915</v>
      </c>
      <c r="J3823" s="8">
        <v>-198.52584640000001</v>
      </c>
      <c r="K3823" s="8">
        <v>-4672.2703629999996</v>
      </c>
      <c r="L3823" s="8">
        <v>4759.4387340000003</v>
      </c>
      <c r="M3823" s="9" t="str">
        <f>IF(A3823="",M3824,A3823)</f>
        <v>South Sudan</v>
      </c>
      <c r="N3823" s="3" t="str">
        <f t="shared" si="119"/>
        <v>Jun-2020</v>
      </c>
    </row>
    <row r="3824" spans="1:14" x14ac:dyDescent="0.3">
      <c r="A3824" s="3" t="s">
        <v>326</v>
      </c>
      <c r="B3824" s="3" t="s">
        <v>327</v>
      </c>
      <c r="C3824" s="8">
        <v>2020</v>
      </c>
      <c r="D3824" s="8">
        <v>7</v>
      </c>
      <c r="E3824" s="3" t="str">
        <f t="shared" si="118"/>
        <v>July</v>
      </c>
      <c r="F3824" s="3" t="s">
        <v>8</v>
      </c>
      <c r="G3824" s="8">
        <v>7582.8337039999997</v>
      </c>
      <c r="H3824" s="8">
        <v>8012.4629999999997</v>
      </c>
      <c r="I3824" s="8">
        <v>429.62929609999998</v>
      </c>
      <c r="J3824" s="8">
        <v>231.10344979999999</v>
      </c>
      <c r="K3824" s="8">
        <v>-4733.1385840000003</v>
      </c>
      <c r="L3824" s="8">
        <v>5889.8211670000001</v>
      </c>
      <c r="M3824" s="9" t="str">
        <f>IF(A3824="",M3825,A3824)</f>
        <v>South Sudan</v>
      </c>
      <c r="N3824" s="3" t="str">
        <f t="shared" si="119"/>
        <v>Jul-2020</v>
      </c>
    </row>
    <row r="3825" spans="1:14" x14ac:dyDescent="0.3">
      <c r="A3825" s="3" t="s">
        <v>326</v>
      </c>
      <c r="B3825" s="3" t="s">
        <v>327</v>
      </c>
      <c r="C3825" s="8">
        <v>2020</v>
      </c>
      <c r="D3825" s="8">
        <v>8</v>
      </c>
      <c r="E3825" s="3" t="str">
        <f t="shared" si="118"/>
        <v>August</v>
      </c>
      <c r="F3825" s="3" t="s">
        <v>8</v>
      </c>
      <c r="G3825" s="8">
        <v>7604.0295249999999</v>
      </c>
      <c r="H3825" s="8">
        <v>7963.7520000000004</v>
      </c>
      <c r="I3825" s="8">
        <v>359.72247540000001</v>
      </c>
      <c r="J3825" s="8">
        <v>590.82592509999995</v>
      </c>
      <c r="K3825" s="8">
        <v>-5093.1056440000002</v>
      </c>
      <c r="L3825" s="8">
        <v>6762.798358</v>
      </c>
      <c r="M3825" s="9" t="str">
        <f>IF(A3825="",M3826,A3825)</f>
        <v>South Sudan</v>
      </c>
      <c r="N3825" s="3" t="str">
        <f t="shared" si="119"/>
        <v>Aug-2020</v>
      </c>
    </row>
    <row r="3826" spans="1:14" x14ac:dyDescent="0.3">
      <c r="A3826" s="3" t="s">
        <v>326</v>
      </c>
      <c r="B3826" s="3" t="s">
        <v>327</v>
      </c>
      <c r="C3826" s="8">
        <v>2020</v>
      </c>
      <c r="D3826" s="8">
        <v>9</v>
      </c>
      <c r="E3826" s="3" t="str">
        <f t="shared" si="118"/>
        <v>September</v>
      </c>
      <c r="F3826" s="3" t="s">
        <v>8</v>
      </c>
      <c r="G3826" s="8">
        <v>7576.662934</v>
      </c>
      <c r="H3826" s="8">
        <v>7823.2190000000001</v>
      </c>
      <c r="I3826" s="8">
        <v>246.55606649999999</v>
      </c>
      <c r="J3826" s="8">
        <v>837.38199159999999</v>
      </c>
      <c r="K3826" s="8">
        <v>-5122.0363189999998</v>
      </c>
      <c r="L3826" s="8">
        <v>7462.3071909999999</v>
      </c>
      <c r="M3826" s="9" t="str">
        <f>IF(A3826="",M3827,A3826)</f>
        <v>South Sudan</v>
      </c>
      <c r="N3826" s="3" t="str">
        <f t="shared" si="119"/>
        <v>Sep-2020</v>
      </c>
    </row>
    <row r="3827" spans="1:14" x14ac:dyDescent="0.3">
      <c r="A3827" s="3" t="s">
        <v>326</v>
      </c>
      <c r="B3827" s="3" t="s">
        <v>327</v>
      </c>
      <c r="C3827" s="8">
        <v>2020</v>
      </c>
      <c r="D3827" s="8">
        <v>10</v>
      </c>
      <c r="E3827" s="3" t="str">
        <f t="shared" si="118"/>
        <v>October</v>
      </c>
      <c r="F3827" s="3" t="s">
        <v>8</v>
      </c>
      <c r="G3827" s="8">
        <v>7530.4278910000003</v>
      </c>
      <c r="H3827" s="8">
        <v>7669.27</v>
      </c>
      <c r="I3827" s="8">
        <v>138.84210949999999</v>
      </c>
      <c r="J3827" s="8">
        <v>976.22410109999998</v>
      </c>
      <c r="K3827" s="8">
        <v>-5585.0253190000003</v>
      </c>
      <c r="L3827" s="8">
        <v>7673.1118340000003</v>
      </c>
      <c r="M3827" s="9" t="str">
        <f>IF(A3827="",M3828,A3827)</f>
        <v>South Sudan</v>
      </c>
      <c r="N3827" s="3" t="str">
        <f t="shared" si="119"/>
        <v>Oct-2020</v>
      </c>
    </row>
    <row r="3828" spans="1:14" x14ac:dyDescent="0.3">
      <c r="A3828" s="3" t="s">
        <v>326</v>
      </c>
      <c r="B3828" s="3" t="s">
        <v>327</v>
      </c>
      <c r="C3828" s="8">
        <v>2020</v>
      </c>
      <c r="D3828" s="8">
        <v>11</v>
      </c>
      <c r="E3828" s="3" t="str">
        <f t="shared" si="118"/>
        <v>November</v>
      </c>
      <c r="F3828" s="3" t="s">
        <v>8</v>
      </c>
      <c r="G3828" s="8">
        <v>7546.8436430000002</v>
      </c>
      <c r="H3828" s="8">
        <v>7526.6329999999998</v>
      </c>
      <c r="I3828" s="8">
        <v>-20.21064294</v>
      </c>
      <c r="J3828" s="8">
        <v>956.01345809999998</v>
      </c>
      <c r="K3828" s="8">
        <v>-5633.1405560000003</v>
      </c>
      <c r="L3828" s="8">
        <v>7679.0710209999997</v>
      </c>
      <c r="M3828" s="9" t="str">
        <f>IF(A3828="",M3829,A3828)</f>
        <v>South Sudan</v>
      </c>
      <c r="N3828" s="3" t="str">
        <f t="shared" si="119"/>
        <v>Nov-2020</v>
      </c>
    </row>
    <row r="3829" spans="1:14" x14ac:dyDescent="0.3">
      <c r="A3829" s="3" t="s">
        <v>326</v>
      </c>
      <c r="B3829" s="3" t="s">
        <v>327</v>
      </c>
      <c r="C3829" s="8">
        <v>2020</v>
      </c>
      <c r="D3829" s="8">
        <v>12</v>
      </c>
      <c r="E3829" s="3" t="str">
        <f t="shared" si="118"/>
        <v>December</v>
      </c>
      <c r="F3829" s="3" t="s">
        <v>8</v>
      </c>
      <c r="G3829" s="8">
        <v>7510.0825349999996</v>
      </c>
      <c r="H3829" s="8">
        <v>7638.3670000000002</v>
      </c>
      <c r="I3829" s="8">
        <v>128.2844652</v>
      </c>
      <c r="J3829" s="8">
        <v>1084.2979230000001</v>
      </c>
      <c r="K3829" s="8">
        <v>-6007.4353680000004</v>
      </c>
      <c r="L3829" s="8">
        <v>7754.4399160000003</v>
      </c>
      <c r="M3829" s="9" t="str">
        <f>IF(A3829="",M3830,A3829)</f>
        <v>South Sudan</v>
      </c>
      <c r="N3829" s="3" t="str">
        <f t="shared" si="119"/>
        <v>Dec-2020</v>
      </c>
    </row>
    <row r="3830" spans="1:14" x14ac:dyDescent="0.3">
      <c r="A3830" s="3" t="s">
        <v>326</v>
      </c>
      <c r="B3830" s="3" t="s">
        <v>327</v>
      </c>
      <c r="C3830" s="8">
        <v>2021</v>
      </c>
      <c r="D3830" s="8">
        <v>1</v>
      </c>
      <c r="E3830" s="3" t="str">
        <f t="shared" si="118"/>
        <v>January</v>
      </c>
      <c r="F3830" s="3" t="s">
        <v>8</v>
      </c>
      <c r="G3830" s="8">
        <v>7542.5876520000002</v>
      </c>
      <c r="H3830" s="8">
        <v>7630.2659999999996</v>
      </c>
      <c r="I3830" s="8">
        <v>87.678347740000007</v>
      </c>
      <c r="J3830" s="8">
        <v>1171.976271</v>
      </c>
      <c r="K3830" s="8">
        <v>-5865.9810649999999</v>
      </c>
      <c r="L3830" s="8">
        <v>8470.2278640000004</v>
      </c>
      <c r="M3830" s="9" t="str">
        <f>IF(A3830="",M3831,A3830)</f>
        <v>South Sudan</v>
      </c>
      <c r="N3830" s="3" t="str">
        <f t="shared" si="119"/>
        <v>Jan-2021</v>
      </c>
    </row>
    <row r="3831" spans="1:14" x14ac:dyDescent="0.3">
      <c r="A3831" s="3" t="s">
        <v>326</v>
      </c>
      <c r="B3831" s="3" t="s">
        <v>327</v>
      </c>
      <c r="C3831" s="8">
        <v>2021</v>
      </c>
      <c r="D3831" s="8">
        <v>2</v>
      </c>
      <c r="E3831" s="3" t="str">
        <f t="shared" si="118"/>
        <v>February</v>
      </c>
      <c r="F3831" s="3" t="s">
        <v>8</v>
      </c>
      <c r="G3831" s="8">
        <v>7454.31952</v>
      </c>
      <c r="H3831" s="8">
        <v>8329.7330000000002</v>
      </c>
      <c r="I3831" s="8">
        <v>875.41348029999995</v>
      </c>
      <c r="J3831" s="8">
        <v>2047.3897509999999</v>
      </c>
      <c r="K3831" s="8">
        <v>-4912.2436939999998</v>
      </c>
      <c r="L3831" s="8">
        <v>9765.1133860000009</v>
      </c>
      <c r="M3831" s="9" t="str">
        <f>IF(A3831="",M3832,A3831)</f>
        <v>South Sudan</v>
      </c>
      <c r="N3831" s="3" t="str">
        <f t="shared" si="119"/>
        <v>Feb-2021</v>
      </c>
    </row>
    <row r="3832" spans="1:14" x14ac:dyDescent="0.3">
      <c r="A3832" s="3" t="s">
        <v>326</v>
      </c>
      <c r="B3832" s="3" t="s">
        <v>327</v>
      </c>
      <c r="C3832" s="8">
        <v>2021</v>
      </c>
      <c r="D3832" s="8">
        <v>3</v>
      </c>
      <c r="E3832" s="3" t="str">
        <f t="shared" si="118"/>
        <v>March</v>
      </c>
      <c r="F3832" s="3" t="s">
        <v>8</v>
      </c>
      <c r="G3832" s="8">
        <v>7333.2580520000001</v>
      </c>
      <c r="H3832" s="8">
        <v>7957.0680000000002</v>
      </c>
      <c r="I3832" s="8">
        <v>623.80994780000003</v>
      </c>
      <c r="J3832" s="8">
        <v>2671.1996989999998</v>
      </c>
      <c r="K3832" s="8">
        <v>-4624.8372950000003</v>
      </c>
      <c r="L3832" s="8">
        <v>10828.261839999999</v>
      </c>
      <c r="M3832" s="9" t="str">
        <f>IF(A3832="",M3833,A3832)</f>
        <v>South Sudan</v>
      </c>
      <c r="N3832" s="3" t="str">
        <f t="shared" si="119"/>
        <v>Mar-2021</v>
      </c>
    </row>
    <row r="3833" spans="1:14" x14ac:dyDescent="0.3">
      <c r="A3833" s="3" t="s">
        <v>326</v>
      </c>
      <c r="B3833" s="3" t="s">
        <v>327</v>
      </c>
      <c r="C3833" s="8">
        <v>2021</v>
      </c>
      <c r="D3833" s="8">
        <v>4</v>
      </c>
      <c r="E3833" s="3" t="str">
        <f t="shared" si="118"/>
        <v>April</v>
      </c>
      <c r="F3833" s="3" t="s">
        <v>8</v>
      </c>
      <c r="G3833" s="8">
        <v>7387.9921409999997</v>
      </c>
      <c r="H3833" s="8">
        <v>7481.5569999999998</v>
      </c>
      <c r="I3833" s="8">
        <v>93.564858779999994</v>
      </c>
      <c r="J3833" s="8">
        <v>2764.7645579999999</v>
      </c>
      <c r="K3833" s="8">
        <v>-5055.9985500000003</v>
      </c>
      <c r="L3833" s="8">
        <v>11198.53786</v>
      </c>
      <c r="M3833" s="9" t="str">
        <f>IF(A3833="",M3834,A3833)</f>
        <v>South Sudan</v>
      </c>
      <c r="N3833" s="3" t="str">
        <f t="shared" si="119"/>
        <v>Apr-2021</v>
      </c>
    </row>
    <row r="3834" spans="1:14" x14ac:dyDescent="0.3">
      <c r="A3834" s="3" t="s">
        <v>326</v>
      </c>
      <c r="B3834" s="3" t="s">
        <v>327</v>
      </c>
      <c r="C3834" s="8">
        <v>2021</v>
      </c>
      <c r="D3834" s="8">
        <v>5</v>
      </c>
      <c r="E3834" s="3" t="str">
        <f t="shared" si="118"/>
        <v>May</v>
      </c>
      <c r="F3834" s="3" t="s">
        <v>8</v>
      </c>
      <c r="G3834" s="8">
        <v>7416.9362019999999</v>
      </c>
      <c r="H3834" s="8">
        <v>7358.0690000000004</v>
      </c>
      <c r="I3834" s="8">
        <v>-58.86720184</v>
      </c>
      <c r="J3834" s="8">
        <v>2705.8973559999999</v>
      </c>
      <c r="K3834" s="8">
        <v>-5007.2243410000001</v>
      </c>
      <c r="L3834" s="8">
        <v>11778.476849999999</v>
      </c>
      <c r="M3834" s="9" t="str">
        <f>IF(A3834="",M3835,A3834)</f>
        <v>South Sudan</v>
      </c>
      <c r="N3834" s="3" t="str">
        <f t="shared" si="119"/>
        <v>May-2021</v>
      </c>
    </row>
    <row r="3835" spans="1:14" x14ac:dyDescent="0.3">
      <c r="A3835" s="3" t="s">
        <v>326</v>
      </c>
      <c r="B3835" s="3" t="s">
        <v>327</v>
      </c>
      <c r="C3835" s="8">
        <v>2021</v>
      </c>
      <c r="D3835" s="8">
        <v>6</v>
      </c>
      <c r="E3835" s="3" t="str">
        <f t="shared" si="118"/>
        <v>June</v>
      </c>
      <c r="F3835" s="3" t="s">
        <v>8</v>
      </c>
      <c r="G3835" s="8">
        <v>7511.7073099999998</v>
      </c>
      <c r="H3835" s="8">
        <v>7805.1970000000001</v>
      </c>
      <c r="I3835" s="8">
        <v>293.4896895</v>
      </c>
      <c r="J3835" s="8">
        <v>2999.3870459999998</v>
      </c>
      <c r="K3835" s="8">
        <v>-5032.4284729999999</v>
      </c>
      <c r="L3835" s="8">
        <v>11865.29062</v>
      </c>
      <c r="M3835" s="9" t="str">
        <f>IF(A3835="",M3836,A3835)</f>
        <v>South Sudan</v>
      </c>
      <c r="N3835" s="3" t="str">
        <f t="shared" si="119"/>
        <v>Jun-2021</v>
      </c>
    </row>
    <row r="3836" spans="1:14" x14ac:dyDescent="0.3">
      <c r="A3836" s="3" t="s">
        <v>326</v>
      </c>
      <c r="B3836" s="3" t="s">
        <v>327</v>
      </c>
      <c r="C3836" s="8">
        <v>2021</v>
      </c>
      <c r="D3836" s="8">
        <v>7</v>
      </c>
      <c r="E3836" s="3" t="str">
        <f t="shared" si="118"/>
        <v>July</v>
      </c>
      <c r="F3836" s="3" t="s">
        <v>8</v>
      </c>
      <c r="G3836" s="8">
        <v>7532.2456560000001</v>
      </c>
      <c r="H3836" s="8">
        <v>7891.6629999999996</v>
      </c>
      <c r="I3836" s="8">
        <v>359.41734409999998</v>
      </c>
      <c r="J3836" s="8">
        <v>3358.8043899999998</v>
      </c>
      <c r="K3836" s="8">
        <v>-5292.4294209999998</v>
      </c>
      <c r="L3836" s="8">
        <v>12153.37708</v>
      </c>
      <c r="M3836" s="9" t="str">
        <f>IF(A3836="",M3837,A3836)</f>
        <v>South Sudan</v>
      </c>
      <c r="N3836" s="3" t="str">
        <f t="shared" si="119"/>
        <v>Jul-2021</v>
      </c>
    </row>
    <row r="3837" spans="1:14" x14ac:dyDescent="0.3">
      <c r="A3837" s="3" t="s">
        <v>326</v>
      </c>
      <c r="B3837" s="3" t="s">
        <v>327</v>
      </c>
      <c r="C3837" s="8">
        <v>2021</v>
      </c>
      <c r="D3837" s="8">
        <v>8</v>
      </c>
      <c r="E3837" s="3" t="str">
        <f t="shared" si="118"/>
        <v>August</v>
      </c>
      <c r="F3837" s="3" t="s">
        <v>8</v>
      </c>
      <c r="G3837" s="8">
        <v>7556.0873949999996</v>
      </c>
      <c r="H3837" s="8">
        <v>7729.9750000000004</v>
      </c>
      <c r="I3837" s="8">
        <v>173.88760500000001</v>
      </c>
      <c r="J3837" s="8">
        <v>3532.6919950000001</v>
      </c>
      <c r="K3837" s="8">
        <v>-5379.7713430000003</v>
      </c>
      <c r="L3837" s="8">
        <v>13065.62536</v>
      </c>
      <c r="M3837" s="9" t="str">
        <f>IF(A3837="",M3838,A3837)</f>
        <v>South Sudan</v>
      </c>
      <c r="N3837" s="3" t="str">
        <f t="shared" si="119"/>
        <v>Aug-2021</v>
      </c>
    </row>
    <row r="3838" spans="1:14" x14ac:dyDescent="0.3">
      <c r="A3838" s="3" t="s">
        <v>326</v>
      </c>
      <c r="B3838" s="3" t="s">
        <v>327</v>
      </c>
      <c r="C3838" s="8">
        <v>2021</v>
      </c>
      <c r="D3838" s="8">
        <v>9</v>
      </c>
      <c r="E3838" s="3" t="str">
        <f t="shared" si="118"/>
        <v>September</v>
      </c>
      <c r="F3838" s="3" t="s">
        <v>8</v>
      </c>
      <c r="G3838" s="8">
        <v>7531.3710119999996</v>
      </c>
      <c r="H3838" s="8">
        <v>7936.7240000000002</v>
      </c>
      <c r="I3838" s="8">
        <v>405.35298849999998</v>
      </c>
      <c r="J3838" s="8">
        <v>3938.0449829999998</v>
      </c>
      <c r="K3838" s="8">
        <v>-5264.0743679999996</v>
      </c>
      <c r="L3838" s="8">
        <v>13598.08149</v>
      </c>
      <c r="M3838" s="9" t="str">
        <f>IF(A3838="",M3839,A3838)</f>
        <v>South Sudan</v>
      </c>
      <c r="N3838" s="3" t="str">
        <f t="shared" si="119"/>
        <v>Sep-2021</v>
      </c>
    </row>
    <row r="3839" spans="1:14" x14ac:dyDescent="0.3">
      <c r="A3839" s="3" t="s">
        <v>326</v>
      </c>
      <c r="B3839" s="3" t="s">
        <v>327</v>
      </c>
      <c r="C3839" s="8">
        <v>2021</v>
      </c>
      <c r="D3839" s="8">
        <v>10</v>
      </c>
      <c r="E3839" s="3" t="str">
        <f t="shared" si="118"/>
        <v>October</v>
      </c>
      <c r="F3839" s="3" t="s">
        <v>8</v>
      </c>
      <c r="G3839" s="8">
        <v>7479.5346259999997</v>
      </c>
      <c r="H3839" s="8">
        <v>7724.23</v>
      </c>
      <c r="I3839" s="8">
        <v>244.69537439999999</v>
      </c>
      <c r="J3839" s="8">
        <v>4182.740358</v>
      </c>
      <c r="K3839" s="8">
        <v>-5460.9522429999997</v>
      </c>
      <c r="L3839" s="8">
        <v>14346.345590000001</v>
      </c>
      <c r="M3839" s="9" t="str">
        <f>IF(A3839="",M3840,A3839)</f>
        <v>South Sudan</v>
      </c>
      <c r="N3839" s="3" t="str">
        <f t="shared" si="119"/>
        <v>Oct-2021</v>
      </c>
    </row>
    <row r="3840" spans="1:14" x14ac:dyDescent="0.3">
      <c r="A3840" s="3" t="s">
        <v>326</v>
      </c>
      <c r="B3840" s="3" t="s">
        <v>327</v>
      </c>
      <c r="C3840" s="8">
        <v>2021</v>
      </c>
      <c r="D3840" s="8">
        <v>11</v>
      </c>
      <c r="E3840" s="3" t="str">
        <f t="shared" si="118"/>
        <v>November</v>
      </c>
      <c r="F3840" s="3" t="s">
        <v>8</v>
      </c>
      <c r="G3840" s="8">
        <v>7501.0179150000004</v>
      </c>
      <c r="H3840" s="8">
        <v>7624.4679999999998</v>
      </c>
      <c r="I3840" s="8">
        <v>123.45008540000001</v>
      </c>
      <c r="J3840" s="8">
        <v>4306.1904430000004</v>
      </c>
      <c r="K3840" s="8">
        <v>-5632.5657179999998</v>
      </c>
      <c r="L3840" s="8">
        <v>14744.599990000001</v>
      </c>
      <c r="M3840" s="9" t="str">
        <f>IF(A3840="",M3841,A3840)</f>
        <v>South Sudan</v>
      </c>
      <c r="N3840" s="3" t="str">
        <f t="shared" si="119"/>
        <v>Nov-2021</v>
      </c>
    </row>
    <row r="3841" spans="1:14" x14ac:dyDescent="0.3">
      <c r="A3841" s="3" t="s">
        <v>326</v>
      </c>
      <c r="B3841" s="3" t="s">
        <v>327</v>
      </c>
      <c r="C3841" s="8">
        <v>2021</v>
      </c>
      <c r="D3841" s="8">
        <v>12</v>
      </c>
      <c r="E3841" s="3" t="str">
        <f t="shared" si="118"/>
        <v>December</v>
      </c>
      <c r="F3841" s="3" t="s">
        <v>8</v>
      </c>
      <c r="G3841" s="8">
        <v>7454.9469440000003</v>
      </c>
      <c r="H3841" s="8">
        <v>7987.9390000000003</v>
      </c>
      <c r="I3841" s="8">
        <v>532.99205570000004</v>
      </c>
      <c r="J3841" s="8">
        <v>4839.1824989999996</v>
      </c>
      <c r="K3841" s="8">
        <v>-5033.9894219999996</v>
      </c>
      <c r="L3841" s="8">
        <v>15218.44485</v>
      </c>
      <c r="M3841" s="9" t="str">
        <f>IF(A3841="",M3842,A3841)</f>
        <v>South Sudan</v>
      </c>
      <c r="N3841" s="3" t="str">
        <f t="shared" si="119"/>
        <v>Dec-2021</v>
      </c>
    </row>
    <row r="3842" spans="1:14" x14ac:dyDescent="0.3">
      <c r="A3842" s="3" t="s">
        <v>328</v>
      </c>
      <c r="B3842" s="3" t="s">
        <v>329</v>
      </c>
      <c r="C3842" s="8">
        <v>2020</v>
      </c>
      <c r="D3842" s="8">
        <v>1</v>
      </c>
      <c r="E3842" s="3" t="str">
        <f t="shared" ref="E3842:E3905" si="120">TEXT(DATE(C3842,D3842,1),"MMMM")</f>
        <v>January</v>
      </c>
      <c r="F3842" s="3" t="s">
        <v>8</v>
      </c>
      <c r="G3842" s="8">
        <v>82.222824930000002</v>
      </c>
      <c r="H3842" s="8">
        <v>84.248999999999995</v>
      </c>
      <c r="I3842" s="8">
        <v>2.026175066</v>
      </c>
      <c r="J3842" s="8">
        <v>2.026175066</v>
      </c>
      <c r="K3842" s="8">
        <v>-24.963966849999998</v>
      </c>
      <c r="L3842" s="8">
        <v>33.33225229</v>
      </c>
      <c r="M3842" s="9" t="str">
        <f>IF(A3842="",M3843,A3842)</f>
        <v>Sao Tome and Principe</v>
      </c>
      <c r="N3842" s="3" t="str">
        <f t="shared" ref="N3842:N3905" si="121">TEXT(DATE(C3842,D3842,1),"MMM-YYYY")</f>
        <v>Jan-2020</v>
      </c>
    </row>
    <row r="3843" spans="1:14" x14ac:dyDescent="0.3">
      <c r="A3843" s="3" t="s">
        <v>328</v>
      </c>
      <c r="B3843" s="3" t="s">
        <v>329</v>
      </c>
      <c r="C3843" s="8">
        <v>2020</v>
      </c>
      <c r="D3843" s="8">
        <v>2</v>
      </c>
      <c r="E3843" s="3" t="str">
        <f t="shared" si="120"/>
        <v>February</v>
      </c>
      <c r="F3843" s="3" t="s">
        <v>8</v>
      </c>
      <c r="G3843" s="8">
        <v>82.05385939</v>
      </c>
      <c r="H3843" s="8">
        <v>83.263000000000005</v>
      </c>
      <c r="I3843" s="8">
        <v>1.2091406119999999</v>
      </c>
      <c r="J3843" s="8">
        <v>3.2353156780000001</v>
      </c>
      <c r="K3843" s="8">
        <v>-34.542454909999996</v>
      </c>
      <c r="L3843" s="8">
        <v>46.230060340000001</v>
      </c>
      <c r="M3843" s="9" t="str">
        <f>IF(A3843="",M3844,A3843)</f>
        <v>Sao Tome and Principe</v>
      </c>
      <c r="N3843" s="3" t="str">
        <f t="shared" si="121"/>
        <v>Feb-2020</v>
      </c>
    </row>
    <row r="3844" spans="1:14" x14ac:dyDescent="0.3">
      <c r="A3844" s="3" t="s">
        <v>328</v>
      </c>
      <c r="B3844" s="3" t="s">
        <v>329</v>
      </c>
      <c r="C3844" s="8">
        <v>2020</v>
      </c>
      <c r="D3844" s="8">
        <v>3</v>
      </c>
      <c r="E3844" s="3" t="str">
        <f t="shared" si="120"/>
        <v>March</v>
      </c>
      <c r="F3844" s="3" t="s">
        <v>8</v>
      </c>
      <c r="G3844" s="8">
        <v>82.47071923</v>
      </c>
      <c r="H3844" s="8">
        <v>84.082999999999998</v>
      </c>
      <c r="I3844" s="8">
        <v>1.612280771</v>
      </c>
      <c r="J3844" s="8">
        <v>4.8475964490000001</v>
      </c>
      <c r="K3844" s="8">
        <v>-43.670247330000002</v>
      </c>
      <c r="L3844" s="8">
        <v>59.907882059999999</v>
      </c>
      <c r="M3844" s="9" t="str">
        <f>IF(A3844="",M3845,A3844)</f>
        <v>Sao Tome and Principe</v>
      </c>
      <c r="N3844" s="3" t="str">
        <f t="shared" si="121"/>
        <v>Mar-2020</v>
      </c>
    </row>
    <row r="3845" spans="1:14" x14ac:dyDescent="0.3">
      <c r="A3845" s="3" t="s">
        <v>328</v>
      </c>
      <c r="B3845" s="3" t="s">
        <v>329</v>
      </c>
      <c r="C3845" s="8">
        <v>2020</v>
      </c>
      <c r="D3845" s="8">
        <v>4</v>
      </c>
      <c r="E3845" s="3" t="str">
        <f t="shared" si="120"/>
        <v>April</v>
      </c>
      <c r="F3845" s="3" t="s">
        <v>8</v>
      </c>
      <c r="G3845" s="8">
        <v>82.390522649999994</v>
      </c>
      <c r="H3845" s="8">
        <v>85.356999999999999</v>
      </c>
      <c r="I3845" s="8">
        <v>2.9664773520000001</v>
      </c>
      <c r="J3845" s="8">
        <v>7.8140738010000002</v>
      </c>
      <c r="K3845" s="8">
        <v>-49.09085932</v>
      </c>
      <c r="L3845" s="8">
        <v>68.231799679999995</v>
      </c>
      <c r="M3845" s="9" t="str">
        <f>IF(A3845="",M3846,A3845)</f>
        <v>Sao Tome and Principe</v>
      </c>
      <c r="N3845" s="3" t="str">
        <f t="shared" si="121"/>
        <v>Apr-2020</v>
      </c>
    </row>
    <row r="3846" spans="1:14" x14ac:dyDescent="0.3">
      <c r="A3846" s="3" t="s">
        <v>328</v>
      </c>
      <c r="B3846" s="3" t="s">
        <v>329</v>
      </c>
      <c r="C3846" s="8">
        <v>2020</v>
      </c>
      <c r="D3846" s="8">
        <v>5</v>
      </c>
      <c r="E3846" s="3" t="str">
        <f t="shared" si="120"/>
        <v>May</v>
      </c>
      <c r="F3846" s="3" t="s">
        <v>8</v>
      </c>
      <c r="G3846" s="8">
        <v>82.643333269999999</v>
      </c>
      <c r="H3846" s="8">
        <v>116.836</v>
      </c>
      <c r="I3846" s="8">
        <v>34.192666729999999</v>
      </c>
      <c r="J3846" s="8">
        <v>42.006740530000002</v>
      </c>
      <c r="K3846" s="8">
        <v>-28.435460290000002</v>
      </c>
      <c r="L3846" s="8">
        <v>113.03369259999999</v>
      </c>
      <c r="M3846" s="9" t="str">
        <f>IF(A3846="",M3847,A3846)</f>
        <v>Sao Tome and Principe</v>
      </c>
      <c r="N3846" s="3" t="str">
        <f t="shared" si="121"/>
        <v>May-2020</v>
      </c>
    </row>
    <row r="3847" spans="1:14" x14ac:dyDescent="0.3">
      <c r="A3847" s="3" t="s">
        <v>328</v>
      </c>
      <c r="B3847" s="3" t="s">
        <v>329</v>
      </c>
      <c r="C3847" s="8">
        <v>2020</v>
      </c>
      <c r="D3847" s="8">
        <v>6</v>
      </c>
      <c r="E3847" s="3" t="str">
        <f t="shared" si="120"/>
        <v>June</v>
      </c>
      <c r="F3847" s="3" t="s">
        <v>8</v>
      </c>
      <c r="G3847" s="8">
        <v>83.468322040000004</v>
      </c>
      <c r="H3847" s="8">
        <v>82.775999999999996</v>
      </c>
      <c r="I3847" s="8">
        <v>-0.69232204399999997</v>
      </c>
      <c r="J3847" s="8">
        <v>41.314418490000001</v>
      </c>
      <c r="K3847" s="8">
        <v>-32.864708229999998</v>
      </c>
      <c r="L3847" s="8">
        <v>123.8012408</v>
      </c>
      <c r="M3847" s="9" t="str">
        <f>IF(A3847="",M3848,A3847)</f>
        <v>Sao Tome and Principe</v>
      </c>
      <c r="N3847" s="3" t="str">
        <f t="shared" si="121"/>
        <v>Jun-2020</v>
      </c>
    </row>
    <row r="3848" spans="1:14" x14ac:dyDescent="0.3">
      <c r="A3848" s="3" t="s">
        <v>328</v>
      </c>
      <c r="B3848" s="3" t="s">
        <v>329</v>
      </c>
      <c r="C3848" s="8">
        <v>2020</v>
      </c>
      <c r="D3848" s="8">
        <v>7</v>
      </c>
      <c r="E3848" s="3" t="str">
        <f t="shared" si="120"/>
        <v>July</v>
      </c>
      <c r="F3848" s="3" t="s">
        <v>8</v>
      </c>
      <c r="G3848" s="8">
        <v>83.827368129999996</v>
      </c>
      <c r="H3848" s="8">
        <v>89.953000000000003</v>
      </c>
      <c r="I3848" s="8">
        <v>6.1256318729999997</v>
      </c>
      <c r="J3848" s="8">
        <v>47.440050360000001</v>
      </c>
      <c r="K3848" s="8">
        <v>-32.298690460000003</v>
      </c>
      <c r="L3848" s="8">
        <v>135.7811087</v>
      </c>
      <c r="M3848" s="9" t="str">
        <f>IF(A3848="",M3849,A3848)</f>
        <v>Sao Tome and Principe</v>
      </c>
      <c r="N3848" s="3" t="str">
        <f t="shared" si="121"/>
        <v>Jul-2020</v>
      </c>
    </row>
    <row r="3849" spans="1:14" x14ac:dyDescent="0.3">
      <c r="A3849" s="3" t="s">
        <v>328</v>
      </c>
      <c r="B3849" s="3" t="s">
        <v>329</v>
      </c>
      <c r="C3849" s="8">
        <v>2020</v>
      </c>
      <c r="D3849" s="8">
        <v>8</v>
      </c>
      <c r="E3849" s="3" t="str">
        <f t="shared" si="120"/>
        <v>August</v>
      </c>
      <c r="F3849" s="3" t="s">
        <v>8</v>
      </c>
      <c r="G3849" s="8">
        <v>83.692912019999994</v>
      </c>
      <c r="H3849" s="8">
        <v>82.417000000000002</v>
      </c>
      <c r="I3849" s="8">
        <v>-1.275912017</v>
      </c>
      <c r="J3849" s="8">
        <v>46.164138340000001</v>
      </c>
      <c r="K3849" s="8">
        <v>-37.146886860000002</v>
      </c>
      <c r="L3849" s="8">
        <v>139.6014787</v>
      </c>
      <c r="M3849" s="9" t="str">
        <f>IF(A3849="",M3850,A3849)</f>
        <v>Sao Tome and Principe</v>
      </c>
      <c r="N3849" s="3" t="str">
        <f t="shared" si="121"/>
        <v>Aug-2020</v>
      </c>
    </row>
    <row r="3850" spans="1:14" x14ac:dyDescent="0.3">
      <c r="A3850" s="3" t="s">
        <v>328</v>
      </c>
      <c r="B3850" s="3" t="s">
        <v>329</v>
      </c>
      <c r="C3850" s="8">
        <v>2020</v>
      </c>
      <c r="D3850" s="8">
        <v>9</v>
      </c>
      <c r="E3850" s="3" t="str">
        <f t="shared" si="120"/>
        <v>September</v>
      </c>
      <c r="F3850" s="3" t="s">
        <v>8</v>
      </c>
      <c r="G3850" s="8">
        <v>83.335876450000001</v>
      </c>
      <c r="H3850" s="8">
        <v>83.653999999999996</v>
      </c>
      <c r="I3850" s="8">
        <v>0.318123555</v>
      </c>
      <c r="J3850" s="8">
        <v>46.482261899999997</v>
      </c>
      <c r="K3850" s="8">
        <v>-38.423597170000001</v>
      </c>
      <c r="L3850" s="8">
        <v>141.6274497</v>
      </c>
      <c r="M3850" s="9" t="str">
        <f>IF(A3850="",M3851,A3850)</f>
        <v>Sao Tome and Principe</v>
      </c>
      <c r="N3850" s="3" t="str">
        <f t="shared" si="121"/>
        <v>Sep-2020</v>
      </c>
    </row>
    <row r="3851" spans="1:14" x14ac:dyDescent="0.3">
      <c r="A3851" s="3" t="s">
        <v>328</v>
      </c>
      <c r="B3851" s="3" t="s">
        <v>329</v>
      </c>
      <c r="C3851" s="8">
        <v>2020</v>
      </c>
      <c r="D3851" s="8">
        <v>10</v>
      </c>
      <c r="E3851" s="3" t="str">
        <f t="shared" si="120"/>
        <v>October</v>
      </c>
      <c r="F3851" s="3" t="s">
        <v>8</v>
      </c>
      <c r="G3851" s="8">
        <v>82.914160730000006</v>
      </c>
      <c r="H3851" s="8">
        <v>85.793000000000006</v>
      </c>
      <c r="I3851" s="8">
        <v>2.8788392730000001</v>
      </c>
      <c r="J3851" s="8">
        <v>49.361101169999998</v>
      </c>
      <c r="K3851" s="8">
        <v>-43.055422299999996</v>
      </c>
      <c r="L3851" s="8">
        <v>146.55521730000001</v>
      </c>
      <c r="M3851" s="9" t="str">
        <f>IF(A3851="",M3852,A3851)</f>
        <v>Sao Tome and Principe</v>
      </c>
      <c r="N3851" s="3" t="str">
        <f t="shared" si="121"/>
        <v>Oct-2020</v>
      </c>
    </row>
    <row r="3852" spans="1:14" x14ac:dyDescent="0.3">
      <c r="A3852" s="3" t="s">
        <v>328</v>
      </c>
      <c r="B3852" s="3" t="s">
        <v>329</v>
      </c>
      <c r="C3852" s="8">
        <v>2020</v>
      </c>
      <c r="D3852" s="8">
        <v>11</v>
      </c>
      <c r="E3852" s="3" t="str">
        <f t="shared" si="120"/>
        <v>November</v>
      </c>
      <c r="F3852" s="3" t="s">
        <v>8</v>
      </c>
      <c r="G3852" s="8">
        <v>82.633152100000004</v>
      </c>
      <c r="H3852" s="8">
        <v>86.052000000000007</v>
      </c>
      <c r="I3852" s="8">
        <v>3.4188478999999998</v>
      </c>
      <c r="J3852" s="8">
        <v>52.779949070000001</v>
      </c>
      <c r="K3852" s="8">
        <v>-45.483119850000001</v>
      </c>
      <c r="L3852" s="8">
        <v>155.74142649999999</v>
      </c>
      <c r="M3852" s="9" t="str">
        <f>IF(A3852="",M3853,A3852)</f>
        <v>Sao Tome and Principe</v>
      </c>
      <c r="N3852" s="3" t="str">
        <f t="shared" si="121"/>
        <v>Nov-2020</v>
      </c>
    </row>
    <row r="3853" spans="1:14" x14ac:dyDescent="0.3">
      <c r="A3853" s="3" t="s">
        <v>328</v>
      </c>
      <c r="B3853" s="3" t="s">
        <v>329</v>
      </c>
      <c r="C3853" s="8">
        <v>2020</v>
      </c>
      <c r="D3853" s="8">
        <v>12</v>
      </c>
      <c r="E3853" s="3" t="str">
        <f t="shared" si="120"/>
        <v>December</v>
      </c>
      <c r="F3853" s="3" t="s">
        <v>8</v>
      </c>
      <c r="G3853" s="8">
        <v>82.631228469999996</v>
      </c>
      <c r="H3853" s="8">
        <v>83.936999999999998</v>
      </c>
      <c r="I3853" s="8">
        <v>1.305771529</v>
      </c>
      <c r="J3853" s="8">
        <v>54.085720600000002</v>
      </c>
      <c r="K3853" s="8">
        <v>-50.400386150000003</v>
      </c>
      <c r="L3853" s="8">
        <v>163.1092663</v>
      </c>
      <c r="M3853" s="9" t="str">
        <f>IF(A3853="",M3854,A3853)</f>
        <v>Sao Tome and Principe</v>
      </c>
      <c r="N3853" s="3" t="str">
        <f t="shared" si="121"/>
        <v>Dec-2020</v>
      </c>
    </row>
    <row r="3854" spans="1:14" x14ac:dyDescent="0.3">
      <c r="A3854" s="3" t="s">
        <v>328</v>
      </c>
      <c r="B3854" s="3" t="s">
        <v>329</v>
      </c>
      <c r="C3854" s="8">
        <v>2021</v>
      </c>
      <c r="D3854" s="8">
        <v>1</v>
      </c>
      <c r="E3854" s="3" t="str">
        <f t="shared" si="120"/>
        <v>January</v>
      </c>
      <c r="F3854" s="3" t="s">
        <v>8</v>
      </c>
      <c r="G3854" s="8">
        <v>82.279864430000003</v>
      </c>
      <c r="H3854" s="8">
        <v>83.47</v>
      </c>
      <c r="I3854" s="8">
        <v>1.1901355739999999</v>
      </c>
      <c r="J3854" s="8">
        <v>55.275856169999997</v>
      </c>
      <c r="K3854" s="8">
        <v>-52.870643309999998</v>
      </c>
      <c r="L3854" s="8">
        <v>171.34707829999999</v>
      </c>
      <c r="M3854" s="9" t="str">
        <f>IF(A3854="",M3855,A3854)</f>
        <v>Sao Tome and Principe</v>
      </c>
      <c r="N3854" s="3" t="str">
        <f t="shared" si="121"/>
        <v>Jan-2021</v>
      </c>
    </row>
    <row r="3855" spans="1:14" x14ac:dyDescent="0.3">
      <c r="A3855" s="3" t="s">
        <v>328</v>
      </c>
      <c r="B3855" s="3" t="s">
        <v>329</v>
      </c>
      <c r="C3855" s="8">
        <v>2021</v>
      </c>
      <c r="D3855" s="8">
        <v>2</v>
      </c>
      <c r="E3855" s="3" t="str">
        <f t="shared" si="120"/>
        <v>February</v>
      </c>
      <c r="F3855" s="3" t="s">
        <v>8</v>
      </c>
      <c r="G3855" s="8">
        <v>82.305904709999993</v>
      </c>
      <c r="H3855" s="8">
        <v>101.914</v>
      </c>
      <c r="I3855" s="8">
        <v>19.608095290000001</v>
      </c>
      <c r="J3855" s="8">
        <v>74.88395147</v>
      </c>
      <c r="K3855" s="8">
        <v>-40.885798110000003</v>
      </c>
      <c r="L3855" s="8">
        <v>193.48600759999999</v>
      </c>
      <c r="M3855" s="9" t="str">
        <f>IF(A3855="",M3856,A3855)</f>
        <v>Sao Tome and Principe</v>
      </c>
      <c r="N3855" s="3" t="str">
        <f t="shared" si="121"/>
        <v>Feb-2021</v>
      </c>
    </row>
    <row r="3856" spans="1:14" x14ac:dyDescent="0.3">
      <c r="A3856" s="3" t="s">
        <v>328</v>
      </c>
      <c r="B3856" s="3" t="s">
        <v>329</v>
      </c>
      <c r="C3856" s="8">
        <v>2021</v>
      </c>
      <c r="D3856" s="8">
        <v>3</v>
      </c>
      <c r="E3856" s="3" t="str">
        <f t="shared" si="120"/>
        <v>March</v>
      </c>
      <c r="F3856" s="3" t="s">
        <v>8</v>
      </c>
      <c r="G3856" s="8">
        <v>82.537580599999998</v>
      </c>
      <c r="H3856" s="8">
        <v>98.38</v>
      </c>
      <c r="I3856" s="8">
        <v>15.842419400000001</v>
      </c>
      <c r="J3856" s="8">
        <v>90.726370869999997</v>
      </c>
      <c r="K3856" s="8">
        <v>-27.76608908</v>
      </c>
      <c r="L3856" s="8">
        <v>217.12128480000001</v>
      </c>
      <c r="M3856" s="9" t="str">
        <f>IF(A3856="",M3857,A3856)</f>
        <v>Sao Tome and Principe</v>
      </c>
      <c r="N3856" s="3" t="str">
        <f t="shared" si="121"/>
        <v>Mar-2021</v>
      </c>
    </row>
    <row r="3857" spans="1:14" x14ac:dyDescent="0.3">
      <c r="A3857" s="3" t="s">
        <v>328</v>
      </c>
      <c r="B3857" s="3" t="s">
        <v>329</v>
      </c>
      <c r="C3857" s="8">
        <v>2021</v>
      </c>
      <c r="D3857" s="8">
        <v>4</v>
      </c>
      <c r="E3857" s="3" t="str">
        <f t="shared" si="120"/>
        <v>April</v>
      </c>
      <c r="F3857" s="3" t="s">
        <v>8</v>
      </c>
      <c r="G3857" s="8">
        <v>82.519452799999996</v>
      </c>
      <c r="H3857" s="8">
        <v>85.954999999999998</v>
      </c>
      <c r="I3857" s="8">
        <v>3.4355471949999998</v>
      </c>
      <c r="J3857" s="8">
        <v>94.161918060000005</v>
      </c>
      <c r="K3857" s="8">
        <v>-31.37058613</v>
      </c>
      <c r="L3857" s="8">
        <v>220.8302013</v>
      </c>
      <c r="M3857" s="9" t="str">
        <f>IF(A3857="",M3858,A3857)</f>
        <v>Sao Tome and Principe</v>
      </c>
      <c r="N3857" s="3" t="str">
        <f t="shared" si="121"/>
        <v>Apr-2021</v>
      </c>
    </row>
    <row r="3858" spans="1:14" x14ac:dyDescent="0.3">
      <c r="A3858" s="3" t="s">
        <v>328</v>
      </c>
      <c r="B3858" s="3" t="s">
        <v>329</v>
      </c>
      <c r="C3858" s="8">
        <v>2021</v>
      </c>
      <c r="D3858" s="8">
        <v>5</v>
      </c>
      <c r="E3858" s="3" t="str">
        <f t="shared" si="120"/>
        <v>May</v>
      </c>
      <c r="F3858" s="3" t="s">
        <v>8</v>
      </c>
      <c r="G3858" s="8">
        <v>82.772842690000004</v>
      </c>
      <c r="H3858" s="8">
        <v>88.299000000000007</v>
      </c>
      <c r="I3858" s="8">
        <v>5.5261573100000003</v>
      </c>
      <c r="J3858" s="8">
        <v>99.688075370000007</v>
      </c>
      <c r="K3858" s="8">
        <v>-24.78155121</v>
      </c>
      <c r="L3858" s="8">
        <v>234.63327129999999</v>
      </c>
      <c r="M3858" s="9" t="str">
        <f>IF(A3858="",M3859,A3858)</f>
        <v>Sao Tome and Principe</v>
      </c>
      <c r="N3858" s="3" t="str">
        <f t="shared" si="121"/>
        <v>May-2021</v>
      </c>
    </row>
    <row r="3859" spans="1:14" x14ac:dyDescent="0.3">
      <c r="A3859" s="3" t="s">
        <v>328</v>
      </c>
      <c r="B3859" s="3" t="s">
        <v>329</v>
      </c>
      <c r="C3859" s="8">
        <v>2021</v>
      </c>
      <c r="D3859" s="8">
        <v>6</v>
      </c>
      <c r="E3859" s="3" t="str">
        <f t="shared" si="120"/>
        <v>June</v>
      </c>
      <c r="F3859" s="3" t="s">
        <v>8</v>
      </c>
      <c r="G3859" s="8">
        <v>83.542487019999996</v>
      </c>
      <c r="H3859" s="8">
        <v>81.635000000000005</v>
      </c>
      <c r="I3859" s="8">
        <v>-1.9074870180000001</v>
      </c>
      <c r="J3859" s="8">
        <v>97.780588350000002</v>
      </c>
      <c r="K3859" s="8">
        <v>-33.029255470000003</v>
      </c>
      <c r="L3859" s="8">
        <v>238.52345489999999</v>
      </c>
      <c r="M3859" s="9" t="str">
        <f>IF(A3859="",M3860,A3859)</f>
        <v>Sao Tome and Principe</v>
      </c>
      <c r="N3859" s="3" t="str">
        <f t="shared" si="121"/>
        <v>Jun-2021</v>
      </c>
    </row>
    <row r="3860" spans="1:14" x14ac:dyDescent="0.3">
      <c r="A3860" s="3" t="s">
        <v>328</v>
      </c>
      <c r="B3860" s="3" t="s">
        <v>329</v>
      </c>
      <c r="C3860" s="8">
        <v>2021</v>
      </c>
      <c r="D3860" s="8">
        <v>7</v>
      </c>
      <c r="E3860" s="3" t="str">
        <f t="shared" si="120"/>
        <v>July</v>
      </c>
      <c r="F3860" s="3" t="s">
        <v>8</v>
      </c>
      <c r="G3860" s="8">
        <v>84.007367459999998</v>
      </c>
      <c r="H3860" s="8">
        <v>83.551000000000002</v>
      </c>
      <c r="I3860" s="8">
        <v>-0.45636745899999998</v>
      </c>
      <c r="J3860" s="8">
        <v>97.324220890000007</v>
      </c>
      <c r="K3860" s="8">
        <v>-40.44646419</v>
      </c>
      <c r="L3860" s="8">
        <v>243.2834943</v>
      </c>
      <c r="M3860" s="9" t="str">
        <f>IF(A3860="",M3861,A3860)</f>
        <v>Sao Tome and Principe</v>
      </c>
      <c r="N3860" s="3" t="str">
        <f t="shared" si="121"/>
        <v>Jul-2021</v>
      </c>
    </row>
    <row r="3861" spans="1:14" x14ac:dyDescent="0.3">
      <c r="A3861" s="3" t="s">
        <v>328</v>
      </c>
      <c r="B3861" s="3" t="s">
        <v>329</v>
      </c>
      <c r="C3861" s="8">
        <v>2021</v>
      </c>
      <c r="D3861" s="8">
        <v>8</v>
      </c>
      <c r="E3861" s="3" t="str">
        <f t="shared" si="120"/>
        <v>August</v>
      </c>
      <c r="F3861" s="3" t="s">
        <v>8</v>
      </c>
      <c r="G3861" s="8">
        <v>83.834715579999994</v>
      </c>
      <c r="H3861" s="8">
        <v>81.597999999999999</v>
      </c>
      <c r="I3861" s="8">
        <v>-2.2367155759999999</v>
      </c>
      <c r="J3861" s="8">
        <v>95.087505320000005</v>
      </c>
      <c r="K3861" s="8">
        <v>-44.790523579999999</v>
      </c>
      <c r="L3861" s="8">
        <v>236.0205579</v>
      </c>
      <c r="M3861" s="9" t="str">
        <f>IF(A3861="",M3862,A3861)</f>
        <v>Sao Tome and Principe</v>
      </c>
      <c r="N3861" s="3" t="str">
        <f t="shared" si="121"/>
        <v>Aug-2021</v>
      </c>
    </row>
    <row r="3862" spans="1:14" x14ac:dyDescent="0.3">
      <c r="A3862" s="3" t="s">
        <v>328</v>
      </c>
      <c r="B3862" s="3" t="s">
        <v>329</v>
      </c>
      <c r="C3862" s="8">
        <v>2021</v>
      </c>
      <c r="D3862" s="8">
        <v>9</v>
      </c>
      <c r="E3862" s="3" t="str">
        <f t="shared" si="120"/>
        <v>September</v>
      </c>
      <c r="F3862" s="3" t="s">
        <v>8</v>
      </c>
      <c r="G3862" s="8">
        <v>83.374149650000007</v>
      </c>
      <c r="H3862" s="8">
        <v>101.429</v>
      </c>
      <c r="I3862" s="8">
        <v>18.054850349999999</v>
      </c>
      <c r="J3862" s="8">
        <v>113.1423557</v>
      </c>
      <c r="K3862" s="8">
        <v>-26.093908710000001</v>
      </c>
      <c r="L3862" s="8">
        <v>265.71918820000002</v>
      </c>
      <c r="M3862" s="9" t="str">
        <f>IF(A3862="",M3863,A3862)</f>
        <v>Sao Tome and Principe</v>
      </c>
      <c r="N3862" s="3" t="str">
        <f t="shared" si="121"/>
        <v>Sep-2021</v>
      </c>
    </row>
    <row r="3863" spans="1:14" x14ac:dyDescent="0.3">
      <c r="A3863" s="3" t="s">
        <v>328</v>
      </c>
      <c r="B3863" s="3" t="s">
        <v>329</v>
      </c>
      <c r="C3863" s="8">
        <v>2021</v>
      </c>
      <c r="D3863" s="8">
        <v>10</v>
      </c>
      <c r="E3863" s="3" t="str">
        <f t="shared" si="120"/>
        <v>October</v>
      </c>
      <c r="F3863" s="3" t="s">
        <v>8</v>
      </c>
      <c r="G3863" s="8">
        <v>83.203159020000001</v>
      </c>
      <c r="H3863" s="8">
        <v>92.650999999999996</v>
      </c>
      <c r="I3863" s="8">
        <v>9.4478409810000006</v>
      </c>
      <c r="J3863" s="8">
        <v>122.5901966</v>
      </c>
      <c r="K3863" s="8">
        <v>-17.023297790000001</v>
      </c>
      <c r="L3863" s="8">
        <v>276.54218650000001</v>
      </c>
      <c r="M3863" s="9" t="str">
        <f>IF(A3863="",M3864,A3863)</f>
        <v>Sao Tome and Principe</v>
      </c>
      <c r="N3863" s="3" t="str">
        <f t="shared" si="121"/>
        <v>Oct-2021</v>
      </c>
    </row>
    <row r="3864" spans="1:14" x14ac:dyDescent="0.3">
      <c r="A3864" s="3" t="s">
        <v>328</v>
      </c>
      <c r="B3864" s="3" t="s">
        <v>329</v>
      </c>
      <c r="C3864" s="8">
        <v>2021</v>
      </c>
      <c r="D3864" s="8">
        <v>11</v>
      </c>
      <c r="E3864" s="3" t="str">
        <f t="shared" si="120"/>
        <v>November</v>
      </c>
      <c r="F3864" s="3" t="s">
        <v>8</v>
      </c>
      <c r="G3864" s="8">
        <v>82.839327400000002</v>
      </c>
      <c r="H3864" s="8">
        <v>82.503</v>
      </c>
      <c r="I3864" s="8">
        <v>-0.33632739900000003</v>
      </c>
      <c r="J3864" s="8">
        <v>122.2538692</v>
      </c>
      <c r="K3864" s="8">
        <v>-19.87258976</v>
      </c>
      <c r="L3864" s="8">
        <v>275.36833810000002</v>
      </c>
      <c r="M3864" s="9" t="str">
        <f>IF(A3864="",M3865,A3864)</f>
        <v>Sao Tome and Principe</v>
      </c>
      <c r="N3864" s="3" t="str">
        <f t="shared" si="121"/>
        <v>Nov-2021</v>
      </c>
    </row>
    <row r="3865" spans="1:14" x14ac:dyDescent="0.3">
      <c r="A3865" s="3" t="s">
        <v>328</v>
      </c>
      <c r="B3865" s="3" t="s">
        <v>329</v>
      </c>
      <c r="C3865" s="8">
        <v>2021</v>
      </c>
      <c r="D3865" s="8">
        <v>12</v>
      </c>
      <c r="E3865" s="3" t="str">
        <f t="shared" si="120"/>
        <v>December</v>
      </c>
      <c r="F3865" s="3" t="s">
        <v>8</v>
      </c>
      <c r="G3865" s="8">
        <v>82.728551999999993</v>
      </c>
      <c r="H3865" s="8">
        <v>87.924999999999997</v>
      </c>
      <c r="I3865" s="8">
        <v>5.1964480049999997</v>
      </c>
      <c r="J3865" s="8">
        <v>127.45031729999999</v>
      </c>
      <c r="K3865" s="8">
        <v>-20.000251219999999</v>
      </c>
      <c r="L3865" s="8">
        <v>284.86246790000001</v>
      </c>
      <c r="M3865" s="9" t="str">
        <f>IF(A3865="",M3866,A3865)</f>
        <v>Sao Tome and Principe</v>
      </c>
      <c r="N3865" s="3" t="str">
        <f t="shared" si="121"/>
        <v>Dec-2021</v>
      </c>
    </row>
    <row r="3866" spans="1:14" x14ac:dyDescent="0.3">
      <c r="A3866" s="3" t="s">
        <v>330</v>
      </c>
      <c r="B3866" s="3" t="s">
        <v>331</v>
      </c>
      <c r="C3866" s="8">
        <v>2020</v>
      </c>
      <c r="D3866" s="8">
        <v>1</v>
      </c>
      <c r="E3866" s="3" t="str">
        <f t="shared" si="120"/>
        <v>January</v>
      </c>
      <c r="F3866" s="3" t="s">
        <v>13</v>
      </c>
      <c r="G3866" s="8">
        <v>356.81646389999997</v>
      </c>
      <c r="H3866" s="8">
        <v>365</v>
      </c>
      <c r="I3866" s="8">
        <v>8.1835360819999998</v>
      </c>
      <c r="J3866" s="8">
        <v>8.1835360819999998</v>
      </c>
      <c r="K3866" s="8">
        <v>-10.422570520000001</v>
      </c>
      <c r="L3866" s="8">
        <v>27.21859589</v>
      </c>
      <c r="M3866" s="9" t="str">
        <f>IF(A3866="",M3867,A3866)</f>
        <v>Suriname</v>
      </c>
      <c r="N3866" s="3" t="str">
        <f t="shared" si="121"/>
        <v>Jan-2020</v>
      </c>
    </row>
    <row r="3867" spans="1:14" x14ac:dyDescent="0.3">
      <c r="A3867" s="3" t="s">
        <v>330</v>
      </c>
      <c r="B3867" s="3" t="s">
        <v>331</v>
      </c>
      <c r="C3867" s="8">
        <v>2020</v>
      </c>
      <c r="D3867" s="8">
        <v>2</v>
      </c>
      <c r="E3867" s="3" t="str">
        <f t="shared" si="120"/>
        <v>February</v>
      </c>
      <c r="F3867" s="3" t="s">
        <v>13</v>
      </c>
      <c r="G3867" s="8">
        <v>357.01821310000003</v>
      </c>
      <c r="H3867" s="8">
        <v>387</v>
      </c>
      <c r="I3867" s="8">
        <v>29.981786899999999</v>
      </c>
      <c r="J3867" s="8">
        <v>38.165322979999999</v>
      </c>
      <c r="K3867" s="8">
        <v>13.94119115</v>
      </c>
      <c r="L3867" s="8">
        <v>63.149456409999999</v>
      </c>
      <c r="M3867" s="9" t="str">
        <f>IF(A3867="",M3868,A3867)</f>
        <v>Suriname</v>
      </c>
      <c r="N3867" s="3" t="str">
        <f t="shared" si="121"/>
        <v>Feb-2020</v>
      </c>
    </row>
    <row r="3868" spans="1:14" x14ac:dyDescent="0.3">
      <c r="A3868" s="3" t="s">
        <v>330</v>
      </c>
      <c r="B3868" s="3" t="s">
        <v>331</v>
      </c>
      <c r="C3868" s="8">
        <v>2020</v>
      </c>
      <c r="D3868" s="8">
        <v>3</v>
      </c>
      <c r="E3868" s="3" t="str">
        <f t="shared" si="120"/>
        <v>March</v>
      </c>
      <c r="F3868" s="3" t="s">
        <v>13</v>
      </c>
      <c r="G3868" s="8">
        <v>357.85952300000002</v>
      </c>
      <c r="H3868" s="8">
        <v>340</v>
      </c>
      <c r="I3868" s="8">
        <v>-17.85952296</v>
      </c>
      <c r="J3868" s="8">
        <v>20.30580003</v>
      </c>
      <c r="K3868" s="8">
        <v>-10.332758520000001</v>
      </c>
      <c r="L3868" s="8">
        <v>50.195353089999998</v>
      </c>
      <c r="M3868" s="9" t="str">
        <f>IF(A3868="",M3869,A3868)</f>
        <v>Suriname</v>
      </c>
      <c r="N3868" s="3" t="str">
        <f t="shared" si="121"/>
        <v>Mar-2020</v>
      </c>
    </row>
    <row r="3869" spans="1:14" x14ac:dyDescent="0.3">
      <c r="A3869" s="3" t="s">
        <v>330</v>
      </c>
      <c r="B3869" s="3" t="s">
        <v>331</v>
      </c>
      <c r="C3869" s="8">
        <v>2020</v>
      </c>
      <c r="D3869" s="8">
        <v>4</v>
      </c>
      <c r="E3869" s="3" t="str">
        <f t="shared" si="120"/>
        <v>April</v>
      </c>
      <c r="F3869" s="3" t="s">
        <v>13</v>
      </c>
      <c r="G3869" s="8">
        <v>357.7414402</v>
      </c>
      <c r="H3869" s="8">
        <v>314</v>
      </c>
      <c r="I3869" s="8">
        <v>-43.741440169999997</v>
      </c>
      <c r="J3869" s="8">
        <v>-23.435640150000001</v>
      </c>
      <c r="K3869" s="8">
        <v>-60.729967850000001</v>
      </c>
      <c r="L3869" s="8">
        <v>11.89357895</v>
      </c>
      <c r="M3869" s="9" t="str">
        <f>IF(A3869="",M3870,A3869)</f>
        <v>Suriname</v>
      </c>
      <c r="N3869" s="3" t="str">
        <f t="shared" si="121"/>
        <v>Apr-2020</v>
      </c>
    </row>
    <row r="3870" spans="1:14" x14ac:dyDescent="0.3">
      <c r="A3870" s="3" t="s">
        <v>330</v>
      </c>
      <c r="B3870" s="3" t="s">
        <v>331</v>
      </c>
      <c r="C3870" s="8">
        <v>2020</v>
      </c>
      <c r="D3870" s="8">
        <v>5</v>
      </c>
      <c r="E3870" s="3" t="str">
        <f t="shared" si="120"/>
        <v>May</v>
      </c>
      <c r="F3870" s="3" t="s">
        <v>13</v>
      </c>
      <c r="G3870" s="8">
        <v>358.334183</v>
      </c>
      <c r="H3870" s="8">
        <v>307</v>
      </c>
      <c r="I3870" s="8">
        <v>-51.334183000000003</v>
      </c>
      <c r="J3870" s="8">
        <v>-74.769823149999993</v>
      </c>
      <c r="K3870" s="8">
        <v>-115.80066979999999</v>
      </c>
      <c r="L3870" s="8">
        <v>-36.621477400000003</v>
      </c>
      <c r="M3870" s="9" t="str">
        <f>IF(A3870="",M3871,A3870)</f>
        <v>Suriname</v>
      </c>
      <c r="N3870" s="3" t="str">
        <f t="shared" si="121"/>
        <v>May-2020</v>
      </c>
    </row>
    <row r="3871" spans="1:14" x14ac:dyDescent="0.3">
      <c r="A3871" s="3" t="s">
        <v>330</v>
      </c>
      <c r="B3871" s="3" t="s">
        <v>331</v>
      </c>
      <c r="C3871" s="8">
        <v>2020</v>
      </c>
      <c r="D3871" s="8">
        <v>6</v>
      </c>
      <c r="E3871" s="3" t="str">
        <f t="shared" si="120"/>
        <v>June</v>
      </c>
      <c r="F3871" s="3" t="s">
        <v>13</v>
      </c>
      <c r="G3871" s="8">
        <v>359.62876729999999</v>
      </c>
      <c r="H3871" s="8">
        <v>363</v>
      </c>
      <c r="I3871" s="8">
        <v>3.3712326770000001</v>
      </c>
      <c r="J3871" s="8">
        <v>-71.398590470000002</v>
      </c>
      <c r="K3871" s="8">
        <v>-119.48587569999999</v>
      </c>
      <c r="L3871" s="8">
        <v>-27.48597642</v>
      </c>
      <c r="M3871" s="9" t="str">
        <f>IF(A3871="",M3872,A3871)</f>
        <v>Suriname</v>
      </c>
      <c r="N3871" s="3" t="str">
        <f t="shared" si="121"/>
        <v>Jun-2020</v>
      </c>
    </row>
    <row r="3872" spans="1:14" x14ac:dyDescent="0.3">
      <c r="A3872" s="3" t="s">
        <v>330</v>
      </c>
      <c r="B3872" s="3" t="s">
        <v>331</v>
      </c>
      <c r="C3872" s="8">
        <v>2020</v>
      </c>
      <c r="D3872" s="8">
        <v>7</v>
      </c>
      <c r="E3872" s="3" t="str">
        <f t="shared" si="120"/>
        <v>July</v>
      </c>
      <c r="F3872" s="3" t="s">
        <v>13</v>
      </c>
      <c r="G3872" s="8">
        <v>359.66106739999998</v>
      </c>
      <c r="H3872" s="8">
        <v>374</v>
      </c>
      <c r="I3872" s="8">
        <v>14.33893263</v>
      </c>
      <c r="J3872" s="8">
        <v>-57.05965784</v>
      </c>
      <c r="K3872" s="8">
        <v>-109.46591340000001</v>
      </c>
      <c r="L3872" s="8">
        <v>-8.9694416439999998</v>
      </c>
      <c r="M3872" s="9" t="str">
        <f>IF(A3872="",M3873,A3872)</f>
        <v>Suriname</v>
      </c>
      <c r="N3872" s="3" t="str">
        <f t="shared" si="121"/>
        <v>Jul-2020</v>
      </c>
    </row>
    <row r="3873" spans="1:14" x14ac:dyDescent="0.3">
      <c r="A3873" s="3" t="s">
        <v>330</v>
      </c>
      <c r="B3873" s="3" t="s">
        <v>331</v>
      </c>
      <c r="C3873" s="8">
        <v>2020</v>
      </c>
      <c r="D3873" s="8">
        <v>8</v>
      </c>
      <c r="E3873" s="3" t="str">
        <f t="shared" si="120"/>
        <v>August</v>
      </c>
      <c r="F3873" s="3" t="s">
        <v>13</v>
      </c>
      <c r="G3873" s="8">
        <v>360.17424460000001</v>
      </c>
      <c r="H3873" s="8">
        <v>440</v>
      </c>
      <c r="I3873" s="8">
        <v>79.825755419999993</v>
      </c>
      <c r="J3873" s="8">
        <v>22.76609758</v>
      </c>
      <c r="K3873" s="8">
        <v>-34.696652749999998</v>
      </c>
      <c r="L3873" s="8">
        <v>74.44075832</v>
      </c>
      <c r="M3873" s="9" t="str">
        <f>IF(A3873="",M3874,A3873)</f>
        <v>Suriname</v>
      </c>
      <c r="N3873" s="3" t="str">
        <f t="shared" si="121"/>
        <v>Aug-2020</v>
      </c>
    </row>
    <row r="3874" spans="1:14" x14ac:dyDescent="0.3">
      <c r="A3874" s="3" t="s">
        <v>330</v>
      </c>
      <c r="B3874" s="3" t="s">
        <v>331</v>
      </c>
      <c r="C3874" s="8">
        <v>2020</v>
      </c>
      <c r="D3874" s="8">
        <v>9</v>
      </c>
      <c r="E3874" s="3" t="str">
        <f t="shared" si="120"/>
        <v>September</v>
      </c>
      <c r="F3874" s="3" t="s">
        <v>13</v>
      </c>
      <c r="G3874" s="8">
        <v>360.87746800000002</v>
      </c>
      <c r="H3874" s="8">
        <v>402</v>
      </c>
      <c r="I3874" s="8">
        <v>41.122531979999998</v>
      </c>
      <c r="J3874" s="8">
        <v>63.888629559999998</v>
      </c>
      <c r="K3874" s="8">
        <v>5.3157431449999999</v>
      </c>
      <c r="L3874" s="8">
        <v>121.995105</v>
      </c>
      <c r="M3874" s="9" t="str">
        <f>IF(A3874="",M3875,A3874)</f>
        <v>Suriname</v>
      </c>
      <c r="N3874" s="3" t="str">
        <f t="shared" si="121"/>
        <v>Sep-2020</v>
      </c>
    </row>
    <row r="3875" spans="1:14" x14ac:dyDescent="0.3">
      <c r="A3875" s="3" t="s">
        <v>330</v>
      </c>
      <c r="B3875" s="3" t="s">
        <v>331</v>
      </c>
      <c r="C3875" s="8">
        <v>2020</v>
      </c>
      <c r="D3875" s="8">
        <v>10</v>
      </c>
      <c r="E3875" s="3" t="str">
        <f t="shared" si="120"/>
        <v>October</v>
      </c>
      <c r="F3875" s="3" t="s">
        <v>13</v>
      </c>
      <c r="G3875" s="8">
        <v>361.7308261</v>
      </c>
      <c r="H3875" s="8">
        <v>388</v>
      </c>
      <c r="I3875" s="8">
        <v>26.26917388</v>
      </c>
      <c r="J3875" s="8">
        <v>90.157803450000003</v>
      </c>
      <c r="K3875" s="8">
        <v>26.155056770000002</v>
      </c>
      <c r="L3875" s="8">
        <v>152.28578659999999</v>
      </c>
      <c r="M3875" s="9" t="str">
        <f>IF(A3875="",M3876,A3875)</f>
        <v>Suriname</v>
      </c>
      <c r="N3875" s="3" t="str">
        <f t="shared" si="121"/>
        <v>Oct-2020</v>
      </c>
    </row>
    <row r="3876" spans="1:14" x14ac:dyDescent="0.3">
      <c r="A3876" s="3" t="s">
        <v>330</v>
      </c>
      <c r="B3876" s="3" t="s">
        <v>331</v>
      </c>
      <c r="C3876" s="8">
        <v>2020</v>
      </c>
      <c r="D3876" s="8">
        <v>11</v>
      </c>
      <c r="E3876" s="3" t="str">
        <f t="shared" si="120"/>
        <v>November</v>
      </c>
      <c r="F3876" s="3" t="s">
        <v>13</v>
      </c>
      <c r="G3876" s="8">
        <v>361.81630619999999</v>
      </c>
      <c r="H3876" s="8">
        <v>342</v>
      </c>
      <c r="I3876" s="8">
        <v>-19.816306229999999</v>
      </c>
      <c r="J3876" s="8">
        <v>70.341497219999994</v>
      </c>
      <c r="K3876" s="8">
        <v>2.0397266890000001</v>
      </c>
      <c r="L3876" s="8">
        <v>140.93542149999999</v>
      </c>
      <c r="M3876" s="9" t="str">
        <f>IF(A3876="",M3877,A3876)</f>
        <v>Suriname</v>
      </c>
      <c r="N3876" s="3" t="str">
        <f t="shared" si="121"/>
        <v>Nov-2020</v>
      </c>
    </row>
    <row r="3877" spans="1:14" x14ac:dyDescent="0.3">
      <c r="A3877" s="3" t="s">
        <v>330</v>
      </c>
      <c r="B3877" s="3" t="s">
        <v>331</v>
      </c>
      <c r="C3877" s="8">
        <v>2020</v>
      </c>
      <c r="D3877" s="8">
        <v>12</v>
      </c>
      <c r="E3877" s="3" t="str">
        <f t="shared" si="120"/>
        <v>December</v>
      </c>
      <c r="F3877" s="3" t="s">
        <v>13</v>
      </c>
      <c r="G3877" s="8">
        <v>362.09529470000001</v>
      </c>
      <c r="H3877" s="8">
        <v>389</v>
      </c>
      <c r="I3877" s="8">
        <v>26.9047053</v>
      </c>
      <c r="J3877" s="8">
        <v>97.246202519999997</v>
      </c>
      <c r="K3877" s="8">
        <v>27.145409000000001</v>
      </c>
      <c r="L3877" s="8">
        <v>170.9651844</v>
      </c>
      <c r="M3877" s="9" t="str">
        <f>IF(A3877="",M3878,A3877)</f>
        <v>Suriname</v>
      </c>
      <c r="N3877" s="3" t="str">
        <f t="shared" si="121"/>
        <v>Dec-2020</v>
      </c>
    </row>
    <row r="3878" spans="1:14" x14ac:dyDescent="0.3">
      <c r="A3878" s="3" t="s">
        <v>330</v>
      </c>
      <c r="B3878" s="3" t="s">
        <v>331</v>
      </c>
      <c r="C3878" s="8">
        <v>2021</v>
      </c>
      <c r="D3878" s="8">
        <v>1</v>
      </c>
      <c r="E3878" s="3" t="str">
        <f t="shared" si="120"/>
        <v>January</v>
      </c>
      <c r="F3878" s="3" t="s">
        <v>13</v>
      </c>
      <c r="G3878" s="8">
        <v>362.66099320000001</v>
      </c>
      <c r="H3878" s="8">
        <v>426</v>
      </c>
      <c r="I3878" s="8">
        <v>63.339006820000002</v>
      </c>
      <c r="J3878" s="8">
        <v>160.5852093</v>
      </c>
      <c r="K3878" s="8">
        <v>86.165736190000004</v>
      </c>
      <c r="L3878" s="8">
        <v>237.5033147</v>
      </c>
      <c r="M3878" s="9" t="str">
        <f>IF(A3878="",M3879,A3878)</f>
        <v>Suriname</v>
      </c>
      <c r="N3878" s="3" t="str">
        <f t="shared" si="121"/>
        <v>Jan-2021</v>
      </c>
    </row>
    <row r="3879" spans="1:14" x14ac:dyDescent="0.3">
      <c r="A3879" s="3" t="s">
        <v>330</v>
      </c>
      <c r="B3879" s="3" t="s">
        <v>331</v>
      </c>
      <c r="C3879" s="8">
        <v>2021</v>
      </c>
      <c r="D3879" s="8">
        <v>2</v>
      </c>
      <c r="E3879" s="3" t="str">
        <f t="shared" si="120"/>
        <v>February</v>
      </c>
      <c r="F3879" s="3" t="s">
        <v>13</v>
      </c>
      <c r="G3879" s="8">
        <v>363.50398630000001</v>
      </c>
      <c r="H3879" s="8">
        <v>334</v>
      </c>
      <c r="I3879" s="8">
        <v>-29.503986340000001</v>
      </c>
      <c r="J3879" s="8">
        <v>131.08122299999999</v>
      </c>
      <c r="K3879" s="8">
        <v>55.951062589999999</v>
      </c>
      <c r="L3879" s="8">
        <v>209.61331029999999</v>
      </c>
      <c r="M3879" s="9" t="str">
        <f>IF(A3879="",M3880,A3879)</f>
        <v>Suriname</v>
      </c>
      <c r="N3879" s="3" t="str">
        <f t="shared" si="121"/>
        <v>Feb-2021</v>
      </c>
    </row>
    <row r="3880" spans="1:14" x14ac:dyDescent="0.3">
      <c r="A3880" s="3" t="s">
        <v>330</v>
      </c>
      <c r="B3880" s="3" t="s">
        <v>331</v>
      </c>
      <c r="C3880" s="8">
        <v>2021</v>
      </c>
      <c r="D3880" s="8">
        <v>3</v>
      </c>
      <c r="E3880" s="3" t="str">
        <f t="shared" si="120"/>
        <v>March</v>
      </c>
      <c r="F3880" s="3" t="s">
        <v>13</v>
      </c>
      <c r="G3880" s="8">
        <v>364.20529210000001</v>
      </c>
      <c r="H3880" s="8">
        <v>339</v>
      </c>
      <c r="I3880" s="8">
        <v>-25.20529209</v>
      </c>
      <c r="J3880" s="8">
        <v>105.8759309</v>
      </c>
      <c r="K3880" s="8">
        <v>24.353938060000001</v>
      </c>
      <c r="L3880" s="8">
        <v>186.588877</v>
      </c>
      <c r="M3880" s="9" t="str">
        <f>IF(A3880="",M3881,A3880)</f>
        <v>Suriname</v>
      </c>
      <c r="N3880" s="3" t="str">
        <f t="shared" si="121"/>
        <v>Mar-2021</v>
      </c>
    </row>
    <row r="3881" spans="1:14" x14ac:dyDescent="0.3">
      <c r="A3881" s="3" t="s">
        <v>330</v>
      </c>
      <c r="B3881" s="3" t="s">
        <v>331</v>
      </c>
      <c r="C3881" s="8">
        <v>2021</v>
      </c>
      <c r="D3881" s="8">
        <v>4</v>
      </c>
      <c r="E3881" s="3" t="str">
        <f t="shared" si="120"/>
        <v>April</v>
      </c>
      <c r="F3881" s="3" t="s">
        <v>13</v>
      </c>
      <c r="G3881" s="8">
        <v>363.9934288</v>
      </c>
      <c r="H3881" s="8">
        <v>353</v>
      </c>
      <c r="I3881" s="8">
        <v>-10.993428809999999</v>
      </c>
      <c r="J3881" s="8">
        <v>94.882502099999996</v>
      </c>
      <c r="K3881" s="8">
        <v>11.50712278</v>
      </c>
      <c r="L3881" s="8">
        <v>178.5758093</v>
      </c>
      <c r="M3881" s="9" t="str">
        <f>IF(A3881="",M3882,A3881)</f>
        <v>Suriname</v>
      </c>
      <c r="N3881" s="3" t="str">
        <f t="shared" si="121"/>
        <v>Apr-2021</v>
      </c>
    </row>
    <row r="3882" spans="1:14" x14ac:dyDescent="0.3">
      <c r="A3882" s="3" t="s">
        <v>330</v>
      </c>
      <c r="B3882" s="3" t="s">
        <v>331</v>
      </c>
      <c r="C3882" s="8">
        <v>2021</v>
      </c>
      <c r="D3882" s="8">
        <v>5</v>
      </c>
      <c r="E3882" s="3" t="str">
        <f t="shared" si="120"/>
        <v>May</v>
      </c>
      <c r="F3882" s="3" t="s">
        <v>13</v>
      </c>
      <c r="G3882" s="8">
        <v>365.1691002</v>
      </c>
      <c r="H3882" s="8">
        <v>552</v>
      </c>
      <c r="I3882" s="8">
        <v>186.8308998</v>
      </c>
      <c r="J3882" s="8">
        <v>281.71340190000001</v>
      </c>
      <c r="K3882" s="8">
        <v>195.19150060000001</v>
      </c>
      <c r="L3882" s="8">
        <v>370.9065622</v>
      </c>
      <c r="M3882" s="9" t="str">
        <f>IF(A3882="",M3883,A3882)</f>
        <v>Suriname</v>
      </c>
      <c r="N3882" s="3" t="str">
        <f t="shared" si="121"/>
        <v>May-2021</v>
      </c>
    </row>
    <row r="3883" spans="1:14" x14ac:dyDescent="0.3">
      <c r="A3883" s="3" t="s">
        <v>330</v>
      </c>
      <c r="B3883" s="3" t="s">
        <v>331</v>
      </c>
      <c r="C3883" s="8">
        <v>2021</v>
      </c>
      <c r="D3883" s="8">
        <v>6</v>
      </c>
      <c r="E3883" s="3" t="str">
        <f t="shared" si="120"/>
        <v>June</v>
      </c>
      <c r="F3883" s="3" t="s">
        <v>13</v>
      </c>
      <c r="G3883" s="8">
        <v>365.33510810000001</v>
      </c>
      <c r="H3883" s="8">
        <v>720</v>
      </c>
      <c r="I3883" s="8">
        <v>354.66489189999999</v>
      </c>
      <c r="J3883" s="8">
        <v>636.37829380000005</v>
      </c>
      <c r="K3883" s="8">
        <v>538.72232329999997</v>
      </c>
      <c r="L3883" s="8">
        <v>729.56097299999999</v>
      </c>
      <c r="M3883" s="9" t="str">
        <f>IF(A3883="",M3884,A3883)</f>
        <v>Suriname</v>
      </c>
      <c r="N3883" s="3" t="str">
        <f t="shared" si="121"/>
        <v>Jun-2021</v>
      </c>
    </row>
    <row r="3884" spans="1:14" x14ac:dyDescent="0.3">
      <c r="A3884" s="3" t="s">
        <v>330</v>
      </c>
      <c r="B3884" s="3" t="s">
        <v>331</v>
      </c>
      <c r="C3884" s="8">
        <v>2021</v>
      </c>
      <c r="D3884" s="8">
        <v>7</v>
      </c>
      <c r="E3884" s="3" t="str">
        <f t="shared" si="120"/>
        <v>July</v>
      </c>
      <c r="F3884" s="3" t="s">
        <v>13</v>
      </c>
      <c r="G3884" s="8">
        <v>366.45750329999998</v>
      </c>
      <c r="H3884" s="8">
        <v>601</v>
      </c>
      <c r="I3884" s="8">
        <v>234.54249669999999</v>
      </c>
      <c r="J3884" s="8">
        <v>870.92079060000003</v>
      </c>
      <c r="K3884" s="8">
        <v>773.82527600000003</v>
      </c>
      <c r="L3884" s="8">
        <v>971.36978190000002</v>
      </c>
      <c r="M3884" s="9" t="str">
        <f>IF(A3884="",M3885,A3884)</f>
        <v>Suriname</v>
      </c>
      <c r="N3884" s="3" t="str">
        <f t="shared" si="121"/>
        <v>Jul-2021</v>
      </c>
    </row>
    <row r="3885" spans="1:14" x14ac:dyDescent="0.3">
      <c r="A3885" s="3" t="s">
        <v>330</v>
      </c>
      <c r="B3885" s="3" t="s">
        <v>331</v>
      </c>
      <c r="C3885" s="8">
        <v>2021</v>
      </c>
      <c r="D3885" s="8">
        <v>8</v>
      </c>
      <c r="E3885" s="3" t="str">
        <f t="shared" si="120"/>
        <v>August</v>
      </c>
      <c r="F3885" s="3" t="s">
        <v>13</v>
      </c>
      <c r="G3885" s="8">
        <v>367.07760309999998</v>
      </c>
      <c r="H3885" s="8">
        <v>497</v>
      </c>
      <c r="I3885" s="8">
        <v>129.9223969</v>
      </c>
      <c r="J3885" s="8">
        <v>1000.8431869999999</v>
      </c>
      <c r="K3885" s="8">
        <v>904.41627319999998</v>
      </c>
      <c r="L3885" s="8">
        <v>1098.1163630000001</v>
      </c>
      <c r="M3885" s="9" t="str">
        <f>IF(A3885="",M3886,A3885)</f>
        <v>Suriname</v>
      </c>
      <c r="N3885" s="3" t="str">
        <f t="shared" si="121"/>
        <v>Aug-2021</v>
      </c>
    </row>
    <row r="3886" spans="1:14" x14ac:dyDescent="0.3">
      <c r="A3886" s="3" t="s">
        <v>330</v>
      </c>
      <c r="B3886" s="3" t="s">
        <v>331</v>
      </c>
      <c r="C3886" s="8">
        <v>2021</v>
      </c>
      <c r="D3886" s="8">
        <v>9</v>
      </c>
      <c r="E3886" s="3" t="str">
        <f t="shared" si="120"/>
        <v>September</v>
      </c>
      <c r="F3886" s="3" t="s">
        <v>13</v>
      </c>
      <c r="G3886" s="8">
        <v>366.4183572</v>
      </c>
      <c r="H3886" s="8">
        <v>677</v>
      </c>
      <c r="I3886" s="8">
        <v>310.5816428</v>
      </c>
      <c r="J3886" s="8">
        <v>1311.4248299999999</v>
      </c>
      <c r="K3886" s="8">
        <v>1210.7996439999999</v>
      </c>
      <c r="L3886" s="8">
        <v>1412.6089380000001</v>
      </c>
      <c r="M3886" s="9" t="str">
        <f>IF(A3886="",M3887,A3886)</f>
        <v>Suriname</v>
      </c>
      <c r="N3886" s="3" t="str">
        <f t="shared" si="121"/>
        <v>Sep-2021</v>
      </c>
    </row>
    <row r="3887" spans="1:14" x14ac:dyDescent="0.3">
      <c r="A3887" s="3" t="s">
        <v>330</v>
      </c>
      <c r="B3887" s="3" t="s">
        <v>331</v>
      </c>
      <c r="C3887" s="8">
        <v>2021</v>
      </c>
      <c r="D3887" s="8">
        <v>10</v>
      </c>
      <c r="E3887" s="3" t="str">
        <f t="shared" si="120"/>
        <v>October</v>
      </c>
      <c r="F3887" s="3" t="s">
        <v>13</v>
      </c>
      <c r="G3887" s="8">
        <v>367.46301190000003</v>
      </c>
      <c r="H3887" s="8">
        <v>733</v>
      </c>
      <c r="I3887" s="8">
        <v>365.53698809999997</v>
      </c>
      <c r="J3887" s="8">
        <v>1676.961818</v>
      </c>
      <c r="K3887" s="8">
        <v>1571.2575179999999</v>
      </c>
      <c r="L3887" s="8">
        <v>1784.084848</v>
      </c>
      <c r="M3887" s="9" t="str">
        <f>IF(A3887="",M3888,A3887)</f>
        <v>Suriname</v>
      </c>
      <c r="N3887" s="3" t="str">
        <f t="shared" si="121"/>
        <v>Oct-2021</v>
      </c>
    </row>
    <row r="3888" spans="1:14" x14ac:dyDescent="0.3">
      <c r="A3888" s="3" t="s">
        <v>330</v>
      </c>
      <c r="B3888" s="3" t="s">
        <v>331</v>
      </c>
      <c r="C3888" s="8">
        <v>2021</v>
      </c>
      <c r="D3888" s="8">
        <v>11</v>
      </c>
      <c r="E3888" s="3" t="str">
        <f t="shared" si="120"/>
        <v>November</v>
      </c>
      <c r="F3888" s="3" t="s">
        <v>13</v>
      </c>
      <c r="G3888" s="8">
        <v>367.84139649999997</v>
      </c>
      <c r="H3888" s="8">
        <v>496</v>
      </c>
      <c r="I3888" s="8">
        <v>128.1586035</v>
      </c>
      <c r="J3888" s="8">
        <v>1805.120422</v>
      </c>
      <c r="K3888" s="8">
        <v>1694.9617559999999</v>
      </c>
      <c r="L3888" s="8">
        <v>1917.8916200000001</v>
      </c>
      <c r="M3888" s="9" t="str">
        <f>IF(A3888="",M3889,A3888)</f>
        <v>Suriname</v>
      </c>
      <c r="N3888" s="3" t="str">
        <f t="shared" si="121"/>
        <v>Nov-2021</v>
      </c>
    </row>
    <row r="3889" spans="1:14" x14ac:dyDescent="0.3">
      <c r="A3889" s="3" t="s">
        <v>330</v>
      </c>
      <c r="B3889" s="3" t="s">
        <v>331</v>
      </c>
      <c r="C3889" s="8">
        <v>2021</v>
      </c>
      <c r="D3889" s="8">
        <v>12</v>
      </c>
      <c r="E3889" s="3" t="str">
        <f t="shared" si="120"/>
        <v>December</v>
      </c>
      <c r="F3889" s="3" t="s">
        <v>8</v>
      </c>
      <c r="G3889" s="8">
        <v>368.8014397</v>
      </c>
      <c r="H3889" s="8">
        <v>445.56599999999997</v>
      </c>
      <c r="I3889" s="8">
        <v>76.764560349999996</v>
      </c>
      <c r="J3889" s="8">
        <v>1881.884982</v>
      </c>
      <c r="K3889" s="8">
        <v>1719.201628</v>
      </c>
      <c r="L3889" s="8">
        <v>2057.677197</v>
      </c>
      <c r="M3889" s="9" t="str">
        <f>IF(A3889="",M3890,A3889)</f>
        <v>Suriname</v>
      </c>
      <c r="N3889" s="3" t="str">
        <f t="shared" si="121"/>
        <v>Dec-2021</v>
      </c>
    </row>
    <row r="3890" spans="1:14" x14ac:dyDescent="0.3">
      <c r="A3890" s="3" t="s">
        <v>332</v>
      </c>
      <c r="B3890" s="3" t="s">
        <v>333</v>
      </c>
      <c r="C3890" s="8">
        <v>2020</v>
      </c>
      <c r="D3890" s="8">
        <v>1</v>
      </c>
      <c r="E3890" s="3" t="str">
        <f t="shared" si="120"/>
        <v>January</v>
      </c>
      <c r="F3890" s="3" t="s">
        <v>13</v>
      </c>
      <c r="G3890" s="8">
        <v>4795.6702919999998</v>
      </c>
      <c r="H3890" s="8">
        <v>4991</v>
      </c>
      <c r="I3890" s="8">
        <v>195.24637419999999</v>
      </c>
      <c r="J3890" s="8">
        <v>195.24637419999999</v>
      </c>
      <c r="K3890" s="8">
        <v>-5.8624386939999997</v>
      </c>
      <c r="L3890" s="8">
        <v>386.98579489999997</v>
      </c>
      <c r="M3890" s="9" t="str">
        <f>IF(A3890="",M3891,A3890)</f>
        <v>Slovakia</v>
      </c>
      <c r="N3890" s="3" t="str">
        <f t="shared" si="121"/>
        <v>Jan-2020</v>
      </c>
    </row>
    <row r="3891" spans="1:14" x14ac:dyDescent="0.3">
      <c r="A3891" s="3" t="s">
        <v>332</v>
      </c>
      <c r="B3891" s="3" t="s">
        <v>333</v>
      </c>
      <c r="C3891" s="8">
        <v>2020</v>
      </c>
      <c r="D3891" s="8">
        <v>2</v>
      </c>
      <c r="E3891" s="3" t="str">
        <f t="shared" si="120"/>
        <v>February</v>
      </c>
      <c r="F3891" s="3" t="s">
        <v>13</v>
      </c>
      <c r="G3891" s="8">
        <v>4867.8094780000001</v>
      </c>
      <c r="H3891" s="8">
        <v>4690</v>
      </c>
      <c r="I3891" s="8">
        <v>-177.89281120000001</v>
      </c>
      <c r="J3891" s="8">
        <v>17.353562969999999</v>
      </c>
      <c r="K3891" s="8">
        <v>-289.92118640000001</v>
      </c>
      <c r="L3891" s="8">
        <v>311.2661579</v>
      </c>
      <c r="M3891" s="9" t="str">
        <f>IF(A3891="",M3892,A3891)</f>
        <v>Slovakia</v>
      </c>
      <c r="N3891" s="3" t="str">
        <f t="shared" si="121"/>
        <v>Feb-2020</v>
      </c>
    </row>
    <row r="3892" spans="1:14" x14ac:dyDescent="0.3">
      <c r="A3892" s="3" t="s">
        <v>332</v>
      </c>
      <c r="B3892" s="3" t="s">
        <v>333</v>
      </c>
      <c r="C3892" s="8">
        <v>2020</v>
      </c>
      <c r="D3892" s="8">
        <v>3</v>
      </c>
      <c r="E3892" s="3" t="str">
        <f t="shared" si="120"/>
        <v>March</v>
      </c>
      <c r="F3892" s="3" t="s">
        <v>13</v>
      </c>
      <c r="G3892" s="8">
        <v>4742.7625889999999</v>
      </c>
      <c r="H3892" s="8">
        <v>4995</v>
      </c>
      <c r="I3892" s="8">
        <v>252.15407740000001</v>
      </c>
      <c r="J3892" s="8">
        <v>269.50764040000001</v>
      </c>
      <c r="K3892" s="8">
        <v>-104.19798950000001</v>
      </c>
      <c r="L3892" s="8">
        <v>633.77125809999995</v>
      </c>
      <c r="M3892" s="9" t="str">
        <f>IF(A3892="",M3893,A3892)</f>
        <v>Slovakia</v>
      </c>
      <c r="N3892" s="3" t="str">
        <f t="shared" si="121"/>
        <v>Mar-2020</v>
      </c>
    </row>
    <row r="3893" spans="1:14" x14ac:dyDescent="0.3">
      <c r="A3893" s="3" t="s">
        <v>332</v>
      </c>
      <c r="B3893" s="3" t="s">
        <v>333</v>
      </c>
      <c r="C3893" s="8">
        <v>2020</v>
      </c>
      <c r="D3893" s="8">
        <v>4</v>
      </c>
      <c r="E3893" s="3" t="str">
        <f t="shared" si="120"/>
        <v>April</v>
      </c>
      <c r="F3893" s="3" t="s">
        <v>13</v>
      </c>
      <c r="G3893" s="8">
        <v>4424.8281509999997</v>
      </c>
      <c r="H3893" s="8">
        <v>4282</v>
      </c>
      <c r="I3893" s="8">
        <v>-142.91148469999999</v>
      </c>
      <c r="J3893" s="8">
        <v>126.5961557</v>
      </c>
      <c r="K3893" s="8">
        <v>-290.32166080000002</v>
      </c>
      <c r="L3893" s="8">
        <v>547.05128190000005</v>
      </c>
      <c r="M3893" s="9" t="str">
        <f>IF(A3893="",M3894,A3893)</f>
        <v>Slovakia</v>
      </c>
      <c r="N3893" s="3" t="str">
        <f t="shared" si="121"/>
        <v>Apr-2020</v>
      </c>
    </row>
    <row r="3894" spans="1:14" x14ac:dyDescent="0.3">
      <c r="A3894" s="3" t="s">
        <v>332</v>
      </c>
      <c r="B3894" s="3" t="s">
        <v>333</v>
      </c>
      <c r="C3894" s="8">
        <v>2020</v>
      </c>
      <c r="D3894" s="8">
        <v>5</v>
      </c>
      <c r="E3894" s="3" t="str">
        <f t="shared" si="120"/>
        <v>May</v>
      </c>
      <c r="F3894" s="3" t="s">
        <v>13</v>
      </c>
      <c r="G3894" s="8">
        <v>4203.7008150000001</v>
      </c>
      <c r="H3894" s="8">
        <v>4229</v>
      </c>
      <c r="I3894" s="8">
        <v>25.215851270000002</v>
      </c>
      <c r="J3894" s="8">
        <v>151.8120069</v>
      </c>
      <c r="K3894" s="8">
        <v>-327.77725659999999</v>
      </c>
      <c r="L3894" s="8">
        <v>600.99290310000004</v>
      </c>
      <c r="M3894" s="9" t="str">
        <f>IF(A3894="",M3895,A3894)</f>
        <v>Slovakia</v>
      </c>
      <c r="N3894" s="3" t="str">
        <f t="shared" si="121"/>
        <v>May-2020</v>
      </c>
    </row>
    <row r="3895" spans="1:14" x14ac:dyDescent="0.3">
      <c r="A3895" s="3" t="s">
        <v>332</v>
      </c>
      <c r="B3895" s="3" t="s">
        <v>333</v>
      </c>
      <c r="C3895" s="8">
        <v>2020</v>
      </c>
      <c r="D3895" s="8">
        <v>6</v>
      </c>
      <c r="E3895" s="3" t="str">
        <f t="shared" si="120"/>
        <v>June</v>
      </c>
      <c r="F3895" s="3" t="s">
        <v>13</v>
      </c>
      <c r="G3895" s="8">
        <v>4115.7165009999999</v>
      </c>
      <c r="H3895" s="8">
        <v>4057</v>
      </c>
      <c r="I3895" s="8">
        <v>-58.799834599999997</v>
      </c>
      <c r="J3895" s="8">
        <v>93.012172340000006</v>
      </c>
      <c r="K3895" s="8">
        <v>-431.45301940000002</v>
      </c>
      <c r="L3895" s="8">
        <v>581.39201600000001</v>
      </c>
      <c r="M3895" s="9" t="str">
        <f>IF(A3895="",M3896,A3895)</f>
        <v>Slovakia</v>
      </c>
      <c r="N3895" s="3" t="str">
        <f t="shared" si="121"/>
        <v>Jun-2020</v>
      </c>
    </row>
    <row r="3896" spans="1:14" x14ac:dyDescent="0.3">
      <c r="A3896" s="3" t="s">
        <v>332</v>
      </c>
      <c r="B3896" s="3" t="s">
        <v>333</v>
      </c>
      <c r="C3896" s="8">
        <v>2020</v>
      </c>
      <c r="D3896" s="8">
        <v>7</v>
      </c>
      <c r="E3896" s="3" t="str">
        <f t="shared" si="120"/>
        <v>July</v>
      </c>
      <c r="F3896" s="3" t="s">
        <v>13</v>
      </c>
      <c r="G3896" s="8">
        <v>4162.0853719999996</v>
      </c>
      <c r="H3896" s="8">
        <v>4276</v>
      </c>
      <c r="I3896" s="8">
        <v>113.83129479999999</v>
      </c>
      <c r="J3896" s="8">
        <v>206.8434671</v>
      </c>
      <c r="K3896" s="8">
        <v>-347.66608769999999</v>
      </c>
      <c r="L3896" s="8">
        <v>754.42440450000004</v>
      </c>
      <c r="M3896" s="9" t="str">
        <f>IF(A3896="",M3897,A3896)</f>
        <v>Slovakia</v>
      </c>
      <c r="N3896" s="3" t="str">
        <f t="shared" si="121"/>
        <v>Jul-2020</v>
      </c>
    </row>
    <row r="3897" spans="1:14" x14ac:dyDescent="0.3">
      <c r="A3897" s="3" t="s">
        <v>332</v>
      </c>
      <c r="B3897" s="3" t="s">
        <v>333</v>
      </c>
      <c r="C3897" s="8">
        <v>2020</v>
      </c>
      <c r="D3897" s="8">
        <v>8</v>
      </c>
      <c r="E3897" s="3" t="str">
        <f t="shared" si="120"/>
        <v>August</v>
      </c>
      <c r="F3897" s="3" t="s">
        <v>13</v>
      </c>
      <c r="G3897" s="8">
        <v>4182.3900030000004</v>
      </c>
      <c r="H3897" s="8">
        <v>4436</v>
      </c>
      <c r="I3897" s="8">
        <v>253.5266633</v>
      </c>
      <c r="J3897" s="8">
        <v>460.37013039999999</v>
      </c>
      <c r="K3897" s="8">
        <v>-134.0702297</v>
      </c>
      <c r="L3897" s="8">
        <v>1034.609402</v>
      </c>
      <c r="M3897" s="9" t="str">
        <f>IF(A3897="",M3898,A3897)</f>
        <v>Slovakia</v>
      </c>
      <c r="N3897" s="3" t="str">
        <f t="shared" si="121"/>
        <v>Aug-2020</v>
      </c>
    </row>
    <row r="3898" spans="1:14" x14ac:dyDescent="0.3">
      <c r="A3898" s="3" t="s">
        <v>332</v>
      </c>
      <c r="B3898" s="3" t="s">
        <v>333</v>
      </c>
      <c r="C3898" s="8">
        <v>2020</v>
      </c>
      <c r="D3898" s="8">
        <v>9</v>
      </c>
      <c r="E3898" s="3" t="str">
        <f t="shared" si="120"/>
        <v>September</v>
      </c>
      <c r="F3898" s="3" t="s">
        <v>13</v>
      </c>
      <c r="G3898" s="8">
        <v>4186.5935650000001</v>
      </c>
      <c r="H3898" s="8">
        <v>4327</v>
      </c>
      <c r="I3898" s="8">
        <v>140.32310129999999</v>
      </c>
      <c r="J3898" s="8">
        <v>600.69323169999996</v>
      </c>
      <c r="K3898" s="8">
        <v>-30.15823236</v>
      </c>
      <c r="L3898" s="8">
        <v>1252.969079</v>
      </c>
      <c r="M3898" s="9" t="str">
        <f>IF(A3898="",M3899,A3898)</f>
        <v>Slovakia</v>
      </c>
      <c r="N3898" s="3" t="str">
        <f t="shared" si="121"/>
        <v>Sep-2020</v>
      </c>
    </row>
    <row r="3899" spans="1:14" x14ac:dyDescent="0.3">
      <c r="A3899" s="3" t="s">
        <v>332</v>
      </c>
      <c r="B3899" s="3" t="s">
        <v>333</v>
      </c>
      <c r="C3899" s="8">
        <v>2020</v>
      </c>
      <c r="D3899" s="8">
        <v>10</v>
      </c>
      <c r="E3899" s="3" t="str">
        <f t="shared" si="120"/>
        <v>October</v>
      </c>
      <c r="F3899" s="3" t="s">
        <v>13</v>
      </c>
      <c r="G3899" s="8">
        <v>4288.5119949999998</v>
      </c>
      <c r="H3899" s="8">
        <v>5389</v>
      </c>
      <c r="I3899" s="8">
        <v>1100.404671</v>
      </c>
      <c r="J3899" s="8">
        <v>1701.0979030000001</v>
      </c>
      <c r="K3899" s="8">
        <v>1012.394928</v>
      </c>
      <c r="L3899" s="8">
        <v>2358.363319</v>
      </c>
      <c r="M3899" s="9" t="str">
        <f>IF(A3899="",M3900,A3899)</f>
        <v>Slovakia</v>
      </c>
      <c r="N3899" s="3" t="str">
        <f t="shared" si="121"/>
        <v>Oct-2020</v>
      </c>
    </row>
    <row r="3900" spans="1:14" x14ac:dyDescent="0.3">
      <c r="A3900" s="3" t="s">
        <v>332</v>
      </c>
      <c r="B3900" s="3" t="s">
        <v>333</v>
      </c>
      <c r="C3900" s="8">
        <v>2020</v>
      </c>
      <c r="D3900" s="8">
        <v>11</v>
      </c>
      <c r="E3900" s="3" t="str">
        <f t="shared" si="120"/>
        <v>November</v>
      </c>
      <c r="F3900" s="3" t="s">
        <v>13</v>
      </c>
      <c r="G3900" s="8">
        <v>4484.0214400000004</v>
      </c>
      <c r="H3900" s="8">
        <v>6051</v>
      </c>
      <c r="I3900" s="8">
        <v>1566.895227</v>
      </c>
      <c r="J3900" s="8">
        <v>3267.9931299999998</v>
      </c>
      <c r="K3900" s="8">
        <v>2561.8041870000002</v>
      </c>
      <c r="L3900" s="8">
        <v>3987.6832380000001</v>
      </c>
      <c r="M3900" s="9" t="str">
        <f>IF(A3900="",M3901,A3900)</f>
        <v>Slovakia</v>
      </c>
      <c r="N3900" s="3" t="str">
        <f t="shared" si="121"/>
        <v>Nov-2020</v>
      </c>
    </row>
    <row r="3901" spans="1:14" x14ac:dyDescent="0.3">
      <c r="A3901" s="3" t="s">
        <v>332</v>
      </c>
      <c r="B3901" s="3" t="s">
        <v>333</v>
      </c>
      <c r="C3901" s="8">
        <v>2020</v>
      </c>
      <c r="D3901" s="8">
        <v>12</v>
      </c>
      <c r="E3901" s="3" t="str">
        <f t="shared" si="120"/>
        <v>December</v>
      </c>
      <c r="F3901" s="3" t="s">
        <v>13</v>
      </c>
      <c r="G3901" s="8">
        <v>4784.3730560000004</v>
      </c>
      <c r="H3901" s="8">
        <v>7366</v>
      </c>
      <c r="I3901" s="8">
        <v>2581.5436110000001</v>
      </c>
      <c r="J3901" s="8">
        <v>5849.5367409999999</v>
      </c>
      <c r="K3901" s="8">
        <v>5104.6205300000001</v>
      </c>
      <c r="L3901" s="8">
        <v>6587.908015</v>
      </c>
      <c r="M3901" s="9" t="str">
        <f>IF(A3901="",M3902,A3901)</f>
        <v>Slovakia</v>
      </c>
      <c r="N3901" s="3" t="str">
        <f t="shared" si="121"/>
        <v>Dec-2020</v>
      </c>
    </row>
    <row r="3902" spans="1:14" x14ac:dyDescent="0.3">
      <c r="A3902" s="3" t="s">
        <v>332</v>
      </c>
      <c r="B3902" s="3" t="s">
        <v>333</v>
      </c>
      <c r="C3902" s="8">
        <v>2021</v>
      </c>
      <c r="D3902" s="8">
        <v>1</v>
      </c>
      <c r="E3902" s="3" t="str">
        <f t="shared" si="120"/>
        <v>January</v>
      </c>
      <c r="F3902" s="3" t="s">
        <v>13</v>
      </c>
      <c r="G3902" s="8">
        <v>4776.7904769999996</v>
      </c>
      <c r="H3902" s="8">
        <v>9081</v>
      </c>
      <c r="I3902" s="8">
        <v>4304.12619</v>
      </c>
      <c r="J3902" s="8">
        <v>10153.66293</v>
      </c>
      <c r="K3902" s="8">
        <v>9338.4322520000005</v>
      </c>
      <c r="L3902" s="8">
        <v>10931.531999999999</v>
      </c>
      <c r="M3902" s="9" t="str">
        <f>IF(A3902="",M3903,A3902)</f>
        <v>Slovakia</v>
      </c>
      <c r="N3902" s="3" t="str">
        <f t="shared" si="121"/>
        <v>Jan-2021</v>
      </c>
    </row>
    <row r="3903" spans="1:14" x14ac:dyDescent="0.3">
      <c r="A3903" s="3" t="s">
        <v>332</v>
      </c>
      <c r="B3903" s="3" t="s">
        <v>333</v>
      </c>
      <c r="C3903" s="8">
        <v>2021</v>
      </c>
      <c r="D3903" s="8">
        <v>2</v>
      </c>
      <c r="E3903" s="3" t="str">
        <f t="shared" si="120"/>
        <v>February</v>
      </c>
      <c r="F3903" s="3" t="s">
        <v>13</v>
      </c>
      <c r="G3903" s="8">
        <v>4864.4557850000001</v>
      </c>
      <c r="H3903" s="8">
        <v>8040</v>
      </c>
      <c r="I3903" s="8">
        <v>3175.460881</v>
      </c>
      <c r="J3903" s="8">
        <v>13329.123809999999</v>
      </c>
      <c r="K3903" s="8">
        <v>12512.361870000001</v>
      </c>
      <c r="L3903" s="8">
        <v>14127.8896</v>
      </c>
      <c r="M3903" s="9" t="str">
        <f>IF(A3903="",M3904,A3903)</f>
        <v>Slovakia</v>
      </c>
      <c r="N3903" s="3" t="str">
        <f t="shared" si="121"/>
        <v>Feb-2021</v>
      </c>
    </row>
    <row r="3904" spans="1:14" x14ac:dyDescent="0.3">
      <c r="A3904" s="3" t="s">
        <v>332</v>
      </c>
      <c r="B3904" s="3" t="s">
        <v>333</v>
      </c>
      <c r="C3904" s="8">
        <v>2021</v>
      </c>
      <c r="D3904" s="8">
        <v>3</v>
      </c>
      <c r="E3904" s="3" t="str">
        <f t="shared" si="120"/>
        <v>March</v>
      </c>
      <c r="F3904" s="3" t="s">
        <v>13</v>
      </c>
      <c r="G3904" s="8">
        <v>4736.3337499999998</v>
      </c>
      <c r="H3904" s="8">
        <v>7594</v>
      </c>
      <c r="I3904" s="8">
        <v>2857.5829170000002</v>
      </c>
      <c r="J3904" s="8">
        <v>16186.70673</v>
      </c>
      <c r="K3904" s="8">
        <v>15325.56489</v>
      </c>
      <c r="L3904" s="8">
        <v>17054.793529999999</v>
      </c>
      <c r="M3904" s="9" t="str">
        <f>IF(A3904="",M3905,A3904)</f>
        <v>Slovakia</v>
      </c>
      <c r="N3904" s="3" t="str">
        <f t="shared" si="121"/>
        <v>Mar-2021</v>
      </c>
    </row>
    <row r="3905" spans="1:14" x14ac:dyDescent="0.3">
      <c r="A3905" s="3" t="s">
        <v>332</v>
      </c>
      <c r="B3905" s="3" t="s">
        <v>333</v>
      </c>
      <c r="C3905" s="8">
        <v>2021</v>
      </c>
      <c r="D3905" s="8">
        <v>4</v>
      </c>
      <c r="E3905" s="3" t="str">
        <f t="shared" si="120"/>
        <v>April</v>
      </c>
      <c r="F3905" s="3" t="s">
        <v>13</v>
      </c>
      <c r="G3905" s="8">
        <v>4428.370938</v>
      </c>
      <c r="H3905" s="8">
        <v>5512</v>
      </c>
      <c r="I3905" s="8">
        <v>1083.5457289999999</v>
      </c>
      <c r="J3905" s="8">
        <v>17270.25246</v>
      </c>
      <c r="K3905" s="8">
        <v>16384.281579999999</v>
      </c>
      <c r="L3905" s="8">
        <v>18194.742829999999</v>
      </c>
      <c r="M3905" s="9" t="str">
        <f>IF(A3905="",M3906,A3905)</f>
        <v>Slovakia</v>
      </c>
      <c r="N3905" s="3" t="str">
        <f t="shared" si="121"/>
        <v>Apr-2021</v>
      </c>
    </row>
    <row r="3906" spans="1:14" x14ac:dyDescent="0.3">
      <c r="A3906" s="3" t="s">
        <v>332</v>
      </c>
      <c r="B3906" s="3" t="s">
        <v>333</v>
      </c>
      <c r="C3906" s="8">
        <v>2021</v>
      </c>
      <c r="D3906" s="8">
        <v>5</v>
      </c>
      <c r="E3906" s="3" t="str">
        <f t="shared" ref="E3906:E3969" si="122">TEXT(DATE(C3906,D3906,1),"MMMM")</f>
        <v>May</v>
      </c>
      <c r="F3906" s="3" t="s">
        <v>13</v>
      </c>
      <c r="G3906" s="8">
        <v>4197.2325520000004</v>
      </c>
      <c r="H3906" s="8">
        <v>4682</v>
      </c>
      <c r="I3906" s="8">
        <v>484.68411450000002</v>
      </c>
      <c r="J3906" s="8">
        <v>17754.936570000002</v>
      </c>
      <c r="K3906" s="8">
        <v>16829.977940000001</v>
      </c>
      <c r="L3906" s="8">
        <v>18702.227620000001</v>
      </c>
      <c r="M3906" s="9" t="str">
        <f>IF(A3906="",M3907,A3906)</f>
        <v>Slovakia</v>
      </c>
      <c r="N3906" s="3" t="str">
        <f t="shared" ref="N3906:N3969" si="123">TEXT(DATE(C3906,D3906,1),"MMM-YYYY")</f>
        <v>May-2021</v>
      </c>
    </row>
    <row r="3907" spans="1:14" x14ac:dyDescent="0.3">
      <c r="A3907" s="3" t="s">
        <v>332</v>
      </c>
      <c r="B3907" s="3" t="s">
        <v>333</v>
      </c>
      <c r="C3907" s="8">
        <v>2021</v>
      </c>
      <c r="D3907" s="8">
        <v>6</v>
      </c>
      <c r="E3907" s="3" t="str">
        <f t="shared" si="122"/>
        <v>June</v>
      </c>
      <c r="F3907" s="3" t="s">
        <v>13</v>
      </c>
      <c r="G3907" s="8">
        <v>4114.4926249999999</v>
      </c>
      <c r="H3907" s="8">
        <v>4450</v>
      </c>
      <c r="I3907" s="8">
        <v>335.42404140000002</v>
      </c>
      <c r="J3907" s="8">
        <v>18090.36061</v>
      </c>
      <c r="K3907" s="8">
        <v>17105.802810000001</v>
      </c>
      <c r="L3907" s="8">
        <v>19057.173299999999</v>
      </c>
      <c r="M3907" s="9" t="str">
        <f>IF(A3907="",M3908,A3907)</f>
        <v>Slovakia</v>
      </c>
      <c r="N3907" s="3" t="str">
        <f t="shared" si="123"/>
        <v>Jun-2021</v>
      </c>
    </row>
    <row r="3908" spans="1:14" x14ac:dyDescent="0.3">
      <c r="A3908" s="3" t="s">
        <v>332</v>
      </c>
      <c r="B3908" s="3" t="s">
        <v>333</v>
      </c>
      <c r="C3908" s="8">
        <v>2021</v>
      </c>
      <c r="D3908" s="8">
        <v>7</v>
      </c>
      <c r="E3908" s="3" t="str">
        <f t="shared" si="122"/>
        <v>July</v>
      </c>
      <c r="F3908" s="3" t="s">
        <v>13</v>
      </c>
      <c r="G3908" s="8">
        <v>4154.8059050000002</v>
      </c>
      <c r="H3908" s="8">
        <v>4298</v>
      </c>
      <c r="I3908" s="8">
        <v>143.11076120000001</v>
      </c>
      <c r="J3908" s="8">
        <v>18233.471369999999</v>
      </c>
      <c r="K3908" s="8">
        <v>17170.52016</v>
      </c>
      <c r="L3908" s="8">
        <v>19216.183059999999</v>
      </c>
      <c r="M3908" s="9" t="str">
        <f>IF(A3908="",M3909,A3908)</f>
        <v>Slovakia</v>
      </c>
      <c r="N3908" s="3" t="str">
        <f t="shared" si="123"/>
        <v>Jul-2021</v>
      </c>
    </row>
    <row r="3909" spans="1:14" x14ac:dyDescent="0.3">
      <c r="A3909" s="3" t="s">
        <v>332</v>
      </c>
      <c r="B3909" s="3" t="s">
        <v>333</v>
      </c>
      <c r="C3909" s="8">
        <v>2021</v>
      </c>
      <c r="D3909" s="8">
        <v>8</v>
      </c>
      <c r="E3909" s="3" t="str">
        <f t="shared" si="122"/>
        <v>August</v>
      </c>
      <c r="F3909" s="3" t="s">
        <v>13</v>
      </c>
      <c r="G3909" s="8">
        <v>4181.386254</v>
      </c>
      <c r="H3909" s="8">
        <v>4280</v>
      </c>
      <c r="I3909" s="8">
        <v>98.530413100000004</v>
      </c>
      <c r="J3909" s="8">
        <v>18332.001789999998</v>
      </c>
      <c r="K3909" s="8">
        <v>17226.12386</v>
      </c>
      <c r="L3909" s="8">
        <v>19364.77421</v>
      </c>
      <c r="M3909" s="9" t="str">
        <f>IF(A3909="",M3910,A3909)</f>
        <v>Slovakia</v>
      </c>
      <c r="N3909" s="3" t="str">
        <f t="shared" si="123"/>
        <v>Aug-2021</v>
      </c>
    </row>
    <row r="3910" spans="1:14" x14ac:dyDescent="0.3">
      <c r="A3910" s="3" t="s">
        <v>332</v>
      </c>
      <c r="B3910" s="3" t="s">
        <v>333</v>
      </c>
      <c r="C3910" s="8">
        <v>2021</v>
      </c>
      <c r="D3910" s="8">
        <v>9</v>
      </c>
      <c r="E3910" s="3" t="str">
        <f t="shared" si="122"/>
        <v>September</v>
      </c>
      <c r="F3910" s="3" t="s">
        <v>13</v>
      </c>
      <c r="G3910" s="8">
        <v>4187.0068330000004</v>
      </c>
      <c r="H3910" s="8">
        <v>4632</v>
      </c>
      <c r="I3910" s="8">
        <v>444.90983369999998</v>
      </c>
      <c r="J3910" s="8">
        <v>18776.911619999999</v>
      </c>
      <c r="K3910" s="8">
        <v>17660.731960000001</v>
      </c>
      <c r="L3910" s="8">
        <v>19820.298139999999</v>
      </c>
      <c r="M3910" s="9" t="str">
        <f>IF(A3910="",M3911,A3910)</f>
        <v>Slovakia</v>
      </c>
      <c r="N3910" s="3" t="str">
        <f t="shared" si="123"/>
        <v>Sep-2021</v>
      </c>
    </row>
    <row r="3911" spans="1:14" x14ac:dyDescent="0.3">
      <c r="A3911" s="3" t="s">
        <v>332</v>
      </c>
      <c r="B3911" s="3" t="s">
        <v>333</v>
      </c>
      <c r="C3911" s="8">
        <v>2021</v>
      </c>
      <c r="D3911" s="8">
        <v>10</v>
      </c>
      <c r="E3911" s="3" t="str">
        <f t="shared" si="122"/>
        <v>October</v>
      </c>
      <c r="F3911" s="3" t="s">
        <v>13</v>
      </c>
      <c r="G3911" s="8">
        <v>4283.6907650000003</v>
      </c>
      <c r="H3911" s="8">
        <v>5673</v>
      </c>
      <c r="I3911" s="8">
        <v>1389.2259019999999</v>
      </c>
      <c r="J3911" s="8">
        <v>20166.13752</v>
      </c>
      <c r="K3911" s="8">
        <v>19021.159350000002</v>
      </c>
      <c r="L3911" s="8">
        <v>21266.009870000002</v>
      </c>
      <c r="M3911" s="9" t="str">
        <f>IF(A3911="",M3912,A3911)</f>
        <v>Slovakia</v>
      </c>
      <c r="N3911" s="3" t="str">
        <f t="shared" si="123"/>
        <v>Oct-2021</v>
      </c>
    </row>
    <row r="3912" spans="1:14" x14ac:dyDescent="0.3">
      <c r="A3912" s="3" t="s">
        <v>332</v>
      </c>
      <c r="B3912" s="3" t="s">
        <v>333</v>
      </c>
      <c r="C3912" s="8">
        <v>2021</v>
      </c>
      <c r="D3912" s="8">
        <v>11</v>
      </c>
      <c r="E3912" s="3" t="str">
        <f t="shared" si="122"/>
        <v>November</v>
      </c>
      <c r="F3912" s="3" t="s">
        <v>13</v>
      </c>
      <c r="G3912" s="8">
        <v>4471.072717</v>
      </c>
      <c r="H3912" s="8">
        <v>7518</v>
      </c>
      <c r="I3912" s="8">
        <v>3046.8439499999999</v>
      </c>
      <c r="J3912" s="8">
        <v>23212.981469999999</v>
      </c>
      <c r="K3912" s="8">
        <v>22010.728729999999</v>
      </c>
      <c r="L3912" s="8">
        <v>24295.15223</v>
      </c>
      <c r="M3912" s="9" t="str">
        <f>IF(A3912="",M3913,A3912)</f>
        <v>Slovakia</v>
      </c>
      <c r="N3912" s="3" t="str">
        <f t="shared" si="123"/>
        <v>Nov-2021</v>
      </c>
    </row>
    <row r="3913" spans="1:14" x14ac:dyDescent="0.3">
      <c r="A3913" s="3" t="s">
        <v>332</v>
      </c>
      <c r="B3913" s="3" t="s">
        <v>333</v>
      </c>
      <c r="C3913" s="8">
        <v>2021</v>
      </c>
      <c r="D3913" s="8">
        <v>12</v>
      </c>
      <c r="E3913" s="3" t="str">
        <f t="shared" si="122"/>
        <v>December</v>
      </c>
      <c r="F3913" s="3" t="s">
        <v>13</v>
      </c>
      <c r="G3913" s="8">
        <v>4773.3555500000002</v>
      </c>
      <c r="H3913" s="8">
        <v>7701</v>
      </c>
      <c r="I3913" s="8">
        <v>2927.5611170000002</v>
      </c>
      <c r="J3913" s="8">
        <v>26140.542590000001</v>
      </c>
      <c r="K3913" s="8">
        <v>24957.310440000001</v>
      </c>
      <c r="L3913" s="8">
        <v>27252.439259999999</v>
      </c>
      <c r="M3913" s="9" t="str">
        <f>IF(A3913="",M3914,A3913)</f>
        <v>Slovakia</v>
      </c>
      <c r="N3913" s="3" t="str">
        <f t="shared" si="123"/>
        <v>Dec-2021</v>
      </c>
    </row>
    <row r="3914" spans="1:14" x14ac:dyDescent="0.3">
      <c r="A3914" s="3" t="s">
        <v>334</v>
      </c>
      <c r="B3914" s="3" t="s">
        <v>335</v>
      </c>
      <c r="C3914" s="8">
        <v>2020</v>
      </c>
      <c r="D3914" s="8">
        <v>1</v>
      </c>
      <c r="E3914" s="3" t="str">
        <f t="shared" si="122"/>
        <v>January</v>
      </c>
      <c r="F3914" s="3" t="s">
        <v>13</v>
      </c>
      <c r="G3914" s="8">
        <v>1933.8941219999999</v>
      </c>
      <c r="H3914" s="8">
        <v>2138</v>
      </c>
      <c r="I3914" s="8">
        <v>204.02254450000001</v>
      </c>
      <c r="J3914" s="8">
        <v>204.02254450000001</v>
      </c>
      <c r="K3914" s="8">
        <v>58.562658970000001</v>
      </c>
      <c r="L3914" s="8">
        <v>368.39647680000002</v>
      </c>
      <c r="M3914" s="9" t="str">
        <f>IF(A3914="",M3915,A3914)</f>
        <v>Slovenia</v>
      </c>
      <c r="N3914" s="3" t="str">
        <f t="shared" si="123"/>
        <v>Jan-2020</v>
      </c>
    </row>
    <row r="3915" spans="1:14" x14ac:dyDescent="0.3">
      <c r="A3915" s="3" t="s">
        <v>334</v>
      </c>
      <c r="B3915" s="3" t="s">
        <v>335</v>
      </c>
      <c r="C3915" s="8">
        <v>2020</v>
      </c>
      <c r="D3915" s="8">
        <v>2</v>
      </c>
      <c r="E3915" s="3" t="str">
        <f t="shared" si="122"/>
        <v>February</v>
      </c>
      <c r="F3915" s="3" t="s">
        <v>13</v>
      </c>
      <c r="G3915" s="8">
        <v>1989.8208340000001</v>
      </c>
      <c r="H3915" s="8">
        <v>1969</v>
      </c>
      <c r="I3915" s="8">
        <v>-20.904167739999998</v>
      </c>
      <c r="J3915" s="8">
        <v>183.11837679999999</v>
      </c>
      <c r="K3915" s="8">
        <v>-50.537832330000001</v>
      </c>
      <c r="L3915" s="8">
        <v>425.87784540000001</v>
      </c>
      <c r="M3915" s="9" t="str">
        <f>IF(A3915="",M3916,A3915)</f>
        <v>Slovenia</v>
      </c>
      <c r="N3915" s="3" t="str">
        <f t="shared" si="123"/>
        <v>Feb-2020</v>
      </c>
    </row>
    <row r="3916" spans="1:14" x14ac:dyDescent="0.3">
      <c r="A3916" s="3" t="s">
        <v>334</v>
      </c>
      <c r="B3916" s="3" t="s">
        <v>335</v>
      </c>
      <c r="C3916" s="8">
        <v>2020</v>
      </c>
      <c r="D3916" s="8">
        <v>3</v>
      </c>
      <c r="E3916" s="3" t="str">
        <f t="shared" si="122"/>
        <v>March</v>
      </c>
      <c r="F3916" s="3" t="s">
        <v>13</v>
      </c>
      <c r="G3916" s="8">
        <v>1990.6281280000001</v>
      </c>
      <c r="H3916" s="8">
        <v>1860</v>
      </c>
      <c r="I3916" s="8">
        <v>-130.71146100000001</v>
      </c>
      <c r="J3916" s="8">
        <v>52.406915779999999</v>
      </c>
      <c r="K3916" s="8">
        <v>-244.4397223</v>
      </c>
      <c r="L3916" s="8">
        <v>335.55724500000002</v>
      </c>
      <c r="M3916" s="9" t="str">
        <f>IF(A3916="",M3917,A3916)</f>
        <v>Slovenia</v>
      </c>
      <c r="N3916" s="3" t="str">
        <f t="shared" si="123"/>
        <v>Mar-2020</v>
      </c>
    </row>
    <row r="3917" spans="1:14" x14ac:dyDescent="0.3">
      <c r="A3917" s="3" t="s">
        <v>334</v>
      </c>
      <c r="B3917" s="3" t="s">
        <v>335</v>
      </c>
      <c r="C3917" s="8">
        <v>2020</v>
      </c>
      <c r="D3917" s="8">
        <v>4</v>
      </c>
      <c r="E3917" s="3" t="str">
        <f t="shared" si="122"/>
        <v>April</v>
      </c>
      <c r="F3917" s="3" t="s">
        <v>13</v>
      </c>
      <c r="G3917" s="8">
        <v>1960.4386750000001</v>
      </c>
      <c r="H3917" s="8">
        <v>1692</v>
      </c>
      <c r="I3917" s="8">
        <v>-268.52200850000003</v>
      </c>
      <c r="J3917" s="8">
        <v>-216.11509280000001</v>
      </c>
      <c r="K3917" s="8">
        <v>-587.01872179999998</v>
      </c>
      <c r="L3917" s="8">
        <v>113.69509600000001</v>
      </c>
      <c r="M3917" s="9" t="str">
        <f>IF(A3917="",M3918,A3917)</f>
        <v>Slovenia</v>
      </c>
      <c r="N3917" s="3" t="str">
        <f t="shared" si="123"/>
        <v>Apr-2020</v>
      </c>
    </row>
    <row r="3918" spans="1:14" x14ac:dyDescent="0.3">
      <c r="A3918" s="3" t="s">
        <v>334</v>
      </c>
      <c r="B3918" s="3" t="s">
        <v>335</v>
      </c>
      <c r="C3918" s="8">
        <v>2020</v>
      </c>
      <c r="D3918" s="8">
        <v>5</v>
      </c>
      <c r="E3918" s="3" t="str">
        <f t="shared" si="122"/>
        <v>May</v>
      </c>
      <c r="F3918" s="3" t="s">
        <v>13</v>
      </c>
      <c r="G3918" s="8">
        <v>1916.5893040000001</v>
      </c>
      <c r="H3918" s="8">
        <v>1780</v>
      </c>
      <c r="I3918" s="8">
        <v>-136.6726372</v>
      </c>
      <c r="J3918" s="8">
        <v>-352.78773000000001</v>
      </c>
      <c r="K3918" s="8">
        <v>-755.30685000000005</v>
      </c>
      <c r="L3918" s="8">
        <v>20.91316934</v>
      </c>
      <c r="M3918" s="9" t="str">
        <f>IF(A3918="",M3919,A3918)</f>
        <v>Slovenia</v>
      </c>
      <c r="N3918" s="3" t="str">
        <f t="shared" si="123"/>
        <v>May-2020</v>
      </c>
    </row>
    <row r="3919" spans="1:14" x14ac:dyDescent="0.3">
      <c r="A3919" s="3" t="s">
        <v>334</v>
      </c>
      <c r="B3919" s="3" t="s">
        <v>335</v>
      </c>
      <c r="C3919" s="8">
        <v>2020</v>
      </c>
      <c r="D3919" s="8">
        <v>6</v>
      </c>
      <c r="E3919" s="3" t="str">
        <f t="shared" si="122"/>
        <v>June</v>
      </c>
      <c r="F3919" s="3" t="s">
        <v>13</v>
      </c>
      <c r="G3919" s="8">
        <v>1861.5257349999999</v>
      </c>
      <c r="H3919" s="8">
        <v>1493</v>
      </c>
      <c r="I3919" s="8">
        <v>-368.60906829999999</v>
      </c>
      <c r="J3919" s="8">
        <v>-721.3967983</v>
      </c>
      <c r="K3919" s="8">
        <v>-1173.96913</v>
      </c>
      <c r="L3919" s="8">
        <v>-301.29187619999999</v>
      </c>
      <c r="M3919" s="9" t="str">
        <f>IF(A3919="",M3920,A3919)</f>
        <v>Slovenia</v>
      </c>
      <c r="N3919" s="3" t="str">
        <f t="shared" si="123"/>
        <v>Jun-2020</v>
      </c>
    </row>
    <row r="3920" spans="1:14" x14ac:dyDescent="0.3">
      <c r="A3920" s="3" t="s">
        <v>334</v>
      </c>
      <c r="B3920" s="3" t="s">
        <v>335</v>
      </c>
      <c r="C3920" s="8">
        <v>2020</v>
      </c>
      <c r="D3920" s="8">
        <v>7</v>
      </c>
      <c r="E3920" s="3" t="str">
        <f t="shared" si="122"/>
        <v>July</v>
      </c>
      <c r="F3920" s="3" t="s">
        <v>13</v>
      </c>
      <c r="G3920" s="8">
        <v>1788.9455620000001</v>
      </c>
      <c r="H3920" s="8">
        <v>1749</v>
      </c>
      <c r="I3920" s="8">
        <v>-40.028895060000004</v>
      </c>
      <c r="J3920" s="8">
        <v>-761.4256934</v>
      </c>
      <c r="K3920" s="8">
        <v>-1243.6719929999999</v>
      </c>
      <c r="L3920" s="8">
        <v>-292.31806089999998</v>
      </c>
      <c r="M3920" s="9" t="str">
        <f>IF(A3920="",M3921,A3920)</f>
        <v>Slovenia</v>
      </c>
      <c r="N3920" s="3" t="str">
        <f t="shared" si="123"/>
        <v>Jul-2020</v>
      </c>
    </row>
    <row r="3921" spans="1:14" x14ac:dyDescent="0.3">
      <c r="A3921" s="3" t="s">
        <v>334</v>
      </c>
      <c r="B3921" s="3" t="s">
        <v>335</v>
      </c>
      <c r="C3921" s="8">
        <v>2020</v>
      </c>
      <c r="D3921" s="8">
        <v>8</v>
      </c>
      <c r="E3921" s="3" t="str">
        <f t="shared" si="122"/>
        <v>August</v>
      </c>
      <c r="F3921" s="3" t="s">
        <v>13</v>
      </c>
      <c r="G3921" s="8">
        <v>1739.260415</v>
      </c>
      <c r="H3921" s="8">
        <v>1667</v>
      </c>
      <c r="I3921" s="8">
        <v>-72.343748149999996</v>
      </c>
      <c r="J3921" s="8">
        <v>-833.76944160000005</v>
      </c>
      <c r="K3921" s="8">
        <v>-1346.771802</v>
      </c>
      <c r="L3921" s="8">
        <v>-339.47496560000002</v>
      </c>
      <c r="M3921" s="9" t="str">
        <f>IF(A3921="",M3922,A3921)</f>
        <v>Slovenia</v>
      </c>
      <c r="N3921" s="3" t="str">
        <f t="shared" si="123"/>
        <v>Aug-2020</v>
      </c>
    </row>
    <row r="3922" spans="1:14" x14ac:dyDescent="0.3">
      <c r="A3922" s="3" t="s">
        <v>334</v>
      </c>
      <c r="B3922" s="3" t="s">
        <v>335</v>
      </c>
      <c r="C3922" s="8">
        <v>2020</v>
      </c>
      <c r="D3922" s="8">
        <v>9</v>
      </c>
      <c r="E3922" s="3" t="str">
        <f t="shared" si="122"/>
        <v>September</v>
      </c>
      <c r="F3922" s="3" t="s">
        <v>13</v>
      </c>
      <c r="G3922" s="8">
        <v>1749.3819619999999</v>
      </c>
      <c r="H3922" s="8">
        <v>1663</v>
      </c>
      <c r="I3922" s="8">
        <v>-86.465295620000006</v>
      </c>
      <c r="J3922" s="8">
        <v>-920.23473720000004</v>
      </c>
      <c r="K3922" s="8">
        <v>-1451.6787039999999</v>
      </c>
      <c r="L3922" s="8">
        <v>-405.45051999999998</v>
      </c>
      <c r="M3922" s="9" t="str">
        <f>IF(A3922="",M3923,A3922)</f>
        <v>Slovenia</v>
      </c>
      <c r="N3922" s="3" t="str">
        <f t="shared" si="123"/>
        <v>Sep-2020</v>
      </c>
    </row>
    <row r="3923" spans="1:14" x14ac:dyDescent="0.3">
      <c r="A3923" s="3" t="s">
        <v>334</v>
      </c>
      <c r="B3923" s="3" t="s">
        <v>335</v>
      </c>
      <c r="C3923" s="8">
        <v>2020</v>
      </c>
      <c r="D3923" s="8">
        <v>10</v>
      </c>
      <c r="E3923" s="3" t="str">
        <f t="shared" si="122"/>
        <v>October</v>
      </c>
      <c r="F3923" s="3" t="s">
        <v>13</v>
      </c>
      <c r="G3923" s="8">
        <v>1806.384763</v>
      </c>
      <c r="H3923" s="8">
        <v>1929</v>
      </c>
      <c r="I3923" s="8">
        <v>122.5319037</v>
      </c>
      <c r="J3923" s="8">
        <v>-797.7028335</v>
      </c>
      <c r="K3923" s="8">
        <v>-1342.9150239999999</v>
      </c>
      <c r="L3923" s="8">
        <v>-241.93330320000001</v>
      </c>
      <c r="M3923" s="9" t="str">
        <f>IF(A3923="",M3924,A3923)</f>
        <v>Slovenia</v>
      </c>
      <c r="N3923" s="3" t="str">
        <f t="shared" si="123"/>
        <v>Oct-2020</v>
      </c>
    </row>
    <row r="3924" spans="1:14" x14ac:dyDescent="0.3">
      <c r="A3924" s="3" t="s">
        <v>334</v>
      </c>
      <c r="B3924" s="3" t="s">
        <v>335</v>
      </c>
      <c r="C3924" s="8">
        <v>2020</v>
      </c>
      <c r="D3924" s="8">
        <v>11</v>
      </c>
      <c r="E3924" s="3" t="str">
        <f t="shared" si="122"/>
        <v>November</v>
      </c>
      <c r="F3924" s="3" t="s">
        <v>13</v>
      </c>
      <c r="G3924" s="8">
        <v>1903.408052</v>
      </c>
      <c r="H3924" s="8">
        <v>2927</v>
      </c>
      <c r="I3924" s="8">
        <v>1023.508614</v>
      </c>
      <c r="J3924" s="8">
        <v>225.80578070000001</v>
      </c>
      <c r="K3924" s="8">
        <v>-372.1092529</v>
      </c>
      <c r="L3924" s="8">
        <v>790.3118925</v>
      </c>
      <c r="M3924" s="9" t="str">
        <f>IF(A3924="",M3925,A3924)</f>
        <v>Slovenia</v>
      </c>
      <c r="N3924" s="3" t="str">
        <f t="shared" si="123"/>
        <v>Nov-2020</v>
      </c>
    </row>
    <row r="3925" spans="1:14" x14ac:dyDescent="0.3">
      <c r="A3925" s="3" t="s">
        <v>334</v>
      </c>
      <c r="B3925" s="3" t="s">
        <v>335</v>
      </c>
      <c r="C3925" s="8">
        <v>2020</v>
      </c>
      <c r="D3925" s="8">
        <v>12</v>
      </c>
      <c r="E3925" s="3" t="str">
        <f t="shared" si="122"/>
        <v>December</v>
      </c>
      <c r="F3925" s="3" t="s">
        <v>13</v>
      </c>
      <c r="G3925" s="8">
        <v>2000.824241</v>
      </c>
      <c r="H3925" s="8">
        <v>3093</v>
      </c>
      <c r="I3925" s="8">
        <v>1092.0924259999999</v>
      </c>
      <c r="J3925" s="8">
        <v>1317.8982060000001</v>
      </c>
      <c r="K3925" s="8">
        <v>685.12054339999997</v>
      </c>
      <c r="L3925" s="8">
        <v>1911.7002170000001</v>
      </c>
      <c r="M3925" s="9" t="str">
        <f>IF(A3925="",M3926,A3925)</f>
        <v>Slovenia</v>
      </c>
      <c r="N3925" s="3" t="str">
        <f t="shared" si="123"/>
        <v>Dec-2020</v>
      </c>
    </row>
    <row r="3926" spans="1:14" x14ac:dyDescent="0.3">
      <c r="A3926" s="3" t="s">
        <v>334</v>
      </c>
      <c r="B3926" s="3" t="s">
        <v>335</v>
      </c>
      <c r="C3926" s="8">
        <v>2021</v>
      </c>
      <c r="D3926" s="8">
        <v>1</v>
      </c>
      <c r="E3926" s="3" t="str">
        <f t="shared" si="122"/>
        <v>January</v>
      </c>
      <c r="F3926" s="3" t="s">
        <v>13</v>
      </c>
      <c r="G3926" s="8">
        <v>2008.9812340000001</v>
      </c>
      <c r="H3926" s="8">
        <v>3006</v>
      </c>
      <c r="I3926" s="8">
        <v>997.01876619999996</v>
      </c>
      <c r="J3926" s="8">
        <v>2314.9169729999999</v>
      </c>
      <c r="K3926" s="8">
        <v>1681.1132749999999</v>
      </c>
      <c r="L3926" s="8">
        <v>2924.8179879999998</v>
      </c>
      <c r="M3926" s="9" t="str">
        <f>IF(A3926="",M3927,A3926)</f>
        <v>Slovenia</v>
      </c>
      <c r="N3926" s="3" t="str">
        <f t="shared" si="123"/>
        <v>Jan-2021</v>
      </c>
    </row>
    <row r="3927" spans="1:14" x14ac:dyDescent="0.3">
      <c r="A3927" s="3" t="s">
        <v>334</v>
      </c>
      <c r="B3927" s="3" t="s">
        <v>335</v>
      </c>
      <c r="C3927" s="8">
        <v>2021</v>
      </c>
      <c r="D3927" s="8">
        <v>2</v>
      </c>
      <c r="E3927" s="3" t="str">
        <f t="shared" si="122"/>
        <v>February</v>
      </c>
      <c r="F3927" s="3" t="s">
        <v>13</v>
      </c>
      <c r="G3927" s="8">
        <v>2072.391059</v>
      </c>
      <c r="H3927" s="8">
        <v>1963</v>
      </c>
      <c r="I3927" s="8">
        <v>-109.3910585</v>
      </c>
      <c r="J3927" s="8">
        <v>2205.5259139999998</v>
      </c>
      <c r="K3927" s="8">
        <v>1546.399823</v>
      </c>
      <c r="L3927" s="8">
        <v>2821.735103</v>
      </c>
      <c r="M3927" s="9" t="str">
        <f>IF(A3927="",M3928,A3927)</f>
        <v>Slovenia</v>
      </c>
      <c r="N3927" s="3" t="str">
        <f t="shared" si="123"/>
        <v>Feb-2021</v>
      </c>
    </row>
    <row r="3928" spans="1:14" x14ac:dyDescent="0.3">
      <c r="A3928" s="3" t="s">
        <v>334</v>
      </c>
      <c r="B3928" s="3" t="s">
        <v>335</v>
      </c>
      <c r="C3928" s="8">
        <v>2021</v>
      </c>
      <c r="D3928" s="8">
        <v>3</v>
      </c>
      <c r="E3928" s="3" t="str">
        <f t="shared" si="122"/>
        <v>March</v>
      </c>
      <c r="F3928" s="3" t="s">
        <v>13</v>
      </c>
      <c r="G3928" s="8">
        <v>2070.087141</v>
      </c>
      <c r="H3928" s="8">
        <v>1996</v>
      </c>
      <c r="I3928" s="8">
        <v>-74.087141119999998</v>
      </c>
      <c r="J3928" s="8">
        <v>2131.4387729999999</v>
      </c>
      <c r="K3928" s="8">
        <v>1417.820829</v>
      </c>
      <c r="L3928" s="8">
        <v>2785.5105819999999</v>
      </c>
      <c r="M3928" s="9" t="str">
        <f>IF(A3928="",M3929,A3928)</f>
        <v>Slovenia</v>
      </c>
      <c r="N3928" s="3" t="str">
        <f t="shared" si="123"/>
        <v>Mar-2021</v>
      </c>
    </row>
    <row r="3929" spans="1:14" x14ac:dyDescent="0.3">
      <c r="A3929" s="3" t="s">
        <v>334</v>
      </c>
      <c r="B3929" s="3" t="s">
        <v>335</v>
      </c>
      <c r="C3929" s="8">
        <v>2021</v>
      </c>
      <c r="D3929" s="8">
        <v>4</v>
      </c>
      <c r="E3929" s="3" t="str">
        <f t="shared" si="122"/>
        <v>April</v>
      </c>
      <c r="F3929" s="3" t="s">
        <v>13</v>
      </c>
      <c r="G3929" s="8">
        <v>2033.321547</v>
      </c>
      <c r="H3929" s="8">
        <v>1831</v>
      </c>
      <c r="I3929" s="8">
        <v>-202.32154729999999</v>
      </c>
      <c r="J3929" s="8">
        <v>1929.1172260000001</v>
      </c>
      <c r="K3929" s="8">
        <v>1178.802643</v>
      </c>
      <c r="L3929" s="8">
        <v>2641.9301660000001</v>
      </c>
      <c r="M3929" s="9" t="str">
        <f>IF(A3929="",M3930,A3929)</f>
        <v>Slovenia</v>
      </c>
      <c r="N3929" s="3" t="str">
        <f t="shared" si="123"/>
        <v>Apr-2021</v>
      </c>
    </row>
    <row r="3930" spans="1:14" x14ac:dyDescent="0.3">
      <c r="A3930" s="3" t="s">
        <v>334</v>
      </c>
      <c r="B3930" s="3" t="s">
        <v>335</v>
      </c>
      <c r="C3930" s="8">
        <v>2021</v>
      </c>
      <c r="D3930" s="8">
        <v>5</v>
      </c>
      <c r="E3930" s="3" t="str">
        <f t="shared" si="122"/>
        <v>May</v>
      </c>
      <c r="F3930" s="3" t="s">
        <v>13</v>
      </c>
      <c r="G3930" s="8">
        <v>1989.6139290000001</v>
      </c>
      <c r="H3930" s="8">
        <v>1764</v>
      </c>
      <c r="I3930" s="8">
        <v>-225.6139293</v>
      </c>
      <c r="J3930" s="8">
        <v>1703.5032960000001</v>
      </c>
      <c r="K3930" s="8">
        <v>949.83977370000002</v>
      </c>
      <c r="L3930" s="8">
        <v>2438.028515</v>
      </c>
      <c r="M3930" s="9" t="str">
        <f>IF(A3930="",M3931,A3930)</f>
        <v>Slovenia</v>
      </c>
      <c r="N3930" s="3" t="str">
        <f t="shared" si="123"/>
        <v>May-2021</v>
      </c>
    </row>
    <row r="3931" spans="1:14" x14ac:dyDescent="0.3">
      <c r="A3931" s="3" t="s">
        <v>334</v>
      </c>
      <c r="B3931" s="3" t="s">
        <v>335</v>
      </c>
      <c r="C3931" s="8">
        <v>2021</v>
      </c>
      <c r="D3931" s="8">
        <v>6</v>
      </c>
      <c r="E3931" s="3" t="str">
        <f t="shared" si="122"/>
        <v>June</v>
      </c>
      <c r="F3931" s="3" t="s">
        <v>13</v>
      </c>
      <c r="G3931" s="8">
        <v>1934.530188</v>
      </c>
      <c r="H3931" s="8">
        <v>1701</v>
      </c>
      <c r="I3931" s="8">
        <v>-233.53018829999999</v>
      </c>
      <c r="J3931" s="8">
        <v>1469.9731079999999</v>
      </c>
      <c r="K3931" s="8">
        <v>680.11470199999997</v>
      </c>
      <c r="L3931" s="8">
        <v>2235.817896</v>
      </c>
      <c r="M3931" s="9" t="str">
        <f>IF(A3931="",M3932,A3931)</f>
        <v>Slovenia</v>
      </c>
      <c r="N3931" s="3" t="str">
        <f t="shared" si="123"/>
        <v>Jun-2021</v>
      </c>
    </row>
    <row r="3932" spans="1:14" x14ac:dyDescent="0.3">
      <c r="A3932" s="3" t="s">
        <v>334</v>
      </c>
      <c r="B3932" s="3" t="s">
        <v>335</v>
      </c>
      <c r="C3932" s="8">
        <v>2021</v>
      </c>
      <c r="D3932" s="8">
        <v>7</v>
      </c>
      <c r="E3932" s="3" t="str">
        <f t="shared" si="122"/>
        <v>July</v>
      </c>
      <c r="F3932" s="3" t="s">
        <v>13</v>
      </c>
      <c r="G3932" s="8">
        <v>1858.3965029999999</v>
      </c>
      <c r="H3932" s="8">
        <v>1586</v>
      </c>
      <c r="I3932" s="8">
        <v>-272.39650260000002</v>
      </c>
      <c r="J3932" s="8">
        <v>1197.576605</v>
      </c>
      <c r="K3932" s="8">
        <v>357.13785739999997</v>
      </c>
      <c r="L3932" s="8">
        <v>1999.8721720000001</v>
      </c>
      <c r="M3932" s="9" t="str">
        <f>IF(A3932="",M3933,A3932)</f>
        <v>Slovenia</v>
      </c>
      <c r="N3932" s="3" t="str">
        <f t="shared" si="123"/>
        <v>Jul-2021</v>
      </c>
    </row>
    <row r="3933" spans="1:14" x14ac:dyDescent="0.3">
      <c r="A3933" s="3" t="s">
        <v>334</v>
      </c>
      <c r="B3933" s="3" t="s">
        <v>335</v>
      </c>
      <c r="C3933" s="8">
        <v>2021</v>
      </c>
      <c r="D3933" s="8">
        <v>8</v>
      </c>
      <c r="E3933" s="3" t="str">
        <f t="shared" si="122"/>
        <v>August</v>
      </c>
      <c r="F3933" s="3" t="s">
        <v>13</v>
      </c>
      <c r="G3933" s="8">
        <v>1808.4274789999999</v>
      </c>
      <c r="H3933" s="8">
        <v>1547</v>
      </c>
      <c r="I3933" s="8">
        <v>-261.42747859999997</v>
      </c>
      <c r="J3933" s="8">
        <v>936.14912679999998</v>
      </c>
      <c r="K3933" s="8">
        <v>85.976924019999998</v>
      </c>
      <c r="L3933" s="8">
        <v>1758.239879</v>
      </c>
      <c r="M3933" s="9" t="str">
        <f>IF(A3933="",M3934,A3933)</f>
        <v>Slovenia</v>
      </c>
      <c r="N3933" s="3" t="str">
        <f t="shared" si="123"/>
        <v>Aug-2021</v>
      </c>
    </row>
    <row r="3934" spans="1:14" x14ac:dyDescent="0.3">
      <c r="A3934" s="3" t="s">
        <v>334</v>
      </c>
      <c r="B3934" s="3" t="s">
        <v>335</v>
      </c>
      <c r="C3934" s="8">
        <v>2021</v>
      </c>
      <c r="D3934" s="8">
        <v>9</v>
      </c>
      <c r="E3934" s="3" t="str">
        <f t="shared" si="122"/>
        <v>September</v>
      </c>
      <c r="F3934" s="3" t="s">
        <v>13</v>
      </c>
      <c r="G3934" s="8">
        <v>1814.104331</v>
      </c>
      <c r="H3934" s="8">
        <v>1704</v>
      </c>
      <c r="I3934" s="8">
        <v>-110.10433070000001</v>
      </c>
      <c r="J3934" s="8">
        <v>826.04479609999999</v>
      </c>
      <c r="K3934" s="8">
        <v>-38.748968009999999</v>
      </c>
      <c r="L3934" s="8">
        <v>1703.948656</v>
      </c>
      <c r="M3934" s="9" t="str">
        <f>IF(A3934="",M3935,A3934)</f>
        <v>Slovenia</v>
      </c>
      <c r="N3934" s="3" t="str">
        <f t="shared" si="123"/>
        <v>Sep-2021</v>
      </c>
    </row>
    <row r="3935" spans="1:14" x14ac:dyDescent="0.3">
      <c r="A3935" s="3" t="s">
        <v>334</v>
      </c>
      <c r="B3935" s="3" t="s">
        <v>335</v>
      </c>
      <c r="C3935" s="8">
        <v>2021</v>
      </c>
      <c r="D3935" s="8">
        <v>10</v>
      </c>
      <c r="E3935" s="3" t="str">
        <f t="shared" si="122"/>
        <v>October</v>
      </c>
      <c r="F3935" s="3" t="s">
        <v>13</v>
      </c>
      <c r="G3935" s="8">
        <v>1870.9844909999999</v>
      </c>
      <c r="H3935" s="8">
        <v>1917</v>
      </c>
      <c r="I3935" s="8">
        <v>46.015508740000001</v>
      </c>
      <c r="J3935" s="8">
        <v>872.06030480000004</v>
      </c>
      <c r="K3935" s="8">
        <v>15.97192727</v>
      </c>
      <c r="L3935" s="8">
        <v>1756.849373</v>
      </c>
      <c r="M3935" s="9" t="str">
        <f>IF(A3935="",M3936,A3935)</f>
        <v>Slovenia</v>
      </c>
      <c r="N3935" s="3" t="str">
        <f t="shared" si="123"/>
        <v>Oct-2021</v>
      </c>
    </row>
    <row r="3936" spans="1:14" x14ac:dyDescent="0.3">
      <c r="A3936" s="3" t="s">
        <v>334</v>
      </c>
      <c r="B3936" s="3" t="s">
        <v>335</v>
      </c>
      <c r="C3936" s="8">
        <v>2021</v>
      </c>
      <c r="D3936" s="8">
        <v>11</v>
      </c>
      <c r="E3936" s="3" t="str">
        <f t="shared" si="122"/>
        <v>November</v>
      </c>
      <c r="F3936" s="3" t="s">
        <v>13</v>
      </c>
      <c r="G3936" s="8">
        <v>1980.661339</v>
      </c>
      <c r="H3936" s="8">
        <v>2384</v>
      </c>
      <c r="I3936" s="8">
        <v>403.33866110000002</v>
      </c>
      <c r="J3936" s="8">
        <v>1275.398966</v>
      </c>
      <c r="K3936" s="8">
        <v>422.13050659999999</v>
      </c>
      <c r="L3936" s="8">
        <v>2182.4175730000002</v>
      </c>
      <c r="M3936" s="9" t="str">
        <f>IF(A3936="",M3937,A3936)</f>
        <v>Slovenia</v>
      </c>
      <c r="N3936" s="3" t="str">
        <f t="shared" si="123"/>
        <v>Nov-2021</v>
      </c>
    </row>
    <row r="3937" spans="1:14" x14ac:dyDescent="0.3">
      <c r="A3937" s="3" t="s">
        <v>334</v>
      </c>
      <c r="B3937" s="3" t="s">
        <v>335</v>
      </c>
      <c r="C3937" s="8">
        <v>2021</v>
      </c>
      <c r="D3937" s="8">
        <v>12</v>
      </c>
      <c r="E3937" s="3" t="str">
        <f t="shared" si="122"/>
        <v>December</v>
      </c>
      <c r="F3937" s="3" t="s">
        <v>13</v>
      </c>
      <c r="G3937" s="8">
        <v>2081.38607</v>
      </c>
      <c r="H3937" s="8">
        <v>2365</v>
      </c>
      <c r="I3937" s="8">
        <v>283.61393040000002</v>
      </c>
      <c r="J3937" s="8">
        <v>1559.012896</v>
      </c>
      <c r="K3937" s="8">
        <v>693.1700846</v>
      </c>
      <c r="L3937" s="8">
        <v>2496.9598059999998</v>
      </c>
      <c r="M3937" s="9" t="str">
        <f>IF(A3937="",M3938,A3937)</f>
        <v>Slovenia</v>
      </c>
      <c r="N3937" s="3" t="str">
        <f t="shared" si="123"/>
        <v>Dec-2021</v>
      </c>
    </row>
    <row r="3938" spans="1:14" x14ac:dyDescent="0.3">
      <c r="A3938" s="3" t="s">
        <v>336</v>
      </c>
      <c r="B3938" s="3" t="s">
        <v>337</v>
      </c>
      <c r="C3938" s="8">
        <v>2020</v>
      </c>
      <c r="D3938" s="8">
        <v>1</v>
      </c>
      <c r="E3938" s="3" t="str">
        <f t="shared" si="122"/>
        <v>January</v>
      </c>
      <c r="F3938" s="3" t="s">
        <v>13</v>
      </c>
      <c r="G3938" s="8">
        <v>8009.0080390000003</v>
      </c>
      <c r="H3938" s="8">
        <v>8073</v>
      </c>
      <c r="I3938" s="8">
        <v>63.825294110000002</v>
      </c>
      <c r="J3938" s="8">
        <v>63.825294110000002</v>
      </c>
      <c r="K3938" s="8">
        <v>-172.70455620000001</v>
      </c>
      <c r="L3938" s="8">
        <v>291.72329680000001</v>
      </c>
      <c r="M3938" s="9" t="str">
        <f>IF(A3938="",M3939,A3938)</f>
        <v>Sweden</v>
      </c>
      <c r="N3938" s="3" t="str">
        <f t="shared" si="123"/>
        <v>Jan-2020</v>
      </c>
    </row>
    <row r="3939" spans="1:14" x14ac:dyDescent="0.3">
      <c r="A3939" s="3" t="s">
        <v>336</v>
      </c>
      <c r="B3939" s="3" t="s">
        <v>337</v>
      </c>
      <c r="C3939" s="8">
        <v>2020</v>
      </c>
      <c r="D3939" s="8">
        <v>2</v>
      </c>
      <c r="E3939" s="3" t="str">
        <f t="shared" si="122"/>
        <v>February</v>
      </c>
      <c r="F3939" s="3" t="s">
        <v>13</v>
      </c>
      <c r="G3939" s="8">
        <v>7711.2744080000002</v>
      </c>
      <c r="H3939" s="8">
        <v>7381</v>
      </c>
      <c r="I3939" s="8">
        <v>-330.44107489999999</v>
      </c>
      <c r="J3939" s="8">
        <v>-266.61578079999998</v>
      </c>
      <c r="K3939" s="8">
        <v>-667.96828389999996</v>
      </c>
      <c r="L3939" s="8">
        <v>74.651853189999997</v>
      </c>
      <c r="M3939" s="9" t="str">
        <f>IF(A3939="",M3940,A3939)</f>
        <v>Sweden</v>
      </c>
      <c r="N3939" s="3" t="str">
        <f t="shared" si="123"/>
        <v>Feb-2020</v>
      </c>
    </row>
    <row r="3940" spans="1:14" x14ac:dyDescent="0.3">
      <c r="A3940" s="3" t="s">
        <v>336</v>
      </c>
      <c r="B3940" s="3" t="s">
        <v>337</v>
      </c>
      <c r="C3940" s="8">
        <v>2020</v>
      </c>
      <c r="D3940" s="8">
        <v>3</v>
      </c>
      <c r="E3940" s="3" t="str">
        <f t="shared" si="122"/>
        <v>March</v>
      </c>
      <c r="F3940" s="3" t="s">
        <v>13</v>
      </c>
      <c r="G3940" s="8">
        <v>7958.9947080000002</v>
      </c>
      <c r="H3940" s="8">
        <v>8396</v>
      </c>
      <c r="I3940" s="8">
        <v>436.83862499999998</v>
      </c>
      <c r="J3940" s="8">
        <v>170.2228442</v>
      </c>
      <c r="K3940" s="8">
        <v>-331.57550359999999</v>
      </c>
      <c r="L3940" s="8">
        <v>600.2326018</v>
      </c>
      <c r="M3940" s="9" t="str">
        <f>IF(A3940="",M3941,A3940)</f>
        <v>Sweden</v>
      </c>
      <c r="N3940" s="3" t="str">
        <f t="shared" si="123"/>
        <v>Mar-2020</v>
      </c>
    </row>
    <row r="3941" spans="1:14" x14ac:dyDescent="0.3">
      <c r="A3941" s="3" t="s">
        <v>336</v>
      </c>
      <c r="B3941" s="3" t="s">
        <v>337</v>
      </c>
      <c r="C3941" s="8">
        <v>2020</v>
      </c>
      <c r="D3941" s="8">
        <v>4</v>
      </c>
      <c r="E3941" s="3" t="str">
        <f t="shared" si="122"/>
        <v>April</v>
      </c>
      <c r="F3941" s="3" t="s">
        <v>13</v>
      </c>
      <c r="G3941" s="8">
        <v>7337.6048890000002</v>
      </c>
      <c r="H3941" s="8">
        <v>10345</v>
      </c>
      <c r="I3941" s="8">
        <v>3007.2284450000002</v>
      </c>
      <c r="J3941" s="8">
        <v>3177.4512890000001</v>
      </c>
      <c r="K3941" s="8">
        <v>2591.8907629999999</v>
      </c>
      <c r="L3941" s="8">
        <v>3707.1941000000002</v>
      </c>
      <c r="M3941" s="9" t="str">
        <f>IF(A3941="",M3942,A3941)</f>
        <v>Sweden</v>
      </c>
      <c r="N3941" s="3" t="str">
        <f t="shared" si="123"/>
        <v>Apr-2020</v>
      </c>
    </row>
    <row r="3942" spans="1:14" x14ac:dyDescent="0.3">
      <c r="A3942" s="3" t="s">
        <v>336</v>
      </c>
      <c r="B3942" s="3" t="s">
        <v>337</v>
      </c>
      <c r="C3942" s="8">
        <v>2020</v>
      </c>
      <c r="D3942" s="8">
        <v>5</v>
      </c>
      <c r="E3942" s="3" t="str">
        <f t="shared" si="122"/>
        <v>May</v>
      </c>
      <c r="F3942" s="3" t="s">
        <v>13</v>
      </c>
      <c r="G3942" s="8">
        <v>6851.293619</v>
      </c>
      <c r="H3942" s="8">
        <v>8705</v>
      </c>
      <c r="I3942" s="8">
        <v>1853.5397149999999</v>
      </c>
      <c r="J3942" s="8">
        <v>5030.9910030000001</v>
      </c>
      <c r="K3942" s="8">
        <v>4414.1620970000004</v>
      </c>
      <c r="L3942" s="8">
        <v>5615.6564580000004</v>
      </c>
      <c r="M3942" s="9" t="str">
        <f>IF(A3942="",M3943,A3942)</f>
        <v>Sweden</v>
      </c>
      <c r="N3942" s="3" t="str">
        <f t="shared" si="123"/>
        <v>May-2020</v>
      </c>
    </row>
    <row r="3943" spans="1:14" x14ac:dyDescent="0.3">
      <c r="A3943" s="3" t="s">
        <v>336</v>
      </c>
      <c r="B3943" s="3" t="s">
        <v>337</v>
      </c>
      <c r="C3943" s="8">
        <v>2020</v>
      </c>
      <c r="D3943" s="8">
        <v>6</v>
      </c>
      <c r="E3943" s="3" t="str">
        <f t="shared" si="122"/>
        <v>June</v>
      </c>
      <c r="F3943" s="3" t="s">
        <v>13</v>
      </c>
      <c r="G3943" s="8">
        <v>6478.2845610000004</v>
      </c>
      <c r="H3943" s="8">
        <v>7263</v>
      </c>
      <c r="I3943" s="8">
        <v>784.54877220000003</v>
      </c>
      <c r="J3943" s="8">
        <v>5815.5397759999996</v>
      </c>
      <c r="K3943" s="8">
        <v>5180.0623580000001</v>
      </c>
      <c r="L3943" s="8">
        <v>6447.3090830000001</v>
      </c>
      <c r="M3943" s="9" t="str">
        <f>IF(A3943="",M3944,A3943)</f>
        <v>Sweden</v>
      </c>
      <c r="N3943" s="3" t="str">
        <f t="shared" si="123"/>
        <v>Jun-2020</v>
      </c>
    </row>
    <row r="3944" spans="1:14" x14ac:dyDescent="0.3">
      <c r="A3944" s="3" t="s">
        <v>336</v>
      </c>
      <c r="B3944" s="3" t="s">
        <v>337</v>
      </c>
      <c r="C3944" s="8">
        <v>2020</v>
      </c>
      <c r="D3944" s="8">
        <v>7</v>
      </c>
      <c r="E3944" s="3" t="str">
        <f t="shared" si="122"/>
        <v>July</v>
      </c>
      <c r="F3944" s="3" t="s">
        <v>13</v>
      </c>
      <c r="G3944" s="8">
        <v>6723.3107419999997</v>
      </c>
      <c r="H3944" s="8">
        <v>6847</v>
      </c>
      <c r="I3944" s="8">
        <v>123.5225915</v>
      </c>
      <c r="J3944" s="8">
        <v>5939.0623670000004</v>
      </c>
      <c r="K3944" s="8">
        <v>5245.9582739999996</v>
      </c>
      <c r="L3944" s="8">
        <v>6619.3740760000001</v>
      </c>
      <c r="M3944" s="9" t="str">
        <f>IF(A3944="",M3945,A3944)</f>
        <v>Sweden</v>
      </c>
      <c r="N3944" s="3" t="str">
        <f t="shared" si="123"/>
        <v>Jul-2020</v>
      </c>
    </row>
    <row r="3945" spans="1:14" x14ac:dyDescent="0.3">
      <c r="A3945" s="3" t="s">
        <v>336</v>
      </c>
      <c r="B3945" s="3" t="s">
        <v>337</v>
      </c>
      <c r="C3945" s="8">
        <v>2020</v>
      </c>
      <c r="D3945" s="8">
        <v>8</v>
      </c>
      <c r="E3945" s="3" t="str">
        <f t="shared" si="122"/>
        <v>August</v>
      </c>
      <c r="F3945" s="3" t="s">
        <v>13</v>
      </c>
      <c r="G3945" s="8">
        <v>6664.591547</v>
      </c>
      <c r="H3945" s="8">
        <v>6811</v>
      </c>
      <c r="I3945" s="8">
        <v>146.24178649999999</v>
      </c>
      <c r="J3945" s="8">
        <v>6085.304153</v>
      </c>
      <c r="K3945" s="8">
        <v>5328.3139860000001</v>
      </c>
      <c r="L3945" s="8">
        <v>6796.581846</v>
      </c>
      <c r="M3945" s="9" t="str">
        <f>IF(A3945="",M3946,A3945)</f>
        <v>Sweden</v>
      </c>
      <c r="N3945" s="3" t="str">
        <f t="shared" si="123"/>
        <v>Aug-2020</v>
      </c>
    </row>
    <row r="3946" spans="1:14" x14ac:dyDescent="0.3">
      <c r="A3946" s="3" t="s">
        <v>336</v>
      </c>
      <c r="B3946" s="3" t="s">
        <v>337</v>
      </c>
      <c r="C3946" s="8">
        <v>2020</v>
      </c>
      <c r="D3946" s="8">
        <v>9</v>
      </c>
      <c r="E3946" s="3" t="str">
        <f t="shared" si="122"/>
        <v>September</v>
      </c>
      <c r="F3946" s="3" t="s">
        <v>13</v>
      </c>
      <c r="G3946" s="8">
        <v>6624.5195869999998</v>
      </c>
      <c r="H3946" s="8">
        <v>6566</v>
      </c>
      <c r="I3946" s="8">
        <v>-58.686253690000001</v>
      </c>
      <c r="J3946" s="8">
        <v>6026.6179000000002</v>
      </c>
      <c r="K3946" s="8">
        <v>5227.8795209999998</v>
      </c>
      <c r="L3946" s="8">
        <v>6793.6748779999998</v>
      </c>
      <c r="M3946" s="9" t="str">
        <f>IF(A3946="",M3947,A3946)</f>
        <v>Sweden</v>
      </c>
      <c r="N3946" s="3" t="str">
        <f t="shared" si="123"/>
        <v>Sep-2020</v>
      </c>
    </row>
    <row r="3947" spans="1:14" x14ac:dyDescent="0.3">
      <c r="A3947" s="3" t="s">
        <v>336</v>
      </c>
      <c r="B3947" s="3" t="s">
        <v>337</v>
      </c>
      <c r="C3947" s="8">
        <v>2020</v>
      </c>
      <c r="D3947" s="8">
        <v>10</v>
      </c>
      <c r="E3947" s="3" t="str">
        <f t="shared" si="122"/>
        <v>October</v>
      </c>
      <c r="F3947" s="3" t="s">
        <v>13</v>
      </c>
      <c r="G3947" s="8">
        <v>7027.9669709999998</v>
      </c>
      <c r="H3947" s="8">
        <v>7058</v>
      </c>
      <c r="I3947" s="8">
        <v>29.86636257</v>
      </c>
      <c r="J3947" s="8">
        <v>6056.4842619999999</v>
      </c>
      <c r="K3947" s="8">
        <v>5228.8934939999999</v>
      </c>
      <c r="L3947" s="8">
        <v>6861.0760060000002</v>
      </c>
      <c r="M3947" s="9" t="str">
        <f>IF(A3947="",M3948,A3947)</f>
        <v>Sweden</v>
      </c>
      <c r="N3947" s="3" t="str">
        <f t="shared" si="123"/>
        <v>Oct-2020</v>
      </c>
    </row>
    <row r="3948" spans="1:14" x14ac:dyDescent="0.3">
      <c r="A3948" s="3" t="s">
        <v>336</v>
      </c>
      <c r="B3948" s="3" t="s">
        <v>337</v>
      </c>
      <c r="C3948" s="8">
        <v>2020</v>
      </c>
      <c r="D3948" s="8">
        <v>11</v>
      </c>
      <c r="E3948" s="3" t="str">
        <f t="shared" si="122"/>
        <v>November</v>
      </c>
      <c r="F3948" s="3" t="s">
        <v>13</v>
      </c>
      <c r="G3948" s="8">
        <v>7144.9415419999996</v>
      </c>
      <c r="H3948" s="8">
        <v>8037</v>
      </c>
      <c r="I3948" s="8">
        <v>891.89179090000005</v>
      </c>
      <c r="J3948" s="8">
        <v>6948.376053</v>
      </c>
      <c r="K3948" s="8">
        <v>6055.8583019999996</v>
      </c>
      <c r="L3948" s="8">
        <v>7819.3044110000001</v>
      </c>
      <c r="M3948" s="9" t="str">
        <f>IF(A3948="",M3949,A3948)</f>
        <v>Sweden</v>
      </c>
      <c r="N3948" s="3" t="str">
        <f t="shared" si="123"/>
        <v>Nov-2020</v>
      </c>
    </row>
    <row r="3949" spans="1:14" x14ac:dyDescent="0.3">
      <c r="A3949" s="3" t="s">
        <v>336</v>
      </c>
      <c r="B3949" s="3" t="s">
        <v>337</v>
      </c>
      <c r="C3949" s="8">
        <v>2020</v>
      </c>
      <c r="D3949" s="8">
        <v>12</v>
      </c>
      <c r="E3949" s="3" t="str">
        <f t="shared" si="122"/>
        <v>December</v>
      </c>
      <c r="F3949" s="3" t="s">
        <v>13</v>
      </c>
      <c r="G3949" s="8">
        <v>7945.4337029999997</v>
      </c>
      <c r="H3949" s="8">
        <v>9930</v>
      </c>
      <c r="I3949" s="8">
        <v>1984.3996299999999</v>
      </c>
      <c r="J3949" s="8">
        <v>8932.7756840000002</v>
      </c>
      <c r="K3949" s="8">
        <v>7984.4040569999997</v>
      </c>
      <c r="L3949" s="8">
        <v>9794.4777290000002</v>
      </c>
      <c r="M3949" s="9" t="str">
        <f>IF(A3949="",M3950,A3949)</f>
        <v>Sweden</v>
      </c>
      <c r="N3949" s="3" t="str">
        <f t="shared" si="123"/>
        <v>Dec-2020</v>
      </c>
    </row>
    <row r="3950" spans="1:14" x14ac:dyDescent="0.3">
      <c r="A3950" s="3" t="s">
        <v>336</v>
      </c>
      <c r="B3950" s="3" t="s">
        <v>337</v>
      </c>
      <c r="C3950" s="8">
        <v>2021</v>
      </c>
      <c r="D3950" s="8">
        <v>1</v>
      </c>
      <c r="E3950" s="3" t="str">
        <f t="shared" si="122"/>
        <v>January</v>
      </c>
      <c r="F3950" s="3" t="s">
        <v>13</v>
      </c>
      <c r="G3950" s="8">
        <v>7939.1327060000003</v>
      </c>
      <c r="H3950" s="8">
        <v>9921</v>
      </c>
      <c r="I3950" s="8">
        <v>1981.8672939999999</v>
      </c>
      <c r="J3950" s="8">
        <v>10914.642980000001</v>
      </c>
      <c r="K3950" s="8">
        <v>9929.8529589999998</v>
      </c>
      <c r="L3950" s="8">
        <v>11823.993769999999</v>
      </c>
      <c r="M3950" s="9" t="str">
        <f>IF(A3950="",M3951,A3950)</f>
        <v>Sweden</v>
      </c>
      <c r="N3950" s="3" t="str">
        <f t="shared" si="123"/>
        <v>Jan-2021</v>
      </c>
    </row>
    <row r="3951" spans="1:14" x14ac:dyDescent="0.3">
      <c r="A3951" s="3" t="s">
        <v>336</v>
      </c>
      <c r="B3951" s="3" t="s">
        <v>337</v>
      </c>
      <c r="C3951" s="8">
        <v>2021</v>
      </c>
      <c r="D3951" s="8">
        <v>2</v>
      </c>
      <c r="E3951" s="3" t="str">
        <f t="shared" si="122"/>
        <v>February</v>
      </c>
      <c r="F3951" s="3" t="s">
        <v>13</v>
      </c>
      <c r="G3951" s="8">
        <v>7652.4507640000002</v>
      </c>
      <c r="H3951" s="8">
        <v>7348</v>
      </c>
      <c r="I3951" s="8">
        <v>-304.45076410000001</v>
      </c>
      <c r="J3951" s="8">
        <v>10610.192209999999</v>
      </c>
      <c r="K3951" s="8">
        <v>9587.4507599999997</v>
      </c>
      <c r="L3951" s="8">
        <v>11570.353789999999</v>
      </c>
      <c r="M3951" s="9" t="str">
        <f>IF(A3951="",M3952,A3951)</f>
        <v>Sweden</v>
      </c>
      <c r="N3951" s="3" t="str">
        <f t="shared" si="123"/>
        <v>Feb-2021</v>
      </c>
    </row>
    <row r="3952" spans="1:14" x14ac:dyDescent="0.3">
      <c r="A3952" s="3" t="s">
        <v>336</v>
      </c>
      <c r="B3952" s="3" t="s">
        <v>337</v>
      </c>
      <c r="C3952" s="8">
        <v>2021</v>
      </c>
      <c r="D3952" s="8">
        <v>3</v>
      </c>
      <c r="E3952" s="3" t="str">
        <f t="shared" si="122"/>
        <v>March</v>
      </c>
      <c r="F3952" s="3" t="s">
        <v>13</v>
      </c>
      <c r="G3952" s="8">
        <v>7896.4551890000002</v>
      </c>
      <c r="H3952" s="8">
        <v>7569</v>
      </c>
      <c r="I3952" s="8">
        <v>-327.45518870000001</v>
      </c>
      <c r="J3952" s="8">
        <v>10282.73702</v>
      </c>
      <c r="K3952" s="8">
        <v>9205.9008510000003</v>
      </c>
      <c r="L3952" s="8">
        <v>11332.270210000001</v>
      </c>
      <c r="M3952" s="9" t="str">
        <f>IF(A3952="",M3953,A3952)</f>
        <v>Sweden</v>
      </c>
      <c r="N3952" s="3" t="str">
        <f t="shared" si="123"/>
        <v>Mar-2021</v>
      </c>
    </row>
    <row r="3953" spans="1:14" x14ac:dyDescent="0.3">
      <c r="A3953" s="3" t="s">
        <v>336</v>
      </c>
      <c r="B3953" s="3" t="s">
        <v>337</v>
      </c>
      <c r="C3953" s="8">
        <v>2021</v>
      </c>
      <c r="D3953" s="8">
        <v>4</v>
      </c>
      <c r="E3953" s="3" t="str">
        <f t="shared" si="122"/>
        <v>April</v>
      </c>
      <c r="F3953" s="3" t="s">
        <v>13</v>
      </c>
      <c r="G3953" s="8">
        <v>7277.8664390000004</v>
      </c>
      <c r="H3953" s="8">
        <v>7155</v>
      </c>
      <c r="I3953" s="8">
        <v>-122.8664385</v>
      </c>
      <c r="J3953" s="8">
        <v>10159.87059</v>
      </c>
      <c r="K3953" s="8">
        <v>9096.2229879999995</v>
      </c>
      <c r="L3953" s="8">
        <v>11190.15785</v>
      </c>
      <c r="M3953" s="9" t="str">
        <f>IF(A3953="",M3954,A3953)</f>
        <v>Sweden</v>
      </c>
      <c r="N3953" s="3" t="str">
        <f t="shared" si="123"/>
        <v>Apr-2021</v>
      </c>
    </row>
    <row r="3954" spans="1:14" x14ac:dyDescent="0.3">
      <c r="A3954" s="3" t="s">
        <v>336</v>
      </c>
      <c r="B3954" s="3" t="s">
        <v>337</v>
      </c>
      <c r="C3954" s="8">
        <v>2021</v>
      </c>
      <c r="D3954" s="8">
        <v>5</v>
      </c>
      <c r="E3954" s="3" t="str">
        <f t="shared" si="122"/>
        <v>May</v>
      </c>
      <c r="F3954" s="3" t="s">
        <v>13</v>
      </c>
      <c r="G3954" s="8">
        <v>6793.420392</v>
      </c>
      <c r="H3954" s="8">
        <v>7065</v>
      </c>
      <c r="I3954" s="8">
        <v>271.57960839999998</v>
      </c>
      <c r="J3954" s="8">
        <v>10431.45019</v>
      </c>
      <c r="K3954" s="8">
        <v>9311.7560639999992</v>
      </c>
      <c r="L3954" s="8">
        <v>11523.72733</v>
      </c>
      <c r="M3954" s="9" t="str">
        <f>IF(A3954="",M3955,A3954)</f>
        <v>Sweden</v>
      </c>
      <c r="N3954" s="3" t="str">
        <f t="shared" si="123"/>
        <v>May-2021</v>
      </c>
    </row>
    <row r="3955" spans="1:14" x14ac:dyDescent="0.3">
      <c r="A3955" s="3" t="s">
        <v>336</v>
      </c>
      <c r="B3955" s="3" t="s">
        <v>337</v>
      </c>
      <c r="C3955" s="8">
        <v>2021</v>
      </c>
      <c r="D3955" s="8">
        <v>6</v>
      </c>
      <c r="E3955" s="3" t="str">
        <f t="shared" si="122"/>
        <v>June</v>
      </c>
      <c r="F3955" s="3" t="s">
        <v>13</v>
      </c>
      <c r="G3955" s="8">
        <v>6422.5691639999995</v>
      </c>
      <c r="H3955" s="8">
        <v>6395</v>
      </c>
      <c r="I3955" s="8">
        <v>-27.56916438</v>
      </c>
      <c r="J3955" s="8">
        <v>10403.88103</v>
      </c>
      <c r="K3955" s="8">
        <v>9247.1174809999993</v>
      </c>
      <c r="L3955" s="8">
        <v>11548.13732</v>
      </c>
      <c r="M3955" s="9" t="str">
        <f>IF(A3955="",M3956,A3955)</f>
        <v>Sweden</v>
      </c>
      <c r="N3955" s="3" t="str">
        <f t="shared" si="123"/>
        <v>Jun-2021</v>
      </c>
    </row>
    <row r="3956" spans="1:14" x14ac:dyDescent="0.3">
      <c r="A3956" s="3" t="s">
        <v>336</v>
      </c>
      <c r="B3956" s="3" t="s">
        <v>337</v>
      </c>
      <c r="C3956" s="8">
        <v>2021</v>
      </c>
      <c r="D3956" s="8">
        <v>7</v>
      </c>
      <c r="E3956" s="3" t="str">
        <f t="shared" si="122"/>
        <v>July</v>
      </c>
      <c r="F3956" s="3" t="s">
        <v>13</v>
      </c>
      <c r="G3956" s="8">
        <v>6664.4032559999996</v>
      </c>
      <c r="H3956" s="8">
        <v>6814</v>
      </c>
      <c r="I3956" s="8">
        <v>149.59674390000001</v>
      </c>
      <c r="J3956" s="8">
        <v>10553.47777</v>
      </c>
      <c r="K3956" s="8">
        <v>9345.5334800000001</v>
      </c>
      <c r="L3956" s="8">
        <v>11739.39824</v>
      </c>
      <c r="M3956" s="9" t="str">
        <f>IF(A3956="",M3957,A3956)</f>
        <v>Sweden</v>
      </c>
      <c r="N3956" s="3" t="str">
        <f t="shared" si="123"/>
        <v>Jul-2021</v>
      </c>
    </row>
    <row r="3957" spans="1:14" x14ac:dyDescent="0.3">
      <c r="A3957" s="3" t="s">
        <v>336</v>
      </c>
      <c r="B3957" s="3" t="s">
        <v>337</v>
      </c>
      <c r="C3957" s="8">
        <v>2021</v>
      </c>
      <c r="D3957" s="8">
        <v>8</v>
      </c>
      <c r="E3957" s="3" t="str">
        <f t="shared" si="122"/>
        <v>August</v>
      </c>
      <c r="F3957" s="3" t="s">
        <v>13</v>
      </c>
      <c r="G3957" s="8">
        <v>6596.1439309999996</v>
      </c>
      <c r="H3957" s="8">
        <v>6833</v>
      </c>
      <c r="I3957" s="8">
        <v>236.85606949999999</v>
      </c>
      <c r="J3957" s="8">
        <v>10790.333839999999</v>
      </c>
      <c r="K3957" s="8">
        <v>9618.216676</v>
      </c>
      <c r="L3957" s="8">
        <v>11966.844069999999</v>
      </c>
      <c r="M3957" s="9" t="str">
        <f>IF(A3957="",M3958,A3957)</f>
        <v>Sweden</v>
      </c>
      <c r="N3957" s="3" t="str">
        <f t="shared" si="123"/>
        <v>Aug-2021</v>
      </c>
    </row>
    <row r="3958" spans="1:14" x14ac:dyDescent="0.3">
      <c r="A3958" s="3" t="s">
        <v>336</v>
      </c>
      <c r="B3958" s="3" t="s">
        <v>337</v>
      </c>
      <c r="C3958" s="8">
        <v>2021</v>
      </c>
      <c r="D3958" s="8">
        <v>9</v>
      </c>
      <c r="E3958" s="3" t="str">
        <f t="shared" si="122"/>
        <v>September</v>
      </c>
      <c r="F3958" s="3" t="s">
        <v>13</v>
      </c>
      <c r="G3958" s="8">
        <v>6557.994283</v>
      </c>
      <c r="H3958" s="8">
        <v>6946</v>
      </c>
      <c r="I3958" s="8">
        <v>388.005717</v>
      </c>
      <c r="J3958" s="8">
        <v>11178.33956</v>
      </c>
      <c r="K3958" s="8">
        <v>9960.0771449999993</v>
      </c>
      <c r="L3958" s="8">
        <v>12361.173419999999</v>
      </c>
      <c r="M3958" s="9" t="str">
        <f>IF(A3958="",M3959,A3958)</f>
        <v>Sweden</v>
      </c>
      <c r="N3958" s="3" t="str">
        <f t="shared" si="123"/>
        <v>Sep-2021</v>
      </c>
    </row>
    <row r="3959" spans="1:14" x14ac:dyDescent="0.3">
      <c r="A3959" s="3" t="s">
        <v>336</v>
      </c>
      <c r="B3959" s="3" t="s">
        <v>337</v>
      </c>
      <c r="C3959" s="8">
        <v>2021</v>
      </c>
      <c r="D3959" s="8">
        <v>10</v>
      </c>
      <c r="E3959" s="3" t="str">
        <f t="shared" si="122"/>
        <v>October</v>
      </c>
      <c r="F3959" s="3" t="s">
        <v>13</v>
      </c>
      <c r="G3959" s="8">
        <v>6969.8009810000003</v>
      </c>
      <c r="H3959" s="8">
        <v>7303</v>
      </c>
      <c r="I3959" s="8">
        <v>333.19901900000002</v>
      </c>
      <c r="J3959" s="8">
        <v>11511.53858</v>
      </c>
      <c r="K3959" s="8">
        <v>10290.115309999999</v>
      </c>
      <c r="L3959" s="8">
        <v>12797.463229999999</v>
      </c>
      <c r="M3959" s="9" t="str">
        <f>IF(A3959="",M3960,A3959)</f>
        <v>Sweden</v>
      </c>
      <c r="N3959" s="3" t="str">
        <f t="shared" si="123"/>
        <v>Oct-2021</v>
      </c>
    </row>
    <row r="3960" spans="1:14" x14ac:dyDescent="0.3">
      <c r="A3960" s="3" t="s">
        <v>336</v>
      </c>
      <c r="B3960" s="3" t="s">
        <v>337</v>
      </c>
      <c r="C3960" s="8">
        <v>2021</v>
      </c>
      <c r="D3960" s="8">
        <v>11</v>
      </c>
      <c r="E3960" s="3" t="str">
        <f t="shared" si="122"/>
        <v>November</v>
      </c>
      <c r="F3960" s="3" t="s">
        <v>13</v>
      </c>
      <c r="G3960" s="8">
        <v>7098.8696220000002</v>
      </c>
      <c r="H3960" s="8">
        <v>7397</v>
      </c>
      <c r="I3960" s="8">
        <v>298.13037759999997</v>
      </c>
      <c r="J3960" s="8">
        <v>11809.668960000001</v>
      </c>
      <c r="K3960" s="8">
        <v>10553.757869999999</v>
      </c>
      <c r="L3960" s="8">
        <v>13140.762779999999</v>
      </c>
      <c r="M3960" s="9" t="str">
        <f>IF(A3960="",M3961,A3960)</f>
        <v>Sweden</v>
      </c>
      <c r="N3960" s="3" t="str">
        <f t="shared" si="123"/>
        <v>Nov-2021</v>
      </c>
    </row>
    <row r="3961" spans="1:14" x14ac:dyDescent="0.3">
      <c r="A3961" s="3" t="s">
        <v>336</v>
      </c>
      <c r="B3961" s="3" t="s">
        <v>337</v>
      </c>
      <c r="C3961" s="8">
        <v>2021</v>
      </c>
      <c r="D3961" s="8">
        <v>12</v>
      </c>
      <c r="E3961" s="3" t="str">
        <f t="shared" si="122"/>
        <v>December</v>
      </c>
      <c r="F3961" s="3" t="s">
        <v>13</v>
      </c>
      <c r="G3961" s="8">
        <v>7875.9723819999999</v>
      </c>
      <c r="H3961" s="8">
        <v>8273</v>
      </c>
      <c r="I3961" s="8">
        <v>397.02761829999997</v>
      </c>
      <c r="J3961" s="8">
        <v>12206.69658</v>
      </c>
      <c r="K3961" s="8">
        <v>10891.212729999999</v>
      </c>
      <c r="L3961" s="8">
        <v>13531.77248</v>
      </c>
      <c r="M3961" s="9" t="str">
        <f>IF(A3961="",M3962,A3961)</f>
        <v>Sweden</v>
      </c>
      <c r="N3961" s="3" t="str">
        <f t="shared" si="123"/>
        <v>Dec-2021</v>
      </c>
    </row>
    <row r="3962" spans="1:14" x14ac:dyDescent="0.3">
      <c r="A3962" s="3" t="s">
        <v>338</v>
      </c>
      <c r="B3962" s="3" t="s">
        <v>339</v>
      </c>
      <c r="C3962" s="8">
        <v>2020</v>
      </c>
      <c r="D3962" s="8">
        <v>1</v>
      </c>
      <c r="E3962" s="3" t="str">
        <f t="shared" si="122"/>
        <v>January</v>
      </c>
      <c r="F3962" s="3" t="s">
        <v>8</v>
      </c>
      <c r="G3962" s="8">
        <v>941.51900499999999</v>
      </c>
      <c r="H3962" s="8">
        <v>960.97500000000002</v>
      </c>
      <c r="I3962" s="8">
        <v>19.45599498</v>
      </c>
      <c r="J3962" s="8">
        <v>19.45599498</v>
      </c>
      <c r="K3962" s="8">
        <v>-223.42266459999999</v>
      </c>
      <c r="L3962" s="8">
        <v>301.85184529999998</v>
      </c>
      <c r="M3962" s="9" t="str">
        <f>IF(A3962="",M3963,A3962)</f>
        <v>Eswatini</v>
      </c>
      <c r="N3962" s="3" t="str">
        <f t="shared" si="123"/>
        <v>Jan-2020</v>
      </c>
    </row>
    <row r="3963" spans="1:14" x14ac:dyDescent="0.3">
      <c r="A3963" s="3" t="s">
        <v>338</v>
      </c>
      <c r="B3963" s="3" t="s">
        <v>339</v>
      </c>
      <c r="C3963" s="8">
        <v>2020</v>
      </c>
      <c r="D3963" s="8">
        <v>2</v>
      </c>
      <c r="E3963" s="3" t="str">
        <f t="shared" si="122"/>
        <v>February</v>
      </c>
      <c r="F3963" s="3" t="s">
        <v>8</v>
      </c>
      <c r="G3963" s="8">
        <v>943.58611429999996</v>
      </c>
      <c r="H3963" s="8">
        <v>933.38099999999997</v>
      </c>
      <c r="I3963" s="8">
        <v>-10.20511432</v>
      </c>
      <c r="J3963" s="8">
        <v>9.2508806569999997</v>
      </c>
      <c r="K3963" s="8">
        <v>-346.84779589999999</v>
      </c>
      <c r="L3963" s="8">
        <v>411.32413229999997</v>
      </c>
      <c r="M3963" s="9" t="str">
        <f>IF(A3963="",M3964,A3963)</f>
        <v>Eswatini</v>
      </c>
      <c r="N3963" s="3" t="str">
        <f t="shared" si="123"/>
        <v>Feb-2020</v>
      </c>
    </row>
    <row r="3964" spans="1:14" x14ac:dyDescent="0.3">
      <c r="A3964" s="3" t="s">
        <v>338</v>
      </c>
      <c r="B3964" s="3" t="s">
        <v>339</v>
      </c>
      <c r="C3964" s="8">
        <v>2020</v>
      </c>
      <c r="D3964" s="8">
        <v>3</v>
      </c>
      <c r="E3964" s="3" t="str">
        <f t="shared" si="122"/>
        <v>March</v>
      </c>
      <c r="F3964" s="3" t="s">
        <v>8</v>
      </c>
      <c r="G3964" s="8">
        <v>949.26424650000001</v>
      </c>
      <c r="H3964" s="8">
        <v>920.83399999999995</v>
      </c>
      <c r="I3964" s="8">
        <v>-28.430246459999999</v>
      </c>
      <c r="J3964" s="8">
        <v>-19.179365799999999</v>
      </c>
      <c r="K3964" s="8">
        <v>-472.05384650000002</v>
      </c>
      <c r="L3964" s="8">
        <v>443.78576079999999</v>
      </c>
      <c r="M3964" s="9" t="str">
        <f>IF(A3964="",M3965,A3964)</f>
        <v>Eswatini</v>
      </c>
      <c r="N3964" s="3" t="str">
        <f t="shared" si="123"/>
        <v>Mar-2020</v>
      </c>
    </row>
    <row r="3965" spans="1:14" x14ac:dyDescent="0.3">
      <c r="A3965" s="3" t="s">
        <v>338</v>
      </c>
      <c r="B3965" s="3" t="s">
        <v>339</v>
      </c>
      <c r="C3965" s="8">
        <v>2020</v>
      </c>
      <c r="D3965" s="8">
        <v>4</v>
      </c>
      <c r="E3965" s="3" t="str">
        <f t="shared" si="122"/>
        <v>April</v>
      </c>
      <c r="F3965" s="3" t="s">
        <v>8</v>
      </c>
      <c r="G3965" s="8">
        <v>963.02365589999999</v>
      </c>
      <c r="H3965" s="8">
        <v>901.82500000000005</v>
      </c>
      <c r="I3965" s="8">
        <v>-61.198655860000002</v>
      </c>
      <c r="J3965" s="8">
        <v>-80.378021660000002</v>
      </c>
      <c r="K3965" s="8">
        <v>-591.71498489999999</v>
      </c>
      <c r="L3965" s="8">
        <v>445.34094670000002</v>
      </c>
      <c r="M3965" s="9" t="str">
        <f>IF(A3965="",M3966,A3965)</f>
        <v>Eswatini</v>
      </c>
      <c r="N3965" s="3" t="str">
        <f t="shared" si="123"/>
        <v>Apr-2020</v>
      </c>
    </row>
    <row r="3966" spans="1:14" x14ac:dyDescent="0.3">
      <c r="A3966" s="3" t="s">
        <v>338</v>
      </c>
      <c r="B3966" s="3" t="s">
        <v>339</v>
      </c>
      <c r="C3966" s="8">
        <v>2020</v>
      </c>
      <c r="D3966" s="8">
        <v>5</v>
      </c>
      <c r="E3966" s="3" t="str">
        <f t="shared" si="122"/>
        <v>May</v>
      </c>
      <c r="F3966" s="3" t="s">
        <v>8</v>
      </c>
      <c r="G3966" s="8">
        <v>976.90474879999999</v>
      </c>
      <c r="H3966" s="8">
        <v>934.88</v>
      </c>
      <c r="I3966" s="8">
        <v>-42.02474883</v>
      </c>
      <c r="J3966" s="8">
        <v>-122.4027705</v>
      </c>
      <c r="K3966" s="8">
        <v>-725.21656399999995</v>
      </c>
      <c r="L3966" s="8">
        <v>452.90070559999998</v>
      </c>
      <c r="M3966" s="9" t="str">
        <f>IF(A3966="",M3967,A3966)</f>
        <v>Eswatini</v>
      </c>
      <c r="N3966" s="3" t="str">
        <f t="shared" si="123"/>
        <v>May-2020</v>
      </c>
    </row>
    <row r="3967" spans="1:14" x14ac:dyDescent="0.3">
      <c r="A3967" s="3" t="s">
        <v>338</v>
      </c>
      <c r="B3967" s="3" t="s">
        <v>339</v>
      </c>
      <c r="C3967" s="8">
        <v>2020</v>
      </c>
      <c r="D3967" s="8">
        <v>6</v>
      </c>
      <c r="E3967" s="3" t="str">
        <f t="shared" si="122"/>
        <v>June</v>
      </c>
      <c r="F3967" s="3" t="s">
        <v>8</v>
      </c>
      <c r="G3967" s="8">
        <v>991.78671359999998</v>
      </c>
      <c r="H3967" s="8">
        <v>1034.1969999999999</v>
      </c>
      <c r="I3967" s="8">
        <v>42.410286390000003</v>
      </c>
      <c r="J3967" s="8">
        <v>-79.992484099999999</v>
      </c>
      <c r="K3967" s="8">
        <v>-727.11846800000001</v>
      </c>
      <c r="L3967" s="8">
        <v>596.70625759999996</v>
      </c>
      <c r="M3967" s="9" t="str">
        <f>IF(A3967="",M3968,A3967)</f>
        <v>Eswatini</v>
      </c>
      <c r="N3967" s="3" t="str">
        <f t="shared" si="123"/>
        <v>Jun-2020</v>
      </c>
    </row>
    <row r="3968" spans="1:14" x14ac:dyDescent="0.3">
      <c r="A3968" s="3" t="s">
        <v>338</v>
      </c>
      <c r="B3968" s="3" t="s">
        <v>339</v>
      </c>
      <c r="C3968" s="8">
        <v>2020</v>
      </c>
      <c r="D3968" s="8">
        <v>7</v>
      </c>
      <c r="E3968" s="3" t="str">
        <f t="shared" si="122"/>
        <v>July</v>
      </c>
      <c r="F3968" s="3" t="s">
        <v>8</v>
      </c>
      <c r="G3968" s="8">
        <v>993.72830060000001</v>
      </c>
      <c r="H3968" s="8">
        <v>1124.1210000000001</v>
      </c>
      <c r="I3968" s="8">
        <v>130.3926994</v>
      </c>
      <c r="J3968" s="8">
        <v>50.40021531</v>
      </c>
      <c r="K3968" s="8">
        <v>-627.56515090000005</v>
      </c>
      <c r="L3968" s="8">
        <v>792.74677450000001</v>
      </c>
      <c r="M3968" s="9" t="str">
        <f>IF(A3968="",M3969,A3968)</f>
        <v>Eswatini</v>
      </c>
      <c r="N3968" s="3" t="str">
        <f t="shared" si="123"/>
        <v>Jul-2020</v>
      </c>
    </row>
    <row r="3969" spans="1:14" x14ac:dyDescent="0.3">
      <c r="A3969" s="3" t="s">
        <v>338</v>
      </c>
      <c r="B3969" s="3" t="s">
        <v>339</v>
      </c>
      <c r="C3969" s="8">
        <v>2020</v>
      </c>
      <c r="D3969" s="8">
        <v>8</v>
      </c>
      <c r="E3969" s="3" t="str">
        <f t="shared" si="122"/>
        <v>August</v>
      </c>
      <c r="F3969" s="3" t="s">
        <v>8</v>
      </c>
      <c r="G3969" s="8">
        <v>986.31866079999998</v>
      </c>
      <c r="H3969" s="8">
        <v>1181.9880000000001</v>
      </c>
      <c r="I3969" s="8">
        <v>195.6693392</v>
      </c>
      <c r="J3969" s="8">
        <v>246.06955450000001</v>
      </c>
      <c r="K3969" s="8">
        <v>-534.97207490000005</v>
      </c>
      <c r="L3969" s="8">
        <v>1067.866968</v>
      </c>
      <c r="M3969" s="9" t="str">
        <f>IF(A3969="",M3970,A3969)</f>
        <v>Eswatini</v>
      </c>
      <c r="N3969" s="3" t="str">
        <f t="shared" si="123"/>
        <v>Aug-2020</v>
      </c>
    </row>
    <row r="3970" spans="1:14" x14ac:dyDescent="0.3">
      <c r="A3970" s="3" t="s">
        <v>338</v>
      </c>
      <c r="B3970" s="3" t="s">
        <v>339</v>
      </c>
      <c r="C3970" s="8">
        <v>2020</v>
      </c>
      <c r="D3970" s="8">
        <v>9</v>
      </c>
      <c r="E3970" s="3" t="str">
        <f t="shared" ref="E3970:E4033" si="124">TEXT(DATE(C3970,D3970,1),"MMMM")</f>
        <v>September</v>
      </c>
      <c r="F3970" s="3" t="s">
        <v>8</v>
      </c>
      <c r="G3970" s="8">
        <v>970.06604589999995</v>
      </c>
      <c r="H3970" s="8">
        <v>1091.171</v>
      </c>
      <c r="I3970" s="8">
        <v>121.1049541</v>
      </c>
      <c r="J3970" s="8">
        <v>367.1745085</v>
      </c>
      <c r="K3970" s="8">
        <v>-455.80685369999998</v>
      </c>
      <c r="L3970" s="8">
        <v>1187.9097859999999</v>
      </c>
      <c r="M3970" s="9" t="str">
        <f>IF(A3970="",M3971,A3970)</f>
        <v>Eswatini</v>
      </c>
      <c r="N3970" s="3" t="str">
        <f t="shared" ref="N3970:N4033" si="125">TEXT(DATE(C3970,D3970,1),"MMM-YYYY")</f>
        <v>Sep-2020</v>
      </c>
    </row>
    <row r="3971" spans="1:14" x14ac:dyDescent="0.3">
      <c r="A3971" s="3" t="s">
        <v>338</v>
      </c>
      <c r="B3971" s="3" t="s">
        <v>339</v>
      </c>
      <c r="C3971" s="8">
        <v>2020</v>
      </c>
      <c r="D3971" s="8">
        <v>10</v>
      </c>
      <c r="E3971" s="3" t="str">
        <f t="shared" si="124"/>
        <v>October</v>
      </c>
      <c r="F3971" s="3" t="s">
        <v>8</v>
      </c>
      <c r="G3971" s="8">
        <v>959.53569130000005</v>
      </c>
      <c r="H3971" s="8">
        <v>1048.5309999999999</v>
      </c>
      <c r="I3971" s="8">
        <v>88.995308679999994</v>
      </c>
      <c r="J3971" s="8">
        <v>456.16981720000001</v>
      </c>
      <c r="K3971" s="8">
        <v>-421.77998769999999</v>
      </c>
      <c r="L3971" s="8">
        <v>1359.21083</v>
      </c>
      <c r="M3971" s="9" t="str">
        <f>IF(A3971="",M3972,A3971)</f>
        <v>Eswatini</v>
      </c>
      <c r="N3971" s="3" t="str">
        <f t="shared" si="125"/>
        <v>Oct-2020</v>
      </c>
    </row>
    <row r="3972" spans="1:14" x14ac:dyDescent="0.3">
      <c r="A3972" s="3" t="s">
        <v>338</v>
      </c>
      <c r="B3972" s="3" t="s">
        <v>339</v>
      </c>
      <c r="C3972" s="8">
        <v>2020</v>
      </c>
      <c r="D3972" s="8">
        <v>11</v>
      </c>
      <c r="E3972" s="3" t="str">
        <f t="shared" si="124"/>
        <v>November</v>
      </c>
      <c r="F3972" s="3" t="s">
        <v>8</v>
      </c>
      <c r="G3972" s="8">
        <v>953.37391360000004</v>
      </c>
      <c r="H3972" s="8">
        <v>1003.802</v>
      </c>
      <c r="I3972" s="8">
        <v>50.428086450000002</v>
      </c>
      <c r="J3972" s="8">
        <v>506.59790370000002</v>
      </c>
      <c r="K3972" s="8">
        <v>-390.98038300000002</v>
      </c>
      <c r="L3972" s="8">
        <v>1467.1270099999999</v>
      </c>
      <c r="M3972" s="9" t="str">
        <f>IF(A3972="",M3973,A3972)</f>
        <v>Eswatini</v>
      </c>
      <c r="N3972" s="3" t="str">
        <f t="shared" si="125"/>
        <v>Nov-2020</v>
      </c>
    </row>
    <row r="3973" spans="1:14" x14ac:dyDescent="0.3">
      <c r="A3973" s="3" t="s">
        <v>338</v>
      </c>
      <c r="B3973" s="3" t="s">
        <v>339</v>
      </c>
      <c r="C3973" s="8">
        <v>2020</v>
      </c>
      <c r="D3973" s="8">
        <v>12</v>
      </c>
      <c r="E3973" s="3" t="str">
        <f t="shared" si="124"/>
        <v>December</v>
      </c>
      <c r="F3973" s="3" t="s">
        <v>8</v>
      </c>
      <c r="G3973" s="8">
        <v>948.07653430000005</v>
      </c>
      <c r="H3973" s="8">
        <v>1146.019</v>
      </c>
      <c r="I3973" s="8">
        <v>197.94246570000001</v>
      </c>
      <c r="J3973" s="8">
        <v>704.54036929999995</v>
      </c>
      <c r="K3973" s="8">
        <v>-299.21726940000002</v>
      </c>
      <c r="L3973" s="8">
        <v>1679.4663350000001</v>
      </c>
      <c r="M3973" s="9" t="str">
        <f>IF(A3973="",M3974,A3973)</f>
        <v>Eswatini</v>
      </c>
      <c r="N3973" s="3" t="str">
        <f t="shared" si="125"/>
        <v>Dec-2020</v>
      </c>
    </row>
    <row r="3974" spans="1:14" x14ac:dyDescent="0.3">
      <c r="A3974" s="3" t="s">
        <v>338</v>
      </c>
      <c r="B3974" s="3" t="s">
        <v>339</v>
      </c>
      <c r="C3974" s="8">
        <v>2021</v>
      </c>
      <c r="D3974" s="8">
        <v>1</v>
      </c>
      <c r="E3974" s="3" t="str">
        <f t="shared" si="124"/>
        <v>January</v>
      </c>
      <c r="F3974" s="3" t="s">
        <v>8</v>
      </c>
      <c r="G3974" s="8">
        <v>922.00231959999996</v>
      </c>
      <c r="H3974" s="8">
        <v>1523.9680000000001</v>
      </c>
      <c r="I3974" s="8">
        <v>601.9656804</v>
      </c>
      <c r="J3974" s="8">
        <v>1306.50605</v>
      </c>
      <c r="K3974" s="8">
        <v>260.142831</v>
      </c>
      <c r="L3974" s="8">
        <v>2396.206858</v>
      </c>
      <c r="M3974" s="9" t="str">
        <f>IF(A3974="",M3975,A3974)</f>
        <v>Eswatini</v>
      </c>
      <c r="N3974" s="3" t="str">
        <f t="shared" si="125"/>
        <v>Jan-2021</v>
      </c>
    </row>
    <row r="3975" spans="1:14" x14ac:dyDescent="0.3">
      <c r="A3975" s="3" t="s">
        <v>338</v>
      </c>
      <c r="B3975" s="3" t="s">
        <v>339</v>
      </c>
      <c r="C3975" s="8">
        <v>2021</v>
      </c>
      <c r="D3975" s="8">
        <v>2</v>
      </c>
      <c r="E3975" s="3" t="str">
        <f t="shared" si="124"/>
        <v>February</v>
      </c>
      <c r="F3975" s="3" t="s">
        <v>8</v>
      </c>
      <c r="G3975" s="8">
        <v>924.6004954</v>
      </c>
      <c r="H3975" s="8">
        <v>1172.645</v>
      </c>
      <c r="I3975" s="8">
        <v>248.04450460000001</v>
      </c>
      <c r="J3975" s="8">
        <v>1554.5505539999999</v>
      </c>
      <c r="K3975" s="8">
        <v>424.81972510000003</v>
      </c>
      <c r="L3975" s="8">
        <v>2736.1883899999998</v>
      </c>
      <c r="M3975" s="9" t="str">
        <f>IF(A3975="",M3976,A3975)</f>
        <v>Eswatini</v>
      </c>
      <c r="N3975" s="3" t="str">
        <f t="shared" si="125"/>
        <v>Feb-2021</v>
      </c>
    </row>
    <row r="3976" spans="1:14" x14ac:dyDescent="0.3">
      <c r="A3976" s="3" t="s">
        <v>338</v>
      </c>
      <c r="B3976" s="3" t="s">
        <v>339</v>
      </c>
      <c r="C3976" s="8">
        <v>2021</v>
      </c>
      <c r="D3976" s="8">
        <v>3</v>
      </c>
      <c r="E3976" s="3" t="str">
        <f t="shared" si="124"/>
        <v>March</v>
      </c>
      <c r="F3976" s="3" t="s">
        <v>8</v>
      </c>
      <c r="G3976" s="8">
        <v>929.8943696</v>
      </c>
      <c r="H3976" s="8">
        <v>1035.9659999999999</v>
      </c>
      <c r="I3976" s="8">
        <v>106.0716304</v>
      </c>
      <c r="J3976" s="8">
        <v>1660.6221849999999</v>
      </c>
      <c r="K3976" s="8">
        <v>506.49925250000001</v>
      </c>
      <c r="L3976" s="8">
        <v>2901.7683830000001</v>
      </c>
      <c r="M3976" s="9" t="str">
        <f>IF(A3976="",M3977,A3976)</f>
        <v>Eswatini</v>
      </c>
      <c r="N3976" s="3" t="str">
        <f t="shared" si="125"/>
        <v>Mar-2021</v>
      </c>
    </row>
    <row r="3977" spans="1:14" x14ac:dyDescent="0.3">
      <c r="A3977" s="3" t="s">
        <v>338</v>
      </c>
      <c r="B3977" s="3" t="s">
        <v>339</v>
      </c>
      <c r="C3977" s="8">
        <v>2021</v>
      </c>
      <c r="D3977" s="8">
        <v>4</v>
      </c>
      <c r="E3977" s="3" t="str">
        <f t="shared" si="124"/>
        <v>April</v>
      </c>
      <c r="F3977" s="3" t="s">
        <v>8</v>
      </c>
      <c r="G3977" s="8">
        <v>942.02540550000003</v>
      </c>
      <c r="H3977" s="8">
        <v>962.07500000000005</v>
      </c>
      <c r="I3977" s="8">
        <v>20.049594509999999</v>
      </c>
      <c r="J3977" s="8">
        <v>1680.671779</v>
      </c>
      <c r="K3977" s="8">
        <v>462.2594641</v>
      </c>
      <c r="L3977" s="8">
        <v>2934.9831939999999</v>
      </c>
      <c r="M3977" s="9" t="str">
        <f>IF(A3977="",M3978,A3977)</f>
        <v>Eswatini</v>
      </c>
      <c r="N3977" s="3" t="str">
        <f t="shared" si="125"/>
        <v>Apr-2021</v>
      </c>
    </row>
    <row r="3978" spans="1:14" x14ac:dyDescent="0.3">
      <c r="A3978" s="3" t="s">
        <v>338</v>
      </c>
      <c r="B3978" s="3" t="s">
        <v>339</v>
      </c>
      <c r="C3978" s="8">
        <v>2021</v>
      </c>
      <c r="D3978" s="8">
        <v>5</v>
      </c>
      <c r="E3978" s="3" t="str">
        <f t="shared" si="124"/>
        <v>May</v>
      </c>
      <c r="F3978" s="3" t="s">
        <v>8</v>
      </c>
      <c r="G3978" s="8">
        <v>957.56259490000002</v>
      </c>
      <c r="H3978" s="8">
        <v>946.02200000000005</v>
      </c>
      <c r="I3978" s="8">
        <v>-11.540594889999999</v>
      </c>
      <c r="J3978" s="8">
        <v>1669.1311840000001</v>
      </c>
      <c r="K3978" s="8">
        <v>419.12352470000002</v>
      </c>
      <c r="L3978" s="8">
        <v>2863.790031</v>
      </c>
      <c r="M3978" s="9" t="str">
        <f>IF(A3978="",M3979,A3978)</f>
        <v>Eswatini</v>
      </c>
      <c r="N3978" s="3" t="str">
        <f t="shared" si="125"/>
        <v>May-2021</v>
      </c>
    </row>
    <row r="3979" spans="1:14" x14ac:dyDescent="0.3">
      <c r="A3979" s="3" t="s">
        <v>338</v>
      </c>
      <c r="B3979" s="3" t="s">
        <v>339</v>
      </c>
      <c r="C3979" s="8">
        <v>2021</v>
      </c>
      <c r="D3979" s="8">
        <v>6</v>
      </c>
      <c r="E3979" s="3" t="str">
        <f t="shared" si="124"/>
        <v>June</v>
      </c>
      <c r="F3979" s="3" t="s">
        <v>8</v>
      </c>
      <c r="G3979" s="8">
        <v>970.16947630000004</v>
      </c>
      <c r="H3979" s="8">
        <v>970.83600000000001</v>
      </c>
      <c r="I3979" s="8">
        <v>0.666523702</v>
      </c>
      <c r="J3979" s="8">
        <v>1669.7977080000001</v>
      </c>
      <c r="K3979" s="8">
        <v>385.41458180000001</v>
      </c>
      <c r="L3979" s="8">
        <v>2883.091113</v>
      </c>
      <c r="M3979" s="9" t="str">
        <f>IF(A3979="",M3980,A3979)</f>
        <v>Eswatini</v>
      </c>
      <c r="N3979" s="3" t="str">
        <f t="shared" si="125"/>
        <v>Jun-2021</v>
      </c>
    </row>
    <row r="3980" spans="1:14" x14ac:dyDescent="0.3">
      <c r="A3980" s="3" t="s">
        <v>338</v>
      </c>
      <c r="B3980" s="3" t="s">
        <v>339</v>
      </c>
      <c r="C3980" s="8">
        <v>2021</v>
      </c>
      <c r="D3980" s="8">
        <v>7</v>
      </c>
      <c r="E3980" s="3" t="str">
        <f t="shared" si="124"/>
        <v>July</v>
      </c>
      <c r="F3980" s="3" t="s">
        <v>8</v>
      </c>
      <c r="G3980" s="8">
        <v>972.08798679999995</v>
      </c>
      <c r="H3980" s="8">
        <v>1224.0440000000001</v>
      </c>
      <c r="I3980" s="8">
        <v>251.9560132</v>
      </c>
      <c r="J3980" s="8">
        <v>1921.753721</v>
      </c>
      <c r="K3980" s="8">
        <v>683.70874470000001</v>
      </c>
      <c r="L3980" s="8">
        <v>3179.3695339999999</v>
      </c>
      <c r="M3980" s="9" t="str">
        <f>IF(A3980="",M3981,A3980)</f>
        <v>Eswatini</v>
      </c>
      <c r="N3980" s="3" t="str">
        <f t="shared" si="125"/>
        <v>Jul-2021</v>
      </c>
    </row>
    <row r="3981" spans="1:14" x14ac:dyDescent="0.3">
      <c r="A3981" s="3" t="s">
        <v>338</v>
      </c>
      <c r="B3981" s="3" t="s">
        <v>339</v>
      </c>
      <c r="C3981" s="8">
        <v>2021</v>
      </c>
      <c r="D3981" s="8">
        <v>8</v>
      </c>
      <c r="E3981" s="3" t="str">
        <f t="shared" si="124"/>
        <v>August</v>
      </c>
      <c r="F3981" s="3" t="s">
        <v>8</v>
      </c>
      <c r="G3981" s="8">
        <v>964.55770940000002</v>
      </c>
      <c r="H3981" s="8">
        <v>1598.056</v>
      </c>
      <c r="I3981" s="8">
        <v>633.49829060000002</v>
      </c>
      <c r="J3981" s="8">
        <v>2555.2520119999999</v>
      </c>
      <c r="K3981" s="8">
        <v>1254.4351839999999</v>
      </c>
      <c r="L3981" s="8">
        <v>3931.3540050000001</v>
      </c>
      <c r="M3981" s="9" t="str">
        <f>IF(A3981="",M3982,A3981)</f>
        <v>Eswatini</v>
      </c>
      <c r="N3981" s="3" t="str">
        <f t="shared" si="125"/>
        <v>Aug-2021</v>
      </c>
    </row>
    <row r="3982" spans="1:14" x14ac:dyDescent="0.3">
      <c r="A3982" s="3" t="s">
        <v>338</v>
      </c>
      <c r="B3982" s="3" t="s">
        <v>339</v>
      </c>
      <c r="C3982" s="8">
        <v>2021</v>
      </c>
      <c r="D3982" s="8">
        <v>9</v>
      </c>
      <c r="E3982" s="3" t="str">
        <f t="shared" si="124"/>
        <v>September</v>
      </c>
      <c r="F3982" s="3" t="s">
        <v>8</v>
      </c>
      <c r="G3982" s="8">
        <v>949.35286110000004</v>
      </c>
      <c r="H3982" s="8">
        <v>1258.9760000000001</v>
      </c>
      <c r="I3982" s="8">
        <v>309.62313890000001</v>
      </c>
      <c r="J3982" s="8">
        <v>2864.8751510000002</v>
      </c>
      <c r="K3982" s="8">
        <v>1510.899451</v>
      </c>
      <c r="L3982" s="8">
        <v>4309.8609180000003</v>
      </c>
      <c r="M3982" s="9" t="str">
        <f>IF(A3982="",M3983,A3982)</f>
        <v>Eswatini</v>
      </c>
      <c r="N3982" s="3" t="str">
        <f t="shared" si="125"/>
        <v>Sep-2021</v>
      </c>
    </row>
    <row r="3983" spans="1:14" x14ac:dyDescent="0.3">
      <c r="A3983" s="3" t="s">
        <v>338</v>
      </c>
      <c r="B3983" s="3" t="s">
        <v>339</v>
      </c>
      <c r="C3983" s="8">
        <v>2021</v>
      </c>
      <c r="D3983" s="8">
        <v>10</v>
      </c>
      <c r="E3983" s="3" t="str">
        <f t="shared" si="124"/>
        <v>October</v>
      </c>
      <c r="F3983" s="3" t="s">
        <v>8</v>
      </c>
      <c r="G3983" s="8">
        <v>940.511436</v>
      </c>
      <c r="H3983" s="8">
        <v>1048.4929999999999</v>
      </c>
      <c r="I3983" s="8">
        <v>107.98156400000001</v>
      </c>
      <c r="J3983" s="8">
        <v>2972.8567149999999</v>
      </c>
      <c r="K3983" s="8">
        <v>1554.413092</v>
      </c>
      <c r="L3983" s="8">
        <v>4398.7223940000003</v>
      </c>
      <c r="M3983" s="9" t="str">
        <f>IF(A3983="",M3984,A3983)</f>
        <v>Eswatini</v>
      </c>
      <c r="N3983" s="3" t="str">
        <f t="shared" si="125"/>
        <v>Oct-2021</v>
      </c>
    </row>
    <row r="3984" spans="1:14" x14ac:dyDescent="0.3">
      <c r="A3984" s="3" t="s">
        <v>338</v>
      </c>
      <c r="B3984" s="3" t="s">
        <v>339</v>
      </c>
      <c r="C3984" s="8">
        <v>2021</v>
      </c>
      <c r="D3984" s="8">
        <v>11</v>
      </c>
      <c r="E3984" s="3" t="str">
        <f t="shared" si="124"/>
        <v>November</v>
      </c>
      <c r="F3984" s="3" t="s">
        <v>8</v>
      </c>
      <c r="G3984" s="8">
        <v>933.74695059999999</v>
      </c>
      <c r="H3984" s="8">
        <v>995.12900000000002</v>
      </c>
      <c r="I3984" s="8">
        <v>61.382049350000003</v>
      </c>
      <c r="J3984" s="8">
        <v>3034.2387640000002</v>
      </c>
      <c r="K3984" s="8">
        <v>1603.969272</v>
      </c>
      <c r="L3984" s="8">
        <v>4501.3578539999999</v>
      </c>
      <c r="M3984" s="9" t="str">
        <f>IF(A3984="",M3985,A3984)</f>
        <v>Eswatini</v>
      </c>
      <c r="N3984" s="3" t="str">
        <f t="shared" si="125"/>
        <v>Nov-2021</v>
      </c>
    </row>
    <row r="3985" spans="1:14" x14ac:dyDescent="0.3">
      <c r="A3985" s="3" t="s">
        <v>338</v>
      </c>
      <c r="B3985" s="3" t="s">
        <v>339</v>
      </c>
      <c r="C3985" s="8">
        <v>2021</v>
      </c>
      <c r="D3985" s="8">
        <v>12</v>
      </c>
      <c r="E3985" s="3" t="str">
        <f t="shared" si="124"/>
        <v>December</v>
      </c>
      <c r="F3985" s="3" t="s">
        <v>8</v>
      </c>
      <c r="G3985" s="8">
        <v>927.77656009999998</v>
      </c>
      <c r="H3985" s="8">
        <v>1081.279</v>
      </c>
      <c r="I3985" s="8">
        <v>153.50243990000001</v>
      </c>
      <c r="J3985" s="8">
        <v>3187.7412039999999</v>
      </c>
      <c r="K3985" s="8">
        <v>1649.2021030000001</v>
      </c>
      <c r="L3985" s="8">
        <v>4648.3544380000003</v>
      </c>
      <c r="M3985" s="9" t="str">
        <f>IF(A3985="",M3986,A3985)</f>
        <v>Eswatini</v>
      </c>
      <c r="N3985" s="3" t="str">
        <f t="shared" si="125"/>
        <v>Dec-2021</v>
      </c>
    </row>
    <row r="3986" spans="1:14" x14ac:dyDescent="0.3">
      <c r="A3986" s="3" t="s">
        <v>340</v>
      </c>
      <c r="B3986" s="3" t="s">
        <v>341</v>
      </c>
      <c r="C3986" s="8">
        <v>2020</v>
      </c>
      <c r="D3986" s="8">
        <v>1</v>
      </c>
      <c r="E3986" s="3" t="str">
        <f t="shared" si="124"/>
        <v>January</v>
      </c>
      <c r="F3986" s="3" t="s">
        <v>13</v>
      </c>
      <c r="G3986" s="8">
        <v>69.335536630000007</v>
      </c>
      <c r="H3986" s="8">
        <v>65</v>
      </c>
      <c r="I3986" s="8">
        <v>-4.3355366340000003</v>
      </c>
      <c r="J3986" s="8">
        <v>-4.3355366340000003</v>
      </c>
      <c r="K3986" s="8">
        <v>-9.1037521600000009</v>
      </c>
      <c r="L3986" s="8">
        <v>0.251850038</v>
      </c>
      <c r="M3986" s="9" t="str">
        <f>IF(A3986="",M3987,A3986)</f>
        <v>Seychelles</v>
      </c>
      <c r="N3986" s="3" t="str">
        <f t="shared" si="125"/>
        <v>Jan-2020</v>
      </c>
    </row>
    <row r="3987" spans="1:14" x14ac:dyDescent="0.3">
      <c r="A3987" s="3" t="s">
        <v>340</v>
      </c>
      <c r="B3987" s="3" t="s">
        <v>341</v>
      </c>
      <c r="C3987" s="8">
        <v>2020</v>
      </c>
      <c r="D3987" s="8">
        <v>2</v>
      </c>
      <c r="E3987" s="3" t="str">
        <f t="shared" si="124"/>
        <v>February</v>
      </c>
      <c r="F3987" s="3" t="s">
        <v>13</v>
      </c>
      <c r="G3987" s="8">
        <v>69.382284029999994</v>
      </c>
      <c r="H3987" s="8">
        <v>61</v>
      </c>
      <c r="I3987" s="8">
        <v>-8.3822840260000007</v>
      </c>
      <c r="J3987" s="8">
        <v>-12.717820659999999</v>
      </c>
      <c r="K3987" s="8">
        <v>-19.753591409999999</v>
      </c>
      <c r="L3987" s="8">
        <v>-6.2914765819999996</v>
      </c>
      <c r="M3987" s="9" t="str">
        <f>IF(A3987="",M3988,A3987)</f>
        <v>Seychelles</v>
      </c>
      <c r="N3987" s="3" t="str">
        <f t="shared" si="125"/>
        <v>Feb-2020</v>
      </c>
    </row>
    <row r="3988" spans="1:14" x14ac:dyDescent="0.3">
      <c r="A3988" s="3" t="s">
        <v>340</v>
      </c>
      <c r="B3988" s="3" t="s">
        <v>341</v>
      </c>
      <c r="C3988" s="8">
        <v>2020</v>
      </c>
      <c r="D3988" s="8">
        <v>3</v>
      </c>
      <c r="E3988" s="3" t="str">
        <f t="shared" si="124"/>
        <v>March</v>
      </c>
      <c r="F3988" s="3" t="s">
        <v>13</v>
      </c>
      <c r="G3988" s="8">
        <v>69.788785840000003</v>
      </c>
      <c r="H3988" s="8">
        <v>57</v>
      </c>
      <c r="I3988" s="8">
        <v>-12.788785839999999</v>
      </c>
      <c r="J3988" s="8">
        <v>-25.5066065</v>
      </c>
      <c r="K3988" s="8">
        <v>-34.349245189999998</v>
      </c>
      <c r="L3988" s="8">
        <v>-16.909028060000001</v>
      </c>
      <c r="M3988" s="9" t="str">
        <f>IF(A3988="",M3989,A3988)</f>
        <v>Seychelles</v>
      </c>
      <c r="N3988" s="3" t="str">
        <f t="shared" si="125"/>
        <v>Mar-2020</v>
      </c>
    </row>
    <row r="3989" spans="1:14" x14ac:dyDescent="0.3">
      <c r="A3989" s="3" t="s">
        <v>340</v>
      </c>
      <c r="B3989" s="3" t="s">
        <v>341</v>
      </c>
      <c r="C3989" s="8">
        <v>2020</v>
      </c>
      <c r="D3989" s="8">
        <v>4</v>
      </c>
      <c r="E3989" s="3" t="str">
        <f t="shared" si="124"/>
        <v>April</v>
      </c>
      <c r="F3989" s="3" t="s">
        <v>13</v>
      </c>
      <c r="G3989" s="8">
        <v>69.863760409999998</v>
      </c>
      <c r="H3989" s="8">
        <v>59</v>
      </c>
      <c r="I3989" s="8">
        <v>-10.863760409999999</v>
      </c>
      <c r="J3989" s="8">
        <v>-36.370366910000001</v>
      </c>
      <c r="K3989" s="8">
        <v>-46.24663864</v>
      </c>
      <c r="L3989" s="8">
        <v>-26.14005341</v>
      </c>
      <c r="M3989" s="9" t="str">
        <f>IF(A3989="",M3990,A3989)</f>
        <v>Seychelles</v>
      </c>
      <c r="N3989" s="3" t="str">
        <f t="shared" si="125"/>
        <v>Apr-2020</v>
      </c>
    </row>
    <row r="3990" spans="1:14" x14ac:dyDescent="0.3">
      <c r="A3990" s="3" t="s">
        <v>340</v>
      </c>
      <c r="B3990" s="3" t="s">
        <v>341</v>
      </c>
      <c r="C3990" s="8">
        <v>2020</v>
      </c>
      <c r="D3990" s="8">
        <v>5</v>
      </c>
      <c r="E3990" s="3" t="str">
        <f t="shared" si="124"/>
        <v>May</v>
      </c>
      <c r="F3990" s="3" t="s">
        <v>13</v>
      </c>
      <c r="G3990" s="8">
        <v>70.300901629999998</v>
      </c>
      <c r="H3990" s="8">
        <v>41</v>
      </c>
      <c r="I3990" s="8">
        <v>-29.300901629999998</v>
      </c>
      <c r="J3990" s="8">
        <v>-65.67126854</v>
      </c>
      <c r="K3990" s="8">
        <v>-76.654209059999999</v>
      </c>
      <c r="L3990" s="8">
        <v>-54.243191029999998</v>
      </c>
      <c r="M3990" s="9" t="str">
        <f>IF(A3990="",M3991,A3990)</f>
        <v>Seychelles</v>
      </c>
      <c r="N3990" s="3" t="str">
        <f t="shared" si="125"/>
        <v>May-2020</v>
      </c>
    </row>
    <row r="3991" spans="1:14" x14ac:dyDescent="0.3">
      <c r="A3991" s="3" t="s">
        <v>340</v>
      </c>
      <c r="B3991" s="3" t="s">
        <v>341</v>
      </c>
      <c r="C3991" s="8">
        <v>2020</v>
      </c>
      <c r="D3991" s="8">
        <v>6</v>
      </c>
      <c r="E3991" s="3" t="str">
        <f t="shared" si="124"/>
        <v>June</v>
      </c>
      <c r="F3991" s="3" t="s">
        <v>13</v>
      </c>
      <c r="G3991" s="8">
        <v>70.413274729999998</v>
      </c>
      <c r="H3991" s="8">
        <v>52</v>
      </c>
      <c r="I3991" s="8">
        <v>-18.413274730000001</v>
      </c>
      <c r="J3991" s="8">
        <v>-84.084543260000004</v>
      </c>
      <c r="K3991" s="8">
        <v>-95.842250079999999</v>
      </c>
      <c r="L3991" s="8">
        <v>-72.243073319999993</v>
      </c>
      <c r="M3991" s="9" t="str">
        <f>IF(A3991="",M3992,A3991)</f>
        <v>Seychelles</v>
      </c>
      <c r="N3991" s="3" t="str">
        <f t="shared" si="125"/>
        <v>Jun-2020</v>
      </c>
    </row>
    <row r="3992" spans="1:14" x14ac:dyDescent="0.3">
      <c r="A3992" s="3" t="s">
        <v>340</v>
      </c>
      <c r="B3992" s="3" t="s">
        <v>341</v>
      </c>
      <c r="C3992" s="8">
        <v>2020</v>
      </c>
      <c r="D3992" s="8">
        <v>7</v>
      </c>
      <c r="E3992" s="3" t="str">
        <f t="shared" si="124"/>
        <v>July</v>
      </c>
      <c r="F3992" s="3" t="s">
        <v>13</v>
      </c>
      <c r="G3992" s="8">
        <v>70.717633230000004</v>
      </c>
      <c r="H3992" s="8">
        <v>56</v>
      </c>
      <c r="I3992" s="8">
        <v>-14.717633230000001</v>
      </c>
      <c r="J3992" s="8">
        <v>-98.802176500000002</v>
      </c>
      <c r="K3992" s="8">
        <v>-112.21353689999999</v>
      </c>
      <c r="L3992" s="8">
        <v>-85.788483940000006</v>
      </c>
      <c r="M3992" s="9" t="str">
        <f>IF(A3992="",M3993,A3992)</f>
        <v>Seychelles</v>
      </c>
      <c r="N3992" s="3" t="str">
        <f t="shared" si="125"/>
        <v>Jul-2020</v>
      </c>
    </row>
    <row r="3993" spans="1:14" x14ac:dyDescent="0.3">
      <c r="A3993" s="3" t="s">
        <v>340</v>
      </c>
      <c r="B3993" s="3" t="s">
        <v>341</v>
      </c>
      <c r="C3993" s="8">
        <v>2020</v>
      </c>
      <c r="D3993" s="8">
        <v>8</v>
      </c>
      <c r="E3993" s="3" t="str">
        <f t="shared" si="124"/>
        <v>August</v>
      </c>
      <c r="F3993" s="3" t="s">
        <v>13</v>
      </c>
      <c r="G3993" s="8">
        <v>70.805411520000007</v>
      </c>
      <c r="H3993" s="8">
        <v>50</v>
      </c>
      <c r="I3993" s="8">
        <v>-20.80541152</v>
      </c>
      <c r="J3993" s="8">
        <v>-119.60758800000001</v>
      </c>
      <c r="K3993" s="8">
        <v>-134.40361820000001</v>
      </c>
      <c r="L3993" s="8">
        <v>-104.1673344</v>
      </c>
      <c r="M3993" s="9" t="str">
        <f>IF(A3993="",M3994,A3993)</f>
        <v>Seychelles</v>
      </c>
      <c r="N3993" s="3" t="str">
        <f t="shared" si="125"/>
        <v>Aug-2020</v>
      </c>
    </row>
    <row r="3994" spans="1:14" x14ac:dyDescent="0.3">
      <c r="A3994" s="3" t="s">
        <v>340</v>
      </c>
      <c r="B3994" s="3" t="s">
        <v>341</v>
      </c>
      <c r="C3994" s="8">
        <v>2020</v>
      </c>
      <c r="D3994" s="8">
        <v>9</v>
      </c>
      <c r="E3994" s="3" t="str">
        <f t="shared" si="124"/>
        <v>September</v>
      </c>
      <c r="F3994" s="3" t="s">
        <v>13</v>
      </c>
      <c r="G3994" s="8">
        <v>71.184307759999996</v>
      </c>
      <c r="H3994" s="8">
        <v>54</v>
      </c>
      <c r="I3994" s="8">
        <v>-17.184307759999999</v>
      </c>
      <c r="J3994" s="8">
        <v>-136.79189579999999</v>
      </c>
      <c r="K3994" s="8">
        <v>-153.4326461</v>
      </c>
      <c r="L3994" s="8">
        <v>-120.3536951</v>
      </c>
      <c r="M3994" s="9" t="str">
        <f>IF(A3994="",M3995,A3994)</f>
        <v>Seychelles</v>
      </c>
      <c r="N3994" s="3" t="str">
        <f t="shared" si="125"/>
        <v>Sep-2020</v>
      </c>
    </row>
    <row r="3995" spans="1:14" x14ac:dyDescent="0.3">
      <c r="A3995" s="3" t="s">
        <v>340</v>
      </c>
      <c r="B3995" s="3" t="s">
        <v>341</v>
      </c>
      <c r="C3995" s="8">
        <v>2020</v>
      </c>
      <c r="D3995" s="8">
        <v>10</v>
      </c>
      <c r="E3995" s="3" t="str">
        <f t="shared" si="124"/>
        <v>October</v>
      </c>
      <c r="F3995" s="3" t="s">
        <v>13</v>
      </c>
      <c r="G3995" s="8">
        <v>71.040240069999996</v>
      </c>
      <c r="H3995" s="8">
        <v>43</v>
      </c>
      <c r="I3995" s="8">
        <v>-28.040240069999999</v>
      </c>
      <c r="J3995" s="8">
        <v>-164.8321358</v>
      </c>
      <c r="K3995" s="8">
        <v>-181.6164679</v>
      </c>
      <c r="L3995" s="8">
        <v>-146.46082899999999</v>
      </c>
      <c r="M3995" s="9" t="str">
        <f>IF(A3995="",M3996,A3995)</f>
        <v>Seychelles</v>
      </c>
      <c r="N3995" s="3" t="str">
        <f t="shared" si="125"/>
        <v>Oct-2020</v>
      </c>
    </row>
    <row r="3996" spans="1:14" x14ac:dyDescent="0.3">
      <c r="A3996" s="3" t="s">
        <v>340</v>
      </c>
      <c r="B3996" s="3" t="s">
        <v>341</v>
      </c>
      <c r="C3996" s="8">
        <v>2020</v>
      </c>
      <c r="D3996" s="8">
        <v>11</v>
      </c>
      <c r="E3996" s="3" t="str">
        <f t="shared" si="124"/>
        <v>November</v>
      </c>
      <c r="F3996" s="3" t="s">
        <v>13</v>
      </c>
      <c r="G3996" s="8">
        <v>71.477736770000007</v>
      </c>
      <c r="H3996" s="8">
        <v>66</v>
      </c>
      <c r="I3996" s="8">
        <v>-5.4777367750000003</v>
      </c>
      <c r="J3996" s="8">
        <v>-170.30987260000001</v>
      </c>
      <c r="K3996" s="8">
        <v>-188.32026210000001</v>
      </c>
      <c r="L3996" s="8">
        <v>-151.416743</v>
      </c>
      <c r="M3996" s="9" t="str">
        <f>IF(A3996="",M3997,A3996)</f>
        <v>Seychelles</v>
      </c>
      <c r="N3996" s="3" t="str">
        <f t="shared" si="125"/>
        <v>Nov-2020</v>
      </c>
    </row>
    <row r="3997" spans="1:14" x14ac:dyDescent="0.3">
      <c r="A3997" s="3" t="s">
        <v>340</v>
      </c>
      <c r="B3997" s="3" t="s">
        <v>341</v>
      </c>
      <c r="C3997" s="8">
        <v>2020</v>
      </c>
      <c r="D3997" s="8">
        <v>12</v>
      </c>
      <c r="E3997" s="3" t="str">
        <f t="shared" si="124"/>
        <v>December</v>
      </c>
      <c r="F3997" s="3" t="s">
        <v>13</v>
      </c>
      <c r="G3997" s="8">
        <v>71.551004410000004</v>
      </c>
      <c r="H3997" s="8">
        <v>64</v>
      </c>
      <c r="I3997" s="8">
        <v>-7.5510044059999997</v>
      </c>
      <c r="J3997" s="8">
        <v>-177.86087699999999</v>
      </c>
      <c r="K3997" s="8">
        <v>-196.6607612</v>
      </c>
      <c r="L3997" s="8">
        <v>-157.92737009999999</v>
      </c>
      <c r="M3997" s="9" t="str">
        <f>IF(A3997="",M3998,A3997)</f>
        <v>Seychelles</v>
      </c>
      <c r="N3997" s="3" t="str">
        <f t="shared" si="125"/>
        <v>Dec-2020</v>
      </c>
    </row>
    <row r="3998" spans="1:14" x14ac:dyDescent="0.3">
      <c r="A3998" s="3" t="s">
        <v>340</v>
      </c>
      <c r="B3998" s="3" t="s">
        <v>341</v>
      </c>
      <c r="C3998" s="8">
        <v>2021</v>
      </c>
      <c r="D3998" s="8">
        <v>1</v>
      </c>
      <c r="E3998" s="3" t="str">
        <f t="shared" si="124"/>
        <v>January</v>
      </c>
      <c r="F3998" s="3" t="s">
        <v>13</v>
      </c>
      <c r="G3998" s="8">
        <v>71.91411841</v>
      </c>
      <c r="H3998" s="8">
        <v>69</v>
      </c>
      <c r="I3998" s="8">
        <v>-2.914118406</v>
      </c>
      <c r="J3998" s="8">
        <v>-180.77499539999999</v>
      </c>
      <c r="K3998" s="8">
        <v>-201.07569620000001</v>
      </c>
      <c r="L3998" s="8">
        <v>-160.55511229999999</v>
      </c>
      <c r="M3998" s="9" t="str">
        <f>IF(A3998="",M3999,A3998)</f>
        <v>Seychelles</v>
      </c>
      <c r="N3998" s="3" t="str">
        <f t="shared" si="125"/>
        <v>Jan-2021</v>
      </c>
    </row>
    <row r="3999" spans="1:14" x14ac:dyDescent="0.3">
      <c r="A3999" s="3" t="s">
        <v>340</v>
      </c>
      <c r="B3999" s="3" t="s">
        <v>341</v>
      </c>
      <c r="C3999" s="8">
        <v>2021</v>
      </c>
      <c r="D3999" s="8">
        <v>2</v>
      </c>
      <c r="E3999" s="3" t="str">
        <f t="shared" si="124"/>
        <v>February</v>
      </c>
      <c r="F3999" s="3" t="s">
        <v>13</v>
      </c>
      <c r="G3999" s="8">
        <v>72.007677229999999</v>
      </c>
      <c r="H3999" s="8">
        <v>78</v>
      </c>
      <c r="I3999" s="8">
        <v>5.9923227670000001</v>
      </c>
      <c r="J3999" s="8">
        <v>-174.78267270000001</v>
      </c>
      <c r="K3999" s="8">
        <v>-196.01987919999999</v>
      </c>
      <c r="L3999" s="8">
        <v>-153.6630399</v>
      </c>
      <c r="M3999" s="9" t="str">
        <f>IF(A3999="",M4000,A3999)</f>
        <v>Seychelles</v>
      </c>
      <c r="N3999" s="3" t="str">
        <f t="shared" si="125"/>
        <v>Feb-2021</v>
      </c>
    </row>
    <row r="4000" spans="1:14" x14ac:dyDescent="0.3">
      <c r="A4000" s="3" t="s">
        <v>340</v>
      </c>
      <c r="B4000" s="3" t="s">
        <v>341</v>
      </c>
      <c r="C4000" s="8">
        <v>2021</v>
      </c>
      <c r="D4000" s="8">
        <v>3</v>
      </c>
      <c r="E4000" s="3" t="str">
        <f t="shared" si="124"/>
        <v>March</v>
      </c>
      <c r="F4000" s="3" t="s">
        <v>13</v>
      </c>
      <c r="G4000" s="8">
        <v>72.155822810000004</v>
      </c>
      <c r="H4000" s="8">
        <v>74</v>
      </c>
      <c r="I4000" s="8">
        <v>1.8441771920000001</v>
      </c>
      <c r="J4000" s="8">
        <v>-172.93849549999999</v>
      </c>
      <c r="K4000" s="8">
        <v>-195.41110900000001</v>
      </c>
      <c r="L4000" s="8">
        <v>-151.2805908</v>
      </c>
      <c r="M4000" s="9" t="str">
        <f>IF(A4000="",M4001,A4000)</f>
        <v>Seychelles</v>
      </c>
      <c r="N4000" s="3" t="str">
        <f t="shared" si="125"/>
        <v>Mar-2021</v>
      </c>
    </row>
    <row r="4001" spans="1:14" x14ac:dyDescent="0.3">
      <c r="A4001" s="3" t="s">
        <v>340</v>
      </c>
      <c r="B4001" s="3" t="s">
        <v>341</v>
      </c>
      <c r="C4001" s="8">
        <v>2021</v>
      </c>
      <c r="D4001" s="8">
        <v>4</v>
      </c>
      <c r="E4001" s="3" t="str">
        <f t="shared" si="124"/>
        <v>April</v>
      </c>
      <c r="F4001" s="3" t="s">
        <v>13</v>
      </c>
      <c r="G4001" s="8">
        <v>72.465387190000001</v>
      </c>
      <c r="H4001" s="8">
        <v>63</v>
      </c>
      <c r="I4001" s="8">
        <v>-9.4653871879999993</v>
      </c>
      <c r="J4001" s="8">
        <v>-182.4038827</v>
      </c>
      <c r="K4001" s="8">
        <v>-206.13335720000001</v>
      </c>
      <c r="L4001" s="8">
        <v>-160.89481240000001</v>
      </c>
      <c r="M4001" s="9" t="str">
        <f>IF(A4001="",M4002,A4001)</f>
        <v>Seychelles</v>
      </c>
      <c r="N4001" s="3" t="str">
        <f t="shared" si="125"/>
        <v>Apr-2021</v>
      </c>
    </row>
    <row r="4002" spans="1:14" x14ac:dyDescent="0.3">
      <c r="A4002" s="3" t="s">
        <v>340</v>
      </c>
      <c r="B4002" s="3" t="s">
        <v>341</v>
      </c>
      <c r="C4002" s="8">
        <v>2021</v>
      </c>
      <c r="D4002" s="8">
        <v>5</v>
      </c>
      <c r="E4002" s="3" t="str">
        <f t="shared" si="124"/>
        <v>May</v>
      </c>
      <c r="F4002" s="3" t="s">
        <v>13</v>
      </c>
      <c r="G4002" s="8">
        <v>72.754151280000002</v>
      </c>
      <c r="H4002" s="8">
        <v>91</v>
      </c>
      <c r="I4002" s="8">
        <v>18.245848720000001</v>
      </c>
      <c r="J4002" s="8">
        <v>-164.15803389999999</v>
      </c>
      <c r="K4002" s="8">
        <v>-189.2217058</v>
      </c>
      <c r="L4002" s="8">
        <v>-140.88565629999999</v>
      </c>
      <c r="M4002" s="9" t="str">
        <f>IF(A4002="",M4003,A4002)</f>
        <v>Seychelles</v>
      </c>
      <c r="N4002" s="3" t="str">
        <f t="shared" si="125"/>
        <v>May-2021</v>
      </c>
    </row>
    <row r="4003" spans="1:14" x14ac:dyDescent="0.3">
      <c r="A4003" s="3" t="s">
        <v>340</v>
      </c>
      <c r="B4003" s="3" t="s">
        <v>341</v>
      </c>
      <c r="C4003" s="8">
        <v>2021</v>
      </c>
      <c r="D4003" s="8">
        <v>6</v>
      </c>
      <c r="E4003" s="3" t="str">
        <f t="shared" si="124"/>
        <v>June</v>
      </c>
      <c r="F4003" s="3" t="s">
        <v>13</v>
      </c>
      <c r="G4003" s="8">
        <v>72.877260939999999</v>
      </c>
      <c r="H4003" s="8">
        <v>108</v>
      </c>
      <c r="I4003" s="8">
        <v>35.122739060000001</v>
      </c>
      <c r="J4003" s="8">
        <v>-129.0352949</v>
      </c>
      <c r="K4003" s="8">
        <v>-155.80748030000001</v>
      </c>
      <c r="L4003" s="8">
        <v>-103.64300540000001</v>
      </c>
      <c r="M4003" s="9" t="str">
        <f>IF(A4003="",M4004,A4003)</f>
        <v>Seychelles</v>
      </c>
      <c r="N4003" s="3" t="str">
        <f t="shared" si="125"/>
        <v>Jun-2021</v>
      </c>
    </row>
    <row r="4004" spans="1:14" x14ac:dyDescent="0.3">
      <c r="A4004" s="3" t="s">
        <v>340</v>
      </c>
      <c r="B4004" s="3" t="s">
        <v>341</v>
      </c>
      <c r="C4004" s="8">
        <v>2021</v>
      </c>
      <c r="D4004" s="8">
        <v>7</v>
      </c>
      <c r="E4004" s="3" t="str">
        <f t="shared" si="124"/>
        <v>July</v>
      </c>
      <c r="F4004" s="3" t="s">
        <v>13</v>
      </c>
      <c r="G4004" s="8">
        <v>73.118839870000002</v>
      </c>
      <c r="H4004" s="8">
        <v>98</v>
      </c>
      <c r="I4004" s="8">
        <v>24.881160130000001</v>
      </c>
      <c r="J4004" s="8">
        <v>-104.1541347</v>
      </c>
      <c r="K4004" s="8">
        <v>-131.5866169</v>
      </c>
      <c r="L4004" s="8">
        <v>-76.827855589999999</v>
      </c>
      <c r="M4004" s="9" t="str">
        <f>IF(A4004="",M4005,A4004)</f>
        <v>Seychelles</v>
      </c>
      <c r="N4004" s="3" t="str">
        <f t="shared" si="125"/>
        <v>Jul-2021</v>
      </c>
    </row>
    <row r="4005" spans="1:14" x14ac:dyDescent="0.3">
      <c r="A4005" s="3" t="s">
        <v>340</v>
      </c>
      <c r="B4005" s="3" t="s">
        <v>341</v>
      </c>
      <c r="C4005" s="8">
        <v>2021</v>
      </c>
      <c r="D4005" s="8">
        <v>8</v>
      </c>
      <c r="E4005" s="3" t="str">
        <f t="shared" si="124"/>
        <v>August</v>
      </c>
      <c r="F4005" s="3" t="s">
        <v>13</v>
      </c>
      <c r="G4005" s="8">
        <v>73.163966909999999</v>
      </c>
      <c r="H4005" s="8">
        <v>66</v>
      </c>
      <c r="I4005" s="8">
        <v>-7.1639669130000003</v>
      </c>
      <c r="J4005" s="8">
        <v>-111.3181017</v>
      </c>
      <c r="K4005" s="8">
        <v>-138.40085300000001</v>
      </c>
      <c r="L4005" s="8">
        <v>-83.409108950000004</v>
      </c>
      <c r="M4005" s="9" t="str">
        <f>IF(A4005="",M4006,A4005)</f>
        <v>Seychelles</v>
      </c>
      <c r="N4005" s="3" t="str">
        <f t="shared" si="125"/>
        <v>Aug-2021</v>
      </c>
    </row>
    <row r="4006" spans="1:14" x14ac:dyDescent="0.3">
      <c r="A4006" s="3" t="s">
        <v>340</v>
      </c>
      <c r="B4006" s="3" t="s">
        <v>341</v>
      </c>
      <c r="C4006" s="8">
        <v>2021</v>
      </c>
      <c r="D4006" s="8">
        <v>9</v>
      </c>
      <c r="E4006" s="3" t="str">
        <f t="shared" si="124"/>
        <v>September</v>
      </c>
      <c r="F4006" s="3" t="s">
        <v>13</v>
      </c>
      <c r="G4006" s="8">
        <v>73.367060499999994</v>
      </c>
      <c r="H4006" s="8">
        <v>72</v>
      </c>
      <c r="I4006" s="8">
        <v>-1.367060497</v>
      </c>
      <c r="J4006" s="8">
        <v>-112.68516219999999</v>
      </c>
      <c r="K4006" s="8">
        <v>-141.0975631</v>
      </c>
      <c r="L4006" s="8">
        <v>-83.054583629999996</v>
      </c>
      <c r="M4006" s="9" t="str">
        <f>IF(A4006="",M4007,A4006)</f>
        <v>Seychelles</v>
      </c>
      <c r="N4006" s="3" t="str">
        <f t="shared" si="125"/>
        <v>Sep-2021</v>
      </c>
    </row>
    <row r="4007" spans="1:14" x14ac:dyDescent="0.3">
      <c r="A4007" s="3" t="s">
        <v>340</v>
      </c>
      <c r="B4007" s="3" t="s">
        <v>341</v>
      </c>
      <c r="C4007" s="8">
        <v>2021</v>
      </c>
      <c r="D4007" s="8">
        <v>10</v>
      </c>
      <c r="E4007" s="3" t="str">
        <f t="shared" si="124"/>
        <v>October</v>
      </c>
      <c r="F4007" s="3" t="s">
        <v>13</v>
      </c>
      <c r="G4007" s="8">
        <v>73.755474550000002</v>
      </c>
      <c r="H4007" s="8">
        <v>72</v>
      </c>
      <c r="I4007" s="8">
        <v>-1.7554745490000001</v>
      </c>
      <c r="J4007" s="8">
        <v>-114.4406367</v>
      </c>
      <c r="K4007" s="8">
        <v>-143.4000149</v>
      </c>
      <c r="L4007" s="8">
        <v>-83.361812529999995</v>
      </c>
      <c r="M4007" s="9" t="str">
        <f>IF(A4007="",M4008,A4007)</f>
        <v>Seychelles</v>
      </c>
      <c r="N4007" s="3" t="str">
        <f t="shared" si="125"/>
        <v>Oct-2021</v>
      </c>
    </row>
    <row r="4008" spans="1:14" x14ac:dyDescent="0.3">
      <c r="A4008" s="3" t="s">
        <v>340</v>
      </c>
      <c r="B4008" s="3" t="s">
        <v>341</v>
      </c>
      <c r="C4008" s="8">
        <v>2021</v>
      </c>
      <c r="D4008" s="8">
        <v>11</v>
      </c>
      <c r="E4008" s="3" t="str">
        <f t="shared" si="124"/>
        <v>November</v>
      </c>
      <c r="F4008" s="3" t="s">
        <v>13</v>
      </c>
      <c r="G4008" s="8">
        <v>74.101170640000007</v>
      </c>
      <c r="H4008" s="8">
        <v>59</v>
      </c>
      <c r="I4008" s="8">
        <v>-15.101170639999999</v>
      </c>
      <c r="J4008" s="8">
        <v>-129.54180729999999</v>
      </c>
      <c r="K4008" s="8">
        <v>-159.61881969999999</v>
      </c>
      <c r="L4008" s="8">
        <v>-98.487528979999993</v>
      </c>
      <c r="M4008" s="9" t="str">
        <f>IF(A4008="",M4009,A4008)</f>
        <v>Seychelles</v>
      </c>
      <c r="N4008" s="3" t="str">
        <f t="shared" si="125"/>
        <v>Nov-2021</v>
      </c>
    </row>
    <row r="4009" spans="1:14" x14ac:dyDescent="0.3">
      <c r="A4009" s="3" t="s">
        <v>340</v>
      </c>
      <c r="B4009" s="3" t="s">
        <v>341</v>
      </c>
      <c r="C4009" s="8">
        <v>2021</v>
      </c>
      <c r="D4009" s="8">
        <v>12</v>
      </c>
      <c r="E4009" s="3" t="str">
        <f t="shared" si="124"/>
        <v>December</v>
      </c>
      <c r="F4009" s="3" t="s">
        <v>13</v>
      </c>
      <c r="G4009" s="8">
        <v>74.398977029999998</v>
      </c>
      <c r="H4009" s="8">
        <v>75</v>
      </c>
      <c r="I4009" s="8">
        <v>0.60102296700000002</v>
      </c>
      <c r="J4009" s="8">
        <v>-128.94078440000001</v>
      </c>
      <c r="K4009" s="8">
        <v>-160.33335460000001</v>
      </c>
      <c r="L4009" s="8">
        <v>-96.384710179999999</v>
      </c>
      <c r="M4009" s="9" t="str">
        <f>IF(A4009="",M4010,A4009)</f>
        <v>Seychelles</v>
      </c>
      <c r="N4009" s="3" t="str">
        <f t="shared" si="125"/>
        <v>Dec-2021</v>
      </c>
    </row>
    <row r="4010" spans="1:14" x14ac:dyDescent="0.3">
      <c r="A4010" s="3" t="s">
        <v>342</v>
      </c>
      <c r="B4010" s="3" t="s">
        <v>343</v>
      </c>
      <c r="C4010" s="8">
        <v>2020</v>
      </c>
      <c r="D4010" s="8">
        <v>1</v>
      </c>
      <c r="E4010" s="3" t="str">
        <f t="shared" si="124"/>
        <v>January</v>
      </c>
      <c r="F4010" s="3" t="s">
        <v>8</v>
      </c>
      <c r="G4010" s="8">
        <v>6516.200476</v>
      </c>
      <c r="H4010" s="8">
        <v>6663.424</v>
      </c>
      <c r="I4010" s="8">
        <v>147.223524</v>
      </c>
      <c r="J4010" s="8">
        <v>147.223524</v>
      </c>
      <c r="K4010" s="8">
        <v>-2407.6412879999998</v>
      </c>
      <c r="L4010" s="8">
        <v>3050.3608490000001</v>
      </c>
      <c r="M4010" s="9" t="str">
        <f>IF(A4010="",M4011,A4010)</f>
        <v>Syrian Arab Republic</v>
      </c>
      <c r="N4010" s="3" t="str">
        <f t="shared" si="125"/>
        <v>Jan-2020</v>
      </c>
    </row>
    <row r="4011" spans="1:14" x14ac:dyDescent="0.3">
      <c r="A4011" s="3" t="s">
        <v>342</v>
      </c>
      <c r="B4011" s="3" t="s">
        <v>343</v>
      </c>
      <c r="C4011" s="8">
        <v>2020</v>
      </c>
      <c r="D4011" s="8">
        <v>2</v>
      </c>
      <c r="E4011" s="3" t="str">
        <f t="shared" si="124"/>
        <v>February</v>
      </c>
      <c r="F4011" s="3" t="s">
        <v>8</v>
      </c>
      <c r="G4011" s="8">
        <v>6384.8505370000003</v>
      </c>
      <c r="H4011" s="8">
        <v>6404.3130000000001</v>
      </c>
      <c r="I4011" s="8">
        <v>19.46246283</v>
      </c>
      <c r="J4011" s="8">
        <v>166.68598689999999</v>
      </c>
      <c r="K4011" s="8">
        <v>-3391.18579</v>
      </c>
      <c r="L4011" s="8">
        <v>3909.342635</v>
      </c>
      <c r="M4011" s="9" t="str">
        <f>IF(A4011="",M4012,A4011)</f>
        <v>Syrian Arab Republic</v>
      </c>
      <c r="N4011" s="3" t="str">
        <f t="shared" si="125"/>
        <v>Feb-2020</v>
      </c>
    </row>
    <row r="4012" spans="1:14" x14ac:dyDescent="0.3">
      <c r="A4012" s="3" t="s">
        <v>342</v>
      </c>
      <c r="B4012" s="3" t="s">
        <v>343</v>
      </c>
      <c r="C4012" s="8">
        <v>2020</v>
      </c>
      <c r="D4012" s="8">
        <v>3</v>
      </c>
      <c r="E4012" s="3" t="str">
        <f t="shared" si="124"/>
        <v>March</v>
      </c>
      <c r="F4012" s="3" t="s">
        <v>8</v>
      </c>
      <c r="G4012" s="8">
        <v>6248.8159169999999</v>
      </c>
      <c r="H4012" s="8">
        <v>5708.723</v>
      </c>
      <c r="I4012" s="8">
        <v>-540.09291740000003</v>
      </c>
      <c r="J4012" s="8">
        <v>-373.40693049999999</v>
      </c>
      <c r="K4012" s="8">
        <v>-4580.134951</v>
      </c>
      <c r="L4012" s="8">
        <v>4070.2832720000001</v>
      </c>
      <c r="M4012" s="9" t="str">
        <f>IF(A4012="",M4013,A4012)</f>
        <v>Syrian Arab Republic</v>
      </c>
      <c r="N4012" s="3" t="str">
        <f t="shared" si="125"/>
        <v>Mar-2020</v>
      </c>
    </row>
    <row r="4013" spans="1:14" x14ac:dyDescent="0.3">
      <c r="A4013" s="3" t="s">
        <v>342</v>
      </c>
      <c r="B4013" s="3" t="s">
        <v>343</v>
      </c>
      <c r="C4013" s="8">
        <v>2020</v>
      </c>
      <c r="D4013" s="8">
        <v>4</v>
      </c>
      <c r="E4013" s="3" t="str">
        <f t="shared" si="124"/>
        <v>April</v>
      </c>
      <c r="F4013" s="3" t="s">
        <v>8</v>
      </c>
      <c r="G4013" s="8">
        <v>6092.6900580000001</v>
      </c>
      <c r="H4013" s="8">
        <v>5441.6540000000005</v>
      </c>
      <c r="I4013" s="8">
        <v>-651.0360584</v>
      </c>
      <c r="J4013" s="8">
        <v>-1024.4429889999999</v>
      </c>
      <c r="K4013" s="8">
        <v>-5732.0771119999999</v>
      </c>
      <c r="L4013" s="8">
        <v>3957.3246359999998</v>
      </c>
      <c r="M4013" s="9" t="str">
        <f>IF(A4013="",M4014,A4013)</f>
        <v>Syrian Arab Republic</v>
      </c>
      <c r="N4013" s="3" t="str">
        <f t="shared" si="125"/>
        <v>Apr-2020</v>
      </c>
    </row>
    <row r="4014" spans="1:14" x14ac:dyDescent="0.3">
      <c r="A4014" s="3" t="s">
        <v>342</v>
      </c>
      <c r="B4014" s="3" t="s">
        <v>343</v>
      </c>
      <c r="C4014" s="8">
        <v>2020</v>
      </c>
      <c r="D4014" s="8">
        <v>5</v>
      </c>
      <c r="E4014" s="3" t="str">
        <f t="shared" si="124"/>
        <v>May</v>
      </c>
      <c r="F4014" s="3" t="s">
        <v>8</v>
      </c>
      <c r="G4014" s="8">
        <v>5879.0021619999998</v>
      </c>
      <c r="H4014" s="8">
        <v>5578.5839999999998</v>
      </c>
      <c r="I4014" s="8">
        <v>-300.41816169999998</v>
      </c>
      <c r="J4014" s="8">
        <v>-1324.8611510000001</v>
      </c>
      <c r="K4014" s="8">
        <v>-6619.6185169999999</v>
      </c>
      <c r="L4014" s="8">
        <v>4388.9213120000004</v>
      </c>
      <c r="M4014" s="9" t="str">
        <f>IF(A4014="",M4015,A4014)</f>
        <v>Syrian Arab Republic</v>
      </c>
      <c r="N4014" s="3" t="str">
        <f t="shared" si="125"/>
        <v>May-2020</v>
      </c>
    </row>
    <row r="4015" spans="1:14" x14ac:dyDescent="0.3">
      <c r="A4015" s="3" t="s">
        <v>342</v>
      </c>
      <c r="B4015" s="3" t="s">
        <v>343</v>
      </c>
      <c r="C4015" s="8">
        <v>2020</v>
      </c>
      <c r="D4015" s="8">
        <v>6</v>
      </c>
      <c r="E4015" s="3" t="str">
        <f t="shared" si="124"/>
        <v>June</v>
      </c>
      <c r="F4015" s="3" t="s">
        <v>8</v>
      </c>
      <c r="G4015" s="8">
        <v>5746.6349339999997</v>
      </c>
      <c r="H4015" s="8">
        <v>6006.4219999999996</v>
      </c>
      <c r="I4015" s="8">
        <v>259.78706560000001</v>
      </c>
      <c r="J4015" s="8">
        <v>-1065.074085</v>
      </c>
      <c r="K4015" s="8">
        <v>-6703.1023670000004</v>
      </c>
      <c r="L4015" s="8">
        <v>4867.4961460000004</v>
      </c>
      <c r="M4015" s="9" t="str">
        <f>IF(A4015="",M4016,A4015)</f>
        <v>Syrian Arab Republic</v>
      </c>
      <c r="N4015" s="3" t="str">
        <f t="shared" si="125"/>
        <v>Jun-2020</v>
      </c>
    </row>
    <row r="4016" spans="1:14" x14ac:dyDescent="0.3">
      <c r="A4016" s="3" t="s">
        <v>342</v>
      </c>
      <c r="B4016" s="3" t="s">
        <v>343</v>
      </c>
      <c r="C4016" s="8">
        <v>2020</v>
      </c>
      <c r="D4016" s="8">
        <v>7</v>
      </c>
      <c r="E4016" s="3" t="str">
        <f t="shared" si="124"/>
        <v>July</v>
      </c>
      <c r="F4016" s="3" t="s">
        <v>8</v>
      </c>
      <c r="G4016" s="8">
        <v>5631.5790610000004</v>
      </c>
      <c r="H4016" s="8">
        <v>6328.817</v>
      </c>
      <c r="I4016" s="8">
        <v>697.23793869999997</v>
      </c>
      <c r="J4016" s="8">
        <v>-367.83614619999997</v>
      </c>
      <c r="K4016" s="8">
        <v>-6665.9614149999998</v>
      </c>
      <c r="L4016" s="8">
        <v>6052.3845209999999</v>
      </c>
      <c r="M4016" s="9" t="str">
        <f>IF(A4016="",M4017,A4016)</f>
        <v>Syrian Arab Republic</v>
      </c>
      <c r="N4016" s="3" t="str">
        <f t="shared" si="125"/>
        <v>Jul-2020</v>
      </c>
    </row>
    <row r="4017" spans="1:14" x14ac:dyDescent="0.3">
      <c r="A4017" s="3" t="s">
        <v>342</v>
      </c>
      <c r="B4017" s="3" t="s">
        <v>343</v>
      </c>
      <c r="C4017" s="8">
        <v>2020</v>
      </c>
      <c r="D4017" s="8">
        <v>8</v>
      </c>
      <c r="E4017" s="3" t="str">
        <f t="shared" si="124"/>
        <v>August</v>
      </c>
      <c r="F4017" s="3" t="s">
        <v>8</v>
      </c>
      <c r="G4017" s="8">
        <v>5653.4918180000004</v>
      </c>
      <c r="H4017" s="8">
        <v>6297.12</v>
      </c>
      <c r="I4017" s="8">
        <v>643.62818240000001</v>
      </c>
      <c r="J4017" s="8">
        <v>275.79203619999998</v>
      </c>
      <c r="K4017" s="8">
        <v>-5904.1134119999997</v>
      </c>
      <c r="L4017" s="8">
        <v>7403.9983659999998</v>
      </c>
      <c r="M4017" s="9" t="str">
        <f>IF(A4017="",M4018,A4017)</f>
        <v>Syrian Arab Republic</v>
      </c>
      <c r="N4017" s="3" t="str">
        <f t="shared" si="125"/>
        <v>Aug-2020</v>
      </c>
    </row>
    <row r="4018" spans="1:14" x14ac:dyDescent="0.3">
      <c r="A4018" s="3" t="s">
        <v>342</v>
      </c>
      <c r="B4018" s="3" t="s">
        <v>343</v>
      </c>
      <c r="C4018" s="8">
        <v>2020</v>
      </c>
      <c r="D4018" s="8">
        <v>9</v>
      </c>
      <c r="E4018" s="3" t="str">
        <f t="shared" si="124"/>
        <v>September</v>
      </c>
      <c r="F4018" s="3" t="s">
        <v>8</v>
      </c>
      <c r="G4018" s="8">
        <v>5668.9054550000001</v>
      </c>
      <c r="H4018" s="8">
        <v>6196.1480000000001</v>
      </c>
      <c r="I4018" s="8">
        <v>527.24254529999996</v>
      </c>
      <c r="J4018" s="8">
        <v>803.03458149999994</v>
      </c>
      <c r="K4018" s="8">
        <v>-6214.3217619999996</v>
      </c>
      <c r="L4018" s="8">
        <v>8023.9184269999996</v>
      </c>
      <c r="M4018" s="9" t="str">
        <f>IF(A4018="",M4019,A4018)</f>
        <v>Syrian Arab Republic</v>
      </c>
      <c r="N4018" s="3" t="str">
        <f t="shared" si="125"/>
        <v>Sep-2020</v>
      </c>
    </row>
    <row r="4019" spans="1:14" x14ac:dyDescent="0.3">
      <c r="A4019" s="3" t="s">
        <v>342</v>
      </c>
      <c r="B4019" s="3" t="s">
        <v>343</v>
      </c>
      <c r="C4019" s="8">
        <v>2020</v>
      </c>
      <c r="D4019" s="8">
        <v>10</v>
      </c>
      <c r="E4019" s="3" t="str">
        <f t="shared" si="124"/>
        <v>October</v>
      </c>
      <c r="F4019" s="3" t="s">
        <v>8</v>
      </c>
      <c r="G4019" s="8">
        <v>5906.2644979999995</v>
      </c>
      <c r="H4019" s="8">
        <v>6356.2960000000003</v>
      </c>
      <c r="I4019" s="8">
        <v>450.0315023</v>
      </c>
      <c r="J4019" s="8">
        <v>1253.066084</v>
      </c>
      <c r="K4019" s="8">
        <v>-6051.8403120000003</v>
      </c>
      <c r="L4019" s="8">
        <v>9534.1484079999991</v>
      </c>
      <c r="M4019" s="9" t="str">
        <f>IF(A4019="",M4020,A4019)</f>
        <v>Syrian Arab Republic</v>
      </c>
      <c r="N4019" s="3" t="str">
        <f t="shared" si="125"/>
        <v>Oct-2020</v>
      </c>
    </row>
    <row r="4020" spans="1:14" x14ac:dyDescent="0.3">
      <c r="A4020" s="3" t="s">
        <v>342</v>
      </c>
      <c r="B4020" s="3" t="s">
        <v>343</v>
      </c>
      <c r="C4020" s="8">
        <v>2020</v>
      </c>
      <c r="D4020" s="8">
        <v>11</v>
      </c>
      <c r="E4020" s="3" t="str">
        <f t="shared" si="124"/>
        <v>November</v>
      </c>
      <c r="F4020" s="3" t="s">
        <v>8</v>
      </c>
      <c r="G4020" s="8">
        <v>6242.4756399999997</v>
      </c>
      <c r="H4020" s="8">
        <v>7110.4470000000001</v>
      </c>
      <c r="I4020" s="8">
        <v>867.97136049999995</v>
      </c>
      <c r="J4020" s="8">
        <v>2121.0374440000001</v>
      </c>
      <c r="K4020" s="8">
        <v>-5660.437602</v>
      </c>
      <c r="L4020" s="8">
        <v>10988.30395</v>
      </c>
      <c r="M4020" s="9" t="str">
        <f>IF(A4020="",M4021,A4020)</f>
        <v>Syrian Arab Republic</v>
      </c>
      <c r="N4020" s="3" t="str">
        <f t="shared" si="125"/>
        <v>Nov-2020</v>
      </c>
    </row>
    <row r="4021" spans="1:14" x14ac:dyDescent="0.3">
      <c r="A4021" s="3" t="s">
        <v>342</v>
      </c>
      <c r="B4021" s="3" t="s">
        <v>343</v>
      </c>
      <c r="C4021" s="8">
        <v>2020</v>
      </c>
      <c r="D4021" s="8">
        <v>12</v>
      </c>
      <c r="E4021" s="3" t="str">
        <f t="shared" si="124"/>
        <v>December</v>
      </c>
      <c r="F4021" s="3" t="s">
        <v>8</v>
      </c>
      <c r="G4021" s="8">
        <v>6391.4463839999999</v>
      </c>
      <c r="H4021" s="8">
        <v>7361.8739999999998</v>
      </c>
      <c r="I4021" s="8">
        <v>970.42761619999999</v>
      </c>
      <c r="J4021" s="8">
        <v>3091.4650609999999</v>
      </c>
      <c r="K4021" s="8">
        <v>-5177.9772270000003</v>
      </c>
      <c r="L4021" s="8">
        <v>12232.58603</v>
      </c>
      <c r="M4021" s="9" t="str">
        <f>IF(A4021="",M4022,A4021)</f>
        <v>Syrian Arab Republic</v>
      </c>
      <c r="N4021" s="3" t="str">
        <f t="shared" si="125"/>
        <v>Dec-2020</v>
      </c>
    </row>
    <row r="4022" spans="1:14" x14ac:dyDescent="0.3">
      <c r="A4022" s="3" t="s">
        <v>342</v>
      </c>
      <c r="B4022" s="3" t="s">
        <v>343</v>
      </c>
      <c r="C4022" s="8">
        <v>2021</v>
      </c>
      <c r="D4022" s="8">
        <v>1</v>
      </c>
      <c r="E4022" s="3" t="str">
        <f t="shared" si="124"/>
        <v>January</v>
      </c>
      <c r="F4022" s="3" t="s">
        <v>8</v>
      </c>
      <c r="G4022" s="8">
        <v>5484.6213379999999</v>
      </c>
      <c r="H4022" s="8">
        <v>6074.1540000000005</v>
      </c>
      <c r="I4022" s="8">
        <v>589.53266169999995</v>
      </c>
      <c r="J4022" s="8">
        <v>3680.9977220000001</v>
      </c>
      <c r="K4022" s="8">
        <v>-5424.5454019999997</v>
      </c>
      <c r="L4022" s="8">
        <v>13445.191080000001</v>
      </c>
      <c r="M4022" s="9" t="str">
        <f>IF(A4022="",M4023,A4022)</f>
        <v>Syrian Arab Republic</v>
      </c>
      <c r="N4022" s="3" t="str">
        <f t="shared" si="125"/>
        <v>Jan-2021</v>
      </c>
    </row>
    <row r="4023" spans="1:14" x14ac:dyDescent="0.3">
      <c r="A4023" s="3" t="s">
        <v>342</v>
      </c>
      <c r="B4023" s="3" t="s">
        <v>343</v>
      </c>
      <c r="C4023" s="8">
        <v>2021</v>
      </c>
      <c r="D4023" s="8">
        <v>2</v>
      </c>
      <c r="E4023" s="3" t="str">
        <f t="shared" si="124"/>
        <v>February</v>
      </c>
      <c r="F4023" s="3" t="s">
        <v>8</v>
      </c>
      <c r="G4023" s="8">
        <v>5428.2814760000001</v>
      </c>
      <c r="H4023" s="8">
        <v>5737.5339999999997</v>
      </c>
      <c r="I4023" s="8">
        <v>309.2525235</v>
      </c>
      <c r="J4023" s="8">
        <v>3990.2502460000001</v>
      </c>
      <c r="K4023" s="8">
        <v>-6025.6423999999997</v>
      </c>
      <c r="L4023" s="8">
        <v>14045.2389</v>
      </c>
      <c r="M4023" s="9" t="str">
        <f>IF(A4023="",M4024,A4023)</f>
        <v>Syrian Arab Republic</v>
      </c>
      <c r="N4023" s="3" t="str">
        <f t="shared" si="125"/>
        <v>Feb-2021</v>
      </c>
    </row>
    <row r="4024" spans="1:14" x14ac:dyDescent="0.3">
      <c r="A4024" s="3" t="s">
        <v>342</v>
      </c>
      <c r="B4024" s="3" t="s">
        <v>343</v>
      </c>
      <c r="C4024" s="8">
        <v>2021</v>
      </c>
      <c r="D4024" s="8">
        <v>3</v>
      </c>
      <c r="E4024" s="3" t="str">
        <f t="shared" si="124"/>
        <v>March</v>
      </c>
      <c r="F4024" s="3" t="s">
        <v>8</v>
      </c>
      <c r="G4024" s="8">
        <v>5248.9081489999999</v>
      </c>
      <c r="H4024" s="8">
        <v>5886.1270000000004</v>
      </c>
      <c r="I4024" s="8">
        <v>637.21885099999997</v>
      </c>
      <c r="J4024" s="8">
        <v>4627.4690970000001</v>
      </c>
      <c r="K4024" s="8">
        <v>-5654.2449150000002</v>
      </c>
      <c r="L4024" s="8">
        <v>15524.894130000001</v>
      </c>
      <c r="M4024" s="9" t="str">
        <f>IF(A4024="",M4025,A4024)</f>
        <v>Syrian Arab Republic</v>
      </c>
      <c r="N4024" s="3" t="str">
        <f t="shared" si="125"/>
        <v>Mar-2021</v>
      </c>
    </row>
    <row r="4025" spans="1:14" x14ac:dyDescent="0.3">
      <c r="A4025" s="3" t="s">
        <v>342</v>
      </c>
      <c r="B4025" s="3" t="s">
        <v>343</v>
      </c>
      <c r="C4025" s="8">
        <v>2021</v>
      </c>
      <c r="D4025" s="8">
        <v>4</v>
      </c>
      <c r="E4025" s="3" t="str">
        <f t="shared" si="124"/>
        <v>April</v>
      </c>
      <c r="F4025" s="3" t="s">
        <v>8</v>
      </c>
      <c r="G4025" s="8">
        <v>5105.6792690000002</v>
      </c>
      <c r="H4025" s="8">
        <v>5813.5249999999996</v>
      </c>
      <c r="I4025" s="8">
        <v>707.84573069999999</v>
      </c>
      <c r="J4025" s="8">
        <v>5335.3148270000002</v>
      </c>
      <c r="K4025" s="8">
        <v>-5666.2736100000002</v>
      </c>
      <c r="L4025" s="8">
        <v>16246.182699999999</v>
      </c>
      <c r="M4025" s="9" t="str">
        <f>IF(A4025="",M4026,A4025)</f>
        <v>Syrian Arab Republic</v>
      </c>
      <c r="N4025" s="3" t="str">
        <f t="shared" si="125"/>
        <v>Apr-2021</v>
      </c>
    </row>
    <row r="4026" spans="1:14" x14ac:dyDescent="0.3">
      <c r="A4026" s="3" t="s">
        <v>342</v>
      </c>
      <c r="B4026" s="3" t="s">
        <v>343</v>
      </c>
      <c r="C4026" s="8">
        <v>2021</v>
      </c>
      <c r="D4026" s="8">
        <v>5</v>
      </c>
      <c r="E4026" s="3" t="str">
        <f t="shared" si="124"/>
        <v>May</v>
      </c>
      <c r="F4026" s="3" t="s">
        <v>8</v>
      </c>
      <c r="G4026" s="8">
        <v>4980.4969199999996</v>
      </c>
      <c r="H4026" s="8">
        <v>5627.415</v>
      </c>
      <c r="I4026" s="8">
        <v>646.91807970000002</v>
      </c>
      <c r="J4026" s="8">
        <v>5982.2329069999996</v>
      </c>
      <c r="K4026" s="8">
        <v>-5807.777497</v>
      </c>
      <c r="L4026" s="8">
        <v>17430.635279999999</v>
      </c>
      <c r="M4026" s="9" t="str">
        <f>IF(A4026="",M4027,A4026)</f>
        <v>Syrian Arab Republic</v>
      </c>
      <c r="N4026" s="3" t="str">
        <f t="shared" si="125"/>
        <v>May-2021</v>
      </c>
    </row>
    <row r="4027" spans="1:14" x14ac:dyDescent="0.3">
      <c r="A4027" s="3" t="s">
        <v>342</v>
      </c>
      <c r="B4027" s="3" t="s">
        <v>343</v>
      </c>
      <c r="C4027" s="8">
        <v>2021</v>
      </c>
      <c r="D4027" s="8">
        <v>6</v>
      </c>
      <c r="E4027" s="3" t="str">
        <f t="shared" si="124"/>
        <v>June</v>
      </c>
      <c r="F4027" s="3" t="s">
        <v>8</v>
      </c>
      <c r="G4027" s="8">
        <v>4846.2992690000001</v>
      </c>
      <c r="H4027" s="8">
        <v>5528.84</v>
      </c>
      <c r="I4027" s="8">
        <v>682.54073080000001</v>
      </c>
      <c r="J4027" s="8">
        <v>6664.7736379999997</v>
      </c>
      <c r="K4027" s="8">
        <v>-4792.877391</v>
      </c>
      <c r="L4027" s="8">
        <v>18861.69701</v>
      </c>
      <c r="M4027" s="9" t="str">
        <f>IF(A4027="",M4028,A4027)</f>
        <v>Syrian Arab Republic</v>
      </c>
      <c r="N4027" s="3" t="str">
        <f t="shared" si="125"/>
        <v>Jun-2021</v>
      </c>
    </row>
    <row r="4028" spans="1:14" x14ac:dyDescent="0.3">
      <c r="A4028" s="3" t="s">
        <v>342</v>
      </c>
      <c r="B4028" s="3" t="s">
        <v>343</v>
      </c>
      <c r="C4028" s="8">
        <v>2021</v>
      </c>
      <c r="D4028" s="8">
        <v>7</v>
      </c>
      <c r="E4028" s="3" t="str">
        <f t="shared" si="124"/>
        <v>July</v>
      </c>
      <c r="F4028" s="3" t="s">
        <v>8</v>
      </c>
      <c r="G4028" s="8">
        <v>4749.5483180000001</v>
      </c>
      <c r="H4028" s="8">
        <v>5466.4120000000003</v>
      </c>
      <c r="I4028" s="8">
        <v>716.86368159999995</v>
      </c>
      <c r="J4028" s="8">
        <v>7381.6373190000004</v>
      </c>
      <c r="K4028" s="8">
        <v>-4382.7560750000002</v>
      </c>
      <c r="L4028" s="8">
        <v>19446.33295</v>
      </c>
      <c r="M4028" s="9" t="str">
        <f>IF(A4028="",M4029,A4028)</f>
        <v>Syrian Arab Republic</v>
      </c>
      <c r="N4028" s="3" t="str">
        <f t="shared" si="125"/>
        <v>Jul-2021</v>
      </c>
    </row>
    <row r="4029" spans="1:14" x14ac:dyDescent="0.3">
      <c r="A4029" s="3" t="s">
        <v>342</v>
      </c>
      <c r="B4029" s="3" t="s">
        <v>343</v>
      </c>
      <c r="C4029" s="8">
        <v>2021</v>
      </c>
      <c r="D4029" s="8">
        <v>8</v>
      </c>
      <c r="E4029" s="3" t="str">
        <f t="shared" si="124"/>
        <v>August</v>
      </c>
      <c r="F4029" s="3" t="s">
        <v>8</v>
      </c>
      <c r="G4029" s="8">
        <v>4749.8077110000004</v>
      </c>
      <c r="H4029" s="8">
        <v>5590.09</v>
      </c>
      <c r="I4029" s="8">
        <v>840.28228939999997</v>
      </c>
      <c r="J4029" s="8">
        <v>8221.9196090000005</v>
      </c>
      <c r="K4029" s="8">
        <v>-4084.2804059999999</v>
      </c>
      <c r="L4029" s="8">
        <v>20347.764920000001</v>
      </c>
      <c r="M4029" s="9" t="str">
        <f>IF(A4029="",M4030,A4029)</f>
        <v>Syrian Arab Republic</v>
      </c>
      <c r="N4029" s="3" t="str">
        <f t="shared" si="125"/>
        <v>Aug-2021</v>
      </c>
    </row>
    <row r="4030" spans="1:14" x14ac:dyDescent="0.3">
      <c r="A4030" s="3" t="s">
        <v>342</v>
      </c>
      <c r="B4030" s="3" t="s">
        <v>343</v>
      </c>
      <c r="C4030" s="8">
        <v>2021</v>
      </c>
      <c r="D4030" s="8">
        <v>9</v>
      </c>
      <c r="E4030" s="3" t="str">
        <f t="shared" si="124"/>
        <v>September</v>
      </c>
      <c r="F4030" s="3" t="s">
        <v>8</v>
      </c>
      <c r="G4030" s="8">
        <v>4773.509873</v>
      </c>
      <c r="H4030" s="8">
        <v>5502.4989999999998</v>
      </c>
      <c r="I4030" s="8">
        <v>728.98912659999996</v>
      </c>
      <c r="J4030" s="8">
        <v>8950.9087350000009</v>
      </c>
      <c r="K4030" s="8">
        <v>-3283.8936920000001</v>
      </c>
      <c r="L4030" s="8">
        <v>21623.23402</v>
      </c>
      <c r="M4030" s="9" t="str">
        <f>IF(A4030="",M4031,A4030)</f>
        <v>Syrian Arab Republic</v>
      </c>
      <c r="N4030" s="3" t="str">
        <f t="shared" si="125"/>
        <v>Sep-2021</v>
      </c>
    </row>
    <row r="4031" spans="1:14" x14ac:dyDescent="0.3">
      <c r="A4031" s="3" t="s">
        <v>342</v>
      </c>
      <c r="B4031" s="3" t="s">
        <v>343</v>
      </c>
      <c r="C4031" s="8">
        <v>2021</v>
      </c>
      <c r="D4031" s="8">
        <v>10</v>
      </c>
      <c r="E4031" s="3" t="str">
        <f t="shared" si="124"/>
        <v>October</v>
      </c>
      <c r="F4031" s="3" t="s">
        <v>8</v>
      </c>
      <c r="G4031" s="8">
        <v>4929.1054940000004</v>
      </c>
      <c r="H4031" s="8">
        <v>5628.2950000000001</v>
      </c>
      <c r="I4031" s="8">
        <v>699.18950600000005</v>
      </c>
      <c r="J4031" s="8">
        <v>9650.0982409999997</v>
      </c>
      <c r="K4031" s="8">
        <v>-3024.4918160000002</v>
      </c>
      <c r="L4031" s="8">
        <v>22585.404989999999</v>
      </c>
      <c r="M4031" s="9" t="str">
        <f>IF(A4031="",M4032,A4031)</f>
        <v>Syrian Arab Republic</v>
      </c>
      <c r="N4031" s="3" t="str">
        <f t="shared" si="125"/>
        <v>Oct-2021</v>
      </c>
    </row>
    <row r="4032" spans="1:14" x14ac:dyDescent="0.3">
      <c r="A4032" s="3" t="s">
        <v>342</v>
      </c>
      <c r="B4032" s="3" t="s">
        <v>343</v>
      </c>
      <c r="C4032" s="8">
        <v>2021</v>
      </c>
      <c r="D4032" s="8">
        <v>11</v>
      </c>
      <c r="E4032" s="3" t="str">
        <f t="shared" si="124"/>
        <v>November</v>
      </c>
      <c r="F4032" s="3" t="s">
        <v>8</v>
      </c>
      <c r="G4032" s="8">
        <v>5187.8056189999998</v>
      </c>
      <c r="H4032" s="8">
        <v>5772.4669999999996</v>
      </c>
      <c r="I4032" s="8">
        <v>584.66138060000003</v>
      </c>
      <c r="J4032" s="8">
        <v>10234.759620000001</v>
      </c>
      <c r="K4032" s="8">
        <v>-2789.2692229999998</v>
      </c>
      <c r="L4032" s="8">
        <v>23060.854920000002</v>
      </c>
      <c r="M4032" s="9" t="str">
        <f>IF(A4032="",M4033,A4032)</f>
        <v>Syrian Arab Republic</v>
      </c>
      <c r="N4032" s="3" t="str">
        <f t="shared" si="125"/>
        <v>Nov-2021</v>
      </c>
    </row>
    <row r="4033" spans="1:14" x14ac:dyDescent="0.3">
      <c r="A4033" s="3" t="s">
        <v>342</v>
      </c>
      <c r="B4033" s="3" t="s">
        <v>343</v>
      </c>
      <c r="C4033" s="8">
        <v>2021</v>
      </c>
      <c r="D4033" s="8">
        <v>12</v>
      </c>
      <c r="E4033" s="3" t="str">
        <f t="shared" si="124"/>
        <v>December</v>
      </c>
      <c r="F4033" s="3" t="s">
        <v>8</v>
      </c>
      <c r="G4033" s="8">
        <v>5400.3913220000004</v>
      </c>
      <c r="H4033" s="8">
        <v>5949.0860000000002</v>
      </c>
      <c r="I4033" s="8">
        <v>548.69467799999995</v>
      </c>
      <c r="J4033" s="8">
        <v>10783.454299999999</v>
      </c>
      <c r="K4033" s="8">
        <v>-2804.4513780000002</v>
      </c>
      <c r="L4033" s="8">
        <v>23778.060730000001</v>
      </c>
      <c r="M4033" s="9" t="str">
        <f>IF(A4033="",M4034,A4033)</f>
        <v>Syrian Arab Republic</v>
      </c>
      <c r="N4033" s="3" t="str">
        <f t="shared" si="125"/>
        <v>Dec-2021</v>
      </c>
    </row>
    <row r="4034" spans="1:14" x14ac:dyDescent="0.3">
      <c r="A4034" s="3" t="s">
        <v>344</v>
      </c>
      <c r="B4034" s="3" t="s">
        <v>345</v>
      </c>
      <c r="C4034" s="8">
        <v>2020</v>
      </c>
      <c r="D4034" s="8">
        <v>1</v>
      </c>
      <c r="E4034" s="3" t="str">
        <f t="shared" ref="E4034:E4097" si="126">TEXT(DATE(C4034,D4034,1),"MMMM")</f>
        <v>January</v>
      </c>
      <c r="F4034" s="3" t="s">
        <v>8</v>
      </c>
      <c r="G4034" s="8">
        <v>12932.481659999999</v>
      </c>
      <c r="H4034" s="8">
        <v>13380.304</v>
      </c>
      <c r="I4034" s="8">
        <v>447.82234440000002</v>
      </c>
      <c r="J4034" s="8">
        <v>447.82234440000002</v>
      </c>
      <c r="K4034" s="8">
        <v>-2927.4519500000001</v>
      </c>
      <c r="L4034" s="8">
        <v>4650.439695</v>
      </c>
      <c r="M4034" s="9" t="str">
        <f>IF(A4034="",M4035,A4034)</f>
        <v>Chad</v>
      </c>
      <c r="N4034" s="3" t="str">
        <f t="shared" ref="N4034:N4097" si="127">TEXT(DATE(C4034,D4034,1),"MMM-YYYY")</f>
        <v>Jan-2020</v>
      </c>
    </row>
    <row r="4035" spans="1:14" x14ac:dyDescent="0.3">
      <c r="A4035" s="3" t="s">
        <v>344</v>
      </c>
      <c r="B4035" s="3" t="s">
        <v>345</v>
      </c>
      <c r="C4035" s="8">
        <v>2020</v>
      </c>
      <c r="D4035" s="8">
        <v>2</v>
      </c>
      <c r="E4035" s="3" t="str">
        <f t="shared" si="126"/>
        <v>February</v>
      </c>
      <c r="F4035" s="3" t="s">
        <v>8</v>
      </c>
      <c r="G4035" s="8">
        <v>12735.1283</v>
      </c>
      <c r="H4035" s="8">
        <v>12898.84</v>
      </c>
      <c r="I4035" s="8">
        <v>163.71169620000001</v>
      </c>
      <c r="J4035" s="8">
        <v>611.53404060000003</v>
      </c>
      <c r="K4035" s="8">
        <v>-3972.0401830000001</v>
      </c>
      <c r="L4035" s="8">
        <v>6479.222831</v>
      </c>
      <c r="M4035" s="9" t="str">
        <f>IF(A4035="",M4036,A4035)</f>
        <v>Chad</v>
      </c>
      <c r="N4035" s="3" t="str">
        <f t="shared" si="127"/>
        <v>Feb-2020</v>
      </c>
    </row>
    <row r="4036" spans="1:14" x14ac:dyDescent="0.3">
      <c r="A4036" s="3" t="s">
        <v>344</v>
      </c>
      <c r="B4036" s="3" t="s">
        <v>345</v>
      </c>
      <c r="C4036" s="8">
        <v>2020</v>
      </c>
      <c r="D4036" s="8">
        <v>3</v>
      </c>
      <c r="E4036" s="3" t="str">
        <f t="shared" si="126"/>
        <v>March</v>
      </c>
      <c r="F4036" s="3" t="s">
        <v>8</v>
      </c>
      <c r="G4036" s="8">
        <v>12365.697399999999</v>
      </c>
      <c r="H4036" s="8">
        <v>12286.619000000001</v>
      </c>
      <c r="I4036" s="8">
        <v>-79.078399140000002</v>
      </c>
      <c r="J4036" s="8">
        <v>532.45564149999996</v>
      </c>
      <c r="K4036" s="8">
        <v>-5227.4134199999999</v>
      </c>
      <c r="L4036" s="8">
        <v>7080.6106810000001</v>
      </c>
      <c r="M4036" s="9" t="str">
        <f>IF(A4036="",M4037,A4036)</f>
        <v>Chad</v>
      </c>
      <c r="N4036" s="3" t="str">
        <f t="shared" si="127"/>
        <v>Mar-2020</v>
      </c>
    </row>
    <row r="4037" spans="1:14" x14ac:dyDescent="0.3">
      <c r="A4037" s="3" t="s">
        <v>344</v>
      </c>
      <c r="B4037" s="3" t="s">
        <v>345</v>
      </c>
      <c r="C4037" s="8">
        <v>2020</v>
      </c>
      <c r="D4037" s="8">
        <v>4</v>
      </c>
      <c r="E4037" s="3" t="str">
        <f t="shared" si="126"/>
        <v>April</v>
      </c>
      <c r="F4037" s="3" t="s">
        <v>8</v>
      </c>
      <c r="G4037" s="8">
        <v>12191.20686</v>
      </c>
      <c r="H4037" s="8">
        <v>11739.463</v>
      </c>
      <c r="I4037" s="8">
        <v>-451.74385560000002</v>
      </c>
      <c r="J4037" s="8">
        <v>80.711785879999994</v>
      </c>
      <c r="K4037" s="8">
        <v>-6424.4243699999997</v>
      </c>
      <c r="L4037" s="8">
        <v>7135.4338170000001</v>
      </c>
      <c r="M4037" s="9" t="str">
        <f>IF(A4037="",M4038,A4037)</f>
        <v>Chad</v>
      </c>
      <c r="N4037" s="3" t="str">
        <f t="shared" si="127"/>
        <v>Apr-2020</v>
      </c>
    </row>
    <row r="4038" spans="1:14" x14ac:dyDescent="0.3">
      <c r="A4038" s="3" t="s">
        <v>344</v>
      </c>
      <c r="B4038" s="3" t="s">
        <v>345</v>
      </c>
      <c r="C4038" s="8">
        <v>2020</v>
      </c>
      <c r="D4038" s="8">
        <v>5</v>
      </c>
      <c r="E4038" s="3" t="str">
        <f t="shared" si="126"/>
        <v>May</v>
      </c>
      <c r="F4038" s="3" t="s">
        <v>8</v>
      </c>
      <c r="G4038" s="8">
        <v>12063.87457</v>
      </c>
      <c r="H4038" s="8">
        <v>12644.566000000001</v>
      </c>
      <c r="I4038" s="8">
        <v>580.69143389999999</v>
      </c>
      <c r="J4038" s="8">
        <v>661.40321979999999</v>
      </c>
      <c r="K4038" s="8">
        <v>-6181.9166450000002</v>
      </c>
      <c r="L4038" s="8">
        <v>8907.1677949999994</v>
      </c>
      <c r="M4038" s="9" t="str">
        <f>IF(A4038="",M4039,A4038)</f>
        <v>Chad</v>
      </c>
      <c r="N4038" s="3" t="str">
        <f t="shared" si="127"/>
        <v>May-2020</v>
      </c>
    </row>
    <row r="4039" spans="1:14" x14ac:dyDescent="0.3">
      <c r="A4039" s="3" t="s">
        <v>344</v>
      </c>
      <c r="B4039" s="3" t="s">
        <v>345</v>
      </c>
      <c r="C4039" s="8">
        <v>2020</v>
      </c>
      <c r="D4039" s="8">
        <v>6</v>
      </c>
      <c r="E4039" s="3" t="str">
        <f t="shared" si="126"/>
        <v>June</v>
      </c>
      <c r="F4039" s="3" t="s">
        <v>8</v>
      </c>
      <c r="G4039" s="8">
        <v>12047.189920000001</v>
      </c>
      <c r="H4039" s="8">
        <v>12774.316999999999</v>
      </c>
      <c r="I4039" s="8">
        <v>727.1270829</v>
      </c>
      <c r="J4039" s="8">
        <v>1388.530303</v>
      </c>
      <c r="K4039" s="8">
        <v>-6205.0335290000003</v>
      </c>
      <c r="L4039" s="8">
        <v>10684.088040000001</v>
      </c>
      <c r="M4039" s="9" t="str">
        <f>IF(A4039="",M4040,A4039)</f>
        <v>Chad</v>
      </c>
      <c r="N4039" s="3" t="str">
        <f t="shared" si="127"/>
        <v>Jun-2020</v>
      </c>
    </row>
    <row r="4040" spans="1:14" x14ac:dyDescent="0.3">
      <c r="A4040" s="3" t="s">
        <v>344</v>
      </c>
      <c r="B4040" s="3" t="s">
        <v>345</v>
      </c>
      <c r="C4040" s="8">
        <v>2020</v>
      </c>
      <c r="D4040" s="8">
        <v>7</v>
      </c>
      <c r="E4040" s="3" t="str">
        <f t="shared" si="126"/>
        <v>July</v>
      </c>
      <c r="F4040" s="3" t="s">
        <v>8</v>
      </c>
      <c r="G4040" s="8">
        <v>12211.178</v>
      </c>
      <c r="H4040" s="8">
        <v>12900.459000000001</v>
      </c>
      <c r="I4040" s="8">
        <v>689.28100310000002</v>
      </c>
      <c r="J4040" s="8">
        <v>2077.8113060000001</v>
      </c>
      <c r="K4040" s="8">
        <v>-6056.1224540000003</v>
      </c>
      <c r="L4040" s="8">
        <v>11459.531070000001</v>
      </c>
      <c r="M4040" s="9" t="str">
        <f>IF(A4040="",M4041,A4040)</f>
        <v>Chad</v>
      </c>
      <c r="N4040" s="3" t="str">
        <f t="shared" si="127"/>
        <v>Jul-2020</v>
      </c>
    </row>
    <row r="4041" spans="1:14" x14ac:dyDescent="0.3">
      <c r="A4041" s="3" t="s">
        <v>344</v>
      </c>
      <c r="B4041" s="3" t="s">
        <v>345</v>
      </c>
      <c r="C4041" s="8">
        <v>2020</v>
      </c>
      <c r="D4041" s="8">
        <v>8</v>
      </c>
      <c r="E4041" s="3" t="str">
        <f t="shared" si="126"/>
        <v>August</v>
      </c>
      <c r="F4041" s="3" t="s">
        <v>8</v>
      </c>
      <c r="G4041" s="8">
        <v>12334.78097</v>
      </c>
      <c r="H4041" s="8">
        <v>12945.536</v>
      </c>
      <c r="I4041" s="8">
        <v>610.75503349999997</v>
      </c>
      <c r="J4041" s="8">
        <v>2688.566339</v>
      </c>
      <c r="K4041" s="8">
        <v>-6151.9978039999996</v>
      </c>
      <c r="L4041" s="8">
        <v>13226.707479999999</v>
      </c>
      <c r="M4041" s="9" t="str">
        <f>IF(A4041="",M4042,A4041)</f>
        <v>Chad</v>
      </c>
      <c r="N4041" s="3" t="str">
        <f t="shared" si="127"/>
        <v>Aug-2020</v>
      </c>
    </row>
    <row r="4042" spans="1:14" x14ac:dyDescent="0.3">
      <c r="A4042" s="3" t="s">
        <v>344</v>
      </c>
      <c r="B4042" s="3" t="s">
        <v>345</v>
      </c>
      <c r="C4042" s="8">
        <v>2020</v>
      </c>
      <c r="D4042" s="8">
        <v>9</v>
      </c>
      <c r="E4042" s="3" t="str">
        <f t="shared" si="126"/>
        <v>September</v>
      </c>
      <c r="F4042" s="3" t="s">
        <v>8</v>
      </c>
      <c r="G4042" s="8">
        <v>12283.430770000001</v>
      </c>
      <c r="H4042" s="8">
        <v>12751.48</v>
      </c>
      <c r="I4042" s="8">
        <v>468.04923120000001</v>
      </c>
      <c r="J4042" s="8">
        <v>3156.6155699999999</v>
      </c>
      <c r="K4042" s="8">
        <v>-6282.3270000000002</v>
      </c>
      <c r="L4042" s="8">
        <v>13879.064469999999</v>
      </c>
      <c r="M4042" s="9" t="str">
        <f>IF(A4042="",M4043,A4042)</f>
        <v>Chad</v>
      </c>
      <c r="N4042" s="3" t="str">
        <f t="shared" si="127"/>
        <v>Sep-2020</v>
      </c>
    </row>
    <row r="4043" spans="1:14" x14ac:dyDescent="0.3">
      <c r="A4043" s="3" t="s">
        <v>344</v>
      </c>
      <c r="B4043" s="3" t="s">
        <v>345</v>
      </c>
      <c r="C4043" s="8">
        <v>2020</v>
      </c>
      <c r="D4043" s="8">
        <v>10</v>
      </c>
      <c r="E4043" s="3" t="str">
        <f t="shared" si="126"/>
        <v>October</v>
      </c>
      <c r="F4043" s="3" t="s">
        <v>8</v>
      </c>
      <c r="G4043" s="8">
        <v>12317.179770000001</v>
      </c>
      <c r="H4043" s="8">
        <v>12376.541999999999</v>
      </c>
      <c r="I4043" s="8">
        <v>59.36223468</v>
      </c>
      <c r="J4043" s="8">
        <v>3215.977805</v>
      </c>
      <c r="K4043" s="8">
        <v>-7016.7313240000003</v>
      </c>
      <c r="L4043" s="8">
        <v>14488.763720000001</v>
      </c>
      <c r="M4043" s="9" t="str">
        <f>IF(A4043="",M4044,A4043)</f>
        <v>Chad</v>
      </c>
      <c r="N4043" s="3" t="str">
        <f t="shared" si="127"/>
        <v>Oct-2020</v>
      </c>
    </row>
    <row r="4044" spans="1:14" x14ac:dyDescent="0.3">
      <c r="A4044" s="3" t="s">
        <v>344</v>
      </c>
      <c r="B4044" s="3" t="s">
        <v>345</v>
      </c>
      <c r="C4044" s="8">
        <v>2020</v>
      </c>
      <c r="D4044" s="8">
        <v>11</v>
      </c>
      <c r="E4044" s="3" t="str">
        <f t="shared" si="126"/>
        <v>November</v>
      </c>
      <c r="F4044" s="3" t="s">
        <v>8</v>
      </c>
      <c r="G4044" s="8">
        <v>12626.267980000001</v>
      </c>
      <c r="H4044" s="8">
        <v>12682.795</v>
      </c>
      <c r="I4044" s="8">
        <v>56.527018730000002</v>
      </c>
      <c r="J4044" s="8">
        <v>3272.5048240000001</v>
      </c>
      <c r="K4044" s="8">
        <v>-7968.4345990000002</v>
      </c>
      <c r="L4044" s="8">
        <v>14944.6584</v>
      </c>
      <c r="M4044" s="9" t="str">
        <f>IF(A4044="",M4045,A4044)</f>
        <v>Chad</v>
      </c>
      <c r="N4044" s="3" t="str">
        <f t="shared" si="127"/>
        <v>Nov-2020</v>
      </c>
    </row>
    <row r="4045" spans="1:14" x14ac:dyDescent="0.3">
      <c r="A4045" s="3" t="s">
        <v>344</v>
      </c>
      <c r="B4045" s="3" t="s">
        <v>345</v>
      </c>
      <c r="C4045" s="8">
        <v>2020</v>
      </c>
      <c r="D4045" s="8">
        <v>12</v>
      </c>
      <c r="E4045" s="3" t="str">
        <f t="shared" si="126"/>
        <v>December</v>
      </c>
      <c r="F4045" s="3" t="s">
        <v>8</v>
      </c>
      <c r="G4045" s="8">
        <v>12768.35627</v>
      </c>
      <c r="H4045" s="8">
        <v>12752.133</v>
      </c>
      <c r="I4045" s="8">
        <v>-16.223274310000001</v>
      </c>
      <c r="J4045" s="8">
        <v>3256.2815500000002</v>
      </c>
      <c r="K4045" s="8">
        <v>-8275.4643190000006</v>
      </c>
      <c r="L4045" s="8">
        <v>15831.819519999999</v>
      </c>
      <c r="M4045" s="9" t="str">
        <f>IF(A4045="",M4046,A4045)</f>
        <v>Chad</v>
      </c>
      <c r="N4045" s="3" t="str">
        <f t="shared" si="127"/>
        <v>Dec-2020</v>
      </c>
    </row>
    <row r="4046" spans="1:14" x14ac:dyDescent="0.3">
      <c r="A4046" s="3" t="s">
        <v>344</v>
      </c>
      <c r="B4046" s="3" t="s">
        <v>345</v>
      </c>
      <c r="C4046" s="8">
        <v>2021</v>
      </c>
      <c r="D4046" s="8">
        <v>1</v>
      </c>
      <c r="E4046" s="3" t="str">
        <f t="shared" si="126"/>
        <v>January</v>
      </c>
      <c r="F4046" s="3" t="s">
        <v>8</v>
      </c>
      <c r="G4046" s="8">
        <v>12943.042600000001</v>
      </c>
      <c r="H4046" s="8">
        <v>13194.195</v>
      </c>
      <c r="I4046" s="8">
        <v>251.152401</v>
      </c>
      <c r="J4046" s="8">
        <v>3507.433951</v>
      </c>
      <c r="K4046" s="8">
        <v>-8709.732317</v>
      </c>
      <c r="L4046" s="8">
        <v>16499.12775</v>
      </c>
      <c r="M4046" s="9" t="str">
        <f>IF(A4046="",M4047,A4046)</f>
        <v>Chad</v>
      </c>
      <c r="N4046" s="3" t="str">
        <f t="shared" si="127"/>
        <v>Jan-2021</v>
      </c>
    </row>
    <row r="4047" spans="1:14" x14ac:dyDescent="0.3">
      <c r="A4047" s="3" t="s">
        <v>344</v>
      </c>
      <c r="B4047" s="3" t="s">
        <v>345</v>
      </c>
      <c r="C4047" s="8">
        <v>2021</v>
      </c>
      <c r="D4047" s="8">
        <v>2</v>
      </c>
      <c r="E4047" s="3" t="str">
        <f t="shared" si="126"/>
        <v>February</v>
      </c>
      <c r="F4047" s="3" t="s">
        <v>8</v>
      </c>
      <c r="G4047" s="8">
        <v>12742.611929999999</v>
      </c>
      <c r="H4047" s="8">
        <v>13512.817999999999</v>
      </c>
      <c r="I4047" s="8">
        <v>770.20607459999997</v>
      </c>
      <c r="J4047" s="8">
        <v>4277.6400249999997</v>
      </c>
      <c r="K4047" s="8">
        <v>-7820.9183970000004</v>
      </c>
      <c r="L4047" s="8">
        <v>17397.45667</v>
      </c>
      <c r="M4047" s="9" t="str">
        <f>IF(A4047="",M4048,A4047)</f>
        <v>Chad</v>
      </c>
      <c r="N4047" s="3" t="str">
        <f t="shared" si="127"/>
        <v>Feb-2021</v>
      </c>
    </row>
    <row r="4048" spans="1:14" x14ac:dyDescent="0.3">
      <c r="A4048" s="3" t="s">
        <v>344</v>
      </c>
      <c r="B4048" s="3" t="s">
        <v>345</v>
      </c>
      <c r="C4048" s="8">
        <v>2021</v>
      </c>
      <c r="D4048" s="8">
        <v>3</v>
      </c>
      <c r="E4048" s="3" t="str">
        <f t="shared" si="126"/>
        <v>March</v>
      </c>
      <c r="F4048" s="3" t="s">
        <v>8</v>
      </c>
      <c r="G4048" s="8">
        <v>12368.06423</v>
      </c>
      <c r="H4048" s="8">
        <v>13427.710999999999</v>
      </c>
      <c r="I4048" s="8">
        <v>1059.6467700000001</v>
      </c>
      <c r="J4048" s="8">
        <v>5337.2867960000003</v>
      </c>
      <c r="K4048" s="8">
        <v>-7375.2131890000001</v>
      </c>
      <c r="L4048" s="8">
        <v>18971.859960000002</v>
      </c>
      <c r="M4048" s="9" t="str">
        <f>IF(A4048="",M4049,A4048)</f>
        <v>Chad</v>
      </c>
      <c r="N4048" s="3" t="str">
        <f t="shared" si="127"/>
        <v>Mar-2021</v>
      </c>
    </row>
    <row r="4049" spans="1:14" x14ac:dyDescent="0.3">
      <c r="A4049" s="3" t="s">
        <v>344</v>
      </c>
      <c r="B4049" s="3" t="s">
        <v>345</v>
      </c>
      <c r="C4049" s="8">
        <v>2021</v>
      </c>
      <c r="D4049" s="8">
        <v>4</v>
      </c>
      <c r="E4049" s="3" t="str">
        <f t="shared" si="126"/>
        <v>April</v>
      </c>
      <c r="F4049" s="3" t="s">
        <v>8</v>
      </c>
      <c r="G4049" s="8">
        <v>12201.26475</v>
      </c>
      <c r="H4049" s="8">
        <v>12884.156999999999</v>
      </c>
      <c r="I4049" s="8">
        <v>682.89225480000005</v>
      </c>
      <c r="J4049" s="8">
        <v>6020.1790499999997</v>
      </c>
      <c r="K4049" s="8">
        <v>-7463.6697109999996</v>
      </c>
      <c r="L4049" s="8">
        <v>19972.048490000001</v>
      </c>
      <c r="M4049" s="9" t="str">
        <f>IF(A4049="",M4050,A4049)</f>
        <v>Chad</v>
      </c>
      <c r="N4049" s="3" t="str">
        <f t="shared" si="127"/>
        <v>Apr-2021</v>
      </c>
    </row>
    <row r="4050" spans="1:14" x14ac:dyDescent="0.3">
      <c r="A4050" s="3" t="s">
        <v>344</v>
      </c>
      <c r="B4050" s="3" t="s">
        <v>345</v>
      </c>
      <c r="C4050" s="8">
        <v>2021</v>
      </c>
      <c r="D4050" s="8">
        <v>5</v>
      </c>
      <c r="E4050" s="3" t="str">
        <f t="shared" si="126"/>
        <v>May</v>
      </c>
      <c r="F4050" s="3" t="s">
        <v>8</v>
      </c>
      <c r="G4050" s="8">
        <v>12068.14615</v>
      </c>
      <c r="H4050" s="8">
        <v>12788.561</v>
      </c>
      <c r="I4050" s="8">
        <v>720.41485360000001</v>
      </c>
      <c r="J4050" s="8">
        <v>6740.5939040000003</v>
      </c>
      <c r="K4050" s="8">
        <v>-7640.5479660000001</v>
      </c>
      <c r="L4050" s="8">
        <v>20965.514889999999</v>
      </c>
      <c r="M4050" s="9" t="str">
        <f>IF(A4050="",M4051,A4050)</f>
        <v>Chad</v>
      </c>
      <c r="N4050" s="3" t="str">
        <f t="shared" si="127"/>
        <v>May-2021</v>
      </c>
    </row>
    <row r="4051" spans="1:14" x14ac:dyDescent="0.3">
      <c r="A4051" s="3" t="s">
        <v>344</v>
      </c>
      <c r="B4051" s="3" t="s">
        <v>345</v>
      </c>
      <c r="C4051" s="8">
        <v>2021</v>
      </c>
      <c r="D4051" s="8">
        <v>6</v>
      </c>
      <c r="E4051" s="3" t="str">
        <f t="shared" si="126"/>
        <v>June</v>
      </c>
      <c r="F4051" s="3" t="s">
        <v>8</v>
      </c>
      <c r="G4051" s="8">
        <v>12054.918830000001</v>
      </c>
      <c r="H4051" s="8">
        <v>12893.433999999999</v>
      </c>
      <c r="I4051" s="8">
        <v>838.51517360000003</v>
      </c>
      <c r="J4051" s="8">
        <v>7579.1090770000001</v>
      </c>
      <c r="K4051" s="8">
        <v>-7247.7797899999996</v>
      </c>
      <c r="L4051" s="8">
        <v>22156.7925</v>
      </c>
      <c r="M4051" s="9" t="str">
        <f>IF(A4051="",M4052,A4051)</f>
        <v>Chad</v>
      </c>
      <c r="N4051" s="3" t="str">
        <f t="shared" si="127"/>
        <v>Jun-2021</v>
      </c>
    </row>
    <row r="4052" spans="1:14" x14ac:dyDescent="0.3">
      <c r="A4052" s="3" t="s">
        <v>344</v>
      </c>
      <c r="B4052" s="3" t="s">
        <v>345</v>
      </c>
      <c r="C4052" s="8">
        <v>2021</v>
      </c>
      <c r="D4052" s="8">
        <v>7</v>
      </c>
      <c r="E4052" s="3" t="str">
        <f t="shared" si="126"/>
        <v>July</v>
      </c>
      <c r="F4052" s="3" t="s">
        <v>8</v>
      </c>
      <c r="G4052" s="8">
        <v>12220.995440000001</v>
      </c>
      <c r="H4052" s="8">
        <v>13093.147000000001</v>
      </c>
      <c r="I4052" s="8">
        <v>872.1515617</v>
      </c>
      <c r="J4052" s="8">
        <v>8451.2606390000001</v>
      </c>
      <c r="K4052" s="8">
        <v>-6665.8575819999996</v>
      </c>
      <c r="L4052" s="8">
        <v>23861.208159999998</v>
      </c>
      <c r="M4052" s="9" t="str">
        <f>IF(A4052="",M4053,A4052)</f>
        <v>Chad</v>
      </c>
      <c r="N4052" s="3" t="str">
        <f t="shared" si="127"/>
        <v>Jul-2021</v>
      </c>
    </row>
    <row r="4053" spans="1:14" x14ac:dyDescent="0.3">
      <c r="A4053" s="3" t="s">
        <v>344</v>
      </c>
      <c r="B4053" s="3" t="s">
        <v>345</v>
      </c>
      <c r="C4053" s="8">
        <v>2021</v>
      </c>
      <c r="D4053" s="8">
        <v>8</v>
      </c>
      <c r="E4053" s="3" t="str">
        <f t="shared" si="126"/>
        <v>August</v>
      </c>
      <c r="F4053" s="3" t="s">
        <v>8</v>
      </c>
      <c r="G4053" s="8">
        <v>12339.56596</v>
      </c>
      <c r="H4053" s="8">
        <v>12899.65</v>
      </c>
      <c r="I4053" s="8">
        <v>560.08404289999999</v>
      </c>
      <c r="J4053" s="8">
        <v>9011.3446820000008</v>
      </c>
      <c r="K4053" s="8">
        <v>-6421.3197069999997</v>
      </c>
      <c r="L4053" s="8">
        <v>25400.363410000002</v>
      </c>
      <c r="M4053" s="9" t="str">
        <f>IF(A4053="",M4054,A4053)</f>
        <v>Chad</v>
      </c>
      <c r="N4053" s="3" t="str">
        <f t="shared" si="127"/>
        <v>Aug-2021</v>
      </c>
    </row>
    <row r="4054" spans="1:14" x14ac:dyDescent="0.3">
      <c r="A4054" s="3" t="s">
        <v>344</v>
      </c>
      <c r="B4054" s="3" t="s">
        <v>345</v>
      </c>
      <c r="C4054" s="8">
        <v>2021</v>
      </c>
      <c r="D4054" s="8">
        <v>9</v>
      </c>
      <c r="E4054" s="3" t="str">
        <f t="shared" si="126"/>
        <v>September</v>
      </c>
      <c r="F4054" s="3" t="s">
        <v>8</v>
      </c>
      <c r="G4054" s="8">
        <v>12291.491540000001</v>
      </c>
      <c r="H4054" s="8">
        <v>12417.153</v>
      </c>
      <c r="I4054" s="8">
        <v>125.66145899999999</v>
      </c>
      <c r="J4054" s="8">
        <v>9137.0061409999998</v>
      </c>
      <c r="K4054" s="8">
        <v>-6898.8002829999996</v>
      </c>
      <c r="L4054" s="8">
        <v>25758.51827</v>
      </c>
      <c r="M4054" s="9" t="str">
        <f>IF(A4054="",M4055,A4054)</f>
        <v>Chad</v>
      </c>
      <c r="N4054" s="3" t="str">
        <f t="shared" si="127"/>
        <v>Sep-2021</v>
      </c>
    </row>
    <row r="4055" spans="1:14" x14ac:dyDescent="0.3">
      <c r="A4055" s="3" t="s">
        <v>344</v>
      </c>
      <c r="B4055" s="3" t="s">
        <v>345</v>
      </c>
      <c r="C4055" s="8">
        <v>2021</v>
      </c>
      <c r="D4055" s="8">
        <v>10</v>
      </c>
      <c r="E4055" s="3" t="str">
        <f t="shared" si="126"/>
        <v>October</v>
      </c>
      <c r="F4055" s="3" t="s">
        <v>8</v>
      </c>
      <c r="G4055" s="8">
        <v>12326.38033</v>
      </c>
      <c r="H4055" s="8">
        <v>12206.191000000001</v>
      </c>
      <c r="I4055" s="8">
        <v>-120.18933269999999</v>
      </c>
      <c r="J4055" s="8">
        <v>9016.8168079999996</v>
      </c>
      <c r="K4055" s="8">
        <v>-7908.9059749999997</v>
      </c>
      <c r="L4055" s="8">
        <v>25733.47869</v>
      </c>
      <c r="M4055" s="9" t="str">
        <f>IF(A4055="",M4056,A4055)</f>
        <v>Chad</v>
      </c>
      <c r="N4055" s="3" t="str">
        <f t="shared" si="127"/>
        <v>Oct-2021</v>
      </c>
    </row>
    <row r="4056" spans="1:14" x14ac:dyDescent="0.3">
      <c r="A4056" s="3" t="s">
        <v>344</v>
      </c>
      <c r="B4056" s="3" t="s">
        <v>345</v>
      </c>
      <c r="C4056" s="8">
        <v>2021</v>
      </c>
      <c r="D4056" s="8">
        <v>11</v>
      </c>
      <c r="E4056" s="3" t="str">
        <f t="shared" si="126"/>
        <v>November</v>
      </c>
      <c r="F4056" s="3" t="s">
        <v>8</v>
      </c>
      <c r="G4056" s="8">
        <v>12628.61551</v>
      </c>
      <c r="H4056" s="8">
        <v>12738.73</v>
      </c>
      <c r="I4056" s="8">
        <v>110.1144927</v>
      </c>
      <c r="J4056" s="8">
        <v>9126.9313010000005</v>
      </c>
      <c r="K4056" s="8">
        <v>-8191.3357889999997</v>
      </c>
      <c r="L4056" s="8">
        <v>27357.882229999999</v>
      </c>
      <c r="M4056" s="9" t="str">
        <f>IF(A4056="",M4057,A4056)</f>
        <v>Chad</v>
      </c>
      <c r="N4056" s="3" t="str">
        <f t="shared" si="127"/>
        <v>Nov-2021</v>
      </c>
    </row>
    <row r="4057" spans="1:14" x14ac:dyDescent="0.3">
      <c r="A4057" s="3" t="s">
        <v>344</v>
      </c>
      <c r="B4057" s="3" t="s">
        <v>345</v>
      </c>
      <c r="C4057" s="8">
        <v>2021</v>
      </c>
      <c r="D4057" s="8">
        <v>12</v>
      </c>
      <c r="E4057" s="3" t="str">
        <f t="shared" si="126"/>
        <v>December</v>
      </c>
      <c r="F4057" s="3" t="s">
        <v>8</v>
      </c>
      <c r="G4057" s="8">
        <v>12774.73763</v>
      </c>
      <c r="H4057" s="8">
        <v>13414.937</v>
      </c>
      <c r="I4057" s="8">
        <v>640.19936910000001</v>
      </c>
      <c r="J4057" s="8">
        <v>9767.1306700000005</v>
      </c>
      <c r="K4057" s="8">
        <v>-7656.6048360000004</v>
      </c>
      <c r="L4057" s="8">
        <v>27169.195299999999</v>
      </c>
      <c r="M4057" s="9" t="str">
        <f>IF(A4057="",M4058,A4057)</f>
        <v>Chad</v>
      </c>
      <c r="N4057" s="3" t="str">
        <f t="shared" si="127"/>
        <v>Dec-2021</v>
      </c>
    </row>
    <row r="4058" spans="1:14" x14ac:dyDescent="0.3">
      <c r="A4058" s="3" t="s">
        <v>346</v>
      </c>
      <c r="B4058" s="3" t="s">
        <v>347</v>
      </c>
      <c r="C4058" s="8">
        <v>2020</v>
      </c>
      <c r="D4058" s="8">
        <v>1</v>
      </c>
      <c r="E4058" s="3" t="str">
        <f t="shared" si="126"/>
        <v>January</v>
      </c>
      <c r="F4058" s="3" t="s">
        <v>8</v>
      </c>
      <c r="G4058" s="8">
        <v>4566.5837670000001</v>
      </c>
      <c r="H4058" s="8">
        <v>4643.7259999999997</v>
      </c>
      <c r="I4058" s="8">
        <v>77.142233309999995</v>
      </c>
      <c r="J4058" s="8">
        <v>77.142233309999995</v>
      </c>
      <c r="K4058" s="8">
        <v>-1114.605176</v>
      </c>
      <c r="L4058" s="8">
        <v>1330.1025709999999</v>
      </c>
      <c r="M4058" s="9" t="str">
        <f>IF(A4058="",M4059,A4058)</f>
        <v>Togo</v>
      </c>
      <c r="N4058" s="3" t="str">
        <f t="shared" si="127"/>
        <v>Jan-2020</v>
      </c>
    </row>
    <row r="4059" spans="1:14" x14ac:dyDescent="0.3">
      <c r="A4059" s="3" t="s">
        <v>346</v>
      </c>
      <c r="B4059" s="3" t="s">
        <v>347</v>
      </c>
      <c r="C4059" s="8">
        <v>2020</v>
      </c>
      <c r="D4059" s="8">
        <v>2</v>
      </c>
      <c r="E4059" s="3" t="str">
        <f t="shared" si="126"/>
        <v>February</v>
      </c>
      <c r="F4059" s="3" t="s">
        <v>8</v>
      </c>
      <c r="G4059" s="8">
        <v>4508.660997</v>
      </c>
      <c r="H4059" s="8">
        <v>4554.1409999999996</v>
      </c>
      <c r="I4059" s="8">
        <v>45.480003289999999</v>
      </c>
      <c r="J4059" s="8">
        <v>122.62223659999999</v>
      </c>
      <c r="K4059" s="8">
        <v>-1553.606368</v>
      </c>
      <c r="L4059" s="8">
        <v>2076.8274449999999</v>
      </c>
      <c r="M4059" s="9" t="str">
        <f>IF(A4059="",M4060,A4059)</f>
        <v>Togo</v>
      </c>
      <c r="N4059" s="3" t="str">
        <f t="shared" si="127"/>
        <v>Feb-2020</v>
      </c>
    </row>
    <row r="4060" spans="1:14" x14ac:dyDescent="0.3">
      <c r="A4060" s="3" t="s">
        <v>346</v>
      </c>
      <c r="B4060" s="3" t="s">
        <v>347</v>
      </c>
      <c r="C4060" s="8">
        <v>2020</v>
      </c>
      <c r="D4060" s="8">
        <v>3</v>
      </c>
      <c r="E4060" s="3" t="str">
        <f t="shared" si="126"/>
        <v>March</v>
      </c>
      <c r="F4060" s="3" t="s">
        <v>8</v>
      </c>
      <c r="G4060" s="8">
        <v>4476.1602160000002</v>
      </c>
      <c r="H4060" s="8">
        <v>4475.9210000000003</v>
      </c>
      <c r="I4060" s="8">
        <v>-0.23921583799999999</v>
      </c>
      <c r="J4060" s="8">
        <v>122.3830208</v>
      </c>
      <c r="K4060" s="8">
        <v>-1888.0885390000001</v>
      </c>
      <c r="L4060" s="8">
        <v>2354.7489839999998</v>
      </c>
      <c r="M4060" s="9" t="str">
        <f>IF(A4060="",M4061,A4060)</f>
        <v>Togo</v>
      </c>
      <c r="N4060" s="3" t="str">
        <f t="shared" si="127"/>
        <v>Mar-2020</v>
      </c>
    </row>
    <row r="4061" spans="1:14" x14ac:dyDescent="0.3">
      <c r="A4061" s="3" t="s">
        <v>346</v>
      </c>
      <c r="B4061" s="3" t="s">
        <v>347</v>
      </c>
      <c r="C4061" s="8">
        <v>2020</v>
      </c>
      <c r="D4061" s="8">
        <v>4</v>
      </c>
      <c r="E4061" s="3" t="str">
        <f t="shared" si="126"/>
        <v>April</v>
      </c>
      <c r="F4061" s="3" t="s">
        <v>8</v>
      </c>
      <c r="G4061" s="8">
        <v>4497.8758900000003</v>
      </c>
      <c r="H4061" s="8">
        <v>4437.6099999999997</v>
      </c>
      <c r="I4061" s="8">
        <v>-60.265890020000001</v>
      </c>
      <c r="J4061" s="8">
        <v>62.11713074</v>
      </c>
      <c r="K4061" s="8">
        <v>-2338.9198740000002</v>
      </c>
      <c r="L4061" s="8">
        <v>2618.6249320000002</v>
      </c>
      <c r="M4061" s="9" t="str">
        <f>IF(A4061="",M4062,A4061)</f>
        <v>Togo</v>
      </c>
      <c r="N4061" s="3" t="str">
        <f t="shared" si="127"/>
        <v>Apr-2020</v>
      </c>
    </row>
    <row r="4062" spans="1:14" x14ac:dyDescent="0.3">
      <c r="A4062" s="3" t="s">
        <v>346</v>
      </c>
      <c r="B4062" s="3" t="s">
        <v>347</v>
      </c>
      <c r="C4062" s="8">
        <v>2020</v>
      </c>
      <c r="D4062" s="8">
        <v>5</v>
      </c>
      <c r="E4062" s="3" t="str">
        <f t="shared" si="126"/>
        <v>May</v>
      </c>
      <c r="F4062" s="3" t="s">
        <v>8</v>
      </c>
      <c r="G4062" s="8">
        <v>4528.0067959999997</v>
      </c>
      <c r="H4062" s="8">
        <v>4567.8879999999999</v>
      </c>
      <c r="I4062" s="8">
        <v>39.881204189999998</v>
      </c>
      <c r="J4062" s="8">
        <v>101.9983349</v>
      </c>
      <c r="K4062" s="8">
        <v>-2591.8437739999999</v>
      </c>
      <c r="L4062" s="8">
        <v>3062.5964170000002</v>
      </c>
      <c r="M4062" s="9" t="str">
        <f>IF(A4062="",M4063,A4062)</f>
        <v>Togo</v>
      </c>
      <c r="N4062" s="3" t="str">
        <f t="shared" si="127"/>
        <v>May-2020</v>
      </c>
    </row>
    <row r="4063" spans="1:14" x14ac:dyDescent="0.3">
      <c r="A4063" s="3" t="s">
        <v>346</v>
      </c>
      <c r="B4063" s="3" t="s">
        <v>347</v>
      </c>
      <c r="C4063" s="8">
        <v>2020</v>
      </c>
      <c r="D4063" s="8">
        <v>6</v>
      </c>
      <c r="E4063" s="3" t="str">
        <f t="shared" si="126"/>
        <v>June</v>
      </c>
      <c r="F4063" s="3" t="s">
        <v>8</v>
      </c>
      <c r="G4063" s="8">
        <v>4573.9184800000003</v>
      </c>
      <c r="H4063" s="8">
        <v>4647.5860000000002</v>
      </c>
      <c r="I4063" s="8">
        <v>73.667519679999998</v>
      </c>
      <c r="J4063" s="8">
        <v>175.66585459999999</v>
      </c>
      <c r="K4063" s="8">
        <v>-2772.4674570000002</v>
      </c>
      <c r="L4063" s="8">
        <v>3291.7465350000002</v>
      </c>
      <c r="M4063" s="9" t="str">
        <f>IF(A4063="",M4064,A4063)</f>
        <v>Togo</v>
      </c>
      <c r="N4063" s="3" t="str">
        <f t="shared" si="127"/>
        <v>Jun-2020</v>
      </c>
    </row>
    <row r="4064" spans="1:14" x14ac:dyDescent="0.3">
      <c r="A4064" s="3" t="s">
        <v>346</v>
      </c>
      <c r="B4064" s="3" t="s">
        <v>347</v>
      </c>
      <c r="C4064" s="8">
        <v>2020</v>
      </c>
      <c r="D4064" s="8">
        <v>7</v>
      </c>
      <c r="E4064" s="3" t="str">
        <f t="shared" si="126"/>
        <v>July</v>
      </c>
      <c r="F4064" s="3" t="s">
        <v>8</v>
      </c>
      <c r="G4064" s="8">
        <v>4615.3058570000003</v>
      </c>
      <c r="H4064" s="8">
        <v>4843.0320000000002</v>
      </c>
      <c r="I4064" s="8">
        <v>227.72614279999999</v>
      </c>
      <c r="J4064" s="8">
        <v>403.39199739999998</v>
      </c>
      <c r="K4064" s="8">
        <v>-2861.3952290000002</v>
      </c>
      <c r="L4064" s="8">
        <v>3737.2228190000001</v>
      </c>
      <c r="M4064" s="9" t="str">
        <f>IF(A4064="",M4065,A4064)</f>
        <v>Togo</v>
      </c>
      <c r="N4064" s="3" t="str">
        <f t="shared" si="127"/>
        <v>Jul-2020</v>
      </c>
    </row>
    <row r="4065" spans="1:14" x14ac:dyDescent="0.3">
      <c r="A4065" s="3" t="s">
        <v>346</v>
      </c>
      <c r="B4065" s="3" t="s">
        <v>347</v>
      </c>
      <c r="C4065" s="8">
        <v>2020</v>
      </c>
      <c r="D4065" s="8">
        <v>8</v>
      </c>
      <c r="E4065" s="3" t="str">
        <f t="shared" si="126"/>
        <v>August</v>
      </c>
      <c r="F4065" s="3" t="s">
        <v>8</v>
      </c>
      <c r="G4065" s="8">
        <v>4631.176348</v>
      </c>
      <c r="H4065" s="8">
        <v>4887.6049999999996</v>
      </c>
      <c r="I4065" s="8">
        <v>256.42865239999998</v>
      </c>
      <c r="J4065" s="8">
        <v>659.82064990000003</v>
      </c>
      <c r="K4065" s="8">
        <v>-2785.5574489999999</v>
      </c>
      <c r="L4065" s="8">
        <v>4550.1472279999998</v>
      </c>
      <c r="M4065" s="9" t="str">
        <f>IF(A4065="",M4066,A4065)</f>
        <v>Togo</v>
      </c>
      <c r="N4065" s="3" t="str">
        <f t="shared" si="127"/>
        <v>Aug-2020</v>
      </c>
    </row>
    <row r="4066" spans="1:14" x14ac:dyDescent="0.3">
      <c r="A4066" s="3" t="s">
        <v>346</v>
      </c>
      <c r="B4066" s="3" t="s">
        <v>347</v>
      </c>
      <c r="C4066" s="8">
        <v>2020</v>
      </c>
      <c r="D4066" s="8">
        <v>9</v>
      </c>
      <c r="E4066" s="3" t="str">
        <f t="shared" si="126"/>
        <v>September</v>
      </c>
      <c r="F4066" s="3" t="s">
        <v>8</v>
      </c>
      <c r="G4066" s="8">
        <v>4612.4003190000003</v>
      </c>
      <c r="H4066" s="8">
        <v>4842.8500000000004</v>
      </c>
      <c r="I4066" s="8">
        <v>230.44968119999999</v>
      </c>
      <c r="J4066" s="8">
        <v>890.27033110000002</v>
      </c>
      <c r="K4066" s="8">
        <v>-2678.5594160000001</v>
      </c>
      <c r="L4066" s="8">
        <v>4942.6278490000004</v>
      </c>
      <c r="M4066" s="9" t="str">
        <f>IF(A4066="",M4067,A4066)</f>
        <v>Togo</v>
      </c>
      <c r="N4066" s="3" t="str">
        <f t="shared" si="127"/>
        <v>Sep-2020</v>
      </c>
    </row>
    <row r="4067" spans="1:14" x14ac:dyDescent="0.3">
      <c r="A4067" s="3" t="s">
        <v>346</v>
      </c>
      <c r="B4067" s="3" t="s">
        <v>347</v>
      </c>
      <c r="C4067" s="8">
        <v>2020</v>
      </c>
      <c r="D4067" s="8">
        <v>10</v>
      </c>
      <c r="E4067" s="3" t="str">
        <f t="shared" si="126"/>
        <v>October</v>
      </c>
      <c r="F4067" s="3" t="s">
        <v>8</v>
      </c>
      <c r="G4067" s="8">
        <v>4590.3959640000003</v>
      </c>
      <c r="H4067" s="8">
        <v>4652.5</v>
      </c>
      <c r="I4067" s="8">
        <v>62.104035940000003</v>
      </c>
      <c r="J4067" s="8">
        <v>952.37436700000001</v>
      </c>
      <c r="K4067" s="8">
        <v>-2825.6957769999999</v>
      </c>
      <c r="L4067" s="8">
        <v>5224.5793059999996</v>
      </c>
      <c r="M4067" s="9" t="str">
        <f>IF(A4067="",M4068,A4067)</f>
        <v>Togo</v>
      </c>
      <c r="N4067" s="3" t="str">
        <f t="shared" si="127"/>
        <v>Oct-2020</v>
      </c>
    </row>
    <row r="4068" spans="1:14" x14ac:dyDescent="0.3">
      <c r="A4068" s="3" t="s">
        <v>346</v>
      </c>
      <c r="B4068" s="3" t="s">
        <v>347</v>
      </c>
      <c r="C4068" s="8">
        <v>2020</v>
      </c>
      <c r="D4068" s="8">
        <v>11</v>
      </c>
      <c r="E4068" s="3" t="str">
        <f t="shared" si="126"/>
        <v>November</v>
      </c>
      <c r="F4068" s="3" t="s">
        <v>8</v>
      </c>
      <c r="G4068" s="8">
        <v>4553.8071749999999</v>
      </c>
      <c r="H4068" s="8">
        <v>4565.223</v>
      </c>
      <c r="I4068" s="8">
        <v>11.415825030000001</v>
      </c>
      <c r="J4068" s="8">
        <v>963.79019200000005</v>
      </c>
      <c r="K4068" s="8">
        <v>-3104.2963559999998</v>
      </c>
      <c r="L4068" s="8">
        <v>5354.3430319999998</v>
      </c>
      <c r="M4068" s="9" t="str">
        <f>IF(A4068="",M4069,A4068)</f>
        <v>Togo</v>
      </c>
      <c r="N4068" s="3" t="str">
        <f t="shared" si="127"/>
        <v>Nov-2020</v>
      </c>
    </row>
    <row r="4069" spans="1:14" x14ac:dyDescent="0.3">
      <c r="A4069" s="3" t="s">
        <v>346</v>
      </c>
      <c r="B4069" s="3" t="s">
        <v>347</v>
      </c>
      <c r="C4069" s="8">
        <v>2020</v>
      </c>
      <c r="D4069" s="8">
        <v>12</v>
      </c>
      <c r="E4069" s="3" t="str">
        <f t="shared" si="126"/>
        <v>December</v>
      </c>
      <c r="F4069" s="3" t="s">
        <v>8</v>
      </c>
      <c r="G4069" s="8">
        <v>4550.0314019999996</v>
      </c>
      <c r="H4069" s="8">
        <v>4584.3440000000001</v>
      </c>
      <c r="I4069" s="8">
        <v>34.31259773</v>
      </c>
      <c r="J4069" s="8">
        <v>998.10278979999998</v>
      </c>
      <c r="K4069" s="8">
        <v>-3311.0343499999999</v>
      </c>
      <c r="L4069" s="8">
        <v>5514.3074749999996</v>
      </c>
      <c r="M4069" s="9" t="str">
        <f>IF(A4069="",M4070,A4069)</f>
        <v>Togo</v>
      </c>
      <c r="N4069" s="3" t="str">
        <f t="shared" si="127"/>
        <v>Dec-2020</v>
      </c>
    </row>
    <row r="4070" spans="1:14" x14ac:dyDescent="0.3">
      <c r="A4070" s="3" t="s">
        <v>346</v>
      </c>
      <c r="B4070" s="3" t="s">
        <v>347</v>
      </c>
      <c r="C4070" s="8">
        <v>2021</v>
      </c>
      <c r="D4070" s="8">
        <v>1</v>
      </c>
      <c r="E4070" s="3" t="str">
        <f t="shared" si="126"/>
        <v>January</v>
      </c>
      <c r="F4070" s="3" t="s">
        <v>8</v>
      </c>
      <c r="G4070" s="8">
        <v>4530.1497689999997</v>
      </c>
      <c r="H4070" s="8">
        <v>4734.835</v>
      </c>
      <c r="I4070" s="8">
        <v>204.6852312</v>
      </c>
      <c r="J4070" s="8">
        <v>1202.7880210000001</v>
      </c>
      <c r="K4070" s="8">
        <v>-3298.8553910000001</v>
      </c>
      <c r="L4070" s="8">
        <v>5921.703528</v>
      </c>
      <c r="M4070" s="9" t="str">
        <f>IF(A4070="",M4071,A4070)</f>
        <v>Togo</v>
      </c>
      <c r="N4070" s="3" t="str">
        <f t="shared" si="127"/>
        <v>Jan-2021</v>
      </c>
    </row>
    <row r="4071" spans="1:14" x14ac:dyDescent="0.3">
      <c r="A4071" s="3" t="s">
        <v>346</v>
      </c>
      <c r="B4071" s="3" t="s">
        <v>347</v>
      </c>
      <c r="C4071" s="8">
        <v>2021</v>
      </c>
      <c r="D4071" s="8">
        <v>2</v>
      </c>
      <c r="E4071" s="3" t="str">
        <f t="shared" si="126"/>
        <v>February</v>
      </c>
      <c r="F4071" s="3" t="s">
        <v>8</v>
      </c>
      <c r="G4071" s="8">
        <v>4472.3762559999996</v>
      </c>
      <c r="H4071" s="8">
        <v>4761.402</v>
      </c>
      <c r="I4071" s="8">
        <v>289.02574370000002</v>
      </c>
      <c r="J4071" s="8">
        <v>1491.8137650000001</v>
      </c>
      <c r="K4071" s="8">
        <v>-3231.0527080000002</v>
      </c>
      <c r="L4071" s="8">
        <v>6301.6192600000004</v>
      </c>
      <c r="M4071" s="9" t="str">
        <f>IF(A4071="",M4072,A4071)</f>
        <v>Togo</v>
      </c>
      <c r="N4071" s="3" t="str">
        <f t="shared" si="127"/>
        <v>Feb-2021</v>
      </c>
    </row>
    <row r="4072" spans="1:14" x14ac:dyDescent="0.3">
      <c r="A4072" s="3" t="s">
        <v>346</v>
      </c>
      <c r="B4072" s="3" t="s">
        <v>347</v>
      </c>
      <c r="C4072" s="8">
        <v>2021</v>
      </c>
      <c r="D4072" s="8">
        <v>3</v>
      </c>
      <c r="E4072" s="3" t="str">
        <f t="shared" si="126"/>
        <v>March</v>
      </c>
      <c r="F4072" s="3" t="s">
        <v>8</v>
      </c>
      <c r="G4072" s="8">
        <v>4439.6894730000004</v>
      </c>
      <c r="H4072" s="8">
        <v>4751.558</v>
      </c>
      <c r="I4072" s="8">
        <v>311.86852720000002</v>
      </c>
      <c r="J4072" s="8">
        <v>1803.682292</v>
      </c>
      <c r="K4072" s="8">
        <v>-2804.2606940000001</v>
      </c>
      <c r="L4072" s="8">
        <v>6776.0228280000001</v>
      </c>
      <c r="M4072" s="9" t="str">
        <f>IF(A4072="",M4073,A4072)</f>
        <v>Togo</v>
      </c>
      <c r="N4072" s="3" t="str">
        <f t="shared" si="127"/>
        <v>Mar-2021</v>
      </c>
    </row>
    <row r="4073" spans="1:14" x14ac:dyDescent="0.3">
      <c r="A4073" s="3" t="s">
        <v>346</v>
      </c>
      <c r="B4073" s="3" t="s">
        <v>347</v>
      </c>
      <c r="C4073" s="8">
        <v>2021</v>
      </c>
      <c r="D4073" s="8">
        <v>4</v>
      </c>
      <c r="E4073" s="3" t="str">
        <f t="shared" si="126"/>
        <v>April</v>
      </c>
      <c r="F4073" s="3" t="s">
        <v>8</v>
      </c>
      <c r="G4073" s="8">
        <v>4463.1506609999997</v>
      </c>
      <c r="H4073" s="8">
        <v>4709.8549999999996</v>
      </c>
      <c r="I4073" s="8">
        <v>246.70433890000001</v>
      </c>
      <c r="J4073" s="8">
        <v>2050.3866309999999</v>
      </c>
      <c r="K4073" s="8">
        <v>-3007.471031</v>
      </c>
      <c r="L4073" s="8">
        <v>7184.0042649999996</v>
      </c>
      <c r="M4073" s="9" t="str">
        <f>IF(A4073="",M4074,A4073)</f>
        <v>Togo</v>
      </c>
      <c r="N4073" s="3" t="str">
        <f t="shared" si="127"/>
        <v>Apr-2021</v>
      </c>
    </row>
    <row r="4074" spans="1:14" x14ac:dyDescent="0.3">
      <c r="A4074" s="3" t="s">
        <v>346</v>
      </c>
      <c r="B4074" s="3" t="s">
        <v>347</v>
      </c>
      <c r="C4074" s="8">
        <v>2021</v>
      </c>
      <c r="D4074" s="8">
        <v>5</v>
      </c>
      <c r="E4074" s="3" t="str">
        <f t="shared" si="126"/>
        <v>May</v>
      </c>
      <c r="F4074" s="3" t="s">
        <v>8</v>
      </c>
      <c r="G4074" s="8">
        <v>4494.3323700000001</v>
      </c>
      <c r="H4074" s="8">
        <v>4607.7629999999999</v>
      </c>
      <c r="I4074" s="8">
        <v>113.4306301</v>
      </c>
      <c r="J4074" s="8">
        <v>2163.8172610000001</v>
      </c>
      <c r="K4074" s="8">
        <v>-2810.5876720000001</v>
      </c>
      <c r="L4074" s="8">
        <v>7532.1495489999998</v>
      </c>
      <c r="M4074" s="9" t="str">
        <f>IF(A4074="",M4075,A4074)</f>
        <v>Togo</v>
      </c>
      <c r="N4074" s="3" t="str">
        <f t="shared" si="127"/>
        <v>May-2021</v>
      </c>
    </row>
    <row r="4075" spans="1:14" x14ac:dyDescent="0.3">
      <c r="A4075" s="3" t="s">
        <v>346</v>
      </c>
      <c r="B4075" s="3" t="s">
        <v>347</v>
      </c>
      <c r="C4075" s="8">
        <v>2021</v>
      </c>
      <c r="D4075" s="8">
        <v>6</v>
      </c>
      <c r="E4075" s="3" t="str">
        <f t="shared" si="126"/>
        <v>June</v>
      </c>
      <c r="F4075" s="3" t="s">
        <v>8</v>
      </c>
      <c r="G4075" s="8">
        <v>4539.1042150000003</v>
      </c>
      <c r="H4075" s="8">
        <v>4558.5119999999997</v>
      </c>
      <c r="I4075" s="8">
        <v>19.407784769999999</v>
      </c>
      <c r="J4075" s="8">
        <v>2183.225046</v>
      </c>
      <c r="K4075" s="8">
        <v>-3072.8691979999999</v>
      </c>
      <c r="L4075" s="8">
        <v>7660.4190010000002</v>
      </c>
      <c r="M4075" s="9" t="str">
        <f>IF(A4075="",M4076,A4075)</f>
        <v>Togo</v>
      </c>
      <c r="N4075" s="3" t="str">
        <f t="shared" si="127"/>
        <v>Jun-2021</v>
      </c>
    </row>
    <row r="4076" spans="1:14" x14ac:dyDescent="0.3">
      <c r="A4076" s="3" t="s">
        <v>346</v>
      </c>
      <c r="B4076" s="3" t="s">
        <v>347</v>
      </c>
      <c r="C4076" s="8">
        <v>2021</v>
      </c>
      <c r="D4076" s="8">
        <v>7</v>
      </c>
      <c r="E4076" s="3" t="str">
        <f t="shared" si="126"/>
        <v>July</v>
      </c>
      <c r="F4076" s="3" t="s">
        <v>8</v>
      </c>
      <c r="G4076" s="8">
        <v>4581.7279049999997</v>
      </c>
      <c r="H4076" s="8">
        <v>4766.2139999999999</v>
      </c>
      <c r="I4076" s="8">
        <v>184.48609479999999</v>
      </c>
      <c r="J4076" s="8">
        <v>2367.7111410000002</v>
      </c>
      <c r="K4076" s="8">
        <v>-3209.7242019999999</v>
      </c>
      <c r="L4076" s="8">
        <v>8072.0798940000004</v>
      </c>
      <c r="M4076" s="9" t="str">
        <f>IF(A4076="",M4077,A4076)</f>
        <v>Togo</v>
      </c>
      <c r="N4076" s="3" t="str">
        <f t="shared" si="127"/>
        <v>Jul-2021</v>
      </c>
    </row>
    <row r="4077" spans="1:14" x14ac:dyDescent="0.3">
      <c r="A4077" s="3" t="s">
        <v>346</v>
      </c>
      <c r="B4077" s="3" t="s">
        <v>347</v>
      </c>
      <c r="C4077" s="8">
        <v>2021</v>
      </c>
      <c r="D4077" s="8">
        <v>8</v>
      </c>
      <c r="E4077" s="3" t="str">
        <f t="shared" si="126"/>
        <v>August</v>
      </c>
      <c r="F4077" s="3" t="s">
        <v>8</v>
      </c>
      <c r="G4077" s="8">
        <v>4593.0742959999998</v>
      </c>
      <c r="H4077" s="8">
        <v>4896.97</v>
      </c>
      <c r="I4077" s="8">
        <v>303.89570350000002</v>
      </c>
      <c r="J4077" s="8">
        <v>2671.6068439999999</v>
      </c>
      <c r="K4077" s="8">
        <v>-3040.4448010000001</v>
      </c>
      <c r="L4077" s="8">
        <v>8655.1362229999995</v>
      </c>
      <c r="M4077" s="9" t="str">
        <f>IF(A4077="",M4078,A4077)</f>
        <v>Togo</v>
      </c>
      <c r="N4077" s="3" t="str">
        <f t="shared" si="127"/>
        <v>Aug-2021</v>
      </c>
    </row>
    <row r="4078" spans="1:14" x14ac:dyDescent="0.3">
      <c r="A4078" s="3" t="s">
        <v>346</v>
      </c>
      <c r="B4078" s="3" t="s">
        <v>347</v>
      </c>
      <c r="C4078" s="8">
        <v>2021</v>
      </c>
      <c r="D4078" s="8">
        <v>9</v>
      </c>
      <c r="E4078" s="3" t="str">
        <f t="shared" si="126"/>
        <v>September</v>
      </c>
      <c r="F4078" s="3" t="s">
        <v>8</v>
      </c>
      <c r="G4078" s="8">
        <v>4574.6800190000004</v>
      </c>
      <c r="H4078" s="8">
        <v>4933.5519999999997</v>
      </c>
      <c r="I4078" s="8">
        <v>358.87198119999999</v>
      </c>
      <c r="J4078" s="8">
        <v>3030.4788250000001</v>
      </c>
      <c r="K4078" s="8">
        <v>-3094.4219440000002</v>
      </c>
      <c r="L4078" s="8">
        <v>9434.1184520000006</v>
      </c>
      <c r="M4078" s="9" t="str">
        <f>IF(A4078="",M4079,A4078)</f>
        <v>Togo</v>
      </c>
      <c r="N4078" s="3" t="str">
        <f t="shared" si="127"/>
        <v>Sep-2021</v>
      </c>
    </row>
    <row r="4079" spans="1:14" x14ac:dyDescent="0.3">
      <c r="A4079" s="3" t="s">
        <v>346</v>
      </c>
      <c r="B4079" s="3" t="s">
        <v>347</v>
      </c>
      <c r="C4079" s="8">
        <v>2021</v>
      </c>
      <c r="D4079" s="8">
        <v>10</v>
      </c>
      <c r="E4079" s="3" t="str">
        <f t="shared" si="126"/>
        <v>October</v>
      </c>
      <c r="F4079" s="3" t="s">
        <v>8</v>
      </c>
      <c r="G4079" s="8">
        <v>4553.9192309999999</v>
      </c>
      <c r="H4079" s="8">
        <v>4687.63</v>
      </c>
      <c r="I4079" s="8">
        <v>133.710769</v>
      </c>
      <c r="J4079" s="8">
        <v>3164.1895939999999</v>
      </c>
      <c r="K4079" s="8">
        <v>-2847.9339490000002</v>
      </c>
      <c r="L4079" s="8">
        <v>9477.7171199999993</v>
      </c>
      <c r="M4079" s="9" t="str">
        <f>IF(A4079="",M4080,A4079)</f>
        <v>Togo</v>
      </c>
      <c r="N4079" s="3" t="str">
        <f t="shared" si="127"/>
        <v>Oct-2021</v>
      </c>
    </row>
    <row r="4080" spans="1:14" x14ac:dyDescent="0.3">
      <c r="A4080" s="3" t="s">
        <v>346</v>
      </c>
      <c r="B4080" s="3" t="s">
        <v>347</v>
      </c>
      <c r="C4080" s="8">
        <v>2021</v>
      </c>
      <c r="D4080" s="8">
        <v>11</v>
      </c>
      <c r="E4080" s="3" t="str">
        <f t="shared" si="126"/>
        <v>November</v>
      </c>
      <c r="F4080" s="3" t="s">
        <v>8</v>
      </c>
      <c r="G4080" s="8">
        <v>4518.008855</v>
      </c>
      <c r="H4080" s="8">
        <v>4566.9449999999997</v>
      </c>
      <c r="I4080" s="8">
        <v>48.9361453</v>
      </c>
      <c r="J4080" s="8">
        <v>3213.12574</v>
      </c>
      <c r="K4080" s="8">
        <v>-2927.203638</v>
      </c>
      <c r="L4080" s="8">
        <v>9739.2677029999995</v>
      </c>
      <c r="M4080" s="9" t="str">
        <f>IF(A4080="",M4081,A4080)</f>
        <v>Togo</v>
      </c>
      <c r="N4080" s="3" t="str">
        <f t="shared" si="127"/>
        <v>Nov-2021</v>
      </c>
    </row>
    <row r="4081" spans="1:14" x14ac:dyDescent="0.3">
      <c r="A4081" s="3" t="s">
        <v>346</v>
      </c>
      <c r="B4081" s="3" t="s">
        <v>347</v>
      </c>
      <c r="C4081" s="8">
        <v>2021</v>
      </c>
      <c r="D4081" s="8">
        <v>12</v>
      </c>
      <c r="E4081" s="3" t="str">
        <f t="shared" si="126"/>
        <v>December</v>
      </c>
      <c r="F4081" s="3" t="s">
        <v>8</v>
      </c>
      <c r="G4081" s="8">
        <v>4516.0343039999998</v>
      </c>
      <c r="H4081" s="8">
        <v>4706.0240000000003</v>
      </c>
      <c r="I4081" s="8">
        <v>189.98969579999999</v>
      </c>
      <c r="J4081" s="8">
        <v>3403.1154350000002</v>
      </c>
      <c r="K4081" s="8">
        <v>-3022.231342</v>
      </c>
      <c r="L4081" s="8">
        <v>10198.533460000001</v>
      </c>
      <c r="M4081" s="9" t="str">
        <f>IF(A4081="",M4082,A4081)</f>
        <v>Togo</v>
      </c>
      <c r="N4081" s="3" t="str">
        <f t="shared" si="127"/>
        <v>Dec-2021</v>
      </c>
    </row>
    <row r="4082" spans="1:14" x14ac:dyDescent="0.3">
      <c r="A4082" s="3" t="s">
        <v>348</v>
      </c>
      <c r="B4082" s="3" t="s">
        <v>349</v>
      </c>
      <c r="C4082" s="8">
        <v>2020</v>
      </c>
      <c r="D4082" s="8">
        <v>1</v>
      </c>
      <c r="E4082" s="3" t="str">
        <f t="shared" si="126"/>
        <v>January</v>
      </c>
      <c r="F4082" s="3" t="s">
        <v>13</v>
      </c>
      <c r="G4082" s="8">
        <v>41479.930110000001</v>
      </c>
      <c r="H4082" s="8">
        <v>47125</v>
      </c>
      <c r="I4082" s="8">
        <v>5631.6532260000004</v>
      </c>
      <c r="J4082" s="8">
        <v>5631.6532260000004</v>
      </c>
      <c r="K4082" s="8">
        <v>4172.9623410000004</v>
      </c>
      <c r="L4082" s="8">
        <v>7000.0790790000001</v>
      </c>
      <c r="M4082" s="9" t="str">
        <f>IF(A4082="",M4083,A4082)</f>
        <v>Thailand</v>
      </c>
      <c r="N4082" s="3" t="str">
        <f t="shared" si="127"/>
        <v>Jan-2020</v>
      </c>
    </row>
    <row r="4083" spans="1:14" x14ac:dyDescent="0.3">
      <c r="A4083" s="3" t="s">
        <v>348</v>
      </c>
      <c r="B4083" s="3" t="s">
        <v>349</v>
      </c>
      <c r="C4083" s="8">
        <v>2020</v>
      </c>
      <c r="D4083" s="8">
        <v>2</v>
      </c>
      <c r="E4083" s="3" t="str">
        <f t="shared" si="126"/>
        <v>February</v>
      </c>
      <c r="F4083" s="3" t="s">
        <v>13</v>
      </c>
      <c r="G4083" s="8">
        <v>41425.252489999999</v>
      </c>
      <c r="H4083" s="8">
        <v>39758</v>
      </c>
      <c r="I4083" s="8">
        <v>-1680.6691559999999</v>
      </c>
      <c r="J4083" s="8">
        <v>3950.9840709999999</v>
      </c>
      <c r="K4083" s="8">
        <v>1981.4083519999999</v>
      </c>
      <c r="L4083" s="8">
        <v>6100.4740430000002</v>
      </c>
      <c r="M4083" s="9" t="str">
        <f>IF(A4083="",M4084,A4083)</f>
        <v>Thailand</v>
      </c>
      <c r="N4083" s="3" t="str">
        <f t="shared" si="127"/>
        <v>Feb-2020</v>
      </c>
    </row>
    <row r="4084" spans="1:14" x14ac:dyDescent="0.3">
      <c r="A4084" s="3" t="s">
        <v>348</v>
      </c>
      <c r="B4084" s="3" t="s">
        <v>349</v>
      </c>
      <c r="C4084" s="8">
        <v>2020</v>
      </c>
      <c r="D4084" s="8">
        <v>3</v>
      </c>
      <c r="E4084" s="3" t="str">
        <f t="shared" si="126"/>
        <v>March</v>
      </c>
      <c r="F4084" s="3" t="s">
        <v>13</v>
      </c>
      <c r="G4084" s="8">
        <v>41294.765670000001</v>
      </c>
      <c r="H4084" s="8">
        <v>44304</v>
      </c>
      <c r="I4084" s="8">
        <v>2995.8176669999998</v>
      </c>
      <c r="J4084" s="8">
        <v>6946.8017380000001</v>
      </c>
      <c r="K4084" s="8">
        <v>4329.2087949999996</v>
      </c>
      <c r="L4084" s="8">
        <v>9404.0191720000003</v>
      </c>
      <c r="M4084" s="9" t="str">
        <f>IF(A4084="",M4085,A4084)</f>
        <v>Thailand</v>
      </c>
      <c r="N4084" s="3" t="str">
        <f t="shared" si="127"/>
        <v>Mar-2020</v>
      </c>
    </row>
    <row r="4085" spans="1:14" x14ac:dyDescent="0.3">
      <c r="A4085" s="3" t="s">
        <v>348</v>
      </c>
      <c r="B4085" s="3" t="s">
        <v>349</v>
      </c>
      <c r="C4085" s="8">
        <v>2020</v>
      </c>
      <c r="D4085" s="8">
        <v>4</v>
      </c>
      <c r="E4085" s="3" t="str">
        <f t="shared" si="126"/>
        <v>April</v>
      </c>
      <c r="F4085" s="3" t="s">
        <v>13</v>
      </c>
      <c r="G4085" s="8">
        <v>41092.734190000003</v>
      </c>
      <c r="H4085" s="8">
        <v>40057</v>
      </c>
      <c r="I4085" s="8">
        <v>-1049.150862</v>
      </c>
      <c r="J4085" s="8">
        <v>5897.6508759999997</v>
      </c>
      <c r="K4085" s="8">
        <v>3039.7666850000001</v>
      </c>
      <c r="L4085" s="8">
        <v>8972.0807810000006</v>
      </c>
      <c r="M4085" s="9" t="str">
        <f>IF(A4085="",M4086,A4085)</f>
        <v>Thailand</v>
      </c>
      <c r="N4085" s="3" t="str">
        <f t="shared" si="127"/>
        <v>Apr-2020</v>
      </c>
    </row>
    <row r="4086" spans="1:14" x14ac:dyDescent="0.3">
      <c r="A4086" s="3" t="s">
        <v>348</v>
      </c>
      <c r="B4086" s="3" t="s">
        <v>349</v>
      </c>
      <c r="C4086" s="8">
        <v>2020</v>
      </c>
      <c r="D4086" s="8">
        <v>5</v>
      </c>
      <c r="E4086" s="3" t="str">
        <f t="shared" si="126"/>
        <v>May</v>
      </c>
      <c r="F4086" s="3" t="s">
        <v>13</v>
      </c>
      <c r="G4086" s="8">
        <v>40826.601260000003</v>
      </c>
      <c r="H4086" s="8">
        <v>39674</v>
      </c>
      <c r="I4086" s="8">
        <v>-1166.0179290000001</v>
      </c>
      <c r="J4086" s="8">
        <v>4731.6329480000004</v>
      </c>
      <c r="K4086" s="8">
        <v>1491.6556499999999</v>
      </c>
      <c r="L4086" s="8">
        <v>8048.009548</v>
      </c>
      <c r="M4086" s="9" t="str">
        <f>IF(A4086="",M4087,A4086)</f>
        <v>Thailand</v>
      </c>
      <c r="N4086" s="3" t="str">
        <f t="shared" si="127"/>
        <v>May-2020</v>
      </c>
    </row>
    <row r="4087" spans="1:14" x14ac:dyDescent="0.3">
      <c r="A4087" s="3" t="s">
        <v>348</v>
      </c>
      <c r="B4087" s="3" t="s">
        <v>349</v>
      </c>
      <c r="C4087" s="8">
        <v>2020</v>
      </c>
      <c r="D4087" s="8">
        <v>6</v>
      </c>
      <c r="E4087" s="3" t="str">
        <f t="shared" si="126"/>
        <v>June</v>
      </c>
      <c r="F4087" s="3" t="s">
        <v>13</v>
      </c>
      <c r="G4087" s="8">
        <v>40568.227769999998</v>
      </c>
      <c r="H4087" s="8">
        <v>39479</v>
      </c>
      <c r="I4087" s="8">
        <v>-1102.64444</v>
      </c>
      <c r="J4087" s="8">
        <v>3628.9885079999999</v>
      </c>
      <c r="K4087" s="8">
        <v>-72.443099050000001</v>
      </c>
      <c r="L4087" s="8">
        <v>7578.9047280000004</v>
      </c>
      <c r="M4087" s="9" t="str">
        <f>IF(A4087="",M4088,A4087)</f>
        <v>Thailand</v>
      </c>
      <c r="N4087" s="3" t="str">
        <f t="shared" si="127"/>
        <v>Jun-2020</v>
      </c>
    </row>
    <row r="4088" spans="1:14" x14ac:dyDescent="0.3">
      <c r="A4088" s="3" t="s">
        <v>348</v>
      </c>
      <c r="B4088" s="3" t="s">
        <v>349</v>
      </c>
      <c r="C4088" s="8">
        <v>2020</v>
      </c>
      <c r="D4088" s="8">
        <v>7</v>
      </c>
      <c r="E4088" s="3" t="str">
        <f t="shared" si="126"/>
        <v>July</v>
      </c>
      <c r="F4088" s="3" t="s">
        <v>13</v>
      </c>
      <c r="G4088" s="8">
        <v>40453.484259999997</v>
      </c>
      <c r="H4088" s="8">
        <v>39817</v>
      </c>
      <c r="I4088" s="8">
        <v>-649.90092870000001</v>
      </c>
      <c r="J4088" s="8">
        <v>2979.087579</v>
      </c>
      <c r="K4088" s="8">
        <v>-1065.575885</v>
      </c>
      <c r="L4088" s="8">
        <v>7163.9175519999999</v>
      </c>
      <c r="M4088" s="9" t="str">
        <f>IF(A4088="",M4089,A4088)</f>
        <v>Thailand</v>
      </c>
      <c r="N4088" s="3" t="str">
        <f t="shared" si="127"/>
        <v>Jul-2020</v>
      </c>
    </row>
    <row r="4089" spans="1:14" x14ac:dyDescent="0.3">
      <c r="A4089" s="3" t="s">
        <v>348</v>
      </c>
      <c r="B4089" s="3" t="s">
        <v>349</v>
      </c>
      <c r="C4089" s="8">
        <v>2020</v>
      </c>
      <c r="D4089" s="8">
        <v>8</v>
      </c>
      <c r="E4089" s="3" t="str">
        <f t="shared" si="126"/>
        <v>August</v>
      </c>
      <c r="F4089" s="3" t="s">
        <v>13</v>
      </c>
      <c r="G4089" s="8">
        <v>40728.934950000003</v>
      </c>
      <c r="H4089" s="8">
        <v>40999</v>
      </c>
      <c r="I4089" s="8">
        <v>256.64838589999999</v>
      </c>
      <c r="J4089" s="8">
        <v>3235.7359649999999</v>
      </c>
      <c r="K4089" s="8">
        <v>-845.44061910000005</v>
      </c>
      <c r="L4089" s="8">
        <v>7610.9733219999998</v>
      </c>
      <c r="M4089" s="9" t="str">
        <f>IF(A4089="",M4090,A4089)</f>
        <v>Thailand</v>
      </c>
      <c r="N4089" s="3" t="str">
        <f t="shared" si="127"/>
        <v>Aug-2020</v>
      </c>
    </row>
    <row r="4090" spans="1:14" x14ac:dyDescent="0.3">
      <c r="A4090" s="3" t="s">
        <v>348</v>
      </c>
      <c r="B4090" s="3" t="s">
        <v>349</v>
      </c>
      <c r="C4090" s="8">
        <v>2020</v>
      </c>
      <c r="D4090" s="8">
        <v>9</v>
      </c>
      <c r="E4090" s="3" t="str">
        <f t="shared" si="126"/>
        <v>September</v>
      </c>
      <c r="F4090" s="3" t="s">
        <v>13</v>
      </c>
      <c r="G4090" s="8">
        <v>41064.575340000003</v>
      </c>
      <c r="H4090" s="8">
        <v>39361</v>
      </c>
      <c r="I4090" s="8">
        <v>-1716.9920079999999</v>
      </c>
      <c r="J4090" s="8">
        <v>1518.7439569999999</v>
      </c>
      <c r="K4090" s="8">
        <v>-3075.09204</v>
      </c>
      <c r="L4090" s="8">
        <v>5868.4456490000002</v>
      </c>
      <c r="M4090" s="9" t="str">
        <f>IF(A4090="",M4091,A4090)</f>
        <v>Thailand</v>
      </c>
      <c r="N4090" s="3" t="str">
        <f t="shared" si="127"/>
        <v>Sep-2020</v>
      </c>
    </row>
    <row r="4091" spans="1:14" x14ac:dyDescent="0.3">
      <c r="A4091" s="3" t="s">
        <v>348</v>
      </c>
      <c r="B4091" s="3" t="s">
        <v>349</v>
      </c>
      <c r="C4091" s="8">
        <v>2020</v>
      </c>
      <c r="D4091" s="8">
        <v>10</v>
      </c>
      <c r="E4091" s="3" t="str">
        <f t="shared" si="126"/>
        <v>October</v>
      </c>
      <c r="F4091" s="3" t="s">
        <v>13</v>
      </c>
      <c r="G4091" s="8">
        <v>41392.761850000003</v>
      </c>
      <c r="H4091" s="8">
        <v>41640</v>
      </c>
      <c r="I4091" s="8">
        <v>233.82148119999999</v>
      </c>
      <c r="J4091" s="8">
        <v>1752.5654380000001</v>
      </c>
      <c r="K4091" s="8">
        <v>-3119.810653</v>
      </c>
      <c r="L4091" s="8">
        <v>6386.2740480000002</v>
      </c>
      <c r="M4091" s="9" t="str">
        <f>IF(A4091="",M4092,A4091)</f>
        <v>Thailand</v>
      </c>
      <c r="N4091" s="3" t="str">
        <f t="shared" si="127"/>
        <v>Oct-2020</v>
      </c>
    </row>
    <row r="4092" spans="1:14" x14ac:dyDescent="0.3">
      <c r="A4092" s="3" t="s">
        <v>348</v>
      </c>
      <c r="B4092" s="3" t="s">
        <v>349</v>
      </c>
      <c r="C4092" s="8">
        <v>2020</v>
      </c>
      <c r="D4092" s="8">
        <v>11</v>
      </c>
      <c r="E4092" s="3" t="str">
        <f t="shared" si="126"/>
        <v>November</v>
      </c>
      <c r="F4092" s="3" t="s">
        <v>13</v>
      </c>
      <c r="G4092" s="8">
        <v>41650.235560000001</v>
      </c>
      <c r="H4092" s="8">
        <v>43545</v>
      </c>
      <c r="I4092" s="8">
        <v>1881.3477740000001</v>
      </c>
      <c r="J4092" s="8">
        <v>3633.9132119999999</v>
      </c>
      <c r="K4092" s="8">
        <v>-1409.475173</v>
      </c>
      <c r="L4092" s="8">
        <v>8612.4382139999998</v>
      </c>
      <c r="M4092" s="9" t="str">
        <f>IF(A4092="",M4093,A4092)</f>
        <v>Thailand</v>
      </c>
      <c r="N4092" s="3" t="str">
        <f t="shared" si="127"/>
        <v>Nov-2020</v>
      </c>
    </row>
    <row r="4093" spans="1:14" x14ac:dyDescent="0.3">
      <c r="A4093" s="3" t="s">
        <v>348</v>
      </c>
      <c r="B4093" s="3" t="s">
        <v>349</v>
      </c>
      <c r="C4093" s="8">
        <v>2020</v>
      </c>
      <c r="D4093" s="8">
        <v>12</v>
      </c>
      <c r="E4093" s="3" t="str">
        <f t="shared" si="126"/>
        <v>December</v>
      </c>
      <c r="F4093" s="3" t="s">
        <v>13</v>
      </c>
      <c r="G4093" s="8">
        <v>41768.938110000003</v>
      </c>
      <c r="H4093" s="8">
        <v>45679</v>
      </c>
      <c r="I4093" s="8">
        <v>3896.6452260000001</v>
      </c>
      <c r="J4093" s="8">
        <v>7530.558438</v>
      </c>
      <c r="K4093" s="8">
        <v>2076.6833270000002</v>
      </c>
      <c r="L4093" s="8">
        <v>12826.676649999999</v>
      </c>
      <c r="M4093" s="9" t="str">
        <f>IF(A4093="",M4094,A4093)</f>
        <v>Thailand</v>
      </c>
      <c r="N4093" s="3" t="str">
        <f t="shared" si="127"/>
        <v>Dec-2020</v>
      </c>
    </row>
    <row r="4094" spans="1:14" x14ac:dyDescent="0.3">
      <c r="A4094" s="3" t="s">
        <v>348</v>
      </c>
      <c r="B4094" s="3" t="s">
        <v>349</v>
      </c>
      <c r="C4094" s="8">
        <v>2021</v>
      </c>
      <c r="D4094" s="8">
        <v>1</v>
      </c>
      <c r="E4094" s="3" t="str">
        <f t="shared" si="126"/>
        <v>January</v>
      </c>
      <c r="F4094" s="3" t="s">
        <v>13</v>
      </c>
      <c r="G4094" s="8">
        <v>41835.216370000002</v>
      </c>
      <c r="H4094" s="8">
        <v>46685</v>
      </c>
      <c r="I4094" s="8">
        <v>4842.8669600000003</v>
      </c>
      <c r="J4094" s="8">
        <v>12373.4254</v>
      </c>
      <c r="K4094" s="8">
        <v>6624.4754919999996</v>
      </c>
      <c r="L4094" s="8">
        <v>17980.090619999999</v>
      </c>
      <c r="M4094" s="9" t="str">
        <f>IF(A4094="",M4095,A4094)</f>
        <v>Thailand</v>
      </c>
      <c r="N4094" s="3" t="str">
        <f t="shared" si="127"/>
        <v>Jan-2021</v>
      </c>
    </row>
    <row r="4095" spans="1:14" x14ac:dyDescent="0.3">
      <c r="A4095" s="3" t="s">
        <v>348</v>
      </c>
      <c r="B4095" s="3" t="s">
        <v>349</v>
      </c>
      <c r="C4095" s="8">
        <v>2021</v>
      </c>
      <c r="D4095" s="8">
        <v>2</v>
      </c>
      <c r="E4095" s="3" t="str">
        <f t="shared" si="126"/>
        <v>February</v>
      </c>
      <c r="F4095" s="3" t="s">
        <v>13</v>
      </c>
      <c r="G4095" s="8">
        <v>41763.183499999999</v>
      </c>
      <c r="H4095" s="8">
        <v>38228</v>
      </c>
      <c r="I4095" s="8">
        <v>-3542.1001700000002</v>
      </c>
      <c r="J4095" s="8">
        <v>8831.3252269999994</v>
      </c>
      <c r="K4095" s="8">
        <v>2858.5723210000001</v>
      </c>
      <c r="L4095" s="8">
        <v>14416.27456</v>
      </c>
      <c r="M4095" s="9" t="str">
        <f>IF(A4095="",M4096,A4095)</f>
        <v>Thailand</v>
      </c>
      <c r="N4095" s="3" t="str">
        <f t="shared" si="127"/>
        <v>Feb-2021</v>
      </c>
    </row>
    <row r="4096" spans="1:14" x14ac:dyDescent="0.3">
      <c r="A4096" s="3" t="s">
        <v>348</v>
      </c>
      <c r="B4096" s="3" t="s">
        <v>349</v>
      </c>
      <c r="C4096" s="8">
        <v>2021</v>
      </c>
      <c r="D4096" s="8">
        <v>3</v>
      </c>
      <c r="E4096" s="3" t="str">
        <f t="shared" si="126"/>
        <v>March</v>
      </c>
      <c r="F4096" s="3" t="s">
        <v>13</v>
      </c>
      <c r="G4096" s="8">
        <v>41620.163630000003</v>
      </c>
      <c r="H4096" s="8">
        <v>46748</v>
      </c>
      <c r="I4096" s="8">
        <v>5120.9197080000004</v>
      </c>
      <c r="J4096" s="8">
        <v>13952.24494</v>
      </c>
      <c r="K4096" s="8">
        <v>7679.8975769999997</v>
      </c>
      <c r="L4096" s="8">
        <v>19966.66201</v>
      </c>
      <c r="M4096" s="9" t="str">
        <f>IF(A4096="",M4097,A4096)</f>
        <v>Thailand</v>
      </c>
      <c r="N4096" s="3" t="str">
        <f t="shared" si="127"/>
        <v>Mar-2021</v>
      </c>
    </row>
    <row r="4097" spans="1:14" x14ac:dyDescent="0.3">
      <c r="A4097" s="3" t="s">
        <v>348</v>
      </c>
      <c r="B4097" s="3" t="s">
        <v>349</v>
      </c>
      <c r="C4097" s="8">
        <v>2021</v>
      </c>
      <c r="D4097" s="8">
        <v>4</v>
      </c>
      <c r="E4097" s="3" t="str">
        <f t="shared" si="126"/>
        <v>April</v>
      </c>
      <c r="F4097" s="3" t="s">
        <v>13</v>
      </c>
      <c r="G4097" s="8">
        <v>41442.752979999997</v>
      </c>
      <c r="H4097" s="8">
        <v>42435</v>
      </c>
      <c r="I4097" s="8">
        <v>985.33035719999998</v>
      </c>
      <c r="J4097" s="8">
        <v>14937.575290000001</v>
      </c>
      <c r="K4097" s="8">
        <v>8294.8978850000003</v>
      </c>
      <c r="L4097" s="8">
        <v>21411.698250000001</v>
      </c>
      <c r="M4097" s="9" t="str">
        <f>IF(A4097="",M4098,A4097)</f>
        <v>Thailand</v>
      </c>
      <c r="N4097" s="3" t="str">
        <f t="shared" si="127"/>
        <v>Apr-2021</v>
      </c>
    </row>
    <row r="4098" spans="1:14" x14ac:dyDescent="0.3">
      <c r="A4098" s="3" t="s">
        <v>348</v>
      </c>
      <c r="B4098" s="3" t="s">
        <v>349</v>
      </c>
      <c r="C4098" s="8">
        <v>2021</v>
      </c>
      <c r="D4098" s="8">
        <v>5</v>
      </c>
      <c r="E4098" s="3" t="str">
        <f t="shared" ref="E4098:E4161" si="128">TEXT(DATE(C4098,D4098,1),"MMMM")</f>
        <v>May</v>
      </c>
      <c r="F4098" s="3" t="s">
        <v>13</v>
      </c>
      <c r="G4098" s="8">
        <v>41110.905879999998</v>
      </c>
      <c r="H4098" s="8">
        <v>45387</v>
      </c>
      <c r="I4098" s="8">
        <v>4269.1774500000001</v>
      </c>
      <c r="J4098" s="8">
        <v>19206.75274</v>
      </c>
      <c r="K4098" s="8">
        <v>12489.06661</v>
      </c>
      <c r="L4098" s="8">
        <v>26383.107390000001</v>
      </c>
      <c r="M4098" s="9" t="str">
        <f>IF(A4098="",M4099,A4098)</f>
        <v>Thailand</v>
      </c>
      <c r="N4098" s="3" t="str">
        <f t="shared" ref="N4098:N4161" si="129">TEXT(DATE(C4098,D4098,1),"MMM-YYYY")</f>
        <v>May-2021</v>
      </c>
    </row>
    <row r="4099" spans="1:14" x14ac:dyDescent="0.3">
      <c r="A4099" s="3" t="s">
        <v>348</v>
      </c>
      <c r="B4099" s="3" t="s">
        <v>349</v>
      </c>
      <c r="C4099" s="8">
        <v>2021</v>
      </c>
      <c r="D4099" s="8">
        <v>6</v>
      </c>
      <c r="E4099" s="3" t="str">
        <f t="shared" si="128"/>
        <v>June</v>
      </c>
      <c r="F4099" s="3" t="s">
        <v>13</v>
      </c>
      <c r="G4099" s="8">
        <v>40839.1132</v>
      </c>
      <c r="H4099" s="8">
        <v>43522</v>
      </c>
      <c r="I4099" s="8">
        <v>2675.9701359999999</v>
      </c>
      <c r="J4099" s="8">
        <v>21882.722880000001</v>
      </c>
      <c r="K4099" s="8">
        <v>14910.751700000001</v>
      </c>
      <c r="L4099" s="8">
        <v>28882.976630000001</v>
      </c>
      <c r="M4099" s="9" t="str">
        <f>IF(A4099="",M4100,A4099)</f>
        <v>Thailand</v>
      </c>
      <c r="N4099" s="3" t="str">
        <f t="shared" si="129"/>
        <v>Jun-2021</v>
      </c>
    </row>
    <row r="4100" spans="1:14" x14ac:dyDescent="0.3">
      <c r="A4100" s="3" t="s">
        <v>348</v>
      </c>
      <c r="B4100" s="3" t="s">
        <v>349</v>
      </c>
      <c r="C4100" s="8">
        <v>2021</v>
      </c>
      <c r="D4100" s="8">
        <v>7</v>
      </c>
      <c r="E4100" s="3" t="str">
        <f t="shared" si="128"/>
        <v>July</v>
      </c>
      <c r="F4100" s="3" t="s">
        <v>13</v>
      </c>
      <c r="G4100" s="8">
        <v>40813.592980000001</v>
      </c>
      <c r="H4100" s="8">
        <v>48944</v>
      </c>
      <c r="I4100" s="8">
        <v>8123.4903539999996</v>
      </c>
      <c r="J4100" s="8">
        <v>30006.213230000001</v>
      </c>
      <c r="K4100" s="8">
        <v>22756.925080000001</v>
      </c>
      <c r="L4100" s="8">
        <v>37435.519569999997</v>
      </c>
      <c r="M4100" s="9" t="str">
        <f>IF(A4100="",M4101,A4100)</f>
        <v>Thailand</v>
      </c>
      <c r="N4100" s="3" t="str">
        <f t="shared" si="129"/>
        <v>Jul-2021</v>
      </c>
    </row>
    <row r="4101" spans="1:14" x14ac:dyDescent="0.3">
      <c r="A4101" s="3" t="s">
        <v>348</v>
      </c>
      <c r="B4101" s="3" t="s">
        <v>349</v>
      </c>
      <c r="C4101" s="8">
        <v>2021</v>
      </c>
      <c r="D4101" s="8">
        <v>8</v>
      </c>
      <c r="E4101" s="3" t="str">
        <f t="shared" si="128"/>
        <v>August</v>
      </c>
      <c r="F4101" s="3" t="s">
        <v>13</v>
      </c>
      <c r="G4101" s="8">
        <v>40989.044370000003</v>
      </c>
      <c r="H4101" s="8">
        <v>57125</v>
      </c>
      <c r="I4101" s="8">
        <v>16129.03896</v>
      </c>
      <c r="J4101" s="8">
        <v>46135.252189999999</v>
      </c>
      <c r="K4101" s="8">
        <v>38653.303079999998</v>
      </c>
      <c r="L4101" s="8">
        <v>53989.82933</v>
      </c>
      <c r="M4101" s="9" t="str">
        <f>IF(A4101="",M4102,A4101)</f>
        <v>Thailand</v>
      </c>
      <c r="N4101" s="3" t="str">
        <f t="shared" si="129"/>
        <v>Aug-2021</v>
      </c>
    </row>
    <row r="4102" spans="1:14" x14ac:dyDescent="0.3">
      <c r="A4102" s="3" t="s">
        <v>348</v>
      </c>
      <c r="B4102" s="3" t="s">
        <v>349</v>
      </c>
      <c r="C4102" s="8">
        <v>2021</v>
      </c>
      <c r="D4102" s="8">
        <v>9</v>
      </c>
      <c r="E4102" s="3" t="str">
        <f t="shared" si="128"/>
        <v>September</v>
      </c>
      <c r="F4102" s="3" t="s">
        <v>13</v>
      </c>
      <c r="G4102" s="8">
        <v>41286.251349999999</v>
      </c>
      <c r="H4102" s="8">
        <v>48129</v>
      </c>
      <c r="I4102" s="8">
        <v>6835.8319869999996</v>
      </c>
      <c r="J4102" s="8">
        <v>52971.084179999998</v>
      </c>
      <c r="K4102" s="8">
        <v>45255.789429999997</v>
      </c>
      <c r="L4102" s="8">
        <v>60737.38465</v>
      </c>
      <c r="M4102" s="9" t="str">
        <f>IF(A4102="",M4103,A4102)</f>
        <v>Thailand</v>
      </c>
      <c r="N4102" s="3" t="str">
        <f t="shared" si="129"/>
        <v>Sep-2021</v>
      </c>
    </row>
    <row r="4103" spans="1:14" x14ac:dyDescent="0.3">
      <c r="A4103" s="3" t="s">
        <v>348</v>
      </c>
      <c r="B4103" s="3" t="s">
        <v>349</v>
      </c>
      <c r="C4103" s="8">
        <v>2021</v>
      </c>
      <c r="D4103" s="8">
        <v>10</v>
      </c>
      <c r="E4103" s="3" t="str">
        <f t="shared" si="128"/>
        <v>October</v>
      </c>
      <c r="F4103" s="3" t="s">
        <v>13</v>
      </c>
      <c r="G4103" s="8">
        <v>41658.116479999997</v>
      </c>
      <c r="H4103" s="8">
        <v>46448</v>
      </c>
      <c r="I4103" s="8">
        <v>4782.9668540000002</v>
      </c>
      <c r="J4103" s="8">
        <v>57754.051039999998</v>
      </c>
      <c r="K4103" s="8">
        <v>50005.61937</v>
      </c>
      <c r="L4103" s="8">
        <v>65803.891149999996</v>
      </c>
      <c r="M4103" s="9" t="str">
        <f>IF(A4103="",M4104,A4103)</f>
        <v>Thailand</v>
      </c>
      <c r="N4103" s="3" t="str">
        <f t="shared" si="129"/>
        <v>Oct-2021</v>
      </c>
    </row>
    <row r="4104" spans="1:14" x14ac:dyDescent="0.3">
      <c r="A4104" s="3" t="s">
        <v>348</v>
      </c>
      <c r="B4104" s="3" t="s">
        <v>349</v>
      </c>
      <c r="C4104" s="8">
        <v>2021</v>
      </c>
      <c r="D4104" s="8">
        <v>11</v>
      </c>
      <c r="E4104" s="3" t="str">
        <f t="shared" si="128"/>
        <v>November</v>
      </c>
      <c r="F4104" s="3" t="s">
        <v>13</v>
      </c>
      <c r="G4104" s="8">
        <v>41942.539980000001</v>
      </c>
      <c r="H4104" s="8">
        <v>48892</v>
      </c>
      <c r="I4104" s="8">
        <v>6942.5433510000003</v>
      </c>
      <c r="J4104" s="8">
        <v>64696.594389999998</v>
      </c>
      <c r="K4104" s="8">
        <v>56756.250590000003</v>
      </c>
      <c r="L4104" s="8">
        <v>72947.485019999993</v>
      </c>
      <c r="M4104" s="9" t="str">
        <f>IF(A4104="",M4105,A4104)</f>
        <v>Thailand</v>
      </c>
      <c r="N4104" s="3" t="str">
        <f t="shared" si="129"/>
        <v>Nov-2021</v>
      </c>
    </row>
    <row r="4105" spans="1:14" x14ac:dyDescent="0.3">
      <c r="A4105" s="3" t="s">
        <v>348</v>
      </c>
      <c r="B4105" s="3" t="s">
        <v>349</v>
      </c>
      <c r="C4105" s="8">
        <v>2021</v>
      </c>
      <c r="D4105" s="8">
        <v>12</v>
      </c>
      <c r="E4105" s="3" t="str">
        <f t="shared" si="128"/>
        <v>December</v>
      </c>
      <c r="F4105" s="3" t="s">
        <v>13</v>
      </c>
      <c r="G4105" s="8">
        <v>42062.054450000003</v>
      </c>
      <c r="H4105" s="8">
        <v>51107</v>
      </c>
      <c r="I4105" s="8">
        <v>9038.0288849999997</v>
      </c>
      <c r="J4105" s="8">
        <v>73734.623269999996</v>
      </c>
      <c r="K4105" s="8">
        <v>65055.07963</v>
      </c>
      <c r="L4105" s="8">
        <v>82251.897509999995</v>
      </c>
      <c r="M4105" s="9" t="str">
        <f>IF(A4105="",M4106,A4105)</f>
        <v>Thailand</v>
      </c>
      <c r="N4105" s="3" t="str">
        <f t="shared" si="129"/>
        <v>Dec-2021</v>
      </c>
    </row>
    <row r="4106" spans="1:14" x14ac:dyDescent="0.3">
      <c r="A4106" s="3" t="s">
        <v>350</v>
      </c>
      <c r="B4106" s="3" t="s">
        <v>351</v>
      </c>
      <c r="C4106" s="8">
        <v>2020</v>
      </c>
      <c r="D4106" s="8">
        <v>1</v>
      </c>
      <c r="E4106" s="3" t="str">
        <f t="shared" si="128"/>
        <v>January</v>
      </c>
      <c r="F4106" s="3" t="s">
        <v>13</v>
      </c>
      <c r="G4106" s="8">
        <v>3425.5832879999998</v>
      </c>
      <c r="H4106" s="8">
        <v>3645</v>
      </c>
      <c r="I4106" s="8">
        <v>219.05485519999999</v>
      </c>
      <c r="J4106" s="8">
        <v>219.05485519999999</v>
      </c>
      <c r="K4106" s="8">
        <v>57.50987318</v>
      </c>
      <c r="L4106" s="8">
        <v>377.37661919999999</v>
      </c>
      <c r="M4106" s="9" t="str">
        <f>IF(A4106="",M4107,A4106)</f>
        <v>Tajikistan</v>
      </c>
      <c r="N4106" s="3" t="str">
        <f t="shared" si="129"/>
        <v>Jan-2020</v>
      </c>
    </row>
    <row r="4107" spans="1:14" x14ac:dyDescent="0.3">
      <c r="A4107" s="3" t="s">
        <v>350</v>
      </c>
      <c r="B4107" s="3" t="s">
        <v>351</v>
      </c>
      <c r="C4107" s="8">
        <v>2020</v>
      </c>
      <c r="D4107" s="8">
        <v>2</v>
      </c>
      <c r="E4107" s="3" t="str">
        <f t="shared" si="128"/>
        <v>February</v>
      </c>
      <c r="F4107" s="3" t="s">
        <v>13</v>
      </c>
      <c r="G4107" s="8">
        <v>3005.3310499999998</v>
      </c>
      <c r="H4107" s="8">
        <v>3152</v>
      </c>
      <c r="I4107" s="8">
        <v>146.30709300000001</v>
      </c>
      <c r="J4107" s="8">
        <v>365.36194819999997</v>
      </c>
      <c r="K4107" s="8">
        <v>116.5139089</v>
      </c>
      <c r="L4107" s="8">
        <v>601.56259260000002</v>
      </c>
      <c r="M4107" s="9" t="str">
        <f>IF(A4107="",M4108,A4107)</f>
        <v>Tajikistan</v>
      </c>
      <c r="N4107" s="3" t="str">
        <f t="shared" si="129"/>
        <v>Feb-2020</v>
      </c>
    </row>
    <row r="4108" spans="1:14" x14ac:dyDescent="0.3">
      <c r="A4108" s="3" t="s">
        <v>350</v>
      </c>
      <c r="B4108" s="3" t="s">
        <v>351</v>
      </c>
      <c r="C4108" s="8">
        <v>2020</v>
      </c>
      <c r="D4108" s="8">
        <v>3</v>
      </c>
      <c r="E4108" s="3" t="str">
        <f t="shared" si="128"/>
        <v>March</v>
      </c>
      <c r="F4108" s="3" t="s">
        <v>13</v>
      </c>
      <c r="G4108" s="8">
        <v>3025.331788</v>
      </c>
      <c r="H4108" s="8">
        <v>3142</v>
      </c>
      <c r="I4108" s="8">
        <v>116.3063547</v>
      </c>
      <c r="J4108" s="8">
        <v>481.66830290000001</v>
      </c>
      <c r="K4108" s="8">
        <v>173.23018540000001</v>
      </c>
      <c r="L4108" s="8">
        <v>794.13125930000001</v>
      </c>
      <c r="M4108" s="9" t="str">
        <f>IF(A4108="",M4109,A4108)</f>
        <v>Tajikistan</v>
      </c>
      <c r="N4108" s="3" t="str">
        <f t="shared" si="129"/>
        <v>Mar-2020</v>
      </c>
    </row>
    <row r="4109" spans="1:14" x14ac:dyDescent="0.3">
      <c r="A4109" s="3" t="s">
        <v>350</v>
      </c>
      <c r="B4109" s="3" t="s">
        <v>351</v>
      </c>
      <c r="C4109" s="8">
        <v>2020</v>
      </c>
      <c r="D4109" s="8">
        <v>4</v>
      </c>
      <c r="E4109" s="3" t="str">
        <f t="shared" si="128"/>
        <v>April</v>
      </c>
      <c r="F4109" s="3" t="s">
        <v>13</v>
      </c>
      <c r="G4109" s="8">
        <v>2890.1604069999999</v>
      </c>
      <c r="H4109" s="8">
        <v>3115</v>
      </c>
      <c r="I4109" s="8">
        <v>224.47773570000001</v>
      </c>
      <c r="J4109" s="8">
        <v>706.1460386</v>
      </c>
      <c r="K4109" s="8">
        <v>370.074454</v>
      </c>
      <c r="L4109" s="8">
        <v>1062.2317479999999</v>
      </c>
      <c r="M4109" s="9" t="str">
        <f>IF(A4109="",M4110,A4109)</f>
        <v>Tajikistan</v>
      </c>
      <c r="N4109" s="3" t="str">
        <f t="shared" si="129"/>
        <v>Apr-2020</v>
      </c>
    </row>
    <row r="4110" spans="1:14" x14ac:dyDescent="0.3">
      <c r="A4110" s="3" t="s">
        <v>350</v>
      </c>
      <c r="B4110" s="3" t="s">
        <v>351</v>
      </c>
      <c r="C4110" s="8">
        <v>2020</v>
      </c>
      <c r="D4110" s="8">
        <v>5</v>
      </c>
      <c r="E4110" s="3" t="str">
        <f t="shared" si="128"/>
        <v>May</v>
      </c>
      <c r="F4110" s="3" t="s">
        <v>13</v>
      </c>
      <c r="G4110" s="8">
        <v>2833.0429020000001</v>
      </c>
      <c r="H4110" s="8">
        <v>5500</v>
      </c>
      <c r="I4110" s="8">
        <v>2666.595241</v>
      </c>
      <c r="J4110" s="8">
        <v>3372.7412789999998</v>
      </c>
      <c r="K4110" s="8">
        <v>2985.725555</v>
      </c>
      <c r="L4110" s="8">
        <v>3775.704628</v>
      </c>
      <c r="M4110" s="9" t="str">
        <f>IF(A4110="",M4111,A4110)</f>
        <v>Tajikistan</v>
      </c>
      <c r="N4110" s="3" t="str">
        <f t="shared" si="129"/>
        <v>May-2020</v>
      </c>
    </row>
    <row r="4111" spans="1:14" x14ac:dyDescent="0.3">
      <c r="A4111" s="3" t="s">
        <v>350</v>
      </c>
      <c r="B4111" s="3" t="s">
        <v>351</v>
      </c>
      <c r="C4111" s="8">
        <v>2020</v>
      </c>
      <c r="D4111" s="8">
        <v>6</v>
      </c>
      <c r="E4111" s="3" t="str">
        <f t="shared" si="128"/>
        <v>June</v>
      </c>
      <c r="F4111" s="3" t="s">
        <v>13</v>
      </c>
      <c r="G4111" s="8">
        <v>2837.522665</v>
      </c>
      <c r="H4111" s="8">
        <v>3510</v>
      </c>
      <c r="I4111" s="8">
        <v>672.11547780000001</v>
      </c>
      <c r="J4111" s="8">
        <v>4044.856757</v>
      </c>
      <c r="K4111" s="8">
        <v>3592.0744920000002</v>
      </c>
      <c r="L4111" s="8">
        <v>4453.8104990000002</v>
      </c>
      <c r="M4111" s="9" t="str">
        <f>IF(A4111="",M4112,A4111)</f>
        <v>Tajikistan</v>
      </c>
      <c r="N4111" s="3" t="str">
        <f t="shared" si="129"/>
        <v>Jun-2020</v>
      </c>
    </row>
    <row r="4112" spans="1:14" x14ac:dyDescent="0.3">
      <c r="A4112" s="3" t="s">
        <v>350</v>
      </c>
      <c r="B4112" s="3" t="s">
        <v>351</v>
      </c>
      <c r="C4112" s="8">
        <v>2020</v>
      </c>
      <c r="D4112" s="8">
        <v>7</v>
      </c>
      <c r="E4112" s="3" t="str">
        <f t="shared" si="128"/>
        <v>July</v>
      </c>
      <c r="F4112" s="3" t="s">
        <v>13</v>
      </c>
      <c r="G4112" s="8">
        <v>2954.1033510000002</v>
      </c>
      <c r="H4112" s="8">
        <v>3395</v>
      </c>
      <c r="I4112" s="8">
        <v>440.5347921</v>
      </c>
      <c r="J4112" s="8">
        <v>4485.3915489999999</v>
      </c>
      <c r="K4112" s="8">
        <v>3990.005431</v>
      </c>
      <c r="L4112" s="8">
        <v>4925.7101050000001</v>
      </c>
      <c r="M4112" s="9" t="str">
        <f>IF(A4112="",M4113,A4112)</f>
        <v>Tajikistan</v>
      </c>
      <c r="N4112" s="3" t="str">
        <f t="shared" si="129"/>
        <v>Jul-2020</v>
      </c>
    </row>
    <row r="4113" spans="1:14" x14ac:dyDescent="0.3">
      <c r="A4113" s="3" t="s">
        <v>350</v>
      </c>
      <c r="B4113" s="3" t="s">
        <v>351</v>
      </c>
      <c r="C4113" s="8">
        <v>2020</v>
      </c>
      <c r="D4113" s="8">
        <v>8</v>
      </c>
      <c r="E4113" s="3" t="str">
        <f t="shared" si="128"/>
        <v>August</v>
      </c>
      <c r="F4113" s="3" t="s">
        <v>13</v>
      </c>
      <c r="G4113" s="8">
        <v>2743.5262929999999</v>
      </c>
      <c r="H4113" s="8">
        <v>3656</v>
      </c>
      <c r="I4113" s="8">
        <v>912.11185</v>
      </c>
      <c r="J4113" s="8">
        <v>5397.5033990000002</v>
      </c>
      <c r="K4113" s="8">
        <v>4875.3280670000004</v>
      </c>
      <c r="L4113" s="8">
        <v>5873.2734819999996</v>
      </c>
      <c r="M4113" s="9" t="str">
        <f>IF(A4113="",M4114,A4113)</f>
        <v>Tajikistan</v>
      </c>
      <c r="N4113" s="3" t="str">
        <f t="shared" si="129"/>
        <v>Aug-2020</v>
      </c>
    </row>
    <row r="4114" spans="1:14" x14ac:dyDescent="0.3">
      <c r="A4114" s="3" t="s">
        <v>350</v>
      </c>
      <c r="B4114" s="3" t="s">
        <v>351</v>
      </c>
      <c r="C4114" s="8">
        <v>2020</v>
      </c>
      <c r="D4114" s="8">
        <v>9</v>
      </c>
      <c r="E4114" s="3" t="str">
        <f t="shared" si="128"/>
        <v>September</v>
      </c>
      <c r="F4114" s="3" t="s">
        <v>13</v>
      </c>
      <c r="G4114" s="8">
        <v>2596.8001479999998</v>
      </c>
      <c r="H4114" s="8">
        <v>3864</v>
      </c>
      <c r="I4114" s="8">
        <v>1266.8379950000001</v>
      </c>
      <c r="J4114" s="8">
        <v>6664.341394</v>
      </c>
      <c r="K4114" s="8">
        <v>6136.9591010000004</v>
      </c>
      <c r="L4114" s="8">
        <v>7170.7397540000002</v>
      </c>
      <c r="M4114" s="9" t="str">
        <f>IF(A4114="",M4115,A4114)</f>
        <v>Tajikistan</v>
      </c>
      <c r="N4114" s="3" t="str">
        <f t="shared" si="129"/>
        <v>Sep-2020</v>
      </c>
    </row>
    <row r="4115" spans="1:14" x14ac:dyDescent="0.3">
      <c r="A4115" s="3" t="s">
        <v>350</v>
      </c>
      <c r="B4115" s="3" t="s">
        <v>351</v>
      </c>
      <c r="C4115" s="8">
        <v>2020</v>
      </c>
      <c r="D4115" s="8">
        <v>10</v>
      </c>
      <c r="E4115" s="3" t="str">
        <f t="shared" si="128"/>
        <v>October</v>
      </c>
      <c r="F4115" s="3" t="s">
        <v>13</v>
      </c>
      <c r="G4115" s="8">
        <v>2787.8318300000001</v>
      </c>
      <c r="H4115" s="8">
        <v>5230</v>
      </c>
      <c r="I4115" s="8">
        <v>2441.806313</v>
      </c>
      <c r="J4115" s="8">
        <v>9106.1477080000004</v>
      </c>
      <c r="K4115" s="8">
        <v>8558.0592259999994</v>
      </c>
      <c r="L4115" s="8">
        <v>9661.7128310000007</v>
      </c>
      <c r="M4115" s="9" t="str">
        <f>IF(A4115="",M4116,A4115)</f>
        <v>Tajikistan</v>
      </c>
      <c r="N4115" s="3" t="str">
        <f t="shared" si="129"/>
        <v>Oct-2020</v>
      </c>
    </row>
    <row r="4116" spans="1:14" x14ac:dyDescent="0.3">
      <c r="A4116" s="3" t="s">
        <v>350</v>
      </c>
      <c r="B4116" s="3" t="s">
        <v>351</v>
      </c>
      <c r="C4116" s="8">
        <v>2020</v>
      </c>
      <c r="D4116" s="8">
        <v>11</v>
      </c>
      <c r="E4116" s="3" t="str">
        <f t="shared" si="128"/>
        <v>November</v>
      </c>
      <c r="F4116" s="3" t="s">
        <v>13</v>
      </c>
      <c r="G4116" s="8">
        <v>3055.609121</v>
      </c>
      <c r="H4116" s="8">
        <v>4473</v>
      </c>
      <c r="I4116" s="8">
        <v>1417.0290219999999</v>
      </c>
      <c r="J4116" s="8">
        <v>10523.176729999999</v>
      </c>
      <c r="K4116" s="8">
        <v>9944.4454779999996</v>
      </c>
      <c r="L4116" s="8">
        <v>11138.716609999999</v>
      </c>
      <c r="M4116" s="9" t="str">
        <f>IF(A4116="",M4117,A4116)</f>
        <v>Tajikistan</v>
      </c>
      <c r="N4116" s="3" t="str">
        <f t="shared" si="129"/>
        <v>Nov-2020</v>
      </c>
    </row>
    <row r="4117" spans="1:14" x14ac:dyDescent="0.3">
      <c r="A4117" s="3" t="s">
        <v>350</v>
      </c>
      <c r="B4117" s="3" t="s">
        <v>351</v>
      </c>
      <c r="C4117" s="8">
        <v>2020</v>
      </c>
      <c r="D4117" s="8">
        <v>12</v>
      </c>
      <c r="E4117" s="3" t="str">
        <f t="shared" si="128"/>
        <v>December</v>
      </c>
      <c r="F4117" s="3" t="s">
        <v>13</v>
      </c>
      <c r="G4117" s="8">
        <v>3401.562692</v>
      </c>
      <c r="H4117" s="8">
        <v>3585</v>
      </c>
      <c r="I4117" s="8">
        <v>183.0754513</v>
      </c>
      <c r="J4117" s="8">
        <v>10706.252179999999</v>
      </c>
      <c r="K4117" s="8">
        <v>10088.17772</v>
      </c>
      <c r="L4117" s="8">
        <v>11335.03232</v>
      </c>
      <c r="M4117" s="9" t="str">
        <f>IF(A4117="",M4118,A4117)</f>
        <v>Tajikistan</v>
      </c>
      <c r="N4117" s="3" t="str">
        <f t="shared" si="129"/>
        <v>Dec-2020</v>
      </c>
    </row>
    <row r="4118" spans="1:14" x14ac:dyDescent="0.3">
      <c r="A4118" s="3" t="s">
        <v>350</v>
      </c>
      <c r="B4118" s="3" t="s">
        <v>351</v>
      </c>
      <c r="C4118" s="8">
        <v>2021</v>
      </c>
      <c r="D4118" s="8">
        <v>1</v>
      </c>
      <c r="E4118" s="3" t="str">
        <f t="shared" si="128"/>
        <v>January</v>
      </c>
      <c r="F4118" s="3" t="s">
        <v>13</v>
      </c>
      <c r="G4118" s="8">
        <v>3394.2590599999999</v>
      </c>
      <c r="H4118" s="8">
        <v>3553</v>
      </c>
      <c r="I4118" s="8">
        <v>154.76051369999999</v>
      </c>
      <c r="J4118" s="8">
        <v>10861.012699999999</v>
      </c>
      <c r="K4118" s="8">
        <v>10214.271140000001</v>
      </c>
      <c r="L4118" s="8">
        <v>11523.30754</v>
      </c>
      <c r="M4118" s="9" t="str">
        <f>IF(A4118="",M4119,A4118)</f>
        <v>Tajikistan</v>
      </c>
      <c r="N4118" s="3" t="str">
        <f t="shared" si="129"/>
        <v>Jan-2021</v>
      </c>
    </row>
    <row r="4119" spans="1:14" x14ac:dyDescent="0.3">
      <c r="A4119" s="3" t="s">
        <v>350</v>
      </c>
      <c r="B4119" s="3" t="s">
        <v>351</v>
      </c>
      <c r="C4119" s="8">
        <v>2021</v>
      </c>
      <c r="D4119" s="8">
        <v>2</v>
      </c>
      <c r="E4119" s="3" t="str">
        <f t="shared" si="128"/>
        <v>February</v>
      </c>
      <c r="F4119" s="3" t="s">
        <v>13</v>
      </c>
      <c r="G4119" s="8">
        <v>2977.5720209999999</v>
      </c>
      <c r="H4119" s="8">
        <v>2658</v>
      </c>
      <c r="I4119" s="8">
        <v>-323.55244740000001</v>
      </c>
      <c r="J4119" s="8">
        <v>10537.46025</v>
      </c>
      <c r="K4119" s="8">
        <v>9865.8836119999996</v>
      </c>
      <c r="L4119" s="8">
        <v>11265.80464</v>
      </c>
      <c r="M4119" s="9" t="str">
        <f>IF(A4119="",M4120,A4119)</f>
        <v>Tajikistan</v>
      </c>
      <c r="N4119" s="3" t="str">
        <f t="shared" si="129"/>
        <v>Feb-2021</v>
      </c>
    </row>
    <row r="4120" spans="1:14" x14ac:dyDescent="0.3">
      <c r="A4120" s="3" t="s">
        <v>350</v>
      </c>
      <c r="B4120" s="3" t="s">
        <v>351</v>
      </c>
      <c r="C4120" s="8">
        <v>2021</v>
      </c>
      <c r="D4120" s="8">
        <v>3</v>
      </c>
      <c r="E4120" s="3" t="str">
        <f t="shared" si="128"/>
        <v>March</v>
      </c>
      <c r="F4120" s="3" t="s">
        <v>13</v>
      </c>
      <c r="G4120" s="8">
        <v>3001.0772470000002</v>
      </c>
      <c r="H4120" s="8">
        <v>3130</v>
      </c>
      <c r="I4120" s="8">
        <v>124.9423271</v>
      </c>
      <c r="J4120" s="8">
        <v>10662.40258</v>
      </c>
      <c r="K4120" s="8">
        <v>9950.0732009999992</v>
      </c>
      <c r="L4120" s="8">
        <v>11383.677250000001</v>
      </c>
      <c r="M4120" s="9" t="str">
        <f>IF(A4120="",M4121,A4120)</f>
        <v>Tajikistan</v>
      </c>
      <c r="N4120" s="3" t="str">
        <f t="shared" si="129"/>
        <v>Mar-2021</v>
      </c>
    </row>
    <row r="4121" spans="1:14" x14ac:dyDescent="0.3">
      <c r="A4121" s="3" t="s">
        <v>350</v>
      </c>
      <c r="B4121" s="3" t="s">
        <v>351</v>
      </c>
      <c r="C4121" s="8">
        <v>2021</v>
      </c>
      <c r="D4121" s="8">
        <v>4</v>
      </c>
      <c r="E4121" s="3" t="str">
        <f t="shared" si="128"/>
        <v>April</v>
      </c>
      <c r="F4121" s="3" t="s">
        <v>13</v>
      </c>
      <c r="G4121" s="8">
        <v>2867.0045829999999</v>
      </c>
      <c r="H4121" s="8">
        <v>2858</v>
      </c>
      <c r="I4121" s="8">
        <v>-12.98500892</v>
      </c>
      <c r="J4121" s="8">
        <v>10649.41757</v>
      </c>
      <c r="K4121" s="8">
        <v>9912.7495139999992</v>
      </c>
      <c r="L4121" s="8">
        <v>11416.49692</v>
      </c>
      <c r="M4121" s="9" t="str">
        <f>IF(A4121="",M4122,A4121)</f>
        <v>Tajikistan</v>
      </c>
      <c r="N4121" s="3" t="str">
        <f t="shared" si="129"/>
        <v>Apr-2021</v>
      </c>
    </row>
    <row r="4122" spans="1:14" x14ac:dyDescent="0.3">
      <c r="A4122" s="3" t="s">
        <v>350</v>
      </c>
      <c r="B4122" s="3" t="s">
        <v>351</v>
      </c>
      <c r="C4122" s="8">
        <v>2021</v>
      </c>
      <c r="D4122" s="8">
        <v>5</v>
      </c>
      <c r="E4122" s="3" t="str">
        <f t="shared" si="128"/>
        <v>May</v>
      </c>
      <c r="F4122" s="3" t="s">
        <v>13</v>
      </c>
      <c r="G4122" s="8">
        <v>2809.018994</v>
      </c>
      <c r="H4122" s="8">
        <v>2906</v>
      </c>
      <c r="I4122" s="8">
        <v>93.000580060000004</v>
      </c>
      <c r="J4122" s="8">
        <v>10742.41815</v>
      </c>
      <c r="K4122" s="8">
        <v>10001.76375</v>
      </c>
      <c r="L4122" s="8">
        <v>11536.41826</v>
      </c>
      <c r="M4122" s="9" t="str">
        <f>IF(A4122="",M4123,A4122)</f>
        <v>Tajikistan</v>
      </c>
      <c r="N4122" s="3" t="str">
        <f t="shared" si="129"/>
        <v>May-2021</v>
      </c>
    </row>
    <row r="4123" spans="1:14" x14ac:dyDescent="0.3">
      <c r="A4123" s="3" t="s">
        <v>350</v>
      </c>
      <c r="B4123" s="3" t="s">
        <v>351</v>
      </c>
      <c r="C4123" s="8">
        <v>2021</v>
      </c>
      <c r="D4123" s="8">
        <v>6</v>
      </c>
      <c r="E4123" s="3" t="str">
        <f t="shared" si="128"/>
        <v>June</v>
      </c>
      <c r="F4123" s="3" t="s">
        <v>13</v>
      </c>
      <c r="G4123" s="8">
        <v>2812.373666</v>
      </c>
      <c r="H4123" s="8">
        <v>3296</v>
      </c>
      <c r="I4123" s="8">
        <v>479.6459079</v>
      </c>
      <c r="J4123" s="8">
        <v>11222.064050000001</v>
      </c>
      <c r="K4123" s="8">
        <v>10457.2922</v>
      </c>
      <c r="L4123" s="8">
        <v>12050.132900000001</v>
      </c>
      <c r="M4123" s="9" t="str">
        <f>IF(A4123="",M4124,A4123)</f>
        <v>Tajikistan</v>
      </c>
      <c r="N4123" s="3" t="str">
        <f t="shared" si="129"/>
        <v>Jun-2021</v>
      </c>
    </row>
    <row r="4124" spans="1:14" x14ac:dyDescent="0.3">
      <c r="A4124" s="3" t="s">
        <v>350</v>
      </c>
      <c r="B4124" s="3" t="s">
        <v>351</v>
      </c>
      <c r="C4124" s="8">
        <v>2021</v>
      </c>
      <c r="D4124" s="8">
        <v>7</v>
      </c>
      <c r="E4124" s="3" t="str">
        <f t="shared" si="128"/>
        <v>July</v>
      </c>
      <c r="F4124" s="3" t="s">
        <v>13</v>
      </c>
      <c r="G4124" s="8">
        <v>2935.124503</v>
      </c>
      <c r="H4124" s="8">
        <v>6804</v>
      </c>
      <c r="I4124" s="8">
        <v>3864.8950709999999</v>
      </c>
      <c r="J4124" s="8">
        <v>15086.95912</v>
      </c>
      <c r="K4124" s="8">
        <v>14261.417310000001</v>
      </c>
      <c r="L4124" s="8">
        <v>15917.53818</v>
      </c>
      <c r="M4124" s="9" t="str">
        <f>IF(A4124="",M4125,A4124)</f>
        <v>Tajikistan</v>
      </c>
      <c r="N4124" s="3" t="str">
        <f t="shared" si="129"/>
        <v>Jul-2021</v>
      </c>
    </row>
    <row r="4125" spans="1:14" x14ac:dyDescent="0.3">
      <c r="A4125" s="3" t="s">
        <v>350</v>
      </c>
      <c r="B4125" s="3" t="s">
        <v>351</v>
      </c>
      <c r="C4125" s="8">
        <v>2021</v>
      </c>
      <c r="D4125" s="8">
        <v>8</v>
      </c>
      <c r="E4125" s="3" t="str">
        <f t="shared" si="128"/>
        <v>August</v>
      </c>
      <c r="F4125" s="3" t="s">
        <v>13</v>
      </c>
      <c r="G4125" s="8">
        <v>2719.9225649999998</v>
      </c>
      <c r="H4125" s="8">
        <v>4956</v>
      </c>
      <c r="I4125" s="8">
        <v>2232.0970090000001</v>
      </c>
      <c r="J4125" s="8">
        <v>17319.056130000001</v>
      </c>
      <c r="K4125" s="8">
        <v>16479.7533</v>
      </c>
      <c r="L4125" s="8">
        <v>18204.116569999998</v>
      </c>
      <c r="M4125" s="9" t="str">
        <f>IF(A4125="",M4126,A4125)</f>
        <v>Tajikistan</v>
      </c>
      <c r="N4125" s="3" t="str">
        <f t="shared" si="129"/>
        <v>Aug-2021</v>
      </c>
    </row>
    <row r="4126" spans="1:14" x14ac:dyDescent="0.3">
      <c r="A4126" s="3" t="s">
        <v>350</v>
      </c>
      <c r="B4126" s="3" t="s">
        <v>351</v>
      </c>
      <c r="C4126" s="8">
        <v>2021</v>
      </c>
      <c r="D4126" s="8">
        <v>9</v>
      </c>
      <c r="E4126" s="3" t="str">
        <f t="shared" si="128"/>
        <v>September</v>
      </c>
      <c r="F4126" s="3" t="s">
        <v>13</v>
      </c>
      <c r="G4126" s="8">
        <v>2578.9023590000002</v>
      </c>
      <c r="H4126" s="8">
        <v>2886</v>
      </c>
      <c r="I4126" s="8">
        <v>303.11721460000001</v>
      </c>
      <c r="J4126" s="8">
        <v>17622.173350000001</v>
      </c>
      <c r="K4126" s="8">
        <v>16777.699329999999</v>
      </c>
      <c r="L4126" s="8">
        <v>18506.347280000002</v>
      </c>
      <c r="M4126" s="9" t="str">
        <f>IF(A4126="",M4127,A4126)</f>
        <v>Tajikistan</v>
      </c>
      <c r="N4126" s="3" t="str">
        <f t="shared" si="129"/>
        <v>Sep-2021</v>
      </c>
    </row>
    <row r="4127" spans="1:14" x14ac:dyDescent="0.3">
      <c r="A4127" s="3" t="s">
        <v>350</v>
      </c>
      <c r="B4127" s="3" t="s">
        <v>351</v>
      </c>
      <c r="C4127" s="8">
        <v>2021</v>
      </c>
      <c r="D4127" s="8">
        <v>10</v>
      </c>
      <c r="E4127" s="3" t="str">
        <f t="shared" si="128"/>
        <v>October</v>
      </c>
      <c r="F4127" s="3" t="s">
        <v>13</v>
      </c>
      <c r="G4127" s="8">
        <v>2762.6462999999999</v>
      </c>
      <c r="H4127" s="8">
        <v>3071</v>
      </c>
      <c r="I4127" s="8">
        <v>304.37327349999998</v>
      </c>
      <c r="J4127" s="8">
        <v>17926.546620000001</v>
      </c>
      <c r="K4127" s="8">
        <v>17064.057270000001</v>
      </c>
      <c r="L4127" s="8">
        <v>18869.672900000001</v>
      </c>
      <c r="M4127" s="9" t="str">
        <f>IF(A4127="",M4128,A4127)</f>
        <v>Tajikistan</v>
      </c>
      <c r="N4127" s="3" t="str">
        <f t="shared" si="129"/>
        <v>Oct-2021</v>
      </c>
    </row>
    <row r="4128" spans="1:14" x14ac:dyDescent="0.3">
      <c r="A4128" s="3" t="s">
        <v>350</v>
      </c>
      <c r="B4128" s="3" t="s">
        <v>351</v>
      </c>
      <c r="C4128" s="8">
        <v>2021</v>
      </c>
      <c r="D4128" s="8">
        <v>11</v>
      </c>
      <c r="E4128" s="3" t="str">
        <f t="shared" si="128"/>
        <v>November</v>
      </c>
      <c r="F4128" s="3" t="s">
        <v>13</v>
      </c>
      <c r="G4128" s="8">
        <v>3030.8031970000002</v>
      </c>
      <c r="H4128" s="8">
        <v>3296</v>
      </c>
      <c r="I4128" s="8">
        <v>261.21637700000002</v>
      </c>
      <c r="J4128" s="8">
        <v>18187.762999999999</v>
      </c>
      <c r="K4128" s="8">
        <v>17295.770240000002</v>
      </c>
      <c r="L4128" s="8">
        <v>19120.096119999998</v>
      </c>
      <c r="M4128" s="9" t="str">
        <f>IF(A4128="",M4129,A4128)</f>
        <v>Tajikistan</v>
      </c>
      <c r="N4128" s="3" t="str">
        <f t="shared" si="129"/>
        <v>Nov-2021</v>
      </c>
    </row>
    <row r="4129" spans="1:14" x14ac:dyDescent="0.3">
      <c r="A4129" s="3" t="s">
        <v>350</v>
      </c>
      <c r="B4129" s="3" t="s">
        <v>351</v>
      </c>
      <c r="C4129" s="8">
        <v>2021</v>
      </c>
      <c r="D4129" s="8">
        <v>12</v>
      </c>
      <c r="E4129" s="3" t="str">
        <f t="shared" si="128"/>
        <v>December</v>
      </c>
      <c r="F4129" s="3" t="s">
        <v>13</v>
      </c>
      <c r="G4129" s="8">
        <v>3375.578501</v>
      </c>
      <c r="H4129" s="8">
        <v>3039</v>
      </c>
      <c r="I4129" s="8">
        <v>-340.55892729999999</v>
      </c>
      <c r="J4129" s="8">
        <v>17847.20407</v>
      </c>
      <c r="K4129" s="8">
        <v>16910.12573</v>
      </c>
      <c r="L4129" s="8">
        <v>18792.832880000002</v>
      </c>
      <c r="M4129" s="9" t="str">
        <f>IF(A4129="",M4130,A4129)</f>
        <v>Tajikistan</v>
      </c>
      <c r="N4129" s="3" t="str">
        <f t="shared" si="129"/>
        <v>Dec-2021</v>
      </c>
    </row>
    <row r="4130" spans="1:14" x14ac:dyDescent="0.3">
      <c r="A4130" s="3" t="s">
        <v>352</v>
      </c>
      <c r="B4130" s="3" t="s">
        <v>353</v>
      </c>
      <c r="C4130" s="8">
        <v>2020</v>
      </c>
      <c r="D4130" s="8">
        <v>1</v>
      </c>
      <c r="E4130" s="3" t="str">
        <f t="shared" si="128"/>
        <v>January</v>
      </c>
      <c r="F4130" s="3" t="s">
        <v>8</v>
      </c>
      <c r="G4130" s="8">
        <v>3348.1346239999998</v>
      </c>
      <c r="H4130" s="8">
        <v>3401.4180000000001</v>
      </c>
      <c r="I4130" s="8">
        <v>53.283376330000003</v>
      </c>
      <c r="J4130" s="8">
        <v>53.283376330000003</v>
      </c>
      <c r="K4130" s="8">
        <v>-802.67668530000003</v>
      </c>
      <c r="L4130" s="8">
        <v>1126.0235749999999</v>
      </c>
      <c r="M4130" s="9" t="str">
        <f>IF(A4130="",M4131,A4130)</f>
        <v>Turkmenistan</v>
      </c>
      <c r="N4130" s="3" t="str">
        <f t="shared" si="129"/>
        <v>Jan-2020</v>
      </c>
    </row>
    <row r="4131" spans="1:14" x14ac:dyDescent="0.3">
      <c r="A4131" s="3" t="s">
        <v>352</v>
      </c>
      <c r="B4131" s="3" t="s">
        <v>353</v>
      </c>
      <c r="C4131" s="8">
        <v>2020</v>
      </c>
      <c r="D4131" s="8">
        <v>2</v>
      </c>
      <c r="E4131" s="3" t="str">
        <f t="shared" si="128"/>
        <v>February</v>
      </c>
      <c r="F4131" s="3" t="s">
        <v>8</v>
      </c>
      <c r="G4131" s="8">
        <v>3260.7790879999998</v>
      </c>
      <c r="H4131" s="8">
        <v>3253.636</v>
      </c>
      <c r="I4131" s="8">
        <v>-7.1430878299999998</v>
      </c>
      <c r="J4131" s="8">
        <v>46.140288499999997</v>
      </c>
      <c r="K4131" s="8">
        <v>-1178.4124509999999</v>
      </c>
      <c r="L4131" s="8">
        <v>1530.0152760000001</v>
      </c>
      <c r="M4131" s="9" t="str">
        <f>IF(A4131="",M4132,A4131)</f>
        <v>Turkmenistan</v>
      </c>
      <c r="N4131" s="3" t="str">
        <f t="shared" si="129"/>
        <v>Feb-2020</v>
      </c>
    </row>
    <row r="4132" spans="1:14" x14ac:dyDescent="0.3">
      <c r="A4132" s="3" t="s">
        <v>352</v>
      </c>
      <c r="B4132" s="3" t="s">
        <v>353</v>
      </c>
      <c r="C4132" s="8">
        <v>2020</v>
      </c>
      <c r="D4132" s="8">
        <v>3</v>
      </c>
      <c r="E4132" s="3" t="str">
        <f t="shared" si="128"/>
        <v>March</v>
      </c>
      <c r="F4132" s="3" t="s">
        <v>8</v>
      </c>
      <c r="G4132" s="8">
        <v>3185.2872320000001</v>
      </c>
      <c r="H4132" s="8">
        <v>3231.6619999999998</v>
      </c>
      <c r="I4132" s="8">
        <v>46.374767550000001</v>
      </c>
      <c r="J4132" s="8">
        <v>92.515056060000006</v>
      </c>
      <c r="K4132" s="8">
        <v>-1337.089215</v>
      </c>
      <c r="L4132" s="8">
        <v>1764.5684900000001</v>
      </c>
      <c r="M4132" s="9" t="str">
        <f>IF(A4132="",M4133,A4132)</f>
        <v>Turkmenistan</v>
      </c>
      <c r="N4132" s="3" t="str">
        <f t="shared" si="129"/>
        <v>Mar-2020</v>
      </c>
    </row>
    <row r="4133" spans="1:14" x14ac:dyDescent="0.3">
      <c r="A4133" s="3" t="s">
        <v>352</v>
      </c>
      <c r="B4133" s="3" t="s">
        <v>353</v>
      </c>
      <c r="C4133" s="8">
        <v>2020</v>
      </c>
      <c r="D4133" s="8">
        <v>4</v>
      </c>
      <c r="E4133" s="3" t="str">
        <f t="shared" si="128"/>
        <v>April</v>
      </c>
      <c r="F4133" s="3" t="s">
        <v>8</v>
      </c>
      <c r="G4133" s="8">
        <v>3099.6226660000002</v>
      </c>
      <c r="H4133" s="8">
        <v>3172.3850000000002</v>
      </c>
      <c r="I4133" s="8">
        <v>72.762334050000007</v>
      </c>
      <c r="J4133" s="8">
        <v>165.27739009999999</v>
      </c>
      <c r="K4133" s="8">
        <v>-1500.7809520000001</v>
      </c>
      <c r="L4133" s="8">
        <v>2003.3516139999999</v>
      </c>
      <c r="M4133" s="9" t="str">
        <f>IF(A4133="",M4134,A4133)</f>
        <v>Turkmenistan</v>
      </c>
      <c r="N4133" s="3" t="str">
        <f t="shared" si="129"/>
        <v>Apr-2020</v>
      </c>
    </row>
    <row r="4134" spans="1:14" x14ac:dyDescent="0.3">
      <c r="A4134" s="3" t="s">
        <v>352</v>
      </c>
      <c r="B4134" s="3" t="s">
        <v>353</v>
      </c>
      <c r="C4134" s="8">
        <v>2020</v>
      </c>
      <c r="D4134" s="8">
        <v>5</v>
      </c>
      <c r="E4134" s="3" t="str">
        <f t="shared" si="128"/>
        <v>May</v>
      </c>
      <c r="F4134" s="3" t="s">
        <v>8</v>
      </c>
      <c r="G4134" s="8">
        <v>2951.010209</v>
      </c>
      <c r="H4134" s="8">
        <v>3145.2860000000001</v>
      </c>
      <c r="I4134" s="8">
        <v>194.2757914</v>
      </c>
      <c r="J4134" s="8">
        <v>359.55318149999999</v>
      </c>
      <c r="K4134" s="8">
        <v>-1485.9418680000001</v>
      </c>
      <c r="L4134" s="8">
        <v>2361.8750070000001</v>
      </c>
      <c r="M4134" s="9" t="str">
        <f>IF(A4134="",M4135,A4134)</f>
        <v>Turkmenistan</v>
      </c>
      <c r="N4134" s="3" t="str">
        <f t="shared" si="129"/>
        <v>May-2020</v>
      </c>
    </row>
    <row r="4135" spans="1:14" x14ac:dyDescent="0.3">
      <c r="A4135" s="3" t="s">
        <v>352</v>
      </c>
      <c r="B4135" s="3" t="s">
        <v>353</v>
      </c>
      <c r="C4135" s="8">
        <v>2020</v>
      </c>
      <c r="D4135" s="8">
        <v>6</v>
      </c>
      <c r="E4135" s="3" t="str">
        <f t="shared" si="128"/>
        <v>June</v>
      </c>
      <c r="F4135" s="3" t="s">
        <v>8</v>
      </c>
      <c r="G4135" s="8">
        <v>2858.3037800000002</v>
      </c>
      <c r="H4135" s="8">
        <v>3141.2530000000002</v>
      </c>
      <c r="I4135" s="8">
        <v>282.94921979999998</v>
      </c>
      <c r="J4135" s="8">
        <v>642.50240129999997</v>
      </c>
      <c r="K4135" s="8">
        <v>-1449.0023369999999</v>
      </c>
      <c r="L4135" s="8">
        <v>2965.2659440000002</v>
      </c>
      <c r="M4135" s="9" t="str">
        <f>IF(A4135="",M4136,A4135)</f>
        <v>Turkmenistan</v>
      </c>
      <c r="N4135" s="3" t="str">
        <f t="shared" si="129"/>
        <v>Jun-2020</v>
      </c>
    </row>
    <row r="4136" spans="1:14" x14ac:dyDescent="0.3">
      <c r="A4136" s="3" t="s">
        <v>352</v>
      </c>
      <c r="B4136" s="3" t="s">
        <v>353</v>
      </c>
      <c r="C4136" s="8">
        <v>2020</v>
      </c>
      <c r="D4136" s="8">
        <v>7</v>
      </c>
      <c r="E4136" s="3" t="str">
        <f t="shared" si="128"/>
        <v>July</v>
      </c>
      <c r="F4136" s="3" t="s">
        <v>8</v>
      </c>
      <c r="G4136" s="8">
        <v>2823.3920400000002</v>
      </c>
      <c r="H4136" s="8">
        <v>3147.39</v>
      </c>
      <c r="I4136" s="8">
        <v>323.99795979999999</v>
      </c>
      <c r="J4136" s="8">
        <v>966.50036109999996</v>
      </c>
      <c r="K4136" s="8">
        <v>-1353.719083</v>
      </c>
      <c r="L4136" s="8">
        <v>3474.8810760000001</v>
      </c>
      <c r="M4136" s="9" t="str">
        <f>IF(A4136="",M4137,A4136)</f>
        <v>Turkmenistan</v>
      </c>
      <c r="N4136" s="3" t="str">
        <f t="shared" si="129"/>
        <v>Jul-2020</v>
      </c>
    </row>
    <row r="4137" spans="1:14" x14ac:dyDescent="0.3">
      <c r="A4137" s="3" t="s">
        <v>352</v>
      </c>
      <c r="B4137" s="3" t="s">
        <v>353</v>
      </c>
      <c r="C4137" s="8">
        <v>2020</v>
      </c>
      <c r="D4137" s="8">
        <v>8</v>
      </c>
      <c r="E4137" s="3" t="str">
        <f t="shared" si="128"/>
        <v>August</v>
      </c>
      <c r="F4137" s="3" t="s">
        <v>8</v>
      </c>
      <c r="G4137" s="8">
        <v>2884.057648</v>
      </c>
      <c r="H4137" s="8">
        <v>3124.2330000000002</v>
      </c>
      <c r="I4137" s="8">
        <v>240.17535229999999</v>
      </c>
      <c r="J4137" s="8">
        <v>1206.6757130000001</v>
      </c>
      <c r="K4137" s="8">
        <v>-1252.173162</v>
      </c>
      <c r="L4137" s="8">
        <v>3970.4576419999999</v>
      </c>
      <c r="M4137" s="9" t="str">
        <f>IF(A4137="",M4138,A4137)</f>
        <v>Turkmenistan</v>
      </c>
      <c r="N4137" s="3" t="str">
        <f t="shared" si="129"/>
        <v>Aug-2020</v>
      </c>
    </row>
    <row r="4138" spans="1:14" x14ac:dyDescent="0.3">
      <c r="A4138" s="3" t="s">
        <v>352</v>
      </c>
      <c r="B4138" s="3" t="s">
        <v>353</v>
      </c>
      <c r="C4138" s="8">
        <v>2020</v>
      </c>
      <c r="D4138" s="8">
        <v>9</v>
      </c>
      <c r="E4138" s="3" t="str">
        <f t="shared" si="128"/>
        <v>September</v>
      </c>
      <c r="F4138" s="3" t="s">
        <v>8</v>
      </c>
      <c r="G4138" s="8">
        <v>2988.9753850000002</v>
      </c>
      <c r="H4138" s="8">
        <v>3208.6480000000001</v>
      </c>
      <c r="I4138" s="8">
        <v>219.67261490000001</v>
      </c>
      <c r="J4138" s="8">
        <v>1426.348328</v>
      </c>
      <c r="K4138" s="8">
        <v>-1167.1348720000001</v>
      </c>
      <c r="L4138" s="8">
        <v>4232.4107000000004</v>
      </c>
      <c r="M4138" s="9" t="str">
        <f>IF(A4138="",M4139,A4138)</f>
        <v>Turkmenistan</v>
      </c>
      <c r="N4138" s="3" t="str">
        <f t="shared" si="129"/>
        <v>Sep-2020</v>
      </c>
    </row>
    <row r="4139" spans="1:14" x14ac:dyDescent="0.3">
      <c r="A4139" s="3" t="s">
        <v>352</v>
      </c>
      <c r="B4139" s="3" t="s">
        <v>353</v>
      </c>
      <c r="C4139" s="8">
        <v>2020</v>
      </c>
      <c r="D4139" s="8">
        <v>10</v>
      </c>
      <c r="E4139" s="3" t="str">
        <f t="shared" si="128"/>
        <v>October</v>
      </c>
      <c r="F4139" s="3" t="s">
        <v>8</v>
      </c>
      <c r="G4139" s="8">
        <v>3129.697189</v>
      </c>
      <c r="H4139" s="8">
        <v>3407.9360000000001</v>
      </c>
      <c r="I4139" s="8">
        <v>278.2388105</v>
      </c>
      <c r="J4139" s="8">
        <v>1704.587139</v>
      </c>
      <c r="K4139" s="8">
        <v>-1128.7197679999999</v>
      </c>
      <c r="L4139" s="8">
        <v>4838.4357220000002</v>
      </c>
      <c r="M4139" s="9" t="str">
        <f>IF(A4139="",M4140,A4139)</f>
        <v>Turkmenistan</v>
      </c>
      <c r="N4139" s="3" t="str">
        <f t="shared" si="129"/>
        <v>Oct-2020</v>
      </c>
    </row>
    <row r="4140" spans="1:14" x14ac:dyDescent="0.3">
      <c r="A4140" s="3" t="s">
        <v>352</v>
      </c>
      <c r="B4140" s="3" t="s">
        <v>353</v>
      </c>
      <c r="C4140" s="8">
        <v>2020</v>
      </c>
      <c r="D4140" s="8">
        <v>11</v>
      </c>
      <c r="E4140" s="3" t="str">
        <f t="shared" si="128"/>
        <v>November</v>
      </c>
      <c r="F4140" s="3" t="s">
        <v>8</v>
      </c>
      <c r="G4140" s="8">
        <v>3277.001921</v>
      </c>
      <c r="H4140" s="8">
        <v>3692.9670000000001</v>
      </c>
      <c r="I4140" s="8">
        <v>415.9650785</v>
      </c>
      <c r="J4140" s="8">
        <v>2120.5522169999999</v>
      </c>
      <c r="K4140" s="8">
        <v>-1013.5840930000001</v>
      </c>
      <c r="L4140" s="8">
        <v>5473.7467029999998</v>
      </c>
      <c r="M4140" s="9" t="str">
        <f>IF(A4140="",M4141,A4140)</f>
        <v>Turkmenistan</v>
      </c>
      <c r="N4140" s="3" t="str">
        <f t="shared" si="129"/>
        <v>Nov-2020</v>
      </c>
    </row>
    <row r="4141" spans="1:14" x14ac:dyDescent="0.3">
      <c r="A4141" s="3" t="s">
        <v>352</v>
      </c>
      <c r="B4141" s="3" t="s">
        <v>353</v>
      </c>
      <c r="C4141" s="8">
        <v>2020</v>
      </c>
      <c r="D4141" s="8">
        <v>12</v>
      </c>
      <c r="E4141" s="3" t="str">
        <f t="shared" si="128"/>
        <v>December</v>
      </c>
      <c r="F4141" s="3" t="s">
        <v>8</v>
      </c>
      <c r="G4141" s="8">
        <v>3410.1857610000002</v>
      </c>
      <c r="H4141" s="8">
        <v>3796.8539999999998</v>
      </c>
      <c r="I4141" s="8">
        <v>386.66823929999998</v>
      </c>
      <c r="J4141" s="8">
        <v>2507.2204569999999</v>
      </c>
      <c r="K4141" s="8">
        <v>-699.59205699999995</v>
      </c>
      <c r="L4141" s="8">
        <v>6223.5358429999997</v>
      </c>
      <c r="M4141" s="9" t="str">
        <f>IF(A4141="",M4142,A4141)</f>
        <v>Turkmenistan</v>
      </c>
      <c r="N4141" s="3" t="str">
        <f t="shared" si="129"/>
        <v>Dec-2020</v>
      </c>
    </row>
    <row r="4142" spans="1:14" x14ac:dyDescent="0.3">
      <c r="A4142" s="3" t="s">
        <v>352</v>
      </c>
      <c r="B4142" s="3" t="s">
        <v>353</v>
      </c>
      <c r="C4142" s="8">
        <v>2021</v>
      </c>
      <c r="D4142" s="8">
        <v>1</v>
      </c>
      <c r="E4142" s="3" t="str">
        <f t="shared" si="128"/>
        <v>January</v>
      </c>
      <c r="F4142" s="3" t="s">
        <v>8</v>
      </c>
      <c r="G4142" s="8">
        <v>3396.3573820000001</v>
      </c>
      <c r="H4142" s="8">
        <v>3444.806</v>
      </c>
      <c r="I4142" s="8">
        <v>48.448618320000001</v>
      </c>
      <c r="J4142" s="8">
        <v>2555.6690749999998</v>
      </c>
      <c r="K4142" s="8">
        <v>-945.76848199999995</v>
      </c>
      <c r="L4142" s="8">
        <v>6449.5877209999999</v>
      </c>
      <c r="M4142" s="9" t="str">
        <f>IF(A4142="",M4143,A4142)</f>
        <v>Turkmenistan</v>
      </c>
      <c r="N4142" s="3" t="str">
        <f t="shared" si="129"/>
        <v>Jan-2021</v>
      </c>
    </row>
    <row r="4143" spans="1:14" x14ac:dyDescent="0.3">
      <c r="A4143" s="3" t="s">
        <v>352</v>
      </c>
      <c r="B4143" s="3" t="s">
        <v>353</v>
      </c>
      <c r="C4143" s="8">
        <v>2021</v>
      </c>
      <c r="D4143" s="8">
        <v>2</v>
      </c>
      <c r="E4143" s="3" t="str">
        <f t="shared" si="128"/>
        <v>February</v>
      </c>
      <c r="F4143" s="3" t="s">
        <v>8</v>
      </c>
      <c r="G4143" s="8">
        <v>3315.3336079999999</v>
      </c>
      <c r="H4143" s="8">
        <v>3073.6959999999999</v>
      </c>
      <c r="I4143" s="8">
        <v>-241.63760780000001</v>
      </c>
      <c r="J4143" s="8">
        <v>2314.0314669999998</v>
      </c>
      <c r="K4143" s="8">
        <v>-1184.995304</v>
      </c>
      <c r="L4143" s="8">
        <v>6238.1929259999997</v>
      </c>
      <c r="M4143" s="9" t="str">
        <f>IF(A4143="",M4144,A4143)</f>
        <v>Turkmenistan</v>
      </c>
      <c r="N4143" s="3" t="str">
        <f t="shared" si="129"/>
        <v>Feb-2021</v>
      </c>
    </row>
    <row r="4144" spans="1:14" x14ac:dyDescent="0.3">
      <c r="A4144" s="3" t="s">
        <v>352</v>
      </c>
      <c r="B4144" s="3" t="s">
        <v>353</v>
      </c>
      <c r="C4144" s="8">
        <v>2021</v>
      </c>
      <c r="D4144" s="8">
        <v>3</v>
      </c>
      <c r="E4144" s="3" t="str">
        <f t="shared" si="128"/>
        <v>March</v>
      </c>
      <c r="F4144" s="3" t="s">
        <v>8</v>
      </c>
      <c r="G4144" s="8">
        <v>3235.5584589999999</v>
      </c>
      <c r="H4144" s="8">
        <v>3037.297</v>
      </c>
      <c r="I4144" s="8">
        <v>-198.26145919999999</v>
      </c>
      <c r="J4144" s="8">
        <v>2115.770008</v>
      </c>
      <c r="K4144" s="8">
        <v>-1314.774866</v>
      </c>
      <c r="L4144" s="8">
        <v>5976.8871680000002</v>
      </c>
      <c r="M4144" s="9" t="str">
        <f>IF(A4144="",M4145,A4144)</f>
        <v>Turkmenistan</v>
      </c>
      <c r="N4144" s="3" t="str">
        <f t="shared" si="129"/>
        <v>Mar-2021</v>
      </c>
    </row>
    <row r="4145" spans="1:14" x14ac:dyDescent="0.3">
      <c r="A4145" s="3" t="s">
        <v>352</v>
      </c>
      <c r="B4145" s="3" t="s">
        <v>353</v>
      </c>
      <c r="C4145" s="8">
        <v>2021</v>
      </c>
      <c r="D4145" s="8">
        <v>4</v>
      </c>
      <c r="E4145" s="3" t="str">
        <f t="shared" si="128"/>
        <v>April</v>
      </c>
      <c r="F4145" s="3" t="s">
        <v>8</v>
      </c>
      <c r="G4145" s="8">
        <v>3149.7372180000002</v>
      </c>
      <c r="H4145" s="8">
        <v>3039.3380000000002</v>
      </c>
      <c r="I4145" s="8">
        <v>-110.3992181</v>
      </c>
      <c r="J4145" s="8">
        <v>2005.3707899999999</v>
      </c>
      <c r="K4145" s="8">
        <v>-1517.863247</v>
      </c>
      <c r="L4145" s="8">
        <v>6069.7741450000003</v>
      </c>
      <c r="M4145" s="9" t="str">
        <f>IF(A4145="",M4146,A4145)</f>
        <v>Turkmenistan</v>
      </c>
      <c r="N4145" s="3" t="str">
        <f t="shared" si="129"/>
        <v>Apr-2021</v>
      </c>
    </row>
    <row r="4146" spans="1:14" x14ac:dyDescent="0.3">
      <c r="A4146" s="3" t="s">
        <v>352</v>
      </c>
      <c r="B4146" s="3" t="s">
        <v>353</v>
      </c>
      <c r="C4146" s="8">
        <v>2021</v>
      </c>
      <c r="D4146" s="8">
        <v>5</v>
      </c>
      <c r="E4146" s="3" t="str">
        <f t="shared" si="128"/>
        <v>May</v>
      </c>
      <c r="F4146" s="3" t="s">
        <v>8</v>
      </c>
      <c r="G4146" s="8">
        <v>2992.5588969999999</v>
      </c>
      <c r="H4146" s="8">
        <v>2984.105</v>
      </c>
      <c r="I4146" s="8">
        <v>-8.453897006</v>
      </c>
      <c r="J4146" s="8">
        <v>1996.9168930000001</v>
      </c>
      <c r="K4146" s="8">
        <v>-1609.490448</v>
      </c>
      <c r="L4146" s="8">
        <v>5982.9630100000004</v>
      </c>
      <c r="M4146" s="9" t="str">
        <f>IF(A4146="",M4147,A4146)</f>
        <v>Turkmenistan</v>
      </c>
      <c r="N4146" s="3" t="str">
        <f t="shared" si="129"/>
        <v>May-2021</v>
      </c>
    </row>
    <row r="4147" spans="1:14" x14ac:dyDescent="0.3">
      <c r="A4147" s="3" t="s">
        <v>352</v>
      </c>
      <c r="B4147" s="3" t="s">
        <v>353</v>
      </c>
      <c r="C4147" s="8">
        <v>2021</v>
      </c>
      <c r="D4147" s="8">
        <v>6</v>
      </c>
      <c r="E4147" s="3" t="str">
        <f t="shared" si="128"/>
        <v>June</v>
      </c>
      <c r="F4147" s="3" t="s">
        <v>8</v>
      </c>
      <c r="G4147" s="8">
        <v>2902.5026760000001</v>
      </c>
      <c r="H4147" s="8">
        <v>2989.0320000000002</v>
      </c>
      <c r="I4147" s="8">
        <v>86.529323910000002</v>
      </c>
      <c r="J4147" s="8">
        <v>2083.4462170000002</v>
      </c>
      <c r="K4147" s="8">
        <v>-1582.953851</v>
      </c>
      <c r="L4147" s="8">
        <v>6230.8050540000004</v>
      </c>
      <c r="M4147" s="9" t="str">
        <f>IF(A4147="",M4148,A4147)</f>
        <v>Turkmenistan</v>
      </c>
      <c r="N4147" s="3" t="str">
        <f t="shared" si="129"/>
        <v>Jun-2021</v>
      </c>
    </row>
    <row r="4148" spans="1:14" x14ac:dyDescent="0.3">
      <c r="A4148" s="3" t="s">
        <v>352</v>
      </c>
      <c r="B4148" s="3" t="s">
        <v>353</v>
      </c>
      <c r="C4148" s="8">
        <v>2021</v>
      </c>
      <c r="D4148" s="8">
        <v>7</v>
      </c>
      <c r="E4148" s="3" t="str">
        <f t="shared" si="128"/>
        <v>July</v>
      </c>
      <c r="F4148" s="3" t="s">
        <v>8</v>
      </c>
      <c r="G4148" s="8">
        <v>2862.8413529999998</v>
      </c>
      <c r="H4148" s="8">
        <v>3046.3209999999999</v>
      </c>
      <c r="I4148" s="8">
        <v>183.479647</v>
      </c>
      <c r="J4148" s="8">
        <v>2266.9258639999998</v>
      </c>
      <c r="K4148" s="8">
        <v>-1413.1681060000001</v>
      </c>
      <c r="L4148" s="8">
        <v>6460.9843440000004</v>
      </c>
      <c r="M4148" s="9" t="str">
        <f>IF(A4148="",M4149,A4148)</f>
        <v>Turkmenistan</v>
      </c>
      <c r="N4148" s="3" t="str">
        <f t="shared" si="129"/>
        <v>Jul-2021</v>
      </c>
    </row>
    <row r="4149" spans="1:14" x14ac:dyDescent="0.3">
      <c r="A4149" s="3" t="s">
        <v>352</v>
      </c>
      <c r="B4149" s="3" t="s">
        <v>353</v>
      </c>
      <c r="C4149" s="8">
        <v>2021</v>
      </c>
      <c r="D4149" s="8">
        <v>8</v>
      </c>
      <c r="E4149" s="3" t="str">
        <f t="shared" si="128"/>
        <v>August</v>
      </c>
      <c r="F4149" s="3" t="s">
        <v>8</v>
      </c>
      <c r="G4149" s="8">
        <v>2926.6571269999999</v>
      </c>
      <c r="H4149" s="8">
        <v>3105.6759999999999</v>
      </c>
      <c r="I4149" s="8">
        <v>179.01887300000001</v>
      </c>
      <c r="J4149" s="8">
        <v>2445.9447369999998</v>
      </c>
      <c r="K4149" s="8">
        <v>-1455.144053</v>
      </c>
      <c r="L4149" s="8">
        <v>6791.3603640000001</v>
      </c>
      <c r="M4149" s="9" t="str">
        <f>IF(A4149="",M4150,A4149)</f>
        <v>Turkmenistan</v>
      </c>
      <c r="N4149" s="3" t="str">
        <f t="shared" si="129"/>
        <v>Aug-2021</v>
      </c>
    </row>
    <row r="4150" spans="1:14" x14ac:dyDescent="0.3">
      <c r="A4150" s="3" t="s">
        <v>352</v>
      </c>
      <c r="B4150" s="3" t="s">
        <v>353</v>
      </c>
      <c r="C4150" s="8">
        <v>2021</v>
      </c>
      <c r="D4150" s="8">
        <v>9</v>
      </c>
      <c r="E4150" s="3" t="str">
        <f t="shared" si="128"/>
        <v>September</v>
      </c>
      <c r="F4150" s="3" t="s">
        <v>8</v>
      </c>
      <c r="G4150" s="8">
        <v>3032.3890540000002</v>
      </c>
      <c r="H4150" s="8">
        <v>3194.06</v>
      </c>
      <c r="I4150" s="8">
        <v>161.67094610000001</v>
      </c>
      <c r="J4150" s="8">
        <v>2607.615683</v>
      </c>
      <c r="K4150" s="8">
        <v>-1303.8709550000001</v>
      </c>
      <c r="L4150" s="8">
        <v>6970.4176079999997</v>
      </c>
      <c r="M4150" s="9" t="str">
        <f>IF(A4150="",M4151,A4150)</f>
        <v>Turkmenistan</v>
      </c>
      <c r="N4150" s="3" t="str">
        <f t="shared" si="129"/>
        <v>Sep-2021</v>
      </c>
    </row>
    <row r="4151" spans="1:14" x14ac:dyDescent="0.3">
      <c r="A4151" s="3" t="s">
        <v>352</v>
      </c>
      <c r="B4151" s="3" t="s">
        <v>353</v>
      </c>
      <c r="C4151" s="8">
        <v>2021</v>
      </c>
      <c r="D4151" s="8">
        <v>10</v>
      </c>
      <c r="E4151" s="3" t="str">
        <f t="shared" si="128"/>
        <v>October</v>
      </c>
      <c r="F4151" s="3" t="s">
        <v>8</v>
      </c>
      <c r="G4151" s="8">
        <v>3177.4423569999999</v>
      </c>
      <c r="H4151" s="8">
        <v>3383.4029999999998</v>
      </c>
      <c r="I4151" s="8">
        <v>205.96064250000001</v>
      </c>
      <c r="J4151" s="8">
        <v>2813.576325</v>
      </c>
      <c r="K4151" s="8">
        <v>-1101.6547700000001</v>
      </c>
      <c r="L4151" s="8">
        <v>7282.8339489999998</v>
      </c>
      <c r="M4151" s="9" t="str">
        <f>IF(A4151="",M4152,A4151)</f>
        <v>Turkmenistan</v>
      </c>
      <c r="N4151" s="3" t="str">
        <f t="shared" si="129"/>
        <v>Oct-2021</v>
      </c>
    </row>
    <row r="4152" spans="1:14" x14ac:dyDescent="0.3">
      <c r="A4152" s="3" t="s">
        <v>352</v>
      </c>
      <c r="B4152" s="3" t="s">
        <v>353</v>
      </c>
      <c r="C4152" s="8">
        <v>2021</v>
      </c>
      <c r="D4152" s="8">
        <v>11</v>
      </c>
      <c r="E4152" s="3" t="str">
        <f t="shared" si="128"/>
        <v>November</v>
      </c>
      <c r="F4152" s="3" t="s">
        <v>8</v>
      </c>
      <c r="G4152" s="8">
        <v>3324.7079130000002</v>
      </c>
      <c r="H4152" s="8">
        <v>3701.5010000000002</v>
      </c>
      <c r="I4152" s="8">
        <v>376.79308659999998</v>
      </c>
      <c r="J4152" s="8">
        <v>3190.369412</v>
      </c>
      <c r="K4152" s="8">
        <v>-977.56405480000001</v>
      </c>
      <c r="L4152" s="8">
        <v>7851.3602499999997</v>
      </c>
      <c r="M4152" s="9" t="str">
        <f>IF(A4152="",M4153,A4152)</f>
        <v>Turkmenistan</v>
      </c>
      <c r="N4152" s="3" t="str">
        <f t="shared" si="129"/>
        <v>Nov-2021</v>
      </c>
    </row>
    <row r="4153" spans="1:14" x14ac:dyDescent="0.3">
      <c r="A4153" s="3" t="s">
        <v>352</v>
      </c>
      <c r="B4153" s="3" t="s">
        <v>353</v>
      </c>
      <c r="C4153" s="8">
        <v>2021</v>
      </c>
      <c r="D4153" s="8">
        <v>12</v>
      </c>
      <c r="E4153" s="3" t="str">
        <f t="shared" si="128"/>
        <v>December</v>
      </c>
      <c r="F4153" s="3" t="s">
        <v>8</v>
      </c>
      <c r="G4153" s="8">
        <v>3461.09058</v>
      </c>
      <c r="H4153" s="8">
        <v>3901.0659999999998</v>
      </c>
      <c r="I4153" s="8">
        <v>439.97542010000001</v>
      </c>
      <c r="J4153" s="8">
        <v>3630.3448320000002</v>
      </c>
      <c r="K4153" s="8">
        <v>-775.08958240000004</v>
      </c>
      <c r="L4153" s="8">
        <v>8404.3831800000007</v>
      </c>
      <c r="M4153" s="9" t="str">
        <f>IF(A4153="",M4154,A4153)</f>
        <v>Turkmenistan</v>
      </c>
      <c r="N4153" s="3" t="str">
        <f t="shared" si="129"/>
        <v>Dec-2021</v>
      </c>
    </row>
    <row r="4154" spans="1:14" x14ac:dyDescent="0.3">
      <c r="A4154" s="3" t="s">
        <v>354</v>
      </c>
      <c r="B4154" s="3" t="s">
        <v>355</v>
      </c>
      <c r="C4154" s="8">
        <v>2020</v>
      </c>
      <c r="D4154" s="8">
        <v>1</v>
      </c>
      <c r="E4154" s="3" t="str">
        <f t="shared" si="128"/>
        <v>January</v>
      </c>
      <c r="F4154" s="3" t="s">
        <v>8</v>
      </c>
      <c r="G4154" s="8">
        <v>639.85907020000002</v>
      </c>
      <c r="H4154" s="8">
        <v>652.33699999999999</v>
      </c>
      <c r="I4154" s="8">
        <v>12.47792984</v>
      </c>
      <c r="J4154" s="8">
        <v>12.47792984</v>
      </c>
      <c r="K4154" s="8">
        <v>-142.35030939999999</v>
      </c>
      <c r="L4154" s="8">
        <v>201.11099970000001</v>
      </c>
      <c r="M4154" s="9" t="str">
        <f>IF(A4154="",M4155,A4154)</f>
        <v>Timor-Leste</v>
      </c>
      <c r="N4154" s="3" t="str">
        <f t="shared" si="129"/>
        <v>Jan-2020</v>
      </c>
    </row>
    <row r="4155" spans="1:14" x14ac:dyDescent="0.3">
      <c r="A4155" s="3" t="s">
        <v>354</v>
      </c>
      <c r="B4155" s="3" t="s">
        <v>355</v>
      </c>
      <c r="C4155" s="8">
        <v>2020</v>
      </c>
      <c r="D4155" s="8">
        <v>2</v>
      </c>
      <c r="E4155" s="3" t="str">
        <f t="shared" si="128"/>
        <v>February</v>
      </c>
      <c r="F4155" s="3" t="s">
        <v>8</v>
      </c>
      <c r="G4155" s="8">
        <v>637.60525189999998</v>
      </c>
      <c r="H4155" s="8">
        <v>632.85900000000004</v>
      </c>
      <c r="I4155" s="8">
        <v>-4.7462519160000003</v>
      </c>
      <c r="J4155" s="8">
        <v>7.7316779259999997</v>
      </c>
      <c r="K4155" s="8">
        <v>-236.24112500000001</v>
      </c>
      <c r="L4155" s="8">
        <v>277.62355289999999</v>
      </c>
      <c r="M4155" s="9" t="str">
        <f>IF(A4155="",M4156,A4155)</f>
        <v>Timor-Leste</v>
      </c>
      <c r="N4155" s="3" t="str">
        <f t="shared" si="129"/>
        <v>Feb-2020</v>
      </c>
    </row>
    <row r="4156" spans="1:14" x14ac:dyDescent="0.3">
      <c r="A4156" s="3" t="s">
        <v>354</v>
      </c>
      <c r="B4156" s="3" t="s">
        <v>355</v>
      </c>
      <c r="C4156" s="8">
        <v>2020</v>
      </c>
      <c r="D4156" s="8">
        <v>3</v>
      </c>
      <c r="E4156" s="3" t="str">
        <f t="shared" si="128"/>
        <v>March</v>
      </c>
      <c r="F4156" s="3" t="s">
        <v>8</v>
      </c>
      <c r="G4156" s="8">
        <v>641.40694429999996</v>
      </c>
      <c r="H4156" s="8">
        <v>627.18700000000001</v>
      </c>
      <c r="I4156" s="8">
        <v>-14.219944269999999</v>
      </c>
      <c r="J4156" s="8">
        <v>-6.48826634</v>
      </c>
      <c r="K4156" s="8">
        <v>-319.21235430000002</v>
      </c>
      <c r="L4156" s="8">
        <v>328.94364469999999</v>
      </c>
      <c r="M4156" s="9" t="str">
        <f>IF(A4156="",M4157,A4156)</f>
        <v>Timor-Leste</v>
      </c>
      <c r="N4156" s="3" t="str">
        <f t="shared" si="129"/>
        <v>Mar-2020</v>
      </c>
    </row>
    <row r="4157" spans="1:14" x14ac:dyDescent="0.3">
      <c r="A4157" s="3" t="s">
        <v>354</v>
      </c>
      <c r="B4157" s="3" t="s">
        <v>355</v>
      </c>
      <c r="C4157" s="8">
        <v>2020</v>
      </c>
      <c r="D4157" s="8">
        <v>4</v>
      </c>
      <c r="E4157" s="3" t="str">
        <f t="shared" si="128"/>
        <v>April</v>
      </c>
      <c r="F4157" s="3" t="s">
        <v>8</v>
      </c>
      <c r="G4157" s="8">
        <v>640.00353080000002</v>
      </c>
      <c r="H4157" s="8">
        <v>575.976</v>
      </c>
      <c r="I4157" s="8">
        <v>-64.027530769999998</v>
      </c>
      <c r="J4157" s="8">
        <v>-70.515797109999994</v>
      </c>
      <c r="K4157" s="8">
        <v>-408.78311430000002</v>
      </c>
      <c r="L4157" s="8">
        <v>310.9682431</v>
      </c>
      <c r="M4157" s="9" t="str">
        <f>IF(A4157="",M4158,A4157)</f>
        <v>Timor-Leste</v>
      </c>
      <c r="N4157" s="3" t="str">
        <f t="shared" si="129"/>
        <v>Apr-2020</v>
      </c>
    </row>
    <row r="4158" spans="1:14" x14ac:dyDescent="0.3">
      <c r="A4158" s="3" t="s">
        <v>354</v>
      </c>
      <c r="B4158" s="3" t="s">
        <v>355</v>
      </c>
      <c r="C4158" s="8">
        <v>2020</v>
      </c>
      <c r="D4158" s="8">
        <v>5</v>
      </c>
      <c r="E4158" s="3" t="str">
        <f t="shared" si="128"/>
        <v>May</v>
      </c>
      <c r="F4158" s="3" t="s">
        <v>8</v>
      </c>
      <c r="G4158" s="8">
        <v>645.12980249999998</v>
      </c>
      <c r="H4158" s="8">
        <v>622.41099999999994</v>
      </c>
      <c r="I4158" s="8">
        <v>-22.718802520000001</v>
      </c>
      <c r="J4158" s="8">
        <v>-93.234599619999997</v>
      </c>
      <c r="K4158" s="8">
        <v>-478.0410665</v>
      </c>
      <c r="L4158" s="8">
        <v>303.54502070000001</v>
      </c>
      <c r="M4158" s="9" t="str">
        <f>IF(A4158="",M4159,A4158)</f>
        <v>Timor-Leste</v>
      </c>
      <c r="N4158" s="3" t="str">
        <f t="shared" si="129"/>
        <v>May-2020</v>
      </c>
    </row>
    <row r="4159" spans="1:14" x14ac:dyDescent="0.3">
      <c r="A4159" s="3" t="s">
        <v>354</v>
      </c>
      <c r="B4159" s="3" t="s">
        <v>355</v>
      </c>
      <c r="C4159" s="8">
        <v>2020</v>
      </c>
      <c r="D4159" s="8">
        <v>6</v>
      </c>
      <c r="E4159" s="3" t="str">
        <f t="shared" si="128"/>
        <v>June</v>
      </c>
      <c r="F4159" s="3" t="s">
        <v>8</v>
      </c>
      <c r="G4159" s="8">
        <v>643.6692061</v>
      </c>
      <c r="H4159" s="8">
        <v>642.70100000000002</v>
      </c>
      <c r="I4159" s="8">
        <v>-0.96820605999999998</v>
      </c>
      <c r="J4159" s="8">
        <v>-94.202805679999997</v>
      </c>
      <c r="K4159" s="8">
        <v>-527.8962282</v>
      </c>
      <c r="L4159" s="8">
        <v>351.67326350000002</v>
      </c>
      <c r="M4159" s="9" t="str">
        <f>IF(A4159="",M4160,A4159)</f>
        <v>Timor-Leste</v>
      </c>
      <c r="N4159" s="3" t="str">
        <f t="shared" si="129"/>
        <v>Jun-2020</v>
      </c>
    </row>
    <row r="4160" spans="1:14" x14ac:dyDescent="0.3">
      <c r="A4160" s="3" t="s">
        <v>354</v>
      </c>
      <c r="B4160" s="3" t="s">
        <v>355</v>
      </c>
      <c r="C4160" s="8">
        <v>2020</v>
      </c>
      <c r="D4160" s="8">
        <v>7</v>
      </c>
      <c r="E4160" s="3" t="str">
        <f t="shared" si="128"/>
        <v>July</v>
      </c>
      <c r="F4160" s="3" t="s">
        <v>8</v>
      </c>
      <c r="G4160" s="8">
        <v>647.16552390000004</v>
      </c>
      <c r="H4160" s="8">
        <v>656.37400000000002</v>
      </c>
      <c r="I4160" s="8">
        <v>9.2084761089999994</v>
      </c>
      <c r="J4160" s="8">
        <v>-84.994329579999999</v>
      </c>
      <c r="K4160" s="8">
        <v>-549.45671319999997</v>
      </c>
      <c r="L4160" s="8">
        <v>420.40507889999998</v>
      </c>
      <c r="M4160" s="9" t="str">
        <f>IF(A4160="",M4161,A4160)</f>
        <v>Timor-Leste</v>
      </c>
      <c r="N4160" s="3" t="str">
        <f t="shared" si="129"/>
        <v>Jul-2020</v>
      </c>
    </row>
    <row r="4161" spans="1:14" x14ac:dyDescent="0.3">
      <c r="A4161" s="3" t="s">
        <v>354</v>
      </c>
      <c r="B4161" s="3" t="s">
        <v>355</v>
      </c>
      <c r="C4161" s="8">
        <v>2020</v>
      </c>
      <c r="D4161" s="8">
        <v>8</v>
      </c>
      <c r="E4161" s="3" t="str">
        <f t="shared" si="128"/>
        <v>August</v>
      </c>
      <c r="F4161" s="3" t="s">
        <v>8</v>
      </c>
      <c r="G4161" s="8">
        <v>645.56745179999996</v>
      </c>
      <c r="H4161" s="8">
        <v>661.2</v>
      </c>
      <c r="I4161" s="8">
        <v>15.632548160000001</v>
      </c>
      <c r="J4161" s="8">
        <v>-69.36178142</v>
      </c>
      <c r="K4161" s="8">
        <v>-530.85304559999997</v>
      </c>
      <c r="L4161" s="8">
        <v>459.72456729999999</v>
      </c>
      <c r="M4161" s="9" t="str">
        <f>IF(A4161="",M4162,A4161)</f>
        <v>Timor-Leste</v>
      </c>
      <c r="N4161" s="3" t="str">
        <f t="shared" si="129"/>
        <v>Aug-2020</v>
      </c>
    </row>
    <row r="4162" spans="1:14" x14ac:dyDescent="0.3">
      <c r="A4162" s="3" t="s">
        <v>354</v>
      </c>
      <c r="B4162" s="3" t="s">
        <v>355</v>
      </c>
      <c r="C4162" s="8">
        <v>2020</v>
      </c>
      <c r="D4162" s="8">
        <v>9</v>
      </c>
      <c r="E4162" s="3" t="str">
        <f t="shared" ref="E4162:E4225" si="130">TEXT(DATE(C4162,D4162,1),"MMMM")</f>
        <v>September</v>
      </c>
      <c r="F4162" s="3" t="s">
        <v>8</v>
      </c>
      <c r="G4162" s="8">
        <v>642.14864439999997</v>
      </c>
      <c r="H4162" s="8">
        <v>658.92600000000004</v>
      </c>
      <c r="I4162" s="8">
        <v>16.777355629999999</v>
      </c>
      <c r="J4162" s="8">
        <v>-52.584425789999997</v>
      </c>
      <c r="K4162" s="8">
        <v>-560.95387349999999</v>
      </c>
      <c r="L4162" s="8">
        <v>518.24261049999996</v>
      </c>
      <c r="M4162" s="9" t="str">
        <f>IF(A4162="",M4163,A4162)</f>
        <v>Timor-Leste</v>
      </c>
      <c r="N4162" s="3" t="str">
        <f t="shared" ref="N4162:N4225" si="131">TEXT(DATE(C4162,D4162,1),"MMM-YYYY")</f>
        <v>Sep-2020</v>
      </c>
    </row>
    <row r="4163" spans="1:14" x14ac:dyDescent="0.3">
      <c r="A4163" s="3" t="s">
        <v>354</v>
      </c>
      <c r="B4163" s="3" t="s">
        <v>355</v>
      </c>
      <c r="C4163" s="8">
        <v>2020</v>
      </c>
      <c r="D4163" s="8">
        <v>10</v>
      </c>
      <c r="E4163" s="3" t="str">
        <f t="shared" si="130"/>
        <v>October</v>
      </c>
      <c r="F4163" s="3" t="s">
        <v>8</v>
      </c>
      <c r="G4163" s="8">
        <v>641.45338830000003</v>
      </c>
      <c r="H4163" s="8">
        <v>643.83600000000001</v>
      </c>
      <c r="I4163" s="8">
        <v>2.3826116750000002</v>
      </c>
      <c r="J4163" s="8">
        <v>-50.201814110000001</v>
      </c>
      <c r="K4163" s="8">
        <v>-575.29960610000001</v>
      </c>
      <c r="L4163" s="8">
        <v>549.35470480000004</v>
      </c>
      <c r="M4163" s="9" t="str">
        <f>IF(A4163="",M4164,A4163)</f>
        <v>Timor-Leste</v>
      </c>
      <c r="N4163" s="3" t="str">
        <f t="shared" si="131"/>
        <v>Oct-2020</v>
      </c>
    </row>
    <row r="4164" spans="1:14" x14ac:dyDescent="0.3">
      <c r="A4164" s="3" t="s">
        <v>354</v>
      </c>
      <c r="B4164" s="3" t="s">
        <v>355</v>
      </c>
      <c r="C4164" s="8">
        <v>2020</v>
      </c>
      <c r="D4164" s="8">
        <v>11</v>
      </c>
      <c r="E4164" s="3" t="str">
        <f t="shared" si="130"/>
        <v>November</v>
      </c>
      <c r="F4164" s="3" t="s">
        <v>8</v>
      </c>
      <c r="G4164" s="8">
        <v>637.94768969999996</v>
      </c>
      <c r="H4164" s="8">
        <v>634.75800000000004</v>
      </c>
      <c r="I4164" s="8">
        <v>-3.1896896990000001</v>
      </c>
      <c r="J4164" s="8">
        <v>-53.391503810000003</v>
      </c>
      <c r="K4164" s="8">
        <v>-614.39141640000003</v>
      </c>
      <c r="L4164" s="8">
        <v>568.13365199999998</v>
      </c>
      <c r="M4164" s="9" t="str">
        <f>IF(A4164="",M4165,A4164)</f>
        <v>Timor-Leste</v>
      </c>
      <c r="N4164" s="3" t="str">
        <f t="shared" si="131"/>
        <v>Nov-2020</v>
      </c>
    </row>
    <row r="4165" spans="1:14" x14ac:dyDescent="0.3">
      <c r="A4165" s="3" t="s">
        <v>354</v>
      </c>
      <c r="B4165" s="3" t="s">
        <v>355</v>
      </c>
      <c r="C4165" s="8">
        <v>2020</v>
      </c>
      <c r="D4165" s="8">
        <v>12</v>
      </c>
      <c r="E4165" s="3" t="str">
        <f t="shared" si="130"/>
        <v>December</v>
      </c>
      <c r="F4165" s="3" t="s">
        <v>8</v>
      </c>
      <c r="G4165" s="8">
        <v>643.02579790000004</v>
      </c>
      <c r="H4165" s="8">
        <v>651.529</v>
      </c>
      <c r="I4165" s="8">
        <v>8.5032020890000002</v>
      </c>
      <c r="J4165" s="8">
        <v>-44.888301720000001</v>
      </c>
      <c r="K4165" s="8">
        <v>-633.92756369999995</v>
      </c>
      <c r="L4165" s="8">
        <v>589.32975390000001</v>
      </c>
      <c r="M4165" s="9" t="str">
        <f>IF(A4165="",M4166,A4165)</f>
        <v>Timor-Leste</v>
      </c>
      <c r="N4165" s="3" t="str">
        <f t="shared" si="131"/>
        <v>Dec-2020</v>
      </c>
    </row>
    <row r="4166" spans="1:14" x14ac:dyDescent="0.3">
      <c r="A4166" s="3" t="s">
        <v>354</v>
      </c>
      <c r="B4166" s="3" t="s">
        <v>355</v>
      </c>
      <c r="C4166" s="8">
        <v>2021</v>
      </c>
      <c r="D4166" s="8">
        <v>1</v>
      </c>
      <c r="E4166" s="3" t="str">
        <f t="shared" si="130"/>
        <v>January</v>
      </c>
      <c r="F4166" s="3" t="s">
        <v>8</v>
      </c>
      <c r="G4166" s="8">
        <v>651.28092219999996</v>
      </c>
      <c r="H4166" s="8">
        <v>654.01599999999996</v>
      </c>
      <c r="I4166" s="8">
        <v>2.7350777640000001</v>
      </c>
      <c r="J4166" s="8">
        <v>-42.153223959999998</v>
      </c>
      <c r="K4166" s="8">
        <v>-651.80254230000003</v>
      </c>
      <c r="L4166" s="8">
        <v>615.32165320000001</v>
      </c>
      <c r="M4166" s="9" t="str">
        <f>IF(A4166="",M4167,A4166)</f>
        <v>Timor-Leste</v>
      </c>
      <c r="N4166" s="3" t="str">
        <f t="shared" si="131"/>
        <v>Jan-2021</v>
      </c>
    </row>
    <row r="4167" spans="1:14" x14ac:dyDescent="0.3">
      <c r="A4167" s="3" t="s">
        <v>354</v>
      </c>
      <c r="B4167" s="3" t="s">
        <v>355</v>
      </c>
      <c r="C4167" s="8">
        <v>2021</v>
      </c>
      <c r="D4167" s="8">
        <v>2</v>
      </c>
      <c r="E4167" s="3" t="str">
        <f t="shared" si="130"/>
        <v>February</v>
      </c>
      <c r="F4167" s="3" t="s">
        <v>8</v>
      </c>
      <c r="G4167" s="8">
        <v>648.9745484</v>
      </c>
      <c r="H4167" s="8">
        <v>665.97500000000002</v>
      </c>
      <c r="I4167" s="8">
        <v>17.000451649999999</v>
      </c>
      <c r="J4167" s="8">
        <v>-25.15277231</v>
      </c>
      <c r="K4167" s="8">
        <v>-658.24365060000002</v>
      </c>
      <c r="L4167" s="8">
        <v>669.75327979999997</v>
      </c>
      <c r="M4167" s="9" t="str">
        <f>IF(A4167="",M4168,A4167)</f>
        <v>Timor-Leste</v>
      </c>
      <c r="N4167" s="3" t="str">
        <f t="shared" si="131"/>
        <v>Feb-2021</v>
      </c>
    </row>
    <row r="4168" spans="1:14" x14ac:dyDescent="0.3">
      <c r="A4168" s="3" t="s">
        <v>354</v>
      </c>
      <c r="B4168" s="3" t="s">
        <v>355</v>
      </c>
      <c r="C4168" s="8">
        <v>2021</v>
      </c>
      <c r="D4168" s="8">
        <v>3</v>
      </c>
      <c r="E4168" s="3" t="str">
        <f t="shared" si="130"/>
        <v>March</v>
      </c>
      <c r="F4168" s="3" t="s">
        <v>8</v>
      </c>
      <c r="G4168" s="8">
        <v>651.72745229999998</v>
      </c>
      <c r="H4168" s="8">
        <v>635.11599999999999</v>
      </c>
      <c r="I4168" s="8">
        <v>-16.611452320000001</v>
      </c>
      <c r="J4168" s="8">
        <v>-41.764224630000001</v>
      </c>
      <c r="K4168" s="8">
        <v>-675.72910130000002</v>
      </c>
      <c r="L4168" s="8">
        <v>648.13684660000001</v>
      </c>
      <c r="M4168" s="9" t="str">
        <f>IF(A4168="",M4169,A4168)</f>
        <v>Timor-Leste</v>
      </c>
      <c r="N4168" s="3" t="str">
        <f t="shared" si="131"/>
        <v>Mar-2021</v>
      </c>
    </row>
    <row r="4169" spans="1:14" x14ac:dyDescent="0.3">
      <c r="A4169" s="3" t="s">
        <v>354</v>
      </c>
      <c r="B4169" s="3" t="s">
        <v>355</v>
      </c>
      <c r="C4169" s="8">
        <v>2021</v>
      </c>
      <c r="D4169" s="8">
        <v>4</v>
      </c>
      <c r="E4169" s="3" t="str">
        <f t="shared" si="130"/>
        <v>April</v>
      </c>
      <c r="F4169" s="3" t="s">
        <v>8</v>
      </c>
      <c r="G4169" s="8">
        <v>652.08250169999997</v>
      </c>
      <c r="H4169" s="8">
        <v>659.726</v>
      </c>
      <c r="I4169" s="8">
        <v>7.6434982839999996</v>
      </c>
      <c r="J4169" s="8">
        <v>-34.120726339999997</v>
      </c>
      <c r="K4169" s="8">
        <v>-721.30305739999994</v>
      </c>
      <c r="L4169" s="8">
        <v>684.77189380000004</v>
      </c>
      <c r="M4169" s="9" t="str">
        <f>IF(A4169="",M4170,A4169)</f>
        <v>Timor-Leste</v>
      </c>
      <c r="N4169" s="3" t="str">
        <f t="shared" si="131"/>
        <v>Apr-2021</v>
      </c>
    </row>
    <row r="4170" spans="1:14" x14ac:dyDescent="0.3">
      <c r="A4170" s="3" t="s">
        <v>354</v>
      </c>
      <c r="B4170" s="3" t="s">
        <v>355</v>
      </c>
      <c r="C4170" s="8">
        <v>2021</v>
      </c>
      <c r="D4170" s="8">
        <v>5</v>
      </c>
      <c r="E4170" s="3" t="str">
        <f t="shared" si="130"/>
        <v>May</v>
      </c>
      <c r="F4170" s="3" t="s">
        <v>8</v>
      </c>
      <c r="G4170" s="8">
        <v>656.99424369999997</v>
      </c>
      <c r="H4170" s="8">
        <v>704.32100000000003</v>
      </c>
      <c r="I4170" s="8">
        <v>47.3267563</v>
      </c>
      <c r="J4170" s="8">
        <v>13.20602996</v>
      </c>
      <c r="K4170" s="8">
        <v>-673.60796489999996</v>
      </c>
      <c r="L4170" s="8">
        <v>772.19142039999997</v>
      </c>
      <c r="M4170" s="9" t="str">
        <f>IF(A4170="",M4171,A4170)</f>
        <v>Timor-Leste</v>
      </c>
      <c r="N4170" s="3" t="str">
        <f t="shared" si="131"/>
        <v>May-2021</v>
      </c>
    </row>
    <row r="4171" spans="1:14" x14ac:dyDescent="0.3">
      <c r="A4171" s="3" t="s">
        <v>354</v>
      </c>
      <c r="B4171" s="3" t="s">
        <v>355</v>
      </c>
      <c r="C4171" s="8">
        <v>2021</v>
      </c>
      <c r="D4171" s="8">
        <v>6</v>
      </c>
      <c r="E4171" s="3" t="str">
        <f t="shared" si="130"/>
        <v>June</v>
      </c>
      <c r="F4171" s="3" t="s">
        <v>8</v>
      </c>
      <c r="G4171" s="8">
        <v>655.51360590000002</v>
      </c>
      <c r="H4171" s="8">
        <v>693.20600000000002</v>
      </c>
      <c r="I4171" s="8">
        <v>37.692394139999998</v>
      </c>
      <c r="J4171" s="8">
        <v>50.898424110000001</v>
      </c>
      <c r="K4171" s="8">
        <v>-689.80015600000002</v>
      </c>
      <c r="L4171" s="8">
        <v>814.51058660000001</v>
      </c>
      <c r="M4171" s="9" t="str">
        <f>IF(A4171="",M4172,A4171)</f>
        <v>Timor-Leste</v>
      </c>
      <c r="N4171" s="3" t="str">
        <f t="shared" si="131"/>
        <v>Jun-2021</v>
      </c>
    </row>
    <row r="4172" spans="1:14" x14ac:dyDescent="0.3">
      <c r="A4172" s="3" t="s">
        <v>354</v>
      </c>
      <c r="B4172" s="3" t="s">
        <v>355</v>
      </c>
      <c r="C4172" s="8">
        <v>2021</v>
      </c>
      <c r="D4172" s="8">
        <v>7</v>
      </c>
      <c r="E4172" s="3" t="str">
        <f t="shared" si="130"/>
        <v>July</v>
      </c>
      <c r="F4172" s="3" t="s">
        <v>8</v>
      </c>
      <c r="G4172" s="8">
        <v>659.13597110000001</v>
      </c>
      <c r="H4172" s="8">
        <v>689.28399999999999</v>
      </c>
      <c r="I4172" s="8">
        <v>30.148028929999999</v>
      </c>
      <c r="J4172" s="8">
        <v>81.046453040000003</v>
      </c>
      <c r="K4172" s="8">
        <v>-673.24045639999997</v>
      </c>
      <c r="L4172" s="8">
        <v>868.75904619999994</v>
      </c>
      <c r="M4172" s="9" t="str">
        <f>IF(A4172="",M4173,A4172)</f>
        <v>Timor-Leste</v>
      </c>
      <c r="N4172" s="3" t="str">
        <f t="shared" si="131"/>
        <v>Jul-2021</v>
      </c>
    </row>
    <row r="4173" spans="1:14" x14ac:dyDescent="0.3">
      <c r="A4173" s="3" t="s">
        <v>354</v>
      </c>
      <c r="B4173" s="3" t="s">
        <v>355</v>
      </c>
      <c r="C4173" s="8">
        <v>2021</v>
      </c>
      <c r="D4173" s="8">
        <v>8</v>
      </c>
      <c r="E4173" s="3" t="str">
        <f t="shared" si="130"/>
        <v>August</v>
      </c>
      <c r="F4173" s="3" t="s">
        <v>8</v>
      </c>
      <c r="G4173" s="8">
        <v>657.20556160000001</v>
      </c>
      <c r="H4173" s="8">
        <v>844.00099999999998</v>
      </c>
      <c r="I4173" s="8">
        <v>186.79543839999999</v>
      </c>
      <c r="J4173" s="8">
        <v>267.84189149999997</v>
      </c>
      <c r="K4173" s="8">
        <v>-521.10273959999995</v>
      </c>
      <c r="L4173" s="8">
        <v>1120.770945</v>
      </c>
      <c r="M4173" s="9" t="str">
        <f>IF(A4173="",M4174,A4173)</f>
        <v>Timor-Leste</v>
      </c>
      <c r="N4173" s="3" t="str">
        <f t="shared" si="131"/>
        <v>Aug-2021</v>
      </c>
    </row>
    <row r="4174" spans="1:14" x14ac:dyDescent="0.3">
      <c r="A4174" s="3" t="s">
        <v>354</v>
      </c>
      <c r="B4174" s="3" t="s">
        <v>355</v>
      </c>
      <c r="C4174" s="8">
        <v>2021</v>
      </c>
      <c r="D4174" s="8">
        <v>9</v>
      </c>
      <c r="E4174" s="3" t="str">
        <f t="shared" si="130"/>
        <v>September</v>
      </c>
      <c r="F4174" s="3" t="s">
        <v>8</v>
      </c>
      <c r="G4174" s="8">
        <v>654.89186180000002</v>
      </c>
      <c r="H4174" s="8">
        <v>841.91499999999996</v>
      </c>
      <c r="I4174" s="8">
        <v>187.02313820000001</v>
      </c>
      <c r="J4174" s="8">
        <v>454.86502960000001</v>
      </c>
      <c r="K4174" s="8">
        <v>-336.8430017</v>
      </c>
      <c r="L4174" s="8">
        <v>1348.7249119999999</v>
      </c>
      <c r="M4174" s="9" t="str">
        <f>IF(A4174="",M4175,A4174)</f>
        <v>Timor-Leste</v>
      </c>
      <c r="N4174" s="3" t="str">
        <f t="shared" si="131"/>
        <v>Sep-2021</v>
      </c>
    </row>
    <row r="4175" spans="1:14" x14ac:dyDescent="0.3">
      <c r="A4175" s="3" t="s">
        <v>354</v>
      </c>
      <c r="B4175" s="3" t="s">
        <v>355</v>
      </c>
      <c r="C4175" s="8">
        <v>2021</v>
      </c>
      <c r="D4175" s="8">
        <v>10</v>
      </c>
      <c r="E4175" s="3" t="str">
        <f t="shared" si="130"/>
        <v>October</v>
      </c>
      <c r="F4175" s="3" t="s">
        <v>8</v>
      </c>
      <c r="G4175" s="8">
        <v>655.12127559999999</v>
      </c>
      <c r="H4175" s="8">
        <v>692.59100000000001</v>
      </c>
      <c r="I4175" s="8">
        <v>37.469724380000002</v>
      </c>
      <c r="J4175" s="8">
        <v>492.33475399999998</v>
      </c>
      <c r="K4175" s="8">
        <v>-358.07987980000001</v>
      </c>
      <c r="L4175" s="8">
        <v>1416.1589489999999</v>
      </c>
      <c r="M4175" s="9" t="str">
        <f>IF(A4175="",M4176,A4175)</f>
        <v>Timor-Leste</v>
      </c>
      <c r="N4175" s="3" t="str">
        <f t="shared" si="131"/>
        <v>Oct-2021</v>
      </c>
    </row>
    <row r="4176" spans="1:14" x14ac:dyDescent="0.3">
      <c r="A4176" s="3" t="s">
        <v>354</v>
      </c>
      <c r="B4176" s="3" t="s">
        <v>355</v>
      </c>
      <c r="C4176" s="8">
        <v>2021</v>
      </c>
      <c r="D4176" s="8">
        <v>11</v>
      </c>
      <c r="E4176" s="3" t="str">
        <f t="shared" si="130"/>
        <v>November</v>
      </c>
      <c r="F4176" s="3" t="s">
        <v>8</v>
      </c>
      <c r="G4176" s="8">
        <v>650.12506310000003</v>
      </c>
      <c r="H4176" s="8">
        <v>664.43700000000001</v>
      </c>
      <c r="I4176" s="8">
        <v>14.31193695</v>
      </c>
      <c r="J4176" s="8">
        <v>506.64669099999998</v>
      </c>
      <c r="K4176" s="8">
        <v>-362.6589654</v>
      </c>
      <c r="L4176" s="8">
        <v>1446.864462</v>
      </c>
      <c r="M4176" s="9" t="str">
        <f>IF(A4176="",M4177,A4176)</f>
        <v>Timor-Leste</v>
      </c>
      <c r="N4176" s="3" t="str">
        <f t="shared" si="131"/>
        <v>Nov-2021</v>
      </c>
    </row>
    <row r="4177" spans="1:14" x14ac:dyDescent="0.3">
      <c r="A4177" s="3" t="s">
        <v>354</v>
      </c>
      <c r="B4177" s="3" t="s">
        <v>355</v>
      </c>
      <c r="C4177" s="8">
        <v>2021</v>
      </c>
      <c r="D4177" s="8">
        <v>12</v>
      </c>
      <c r="E4177" s="3" t="str">
        <f t="shared" si="130"/>
        <v>December</v>
      </c>
      <c r="F4177" s="3" t="s">
        <v>8</v>
      </c>
      <c r="G4177" s="8">
        <v>654.11600099999998</v>
      </c>
      <c r="H4177" s="8">
        <v>687.01</v>
      </c>
      <c r="I4177" s="8">
        <v>32.893998959999998</v>
      </c>
      <c r="J4177" s="8">
        <v>539.54068989999996</v>
      </c>
      <c r="K4177" s="8">
        <v>-380.09331789999999</v>
      </c>
      <c r="L4177" s="8">
        <v>1500.194659</v>
      </c>
      <c r="M4177" s="9" t="str">
        <f>IF(A4177="",M4178,A4177)</f>
        <v>Timor-Leste</v>
      </c>
      <c r="N4177" s="3" t="str">
        <f t="shared" si="131"/>
        <v>Dec-2021</v>
      </c>
    </row>
    <row r="4178" spans="1:14" x14ac:dyDescent="0.3">
      <c r="A4178" s="3" t="s">
        <v>356</v>
      </c>
      <c r="B4178" s="3" t="s">
        <v>357</v>
      </c>
      <c r="C4178" s="8">
        <v>2020</v>
      </c>
      <c r="D4178" s="8">
        <v>1</v>
      </c>
      <c r="E4178" s="3" t="str">
        <f t="shared" si="130"/>
        <v>January</v>
      </c>
      <c r="F4178" s="3" t="s">
        <v>8</v>
      </c>
      <c r="G4178" s="8">
        <v>51.899982690000002</v>
      </c>
      <c r="H4178" s="8">
        <v>53.395000000000003</v>
      </c>
      <c r="I4178" s="8">
        <v>1.4950173069999999</v>
      </c>
      <c r="J4178" s="8">
        <v>1.4950173069999999</v>
      </c>
      <c r="K4178" s="8">
        <v>-17.11693283</v>
      </c>
      <c r="L4178" s="8">
        <v>21.709547610000001</v>
      </c>
      <c r="M4178" s="9" t="str">
        <f>IF(A4178="",M4179,A4178)</f>
        <v>Tonga</v>
      </c>
      <c r="N4178" s="3" t="str">
        <f t="shared" si="131"/>
        <v>Jan-2020</v>
      </c>
    </row>
    <row r="4179" spans="1:14" x14ac:dyDescent="0.3">
      <c r="A4179" s="3" t="s">
        <v>356</v>
      </c>
      <c r="B4179" s="3" t="s">
        <v>357</v>
      </c>
      <c r="C4179" s="8">
        <v>2020</v>
      </c>
      <c r="D4179" s="8">
        <v>2</v>
      </c>
      <c r="E4179" s="3" t="str">
        <f t="shared" si="130"/>
        <v>February</v>
      </c>
      <c r="F4179" s="3" t="s">
        <v>8</v>
      </c>
      <c r="G4179" s="8">
        <v>51.680993119999997</v>
      </c>
      <c r="H4179" s="8">
        <v>51</v>
      </c>
      <c r="I4179" s="8">
        <v>-0.68099312300000003</v>
      </c>
      <c r="J4179" s="8">
        <v>0.81402418399999998</v>
      </c>
      <c r="K4179" s="8">
        <v>-27.187257540000001</v>
      </c>
      <c r="L4179" s="8">
        <v>30.02990059</v>
      </c>
      <c r="M4179" s="9" t="str">
        <f>IF(A4179="",M4180,A4179)</f>
        <v>Tonga</v>
      </c>
      <c r="N4179" s="3" t="str">
        <f t="shared" si="131"/>
        <v>Feb-2020</v>
      </c>
    </row>
    <row r="4180" spans="1:14" x14ac:dyDescent="0.3">
      <c r="A4180" s="3" t="s">
        <v>356</v>
      </c>
      <c r="B4180" s="3" t="s">
        <v>357</v>
      </c>
      <c r="C4180" s="8">
        <v>2020</v>
      </c>
      <c r="D4180" s="8">
        <v>3</v>
      </c>
      <c r="E4180" s="3" t="str">
        <f t="shared" si="130"/>
        <v>March</v>
      </c>
      <c r="F4180" s="3" t="s">
        <v>8</v>
      </c>
      <c r="G4180" s="8">
        <v>51.960181689999999</v>
      </c>
      <c r="H4180" s="8">
        <v>51.445</v>
      </c>
      <c r="I4180" s="8">
        <v>-0.51518169300000005</v>
      </c>
      <c r="J4180" s="8">
        <v>0.29884249099999999</v>
      </c>
      <c r="K4180" s="8">
        <v>-33.380155950000002</v>
      </c>
      <c r="L4180" s="8">
        <v>35.364299090000003</v>
      </c>
      <c r="M4180" s="9" t="str">
        <f>IF(A4180="",M4181,A4180)</f>
        <v>Tonga</v>
      </c>
      <c r="N4180" s="3" t="str">
        <f t="shared" si="131"/>
        <v>Mar-2020</v>
      </c>
    </row>
    <row r="4181" spans="1:14" x14ac:dyDescent="0.3">
      <c r="A4181" s="3" t="s">
        <v>356</v>
      </c>
      <c r="B4181" s="3" t="s">
        <v>357</v>
      </c>
      <c r="C4181" s="8">
        <v>2020</v>
      </c>
      <c r="D4181" s="8">
        <v>4</v>
      </c>
      <c r="E4181" s="3" t="str">
        <f t="shared" si="130"/>
        <v>April</v>
      </c>
      <c r="F4181" s="3" t="s">
        <v>8</v>
      </c>
      <c r="G4181" s="8">
        <v>51.901235130000003</v>
      </c>
      <c r="H4181" s="8">
        <v>48.826999999999998</v>
      </c>
      <c r="I4181" s="8">
        <v>-3.074235131</v>
      </c>
      <c r="J4181" s="8">
        <v>-2.7753926400000002</v>
      </c>
      <c r="K4181" s="8">
        <v>-39.767207880000001</v>
      </c>
      <c r="L4181" s="8">
        <v>38.588946479999997</v>
      </c>
      <c r="M4181" s="9" t="str">
        <f>IF(A4181="",M4182,A4181)</f>
        <v>Tonga</v>
      </c>
      <c r="N4181" s="3" t="str">
        <f t="shared" si="131"/>
        <v>Apr-2020</v>
      </c>
    </row>
    <row r="4182" spans="1:14" x14ac:dyDescent="0.3">
      <c r="A4182" s="3" t="s">
        <v>356</v>
      </c>
      <c r="B4182" s="3" t="s">
        <v>357</v>
      </c>
      <c r="C4182" s="8">
        <v>2020</v>
      </c>
      <c r="D4182" s="8">
        <v>5</v>
      </c>
      <c r="E4182" s="3" t="str">
        <f t="shared" si="130"/>
        <v>May</v>
      </c>
      <c r="F4182" s="3" t="s">
        <v>8</v>
      </c>
      <c r="G4182" s="8">
        <v>52.470224649999999</v>
      </c>
      <c r="H4182" s="8">
        <v>49.988999999999997</v>
      </c>
      <c r="I4182" s="8">
        <v>-2.4812246550000001</v>
      </c>
      <c r="J4182" s="8">
        <v>-5.2566172949999999</v>
      </c>
      <c r="K4182" s="8">
        <v>-46.28056188</v>
      </c>
      <c r="L4182" s="8">
        <v>40.13367195</v>
      </c>
      <c r="M4182" s="9" t="str">
        <f>IF(A4182="",M4183,A4182)</f>
        <v>Tonga</v>
      </c>
      <c r="N4182" s="3" t="str">
        <f t="shared" si="131"/>
        <v>May-2020</v>
      </c>
    </row>
    <row r="4183" spans="1:14" x14ac:dyDescent="0.3">
      <c r="A4183" s="3" t="s">
        <v>356</v>
      </c>
      <c r="B4183" s="3" t="s">
        <v>357</v>
      </c>
      <c r="C4183" s="8">
        <v>2020</v>
      </c>
      <c r="D4183" s="8">
        <v>6</v>
      </c>
      <c r="E4183" s="3" t="str">
        <f t="shared" si="130"/>
        <v>June</v>
      </c>
      <c r="F4183" s="3" t="s">
        <v>8</v>
      </c>
      <c r="G4183" s="8">
        <v>52.643757999999998</v>
      </c>
      <c r="H4183" s="8">
        <v>51.722999999999999</v>
      </c>
      <c r="I4183" s="8">
        <v>-0.92075800399999996</v>
      </c>
      <c r="J4183" s="8">
        <v>-6.1773752990000004</v>
      </c>
      <c r="K4183" s="8">
        <v>-50.832912579999999</v>
      </c>
      <c r="L4183" s="8">
        <v>39.772387019999996</v>
      </c>
      <c r="M4183" s="9" t="str">
        <f>IF(A4183="",M4184,A4183)</f>
        <v>Tonga</v>
      </c>
      <c r="N4183" s="3" t="str">
        <f t="shared" si="131"/>
        <v>Jun-2020</v>
      </c>
    </row>
    <row r="4184" spans="1:14" x14ac:dyDescent="0.3">
      <c r="A4184" s="3" t="s">
        <v>356</v>
      </c>
      <c r="B4184" s="3" t="s">
        <v>357</v>
      </c>
      <c r="C4184" s="8">
        <v>2020</v>
      </c>
      <c r="D4184" s="8">
        <v>7</v>
      </c>
      <c r="E4184" s="3" t="str">
        <f t="shared" si="130"/>
        <v>July</v>
      </c>
      <c r="F4184" s="3" t="s">
        <v>8</v>
      </c>
      <c r="G4184" s="8">
        <v>52.855634709999997</v>
      </c>
      <c r="H4184" s="8">
        <v>51.905000000000001</v>
      </c>
      <c r="I4184" s="8">
        <v>-0.95063471499999996</v>
      </c>
      <c r="J4184" s="8">
        <v>-7.128010014</v>
      </c>
      <c r="K4184" s="8">
        <v>-56.431645119999999</v>
      </c>
      <c r="L4184" s="8">
        <v>47.917554209999999</v>
      </c>
      <c r="M4184" s="9" t="str">
        <f>IF(A4184="",M4185,A4184)</f>
        <v>Tonga</v>
      </c>
      <c r="N4184" s="3" t="str">
        <f t="shared" si="131"/>
        <v>Jul-2020</v>
      </c>
    </row>
    <row r="4185" spans="1:14" x14ac:dyDescent="0.3">
      <c r="A4185" s="3" t="s">
        <v>356</v>
      </c>
      <c r="B4185" s="3" t="s">
        <v>357</v>
      </c>
      <c r="C4185" s="8">
        <v>2020</v>
      </c>
      <c r="D4185" s="8">
        <v>8</v>
      </c>
      <c r="E4185" s="3" t="str">
        <f t="shared" si="130"/>
        <v>August</v>
      </c>
      <c r="F4185" s="3" t="s">
        <v>8</v>
      </c>
      <c r="G4185" s="8">
        <v>52.790060230000002</v>
      </c>
      <c r="H4185" s="8">
        <v>51.911000000000001</v>
      </c>
      <c r="I4185" s="8">
        <v>-0.87906023</v>
      </c>
      <c r="J4185" s="8">
        <v>-8.0070702429999994</v>
      </c>
      <c r="K4185" s="8">
        <v>-61.919204059999998</v>
      </c>
      <c r="L4185" s="8">
        <v>50.489173729999997</v>
      </c>
      <c r="M4185" s="9" t="str">
        <f>IF(A4185="",M4186,A4185)</f>
        <v>Tonga</v>
      </c>
      <c r="N4185" s="3" t="str">
        <f t="shared" si="131"/>
        <v>Aug-2020</v>
      </c>
    </row>
    <row r="4186" spans="1:14" x14ac:dyDescent="0.3">
      <c r="A4186" s="3" t="s">
        <v>356</v>
      </c>
      <c r="B4186" s="3" t="s">
        <v>357</v>
      </c>
      <c r="C4186" s="8">
        <v>2020</v>
      </c>
      <c r="D4186" s="8">
        <v>9</v>
      </c>
      <c r="E4186" s="3" t="str">
        <f t="shared" si="130"/>
        <v>September</v>
      </c>
      <c r="F4186" s="3" t="s">
        <v>8</v>
      </c>
      <c r="G4186" s="8">
        <v>52.853891169999997</v>
      </c>
      <c r="H4186" s="8">
        <v>53.213999999999999</v>
      </c>
      <c r="I4186" s="8">
        <v>0.36010883199999999</v>
      </c>
      <c r="J4186" s="8">
        <v>-7.6469614110000004</v>
      </c>
      <c r="K4186" s="8">
        <v>-61.285134159999998</v>
      </c>
      <c r="L4186" s="8">
        <v>54.565182210000003</v>
      </c>
      <c r="M4186" s="9" t="str">
        <f>IF(A4186="",M4187,A4186)</f>
        <v>Tonga</v>
      </c>
      <c r="N4186" s="3" t="str">
        <f t="shared" si="131"/>
        <v>Sep-2020</v>
      </c>
    </row>
    <row r="4187" spans="1:14" x14ac:dyDescent="0.3">
      <c r="A4187" s="3" t="s">
        <v>356</v>
      </c>
      <c r="B4187" s="3" t="s">
        <v>357</v>
      </c>
      <c r="C4187" s="8">
        <v>2020</v>
      </c>
      <c r="D4187" s="8">
        <v>10</v>
      </c>
      <c r="E4187" s="3" t="str">
        <f t="shared" si="130"/>
        <v>October</v>
      </c>
      <c r="F4187" s="3" t="s">
        <v>8</v>
      </c>
      <c r="G4187" s="8">
        <v>52.51993624</v>
      </c>
      <c r="H4187" s="8">
        <v>52.024999999999999</v>
      </c>
      <c r="I4187" s="8">
        <v>-0.494936237</v>
      </c>
      <c r="J4187" s="8">
        <v>-8.1418976480000005</v>
      </c>
      <c r="K4187" s="8">
        <v>-66.744120550000005</v>
      </c>
      <c r="L4187" s="8">
        <v>57.795152649999999</v>
      </c>
      <c r="M4187" s="9" t="str">
        <f>IF(A4187="",M4188,A4187)</f>
        <v>Tonga</v>
      </c>
      <c r="N4187" s="3" t="str">
        <f t="shared" si="131"/>
        <v>Oct-2020</v>
      </c>
    </row>
    <row r="4188" spans="1:14" x14ac:dyDescent="0.3">
      <c r="A4188" s="3" t="s">
        <v>356</v>
      </c>
      <c r="B4188" s="3" t="s">
        <v>357</v>
      </c>
      <c r="C4188" s="8">
        <v>2020</v>
      </c>
      <c r="D4188" s="8">
        <v>11</v>
      </c>
      <c r="E4188" s="3" t="str">
        <f t="shared" si="130"/>
        <v>November</v>
      </c>
      <c r="F4188" s="3" t="s">
        <v>8</v>
      </c>
      <c r="G4188" s="8">
        <v>52.172135169999997</v>
      </c>
      <c r="H4188" s="8">
        <v>51.866</v>
      </c>
      <c r="I4188" s="8">
        <v>-0.30613516899999998</v>
      </c>
      <c r="J4188" s="8">
        <v>-8.4480328179999997</v>
      </c>
      <c r="K4188" s="8">
        <v>-69.551028930000001</v>
      </c>
      <c r="L4188" s="8">
        <v>61.106880940000003</v>
      </c>
      <c r="M4188" s="9" t="str">
        <f>IF(A4188="",M4189,A4188)</f>
        <v>Tonga</v>
      </c>
      <c r="N4188" s="3" t="str">
        <f t="shared" si="131"/>
        <v>Nov-2020</v>
      </c>
    </row>
    <row r="4189" spans="1:14" x14ac:dyDescent="0.3">
      <c r="A4189" s="3" t="s">
        <v>356</v>
      </c>
      <c r="B4189" s="3" t="s">
        <v>357</v>
      </c>
      <c r="C4189" s="8">
        <v>2020</v>
      </c>
      <c r="D4189" s="8">
        <v>12</v>
      </c>
      <c r="E4189" s="3" t="str">
        <f t="shared" si="130"/>
        <v>December</v>
      </c>
      <c r="F4189" s="3" t="s">
        <v>8</v>
      </c>
      <c r="G4189" s="8">
        <v>51.993729479999999</v>
      </c>
      <c r="H4189" s="8">
        <v>51.279000000000003</v>
      </c>
      <c r="I4189" s="8">
        <v>-0.71472947799999997</v>
      </c>
      <c r="J4189" s="8">
        <v>-9.1627622950000003</v>
      </c>
      <c r="K4189" s="8">
        <v>-72.749789199999995</v>
      </c>
      <c r="L4189" s="8">
        <v>60.026142589999999</v>
      </c>
      <c r="M4189" s="9" t="str">
        <f>IF(A4189="",M4190,A4189)</f>
        <v>Tonga</v>
      </c>
      <c r="N4189" s="3" t="str">
        <f t="shared" si="131"/>
        <v>Dec-2020</v>
      </c>
    </row>
    <row r="4190" spans="1:14" x14ac:dyDescent="0.3">
      <c r="A4190" s="3" t="s">
        <v>356</v>
      </c>
      <c r="B4190" s="3" t="s">
        <v>357</v>
      </c>
      <c r="C4190" s="8">
        <v>2021</v>
      </c>
      <c r="D4190" s="8">
        <v>1</v>
      </c>
      <c r="E4190" s="3" t="str">
        <f t="shared" si="130"/>
        <v>January</v>
      </c>
      <c r="F4190" s="3" t="s">
        <v>8</v>
      </c>
      <c r="G4190" s="8">
        <v>52.242608699999998</v>
      </c>
      <c r="H4190" s="8">
        <v>52.255000000000003</v>
      </c>
      <c r="I4190" s="8">
        <v>1.2391299999999999E-2</v>
      </c>
      <c r="J4190" s="8">
        <v>-9.1503709949999994</v>
      </c>
      <c r="K4190" s="8">
        <v>-77.556118549999994</v>
      </c>
      <c r="L4190" s="8">
        <v>63.674263099999997</v>
      </c>
      <c r="M4190" s="9" t="str">
        <f>IF(A4190="",M4191,A4190)</f>
        <v>Tonga</v>
      </c>
      <c r="N4190" s="3" t="str">
        <f t="shared" si="131"/>
        <v>Jan-2021</v>
      </c>
    </row>
    <row r="4191" spans="1:14" x14ac:dyDescent="0.3">
      <c r="A4191" s="3" t="s">
        <v>356</v>
      </c>
      <c r="B4191" s="3" t="s">
        <v>357</v>
      </c>
      <c r="C4191" s="8">
        <v>2021</v>
      </c>
      <c r="D4191" s="8">
        <v>2</v>
      </c>
      <c r="E4191" s="3" t="str">
        <f t="shared" si="130"/>
        <v>February</v>
      </c>
      <c r="F4191" s="3" t="s">
        <v>8</v>
      </c>
      <c r="G4191" s="8">
        <v>51.975671990000002</v>
      </c>
      <c r="H4191" s="8">
        <v>53.283000000000001</v>
      </c>
      <c r="I4191" s="8">
        <v>1.3073280119999999</v>
      </c>
      <c r="J4191" s="8">
        <v>-7.8430429830000001</v>
      </c>
      <c r="K4191" s="8">
        <v>-77.522732259999998</v>
      </c>
      <c r="L4191" s="8">
        <v>67.143404079999996</v>
      </c>
      <c r="M4191" s="9" t="str">
        <f>IF(A4191="",M4192,A4191)</f>
        <v>Tonga</v>
      </c>
      <c r="N4191" s="3" t="str">
        <f t="shared" si="131"/>
        <v>Feb-2021</v>
      </c>
    </row>
    <row r="4192" spans="1:14" x14ac:dyDescent="0.3">
      <c r="A4192" s="3" t="s">
        <v>356</v>
      </c>
      <c r="B4192" s="3" t="s">
        <v>357</v>
      </c>
      <c r="C4192" s="8">
        <v>2021</v>
      </c>
      <c r="D4192" s="8">
        <v>3</v>
      </c>
      <c r="E4192" s="3" t="str">
        <f t="shared" si="130"/>
        <v>March</v>
      </c>
      <c r="F4192" s="3" t="s">
        <v>8</v>
      </c>
      <c r="G4192" s="8">
        <v>52.147995600000002</v>
      </c>
      <c r="H4192" s="8">
        <v>53.594999999999999</v>
      </c>
      <c r="I4192" s="8">
        <v>1.4470044019999999</v>
      </c>
      <c r="J4192" s="8">
        <v>-6.396038581</v>
      </c>
      <c r="K4192" s="8">
        <v>-81.131615960000005</v>
      </c>
      <c r="L4192" s="8">
        <v>71.922356320000006</v>
      </c>
      <c r="M4192" s="9" t="str">
        <f>IF(A4192="",M4193,A4192)</f>
        <v>Tonga</v>
      </c>
      <c r="N4192" s="3" t="str">
        <f t="shared" si="131"/>
        <v>Mar-2021</v>
      </c>
    </row>
    <row r="4193" spans="1:14" x14ac:dyDescent="0.3">
      <c r="A4193" s="3" t="s">
        <v>356</v>
      </c>
      <c r="B4193" s="3" t="s">
        <v>357</v>
      </c>
      <c r="C4193" s="8">
        <v>2021</v>
      </c>
      <c r="D4193" s="8">
        <v>4</v>
      </c>
      <c r="E4193" s="3" t="str">
        <f t="shared" si="130"/>
        <v>April</v>
      </c>
      <c r="F4193" s="3" t="s">
        <v>8</v>
      </c>
      <c r="G4193" s="8">
        <v>52.282246139999998</v>
      </c>
      <c r="H4193" s="8">
        <v>53.784999999999997</v>
      </c>
      <c r="I4193" s="8">
        <v>1.5027538600000001</v>
      </c>
      <c r="J4193" s="8">
        <v>-4.8932847219999998</v>
      </c>
      <c r="K4193" s="8">
        <v>-82.964920329999998</v>
      </c>
      <c r="L4193" s="8">
        <v>74.378043329999997</v>
      </c>
      <c r="M4193" s="9" t="str">
        <f>IF(A4193="",M4194,A4193)</f>
        <v>Tonga</v>
      </c>
      <c r="N4193" s="3" t="str">
        <f t="shared" si="131"/>
        <v>Apr-2021</v>
      </c>
    </row>
    <row r="4194" spans="1:14" x14ac:dyDescent="0.3">
      <c r="A4194" s="3" t="s">
        <v>356</v>
      </c>
      <c r="B4194" s="3" t="s">
        <v>357</v>
      </c>
      <c r="C4194" s="8">
        <v>2021</v>
      </c>
      <c r="D4194" s="8">
        <v>5</v>
      </c>
      <c r="E4194" s="3" t="str">
        <f t="shared" si="130"/>
        <v>May</v>
      </c>
      <c r="F4194" s="3" t="s">
        <v>8</v>
      </c>
      <c r="G4194" s="8">
        <v>52.770631880000003</v>
      </c>
      <c r="H4194" s="8">
        <v>54.529000000000003</v>
      </c>
      <c r="I4194" s="8">
        <v>1.7583681179999999</v>
      </c>
      <c r="J4194" s="8">
        <v>-3.1349166039999998</v>
      </c>
      <c r="K4194" s="8">
        <v>-82.357240309999995</v>
      </c>
      <c r="L4194" s="8">
        <v>79.623141279999999</v>
      </c>
      <c r="M4194" s="9" t="str">
        <f>IF(A4194="",M4195,A4194)</f>
        <v>Tonga</v>
      </c>
      <c r="N4194" s="3" t="str">
        <f t="shared" si="131"/>
        <v>May-2021</v>
      </c>
    </row>
    <row r="4195" spans="1:14" x14ac:dyDescent="0.3">
      <c r="A4195" s="3" t="s">
        <v>356</v>
      </c>
      <c r="B4195" s="3" t="s">
        <v>357</v>
      </c>
      <c r="C4195" s="8">
        <v>2021</v>
      </c>
      <c r="D4195" s="8">
        <v>6</v>
      </c>
      <c r="E4195" s="3" t="str">
        <f t="shared" si="130"/>
        <v>June</v>
      </c>
      <c r="F4195" s="3" t="s">
        <v>8</v>
      </c>
      <c r="G4195" s="8">
        <v>52.860944179999997</v>
      </c>
      <c r="H4195" s="8">
        <v>55.051000000000002</v>
      </c>
      <c r="I4195" s="8">
        <v>2.19005582</v>
      </c>
      <c r="J4195" s="8">
        <v>-0.94486078399999995</v>
      </c>
      <c r="K4195" s="8">
        <v>-81.254854780000002</v>
      </c>
      <c r="L4195" s="8">
        <v>85.603563629999996</v>
      </c>
      <c r="M4195" s="9" t="str">
        <f>IF(A4195="",M4196,A4195)</f>
        <v>Tonga</v>
      </c>
      <c r="N4195" s="3" t="str">
        <f t="shared" si="131"/>
        <v>Jun-2021</v>
      </c>
    </row>
    <row r="4196" spans="1:14" x14ac:dyDescent="0.3">
      <c r="A4196" s="3" t="s">
        <v>356</v>
      </c>
      <c r="B4196" s="3" t="s">
        <v>357</v>
      </c>
      <c r="C4196" s="8">
        <v>2021</v>
      </c>
      <c r="D4196" s="8">
        <v>7</v>
      </c>
      <c r="E4196" s="3" t="str">
        <f t="shared" si="130"/>
        <v>July</v>
      </c>
      <c r="F4196" s="3" t="s">
        <v>8</v>
      </c>
      <c r="G4196" s="8">
        <v>53.16551905</v>
      </c>
      <c r="H4196" s="8">
        <v>54.887</v>
      </c>
      <c r="I4196" s="8">
        <v>1.721480954</v>
      </c>
      <c r="J4196" s="8">
        <v>0.77662017100000003</v>
      </c>
      <c r="K4196" s="8">
        <v>-84.580315900000002</v>
      </c>
      <c r="L4196" s="8">
        <v>87.213180710000003</v>
      </c>
      <c r="M4196" s="9" t="str">
        <f>IF(A4196="",M4197,A4196)</f>
        <v>Tonga</v>
      </c>
      <c r="N4196" s="3" t="str">
        <f t="shared" si="131"/>
        <v>Jul-2021</v>
      </c>
    </row>
    <row r="4197" spans="1:14" x14ac:dyDescent="0.3">
      <c r="A4197" s="3" t="s">
        <v>356</v>
      </c>
      <c r="B4197" s="3" t="s">
        <v>357</v>
      </c>
      <c r="C4197" s="8">
        <v>2021</v>
      </c>
      <c r="D4197" s="8">
        <v>8</v>
      </c>
      <c r="E4197" s="3" t="str">
        <f t="shared" si="130"/>
        <v>August</v>
      </c>
      <c r="F4197" s="3" t="s">
        <v>8</v>
      </c>
      <c r="G4197" s="8">
        <v>53.09018219</v>
      </c>
      <c r="H4197" s="8">
        <v>53.177999999999997</v>
      </c>
      <c r="I4197" s="8">
        <v>8.7817804999999999E-2</v>
      </c>
      <c r="J4197" s="8">
        <v>0.86443797600000005</v>
      </c>
      <c r="K4197" s="8">
        <v>-87.142970500000004</v>
      </c>
      <c r="L4197" s="8">
        <v>89.905666359999998</v>
      </c>
      <c r="M4197" s="9" t="str">
        <f>IF(A4197="",M4198,A4197)</f>
        <v>Tonga</v>
      </c>
      <c r="N4197" s="3" t="str">
        <f t="shared" si="131"/>
        <v>Aug-2021</v>
      </c>
    </row>
    <row r="4198" spans="1:14" x14ac:dyDescent="0.3">
      <c r="A4198" s="3" t="s">
        <v>356</v>
      </c>
      <c r="B4198" s="3" t="s">
        <v>357</v>
      </c>
      <c r="C4198" s="8">
        <v>2021</v>
      </c>
      <c r="D4198" s="8">
        <v>9</v>
      </c>
      <c r="E4198" s="3" t="str">
        <f t="shared" si="130"/>
        <v>September</v>
      </c>
      <c r="F4198" s="3" t="s">
        <v>8</v>
      </c>
      <c r="G4198" s="8">
        <v>53.159794040000001</v>
      </c>
      <c r="H4198" s="8">
        <v>54.951000000000001</v>
      </c>
      <c r="I4198" s="8">
        <v>1.7912059570000001</v>
      </c>
      <c r="J4198" s="8">
        <v>2.6556439329999999</v>
      </c>
      <c r="K4198" s="8">
        <v>-84.095536390000007</v>
      </c>
      <c r="L4198" s="8">
        <v>95.014435349999999</v>
      </c>
      <c r="M4198" s="9" t="str">
        <f>IF(A4198="",M4199,A4198)</f>
        <v>Tonga</v>
      </c>
      <c r="N4198" s="3" t="str">
        <f t="shared" si="131"/>
        <v>Sep-2021</v>
      </c>
    </row>
    <row r="4199" spans="1:14" x14ac:dyDescent="0.3">
      <c r="A4199" s="3" t="s">
        <v>356</v>
      </c>
      <c r="B4199" s="3" t="s">
        <v>357</v>
      </c>
      <c r="C4199" s="8">
        <v>2021</v>
      </c>
      <c r="D4199" s="8">
        <v>10</v>
      </c>
      <c r="E4199" s="3" t="str">
        <f t="shared" si="130"/>
        <v>October</v>
      </c>
      <c r="F4199" s="3" t="s">
        <v>8</v>
      </c>
      <c r="G4199" s="8">
        <v>52.874925470000001</v>
      </c>
      <c r="H4199" s="8">
        <v>54.424999999999997</v>
      </c>
      <c r="I4199" s="8">
        <v>1.550074535</v>
      </c>
      <c r="J4199" s="8">
        <v>4.2057184679999997</v>
      </c>
      <c r="K4199" s="8">
        <v>-85.723361150000002</v>
      </c>
      <c r="L4199" s="8">
        <v>99.455386910000001</v>
      </c>
      <c r="M4199" s="9" t="str">
        <f>IF(A4199="",M4200,A4199)</f>
        <v>Tonga</v>
      </c>
      <c r="N4199" s="3" t="str">
        <f t="shared" si="131"/>
        <v>Oct-2021</v>
      </c>
    </row>
    <row r="4200" spans="1:14" x14ac:dyDescent="0.3">
      <c r="A4200" s="3" t="s">
        <v>356</v>
      </c>
      <c r="B4200" s="3" t="s">
        <v>357</v>
      </c>
      <c r="C4200" s="8">
        <v>2021</v>
      </c>
      <c r="D4200" s="8">
        <v>11</v>
      </c>
      <c r="E4200" s="3" t="str">
        <f t="shared" si="130"/>
        <v>November</v>
      </c>
      <c r="F4200" s="3" t="s">
        <v>8</v>
      </c>
      <c r="G4200" s="8">
        <v>52.506298119999997</v>
      </c>
      <c r="H4200" s="8">
        <v>55.063000000000002</v>
      </c>
      <c r="I4200" s="8">
        <v>2.556701876</v>
      </c>
      <c r="J4200" s="8">
        <v>6.7624203439999997</v>
      </c>
      <c r="K4200" s="8">
        <v>-84.855365070000005</v>
      </c>
      <c r="L4200" s="8">
        <v>104.5460037</v>
      </c>
      <c r="M4200" s="9" t="str">
        <f>IF(A4200="",M4201,A4200)</f>
        <v>Tonga</v>
      </c>
      <c r="N4200" s="3" t="str">
        <f t="shared" si="131"/>
        <v>Nov-2021</v>
      </c>
    </row>
    <row r="4201" spans="1:14" x14ac:dyDescent="0.3">
      <c r="A4201" s="3" t="s">
        <v>356</v>
      </c>
      <c r="B4201" s="3" t="s">
        <v>357</v>
      </c>
      <c r="C4201" s="8">
        <v>2021</v>
      </c>
      <c r="D4201" s="8">
        <v>12</v>
      </c>
      <c r="E4201" s="3" t="str">
        <f t="shared" si="130"/>
        <v>December</v>
      </c>
      <c r="F4201" s="3" t="s">
        <v>8</v>
      </c>
      <c r="G4201" s="8">
        <v>52.34315402</v>
      </c>
      <c r="H4201" s="8">
        <v>56.168999999999997</v>
      </c>
      <c r="I4201" s="8">
        <v>3.8258459770000002</v>
      </c>
      <c r="J4201" s="8">
        <v>10.588266320000001</v>
      </c>
      <c r="K4201" s="8">
        <v>-85.466785169999994</v>
      </c>
      <c r="L4201" s="8">
        <v>110.8350016</v>
      </c>
      <c r="M4201" s="9" t="str">
        <f>IF(A4201="",M4202,A4201)</f>
        <v>Tonga</v>
      </c>
      <c r="N4201" s="3" t="str">
        <f t="shared" si="131"/>
        <v>Dec-2021</v>
      </c>
    </row>
    <row r="4202" spans="1:14" x14ac:dyDescent="0.3">
      <c r="A4202" s="3" t="s">
        <v>358</v>
      </c>
      <c r="B4202" s="3" t="s">
        <v>359</v>
      </c>
      <c r="C4202" s="8">
        <v>2020</v>
      </c>
      <c r="D4202" s="8">
        <v>1</v>
      </c>
      <c r="E4202" s="3" t="str">
        <f t="shared" si="130"/>
        <v>January</v>
      </c>
      <c r="F4202" s="3" t="s">
        <v>8</v>
      </c>
      <c r="G4202" s="8">
        <v>786.53383610000003</v>
      </c>
      <c r="H4202" s="8">
        <v>810.11</v>
      </c>
      <c r="I4202" s="8">
        <v>23.57616393</v>
      </c>
      <c r="J4202" s="8">
        <v>23.57616393</v>
      </c>
      <c r="K4202" s="8">
        <v>-178.79976959999999</v>
      </c>
      <c r="L4202" s="8">
        <v>251.9029295</v>
      </c>
      <c r="M4202" s="9" t="str">
        <f>IF(A4202="",M4203,A4202)</f>
        <v>Trinidad and Tobago</v>
      </c>
      <c r="N4202" s="3" t="str">
        <f t="shared" si="131"/>
        <v>Jan-2020</v>
      </c>
    </row>
    <row r="4203" spans="1:14" x14ac:dyDescent="0.3">
      <c r="A4203" s="3" t="s">
        <v>358</v>
      </c>
      <c r="B4203" s="3" t="s">
        <v>359</v>
      </c>
      <c r="C4203" s="8">
        <v>2020</v>
      </c>
      <c r="D4203" s="8">
        <v>2</v>
      </c>
      <c r="E4203" s="3" t="str">
        <f t="shared" si="130"/>
        <v>February</v>
      </c>
      <c r="F4203" s="3" t="s">
        <v>8</v>
      </c>
      <c r="G4203" s="8">
        <v>784.74410490000002</v>
      </c>
      <c r="H4203" s="8">
        <v>776.60599999999999</v>
      </c>
      <c r="I4203" s="8">
        <v>-8.1381048719999995</v>
      </c>
      <c r="J4203" s="8">
        <v>15.43805906</v>
      </c>
      <c r="K4203" s="8">
        <v>-266.5270524</v>
      </c>
      <c r="L4203" s="8">
        <v>327.49536819999997</v>
      </c>
      <c r="M4203" s="9" t="str">
        <f>IF(A4203="",M4204,A4203)</f>
        <v>Trinidad and Tobago</v>
      </c>
      <c r="N4203" s="3" t="str">
        <f t="shared" si="131"/>
        <v>Feb-2020</v>
      </c>
    </row>
    <row r="4204" spans="1:14" x14ac:dyDescent="0.3">
      <c r="A4204" s="3" t="s">
        <v>358</v>
      </c>
      <c r="B4204" s="3" t="s">
        <v>359</v>
      </c>
      <c r="C4204" s="8">
        <v>2020</v>
      </c>
      <c r="D4204" s="8">
        <v>3</v>
      </c>
      <c r="E4204" s="3" t="str">
        <f t="shared" si="130"/>
        <v>March</v>
      </c>
      <c r="F4204" s="3" t="s">
        <v>8</v>
      </c>
      <c r="G4204" s="8">
        <v>782.9128551</v>
      </c>
      <c r="H4204" s="8">
        <v>794.38599999999997</v>
      </c>
      <c r="I4204" s="8">
        <v>11.473144939999999</v>
      </c>
      <c r="J4204" s="8">
        <v>26.911204000000001</v>
      </c>
      <c r="K4204" s="8">
        <v>-339.87879040000001</v>
      </c>
      <c r="L4204" s="8">
        <v>396.91508929999998</v>
      </c>
      <c r="M4204" s="9" t="str">
        <f>IF(A4204="",M4205,A4204)</f>
        <v>Trinidad and Tobago</v>
      </c>
      <c r="N4204" s="3" t="str">
        <f t="shared" si="131"/>
        <v>Mar-2020</v>
      </c>
    </row>
    <row r="4205" spans="1:14" x14ac:dyDescent="0.3">
      <c r="A4205" s="3" t="s">
        <v>358</v>
      </c>
      <c r="B4205" s="3" t="s">
        <v>359</v>
      </c>
      <c r="C4205" s="8">
        <v>2020</v>
      </c>
      <c r="D4205" s="8">
        <v>4</v>
      </c>
      <c r="E4205" s="3" t="str">
        <f t="shared" si="130"/>
        <v>April</v>
      </c>
      <c r="F4205" s="3" t="s">
        <v>8</v>
      </c>
      <c r="G4205" s="8">
        <v>778.34196250000002</v>
      </c>
      <c r="H4205" s="8">
        <v>796.41399999999999</v>
      </c>
      <c r="I4205" s="8">
        <v>18.072037460000001</v>
      </c>
      <c r="J4205" s="8">
        <v>44.983241460000002</v>
      </c>
      <c r="K4205" s="8">
        <v>-367.56720189999999</v>
      </c>
      <c r="L4205" s="8">
        <v>501.54707259999998</v>
      </c>
      <c r="M4205" s="9" t="str">
        <f>IF(A4205="",M4206,A4205)</f>
        <v>Trinidad and Tobago</v>
      </c>
      <c r="N4205" s="3" t="str">
        <f t="shared" si="131"/>
        <v>Apr-2020</v>
      </c>
    </row>
    <row r="4206" spans="1:14" x14ac:dyDescent="0.3">
      <c r="A4206" s="3" t="s">
        <v>358</v>
      </c>
      <c r="B4206" s="3" t="s">
        <v>359</v>
      </c>
      <c r="C4206" s="8">
        <v>2020</v>
      </c>
      <c r="D4206" s="8">
        <v>5</v>
      </c>
      <c r="E4206" s="3" t="str">
        <f t="shared" si="130"/>
        <v>May</v>
      </c>
      <c r="F4206" s="3" t="s">
        <v>8</v>
      </c>
      <c r="G4206" s="8">
        <v>776.33034580000003</v>
      </c>
      <c r="H4206" s="8">
        <v>797.34199999999998</v>
      </c>
      <c r="I4206" s="8">
        <v>21.011654180000001</v>
      </c>
      <c r="J4206" s="8">
        <v>65.994895639999996</v>
      </c>
      <c r="K4206" s="8">
        <v>-406.89643369999999</v>
      </c>
      <c r="L4206" s="8">
        <v>574.14439279999999</v>
      </c>
      <c r="M4206" s="9" t="str">
        <f>IF(A4206="",M4207,A4206)</f>
        <v>Trinidad and Tobago</v>
      </c>
      <c r="N4206" s="3" t="str">
        <f t="shared" si="131"/>
        <v>May-2020</v>
      </c>
    </row>
    <row r="4207" spans="1:14" x14ac:dyDescent="0.3">
      <c r="A4207" s="3" t="s">
        <v>358</v>
      </c>
      <c r="B4207" s="3" t="s">
        <v>359</v>
      </c>
      <c r="C4207" s="8">
        <v>2020</v>
      </c>
      <c r="D4207" s="8">
        <v>6</v>
      </c>
      <c r="E4207" s="3" t="str">
        <f t="shared" si="130"/>
        <v>June</v>
      </c>
      <c r="F4207" s="3" t="s">
        <v>8</v>
      </c>
      <c r="G4207" s="8">
        <v>778.90490220000004</v>
      </c>
      <c r="H4207" s="8">
        <v>832.46299999999997</v>
      </c>
      <c r="I4207" s="8">
        <v>53.558097760000003</v>
      </c>
      <c r="J4207" s="8">
        <v>119.55299340000001</v>
      </c>
      <c r="K4207" s="8">
        <v>-403.31046320000002</v>
      </c>
      <c r="L4207" s="8">
        <v>691.11859670000001</v>
      </c>
      <c r="M4207" s="9" t="str">
        <f>IF(A4207="",M4208,A4207)</f>
        <v>Trinidad and Tobago</v>
      </c>
      <c r="N4207" s="3" t="str">
        <f t="shared" si="131"/>
        <v>Jun-2020</v>
      </c>
    </row>
    <row r="4208" spans="1:14" x14ac:dyDescent="0.3">
      <c r="A4208" s="3" t="s">
        <v>358</v>
      </c>
      <c r="B4208" s="3" t="s">
        <v>359</v>
      </c>
      <c r="C4208" s="8">
        <v>2020</v>
      </c>
      <c r="D4208" s="8">
        <v>7</v>
      </c>
      <c r="E4208" s="3" t="str">
        <f t="shared" si="130"/>
        <v>July</v>
      </c>
      <c r="F4208" s="3" t="s">
        <v>8</v>
      </c>
      <c r="G4208" s="8">
        <v>779.06970579999995</v>
      </c>
      <c r="H4208" s="8">
        <v>826.32399999999996</v>
      </c>
      <c r="I4208" s="8">
        <v>47.254294180000002</v>
      </c>
      <c r="J4208" s="8">
        <v>166.8072876</v>
      </c>
      <c r="K4208" s="8">
        <v>-419.82705099999998</v>
      </c>
      <c r="L4208" s="8">
        <v>774.71361569999999</v>
      </c>
      <c r="M4208" s="9" t="str">
        <f>IF(A4208="",M4209,A4208)</f>
        <v>Trinidad and Tobago</v>
      </c>
      <c r="N4208" s="3" t="str">
        <f t="shared" si="131"/>
        <v>Jul-2020</v>
      </c>
    </row>
    <row r="4209" spans="1:14" x14ac:dyDescent="0.3">
      <c r="A4209" s="3" t="s">
        <v>358</v>
      </c>
      <c r="B4209" s="3" t="s">
        <v>359</v>
      </c>
      <c r="C4209" s="8">
        <v>2020</v>
      </c>
      <c r="D4209" s="8">
        <v>8</v>
      </c>
      <c r="E4209" s="3" t="str">
        <f t="shared" si="130"/>
        <v>August</v>
      </c>
      <c r="F4209" s="3" t="s">
        <v>8</v>
      </c>
      <c r="G4209" s="8">
        <v>776.75698250000005</v>
      </c>
      <c r="H4209" s="8">
        <v>870.15800000000002</v>
      </c>
      <c r="I4209" s="8">
        <v>93.401017539999998</v>
      </c>
      <c r="J4209" s="8">
        <v>260.20830510000002</v>
      </c>
      <c r="K4209" s="8">
        <v>-334.9102785</v>
      </c>
      <c r="L4209" s="8">
        <v>924.14626659999999</v>
      </c>
      <c r="M4209" s="9" t="str">
        <f>IF(A4209="",M4210,A4209)</f>
        <v>Trinidad and Tobago</v>
      </c>
      <c r="N4209" s="3" t="str">
        <f t="shared" si="131"/>
        <v>Aug-2020</v>
      </c>
    </row>
    <row r="4210" spans="1:14" x14ac:dyDescent="0.3">
      <c r="A4210" s="3" t="s">
        <v>358</v>
      </c>
      <c r="B4210" s="3" t="s">
        <v>359</v>
      </c>
      <c r="C4210" s="8">
        <v>2020</v>
      </c>
      <c r="D4210" s="8">
        <v>9</v>
      </c>
      <c r="E4210" s="3" t="str">
        <f t="shared" si="130"/>
        <v>September</v>
      </c>
      <c r="F4210" s="3" t="s">
        <v>8</v>
      </c>
      <c r="G4210" s="8">
        <v>776.71678340000005</v>
      </c>
      <c r="H4210" s="8">
        <v>888.09500000000003</v>
      </c>
      <c r="I4210" s="8">
        <v>111.3782166</v>
      </c>
      <c r="J4210" s="8">
        <v>371.58652180000001</v>
      </c>
      <c r="K4210" s="8">
        <v>-300.21696650000001</v>
      </c>
      <c r="L4210" s="8">
        <v>1120.3996540000001</v>
      </c>
      <c r="M4210" s="9" t="str">
        <f>IF(A4210="",M4211,A4210)</f>
        <v>Trinidad and Tobago</v>
      </c>
      <c r="N4210" s="3" t="str">
        <f t="shared" si="131"/>
        <v>Sep-2020</v>
      </c>
    </row>
    <row r="4211" spans="1:14" x14ac:dyDescent="0.3">
      <c r="A4211" s="3" t="s">
        <v>358</v>
      </c>
      <c r="B4211" s="3" t="s">
        <v>359</v>
      </c>
      <c r="C4211" s="8">
        <v>2020</v>
      </c>
      <c r="D4211" s="8">
        <v>10</v>
      </c>
      <c r="E4211" s="3" t="str">
        <f t="shared" si="130"/>
        <v>October</v>
      </c>
      <c r="F4211" s="3" t="s">
        <v>8</v>
      </c>
      <c r="G4211" s="8">
        <v>779.10500449999995</v>
      </c>
      <c r="H4211" s="8">
        <v>842.59900000000005</v>
      </c>
      <c r="I4211" s="8">
        <v>63.493995480000002</v>
      </c>
      <c r="J4211" s="8">
        <v>435.08051719999997</v>
      </c>
      <c r="K4211" s="8">
        <v>-268.18879759999999</v>
      </c>
      <c r="L4211" s="8">
        <v>1196.532543</v>
      </c>
      <c r="M4211" s="9" t="str">
        <f>IF(A4211="",M4212,A4211)</f>
        <v>Trinidad and Tobago</v>
      </c>
      <c r="N4211" s="3" t="str">
        <f t="shared" si="131"/>
        <v>Oct-2020</v>
      </c>
    </row>
    <row r="4212" spans="1:14" x14ac:dyDescent="0.3">
      <c r="A4212" s="3" t="s">
        <v>358</v>
      </c>
      <c r="B4212" s="3" t="s">
        <v>359</v>
      </c>
      <c r="C4212" s="8">
        <v>2020</v>
      </c>
      <c r="D4212" s="8">
        <v>11</v>
      </c>
      <c r="E4212" s="3" t="str">
        <f t="shared" si="130"/>
        <v>November</v>
      </c>
      <c r="F4212" s="3" t="s">
        <v>8</v>
      </c>
      <c r="G4212" s="8">
        <v>782.68724850000001</v>
      </c>
      <c r="H4212" s="8">
        <v>802.87699999999995</v>
      </c>
      <c r="I4212" s="8">
        <v>20.189751489999999</v>
      </c>
      <c r="J4212" s="8">
        <v>455.27026869999997</v>
      </c>
      <c r="K4212" s="8">
        <v>-296.12194319999998</v>
      </c>
      <c r="L4212" s="8">
        <v>1255.910617</v>
      </c>
      <c r="M4212" s="9" t="str">
        <f>IF(A4212="",M4213,A4212)</f>
        <v>Trinidad and Tobago</v>
      </c>
      <c r="N4212" s="3" t="str">
        <f t="shared" si="131"/>
        <v>Nov-2020</v>
      </c>
    </row>
    <row r="4213" spans="1:14" x14ac:dyDescent="0.3">
      <c r="A4213" s="3" t="s">
        <v>358</v>
      </c>
      <c r="B4213" s="3" t="s">
        <v>359</v>
      </c>
      <c r="C4213" s="8">
        <v>2020</v>
      </c>
      <c r="D4213" s="8">
        <v>12</v>
      </c>
      <c r="E4213" s="3" t="str">
        <f t="shared" si="130"/>
        <v>December</v>
      </c>
      <c r="F4213" s="3" t="s">
        <v>8</v>
      </c>
      <c r="G4213" s="8">
        <v>784.96088540000005</v>
      </c>
      <c r="H4213" s="8">
        <v>792.03899999999999</v>
      </c>
      <c r="I4213" s="8">
        <v>7.0781145920000004</v>
      </c>
      <c r="J4213" s="8">
        <v>462.34838330000002</v>
      </c>
      <c r="K4213" s="8">
        <v>-345.18866589999999</v>
      </c>
      <c r="L4213" s="8">
        <v>1315.4570900000001</v>
      </c>
      <c r="M4213" s="9" t="str">
        <f>IF(A4213="",M4214,A4213)</f>
        <v>Trinidad and Tobago</v>
      </c>
      <c r="N4213" s="3" t="str">
        <f t="shared" si="131"/>
        <v>Dec-2020</v>
      </c>
    </row>
    <row r="4214" spans="1:14" x14ac:dyDescent="0.3">
      <c r="A4214" s="3" t="s">
        <v>358</v>
      </c>
      <c r="B4214" s="3" t="s">
        <v>359</v>
      </c>
      <c r="C4214" s="8">
        <v>2021</v>
      </c>
      <c r="D4214" s="8">
        <v>1</v>
      </c>
      <c r="E4214" s="3" t="str">
        <f t="shared" si="130"/>
        <v>January</v>
      </c>
      <c r="F4214" s="3" t="s">
        <v>8</v>
      </c>
      <c r="G4214" s="8">
        <v>780.96249120000004</v>
      </c>
      <c r="H4214" s="8">
        <v>799.279</v>
      </c>
      <c r="I4214" s="8">
        <v>18.316508760000001</v>
      </c>
      <c r="J4214" s="8">
        <v>480.66489209999997</v>
      </c>
      <c r="K4214" s="8">
        <v>-353.72357770000002</v>
      </c>
      <c r="L4214" s="8">
        <v>1312.5324660000001</v>
      </c>
      <c r="M4214" s="9" t="str">
        <f>IF(A4214="",M4215,A4214)</f>
        <v>Trinidad and Tobago</v>
      </c>
      <c r="N4214" s="3" t="str">
        <f t="shared" si="131"/>
        <v>Jan-2021</v>
      </c>
    </row>
    <row r="4215" spans="1:14" x14ac:dyDescent="0.3">
      <c r="A4215" s="3" t="s">
        <v>358</v>
      </c>
      <c r="B4215" s="3" t="s">
        <v>359</v>
      </c>
      <c r="C4215" s="8">
        <v>2021</v>
      </c>
      <c r="D4215" s="8">
        <v>2</v>
      </c>
      <c r="E4215" s="3" t="str">
        <f t="shared" si="130"/>
        <v>February</v>
      </c>
      <c r="F4215" s="3" t="s">
        <v>8</v>
      </c>
      <c r="G4215" s="8">
        <v>779.11522890000003</v>
      </c>
      <c r="H4215" s="8">
        <v>795.21</v>
      </c>
      <c r="I4215" s="8">
        <v>16.094771080000001</v>
      </c>
      <c r="J4215" s="8">
        <v>496.75966319999998</v>
      </c>
      <c r="K4215" s="8">
        <v>-336.22002689999999</v>
      </c>
      <c r="L4215" s="8">
        <v>1399.6801109999999</v>
      </c>
      <c r="M4215" s="9" t="str">
        <f>IF(A4215="",M4216,A4215)</f>
        <v>Trinidad and Tobago</v>
      </c>
      <c r="N4215" s="3" t="str">
        <f t="shared" si="131"/>
        <v>Feb-2021</v>
      </c>
    </row>
    <row r="4216" spans="1:14" x14ac:dyDescent="0.3">
      <c r="A4216" s="3" t="s">
        <v>358</v>
      </c>
      <c r="B4216" s="3" t="s">
        <v>359</v>
      </c>
      <c r="C4216" s="8">
        <v>2021</v>
      </c>
      <c r="D4216" s="8">
        <v>3</v>
      </c>
      <c r="E4216" s="3" t="str">
        <f t="shared" si="130"/>
        <v>March</v>
      </c>
      <c r="F4216" s="3" t="s">
        <v>8</v>
      </c>
      <c r="G4216" s="8">
        <v>779.52179369999999</v>
      </c>
      <c r="H4216" s="8">
        <v>791.00199999999995</v>
      </c>
      <c r="I4216" s="8">
        <v>11.480206320000001</v>
      </c>
      <c r="J4216" s="8">
        <v>508.2398695</v>
      </c>
      <c r="K4216" s="8">
        <v>-343.99810880000001</v>
      </c>
      <c r="L4216" s="8">
        <v>1435.0590010000001</v>
      </c>
      <c r="M4216" s="9" t="str">
        <f>IF(A4216="",M4217,A4216)</f>
        <v>Trinidad and Tobago</v>
      </c>
      <c r="N4216" s="3" t="str">
        <f t="shared" si="131"/>
        <v>Mar-2021</v>
      </c>
    </row>
    <row r="4217" spans="1:14" x14ac:dyDescent="0.3">
      <c r="A4217" s="3" t="s">
        <v>358</v>
      </c>
      <c r="B4217" s="3" t="s">
        <v>359</v>
      </c>
      <c r="C4217" s="8">
        <v>2021</v>
      </c>
      <c r="D4217" s="8">
        <v>4</v>
      </c>
      <c r="E4217" s="3" t="str">
        <f t="shared" si="130"/>
        <v>April</v>
      </c>
      <c r="F4217" s="3" t="s">
        <v>8</v>
      </c>
      <c r="G4217" s="8">
        <v>774.50146959999995</v>
      </c>
      <c r="H4217" s="8">
        <v>873.04700000000003</v>
      </c>
      <c r="I4217" s="8">
        <v>98.545530369999994</v>
      </c>
      <c r="J4217" s="8">
        <v>606.78539980000005</v>
      </c>
      <c r="K4217" s="8">
        <v>-295.87475219999999</v>
      </c>
      <c r="L4217" s="8">
        <v>1555.4765420000001</v>
      </c>
      <c r="M4217" s="9" t="str">
        <f>IF(A4217="",M4218,A4217)</f>
        <v>Trinidad and Tobago</v>
      </c>
      <c r="N4217" s="3" t="str">
        <f t="shared" si="131"/>
        <v>Apr-2021</v>
      </c>
    </row>
    <row r="4218" spans="1:14" x14ac:dyDescent="0.3">
      <c r="A4218" s="3" t="s">
        <v>358</v>
      </c>
      <c r="B4218" s="3" t="s">
        <v>359</v>
      </c>
      <c r="C4218" s="8">
        <v>2021</v>
      </c>
      <c r="D4218" s="8">
        <v>5</v>
      </c>
      <c r="E4218" s="3" t="str">
        <f t="shared" si="130"/>
        <v>May</v>
      </c>
      <c r="F4218" s="3" t="s">
        <v>8</v>
      </c>
      <c r="G4218" s="8">
        <v>771.80147999999997</v>
      </c>
      <c r="H4218" s="8">
        <v>1163.92</v>
      </c>
      <c r="I4218" s="8">
        <v>392.11851999999999</v>
      </c>
      <c r="J4218" s="8">
        <v>998.90391980000004</v>
      </c>
      <c r="K4218" s="8">
        <v>95.014773149999996</v>
      </c>
      <c r="L4218" s="8">
        <v>1963.637796</v>
      </c>
      <c r="M4218" s="9" t="str">
        <f>IF(A4218="",M4219,A4218)</f>
        <v>Trinidad and Tobago</v>
      </c>
      <c r="N4218" s="3" t="str">
        <f t="shared" si="131"/>
        <v>May-2021</v>
      </c>
    </row>
    <row r="4219" spans="1:14" x14ac:dyDescent="0.3">
      <c r="A4219" s="3" t="s">
        <v>358</v>
      </c>
      <c r="B4219" s="3" t="s">
        <v>359</v>
      </c>
      <c r="C4219" s="8">
        <v>2021</v>
      </c>
      <c r="D4219" s="8">
        <v>6</v>
      </c>
      <c r="E4219" s="3" t="str">
        <f t="shared" si="130"/>
        <v>June</v>
      </c>
      <c r="F4219" s="3" t="s">
        <v>8</v>
      </c>
      <c r="G4219" s="8">
        <v>774.72981049999999</v>
      </c>
      <c r="H4219" s="8">
        <v>1177.4739999999999</v>
      </c>
      <c r="I4219" s="8">
        <v>402.7441895</v>
      </c>
      <c r="J4219" s="8">
        <v>1401.648109</v>
      </c>
      <c r="K4219" s="8">
        <v>385.67976399999998</v>
      </c>
      <c r="L4219" s="8">
        <v>2395.0710560000002</v>
      </c>
      <c r="M4219" s="9" t="str">
        <f>IF(A4219="",M4220,A4219)</f>
        <v>Trinidad and Tobago</v>
      </c>
      <c r="N4219" s="3" t="str">
        <f t="shared" si="131"/>
        <v>Jun-2021</v>
      </c>
    </row>
    <row r="4220" spans="1:14" x14ac:dyDescent="0.3">
      <c r="A4220" s="3" t="s">
        <v>358</v>
      </c>
      <c r="B4220" s="3" t="s">
        <v>359</v>
      </c>
      <c r="C4220" s="8">
        <v>2021</v>
      </c>
      <c r="D4220" s="8">
        <v>7</v>
      </c>
      <c r="E4220" s="3" t="str">
        <f t="shared" si="130"/>
        <v>July</v>
      </c>
      <c r="F4220" s="3" t="s">
        <v>8</v>
      </c>
      <c r="G4220" s="8">
        <v>774.64586699999995</v>
      </c>
      <c r="H4220" s="8">
        <v>1117.376</v>
      </c>
      <c r="I4220" s="8">
        <v>342.73013300000002</v>
      </c>
      <c r="J4220" s="8">
        <v>1744.378242</v>
      </c>
      <c r="K4220" s="8">
        <v>656.07929909999996</v>
      </c>
      <c r="L4220" s="8">
        <v>2795.663258</v>
      </c>
      <c r="M4220" s="9" t="str">
        <f>IF(A4220="",M4221,A4220)</f>
        <v>Trinidad and Tobago</v>
      </c>
      <c r="N4220" s="3" t="str">
        <f t="shared" si="131"/>
        <v>Jul-2021</v>
      </c>
    </row>
    <row r="4221" spans="1:14" x14ac:dyDescent="0.3">
      <c r="A4221" s="3" t="s">
        <v>358</v>
      </c>
      <c r="B4221" s="3" t="s">
        <v>359</v>
      </c>
      <c r="C4221" s="8">
        <v>2021</v>
      </c>
      <c r="D4221" s="8">
        <v>8</v>
      </c>
      <c r="E4221" s="3" t="str">
        <f t="shared" si="130"/>
        <v>August</v>
      </c>
      <c r="F4221" s="3" t="s">
        <v>8</v>
      </c>
      <c r="G4221" s="8">
        <v>773.59076110000001</v>
      </c>
      <c r="H4221" s="8">
        <v>1149.8889999999999</v>
      </c>
      <c r="I4221" s="8">
        <v>376.2982389</v>
      </c>
      <c r="J4221" s="8">
        <v>2120.676481</v>
      </c>
      <c r="K4221" s="8">
        <v>943.61368640000001</v>
      </c>
      <c r="L4221" s="8">
        <v>3285.2243739999999</v>
      </c>
      <c r="M4221" s="9" t="str">
        <f>IF(A4221="",M4222,A4221)</f>
        <v>Trinidad and Tobago</v>
      </c>
      <c r="N4221" s="3" t="str">
        <f t="shared" si="131"/>
        <v>Aug-2021</v>
      </c>
    </row>
    <row r="4222" spans="1:14" x14ac:dyDescent="0.3">
      <c r="A4222" s="3" t="s">
        <v>358</v>
      </c>
      <c r="B4222" s="3" t="s">
        <v>359</v>
      </c>
      <c r="C4222" s="8">
        <v>2021</v>
      </c>
      <c r="D4222" s="8">
        <v>9</v>
      </c>
      <c r="E4222" s="3" t="str">
        <f t="shared" si="130"/>
        <v>September</v>
      </c>
      <c r="F4222" s="3" t="s">
        <v>8</v>
      </c>
      <c r="G4222" s="8">
        <v>773.31353979999994</v>
      </c>
      <c r="H4222" s="8">
        <v>1053.9010000000001</v>
      </c>
      <c r="I4222" s="8">
        <v>280.58746020000001</v>
      </c>
      <c r="J4222" s="8">
        <v>2401.2639410000002</v>
      </c>
      <c r="K4222" s="8">
        <v>1231.648351</v>
      </c>
      <c r="L4222" s="8">
        <v>3537.3047419999998</v>
      </c>
      <c r="M4222" s="9" t="str">
        <f>IF(A4222="",M4223,A4222)</f>
        <v>Trinidad and Tobago</v>
      </c>
      <c r="N4222" s="3" t="str">
        <f t="shared" si="131"/>
        <v>Sep-2021</v>
      </c>
    </row>
    <row r="4223" spans="1:14" x14ac:dyDescent="0.3">
      <c r="A4223" s="3" t="s">
        <v>358</v>
      </c>
      <c r="B4223" s="3" t="s">
        <v>359</v>
      </c>
      <c r="C4223" s="8">
        <v>2021</v>
      </c>
      <c r="D4223" s="8">
        <v>10</v>
      </c>
      <c r="E4223" s="3" t="str">
        <f t="shared" si="130"/>
        <v>October</v>
      </c>
      <c r="F4223" s="3" t="s">
        <v>8</v>
      </c>
      <c r="G4223" s="8">
        <v>774.81835249999995</v>
      </c>
      <c r="H4223" s="8">
        <v>1033.4000000000001</v>
      </c>
      <c r="I4223" s="8">
        <v>258.58164749999997</v>
      </c>
      <c r="J4223" s="8">
        <v>2659.845589</v>
      </c>
      <c r="K4223" s="8">
        <v>1395.9161039999999</v>
      </c>
      <c r="L4223" s="8">
        <v>3870.235596</v>
      </c>
      <c r="M4223" s="9" t="str">
        <f>IF(A4223="",M4224,A4223)</f>
        <v>Trinidad and Tobago</v>
      </c>
      <c r="N4223" s="3" t="str">
        <f t="shared" si="131"/>
        <v>Oct-2021</v>
      </c>
    </row>
    <row r="4224" spans="1:14" x14ac:dyDescent="0.3">
      <c r="A4224" s="3" t="s">
        <v>358</v>
      </c>
      <c r="B4224" s="3" t="s">
        <v>359</v>
      </c>
      <c r="C4224" s="8">
        <v>2021</v>
      </c>
      <c r="D4224" s="8">
        <v>11</v>
      </c>
      <c r="E4224" s="3" t="str">
        <f t="shared" si="130"/>
        <v>November</v>
      </c>
      <c r="F4224" s="3" t="s">
        <v>8</v>
      </c>
      <c r="G4224" s="8">
        <v>778.65010919999997</v>
      </c>
      <c r="H4224" s="8">
        <v>1104.01</v>
      </c>
      <c r="I4224" s="8">
        <v>325.35989080000002</v>
      </c>
      <c r="J4224" s="8">
        <v>2985.2054800000001</v>
      </c>
      <c r="K4224" s="8">
        <v>1716.46686</v>
      </c>
      <c r="L4224" s="8">
        <v>4234.3472359999996</v>
      </c>
      <c r="M4224" s="9" t="str">
        <f>IF(A4224="",M4225,A4224)</f>
        <v>Trinidad and Tobago</v>
      </c>
      <c r="N4224" s="3" t="str">
        <f t="shared" si="131"/>
        <v>Nov-2021</v>
      </c>
    </row>
    <row r="4225" spans="1:14" x14ac:dyDescent="0.3">
      <c r="A4225" s="3" t="s">
        <v>358</v>
      </c>
      <c r="B4225" s="3" t="s">
        <v>359</v>
      </c>
      <c r="C4225" s="8">
        <v>2021</v>
      </c>
      <c r="D4225" s="8">
        <v>12</v>
      </c>
      <c r="E4225" s="3" t="str">
        <f t="shared" si="130"/>
        <v>December</v>
      </c>
      <c r="F4225" s="3" t="s">
        <v>8</v>
      </c>
      <c r="G4225" s="8">
        <v>780.98212079999996</v>
      </c>
      <c r="H4225" s="8">
        <v>1132.712</v>
      </c>
      <c r="I4225" s="8">
        <v>351.72987920000003</v>
      </c>
      <c r="J4225" s="8">
        <v>3336.9353590000001</v>
      </c>
      <c r="K4225" s="8">
        <v>1993.8129960000001</v>
      </c>
      <c r="L4225" s="8">
        <v>4636.2416739999999</v>
      </c>
      <c r="M4225" s="9" t="str">
        <f>IF(A4225="",M4226,A4225)</f>
        <v>Trinidad and Tobago</v>
      </c>
      <c r="N4225" s="3" t="str">
        <f t="shared" si="131"/>
        <v>Dec-2021</v>
      </c>
    </row>
    <row r="4226" spans="1:14" x14ac:dyDescent="0.3">
      <c r="A4226" s="3" t="s">
        <v>360</v>
      </c>
      <c r="B4226" s="3" t="s">
        <v>361</v>
      </c>
      <c r="C4226" s="8">
        <v>2020</v>
      </c>
      <c r="D4226" s="8">
        <v>1</v>
      </c>
      <c r="E4226" s="3" t="str">
        <f t="shared" ref="E4226:E4289" si="132">TEXT(DATE(C4226,D4226,1),"MMMM")</f>
        <v>January</v>
      </c>
      <c r="F4226" s="3" t="s">
        <v>13</v>
      </c>
      <c r="G4226" s="8">
        <v>7829.7739680000004</v>
      </c>
      <c r="H4226" s="8">
        <v>8437</v>
      </c>
      <c r="I4226" s="8">
        <v>595.73530889999995</v>
      </c>
      <c r="J4226" s="8">
        <v>595.73530889999995</v>
      </c>
      <c r="K4226" s="8">
        <v>189.6814028</v>
      </c>
      <c r="L4226" s="8">
        <v>980.32342610000001</v>
      </c>
      <c r="M4226" s="9" t="str">
        <f>IF(A4226="",M4227,A4226)</f>
        <v>Tunisia</v>
      </c>
      <c r="N4226" s="3" t="str">
        <f t="shared" ref="N4226:N4289" si="133">TEXT(DATE(C4226,D4226,1),"MMM-YYYY")</f>
        <v>Jan-2020</v>
      </c>
    </row>
    <row r="4227" spans="1:14" x14ac:dyDescent="0.3">
      <c r="A4227" s="3" t="s">
        <v>360</v>
      </c>
      <c r="B4227" s="3" t="s">
        <v>361</v>
      </c>
      <c r="C4227" s="8">
        <v>2020</v>
      </c>
      <c r="D4227" s="8">
        <v>2</v>
      </c>
      <c r="E4227" s="3" t="str">
        <f t="shared" si="132"/>
        <v>February</v>
      </c>
      <c r="F4227" s="3" t="s">
        <v>13</v>
      </c>
      <c r="G4227" s="8">
        <v>7971.0638950000002</v>
      </c>
      <c r="H4227" s="8">
        <v>7855</v>
      </c>
      <c r="I4227" s="8">
        <v>-127.554619</v>
      </c>
      <c r="J4227" s="8">
        <v>468.18068979999998</v>
      </c>
      <c r="K4227" s="8">
        <v>-135.05028010000001</v>
      </c>
      <c r="L4227" s="8">
        <v>1123.4469959999999</v>
      </c>
      <c r="M4227" s="9" t="str">
        <f>IF(A4227="",M4228,A4227)</f>
        <v>Tunisia</v>
      </c>
      <c r="N4227" s="3" t="str">
        <f t="shared" si="133"/>
        <v>Feb-2020</v>
      </c>
    </row>
    <row r="4228" spans="1:14" x14ac:dyDescent="0.3">
      <c r="A4228" s="3" t="s">
        <v>360</v>
      </c>
      <c r="B4228" s="3" t="s">
        <v>361</v>
      </c>
      <c r="C4228" s="8">
        <v>2020</v>
      </c>
      <c r="D4228" s="8">
        <v>3</v>
      </c>
      <c r="E4228" s="3" t="str">
        <f t="shared" si="132"/>
        <v>March</v>
      </c>
      <c r="F4228" s="3" t="s">
        <v>13</v>
      </c>
      <c r="G4228" s="8">
        <v>7433.0644810000003</v>
      </c>
      <c r="H4228" s="8">
        <v>7117</v>
      </c>
      <c r="I4228" s="8">
        <v>-327.55520480000001</v>
      </c>
      <c r="J4228" s="8">
        <v>140.625485</v>
      </c>
      <c r="K4228" s="8">
        <v>-605.1180779</v>
      </c>
      <c r="L4228" s="8">
        <v>945.54729999999995</v>
      </c>
      <c r="M4228" s="9" t="str">
        <f>IF(A4228="",M4229,A4228)</f>
        <v>Tunisia</v>
      </c>
      <c r="N4228" s="3" t="str">
        <f t="shared" si="133"/>
        <v>Mar-2020</v>
      </c>
    </row>
    <row r="4229" spans="1:14" x14ac:dyDescent="0.3">
      <c r="A4229" s="3" t="s">
        <v>360</v>
      </c>
      <c r="B4229" s="3" t="s">
        <v>361</v>
      </c>
      <c r="C4229" s="8">
        <v>2020</v>
      </c>
      <c r="D4229" s="8">
        <v>4</v>
      </c>
      <c r="E4229" s="3" t="str">
        <f t="shared" si="132"/>
        <v>April</v>
      </c>
      <c r="F4229" s="3" t="s">
        <v>13</v>
      </c>
      <c r="G4229" s="8">
        <v>6326.7984539999998</v>
      </c>
      <c r="H4229" s="8">
        <v>5694</v>
      </c>
      <c r="I4229" s="8">
        <v>-644.28917739999997</v>
      </c>
      <c r="J4229" s="8">
        <v>-503.6636924</v>
      </c>
      <c r="K4229" s="8">
        <v>-1371.374875</v>
      </c>
      <c r="L4229" s="8">
        <v>409.37430940000002</v>
      </c>
      <c r="M4229" s="9" t="str">
        <f>IF(A4229="",M4230,A4229)</f>
        <v>Tunisia</v>
      </c>
      <c r="N4229" s="3" t="str">
        <f t="shared" si="133"/>
        <v>Apr-2020</v>
      </c>
    </row>
    <row r="4230" spans="1:14" x14ac:dyDescent="0.3">
      <c r="A4230" s="3" t="s">
        <v>360</v>
      </c>
      <c r="B4230" s="3" t="s">
        <v>361</v>
      </c>
      <c r="C4230" s="8">
        <v>2020</v>
      </c>
      <c r="D4230" s="8">
        <v>5</v>
      </c>
      <c r="E4230" s="3" t="str">
        <f t="shared" si="132"/>
        <v>May</v>
      </c>
      <c r="F4230" s="3" t="s">
        <v>13</v>
      </c>
      <c r="G4230" s="8">
        <v>5785.4642389999999</v>
      </c>
      <c r="H4230" s="8">
        <v>5378</v>
      </c>
      <c r="I4230" s="8">
        <v>-418.95496220000001</v>
      </c>
      <c r="J4230" s="8">
        <v>-922.61865460000001</v>
      </c>
      <c r="K4230" s="8">
        <v>-1795.117657</v>
      </c>
      <c r="L4230" s="8">
        <v>-2.6409568810000001</v>
      </c>
      <c r="M4230" s="9" t="str">
        <f>IF(A4230="",M4231,A4230)</f>
        <v>Tunisia</v>
      </c>
      <c r="N4230" s="3" t="str">
        <f t="shared" si="133"/>
        <v>May-2020</v>
      </c>
    </row>
    <row r="4231" spans="1:14" x14ac:dyDescent="0.3">
      <c r="A4231" s="3" t="s">
        <v>360</v>
      </c>
      <c r="B4231" s="3" t="s">
        <v>361</v>
      </c>
      <c r="C4231" s="8">
        <v>2020</v>
      </c>
      <c r="D4231" s="8">
        <v>6</v>
      </c>
      <c r="E4231" s="3" t="str">
        <f t="shared" si="132"/>
        <v>June</v>
      </c>
      <c r="F4231" s="3" t="s">
        <v>13</v>
      </c>
      <c r="G4231" s="8">
        <v>5714.2282709999999</v>
      </c>
      <c r="H4231" s="8">
        <v>5331</v>
      </c>
      <c r="I4231" s="8">
        <v>-394.71899509999997</v>
      </c>
      <c r="J4231" s="8">
        <v>-1317.3376499999999</v>
      </c>
      <c r="K4231" s="8">
        <v>-2320.9348669999999</v>
      </c>
      <c r="L4231" s="8">
        <v>-328.10223209999998</v>
      </c>
      <c r="M4231" s="9" t="str">
        <f>IF(A4231="",M4232,A4231)</f>
        <v>Tunisia</v>
      </c>
      <c r="N4231" s="3" t="str">
        <f t="shared" si="133"/>
        <v>Jun-2020</v>
      </c>
    </row>
    <row r="4232" spans="1:14" x14ac:dyDescent="0.3">
      <c r="A4232" s="3" t="s">
        <v>360</v>
      </c>
      <c r="B4232" s="3" t="s">
        <v>361</v>
      </c>
      <c r="C4232" s="8">
        <v>2020</v>
      </c>
      <c r="D4232" s="8">
        <v>7</v>
      </c>
      <c r="E4232" s="3" t="str">
        <f t="shared" si="132"/>
        <v>July</v>
      </c>
      <c r="F4232" s="3" t="s">
        <v>13</v>
      </c>
      <c r="G4232" s="8">
        <v>6262.1749369999998</v>
      </c>
      <c r="H4232" s="8">
        <v>5897</v>
      </c>
      <c r="I4232" s="8">
        <v>-376.66566010000003</v>
      </c>
      <c r="J4232" s="8">
        <v>-1694.0033100000001</v>
      </c>
      <c r="K4232" s="8">
        <v>-2754.5659470000001</v>
      </c>
      <c r="L4232" s="8">
        <v>-631.53222500000004</v>
      </c>
      <c r="M4232" s="9" t="str">
        <f>IF(A4232="",M4233,A4232)</f>
        <v>Tunisia</v>
      </c>
      <c r="N4232" s="3" t="str">
        <f t="shared" si="133"/>
        <v>Jul-2020</v>
      </c>
    </row>
    <row r="4233" spans="1:14" x14ac:dyDescent="0.3">
      <c r="A4233" s="3" t="s">
        <v>360</v>
      </c>
      <c r="B4233" s="3" t="s">
        <v>361</v>
      </c>
      <c r="C4233" s="8">
        <v>2020</v>
      </c>
      <c r="D4233" s="8">
        <v>8</v>
      </c>
      <c r="E4233" s="3" t="str">
        <f t="shared" si="132"/>
        <v>August</v>
      </c>
      <c r="F4233" s="3" t="s">
        <v>13</v>
      </c>
      <c r="G4233" s="8">
        <v>6300.0311369999999</v>
      </c>
      <c r="H4233" s="8">
        <v>6617</v>
      </c>
      <c r="I4233" s="8">
        <v>305.47813919999999</v>
      </c>
      <c r="J4233" s="8">
        <v>-1388.525171</v>
      </c>
      <c r="K4233" s="8">
        <v>-2525.9802220000001</v>
      </c>
      <c r="L4233" s="8">
        <v>-220.82692399999999</v>
      </c>
      <c r="M4233" s="9" t="str">
        <f>IF(A4233="",M4234,A4233)</f>
        <v>Tunisia</v>
      </c>
      <c r="N4233" s="3" t="str">
        <f t="shared" si="133"/>
        <v>Aug-2020</v>
      </c>
    </row>
    <row r="4234" spans="1:14" x14ac:dyDescent="0.3">
      <c r="A4234" s="3" t="s">
        <v>360</v>
      </c>
      <c r="B4234" s="3" t="s">
        <v>361</v>
      </c>
      <c r="C4234" s="8">
        <v>2020</v>
      </c>
      <c r="D4234" s="8">
        <v>9</v>
      </c>
      <c r="E4234" s="3" t="str">
        <f t="shared" si="132"/>
        <v>September</v>
      </c>
      <c r="F4234" s="3" t="s">
        <v>13</v>
      </c>
      <c r="G4234" s="8">
        <v>5933.0934870000001</v>
      </c>
      <c r="H4234" s="8">
        <v>6096</v>
      </c>
      <c r="I4234" s="8">
        <v>151.41578960000001</v>
      </c>
      <c r="J4234" s="8">
        <v>-1237.109381</v>
      </c>
      <c r="K4234" s="8">
        <v>-2420.3867059999998</v>
      </c>
      <c r="L4234" s="8">
        <v>12.246916499999999</v>
      </c>
      <c r="M4234" s="9" t="str">
        <f>IF(A4234="",M4235,A4234)</f>
        <v>Tunisia</v>
      </c>
      <c r="N4234" s="3" t="str">
        <f t="shared" si="133"/>
        <v>Sep-2020</v>
      </c>
    </row>
    <row r="4235" spans="1:14" x14ac:dyDescent="0.3">
      <c r="A4235" s="3" t="s">
        <v>360</v>
      </c>
      <c r="B4235" s="3" t="s">
        <v>361</v>
      </c>
      <c r="C4235" s="8">
        <v>2020</v>
      </c>
      <c r="D4235" s="8">
        <v>10</v>
      </c>
      <c r="E4235" s="3" t="str">
        <f t="shared" si="132"/>
        <v>October</v>
      </c>
      <c r="F4235" s="3" t="s">
        <v>13</v>
      </c>
      <c r="G4235" s="8">
        <v>6108.6545310000001</v>
      </c>
      <c r="H4235" s="8">
        <v>8629</v>
      </c>
      <c r="I4235" s="8">
        <v>2508.854746</v>
      </c>
      <c r="J4235" s="8">
        <v>1271.745365</v>
      </c>
      <c r="K4235" s="8">
        <v>-16.765113339999999</v>
      </c>
      <c r="L4235" s="8">
        <v>2505.3343340000001</v>
      </c>
      <c r="M4235" s="9" t="str">
        <f>IF(A4235="",M4236,A4235)</f>
        <v>Tunisia</v>
      </c>
      <c r="N4235" s="3" t="str">
        <f t="shared" si="133"/>
        <v>Oct-2020</v>
      </c>
    </row>
    <row r="4236" spans="1:14" x14ac:dyDescent="0.3">
      <c r="A4236" s="3" t="s">
        <v>360</v>
      </c>
      <c r="B4236" s="3" t="s">
        <v>361</v>
      </c>
      <c r="C4236" s="8">
        <v>2020</v>
      </c>
      <c r="D4236" s="8">
        <v>11</v>
      </c>
      <c r="E4236" s="3" t="str">
        <f t="shared" si="132"/>
        <v>November</v>
      </c>
      <c r="F4236" s="3" t="s">
        <v>13</v>
      </c>
      <c r="G4236" s="8">
        <v>6720.4958930000003</v>
      </c>
      <c r="H4236" s="8">
        <v>8518</v>
      </c>
      <c r="I4236" s="8">
        <v>1786.0133840000001</v>
      </c>
      <c r="J4236" s="8">
        <v>3057.7587480000002</v>
      </c>
      <c r="K4236" s="8">
        <v>1687.930938</v>
      </c>
      <c r="L4236" s="8">
        <v>4437.1909919999998</v>
      </c>
      <c r="M4236" s="9" t="str">
        <f>IF(A4236="",M4237,A4236)</f>
        <v>Tunisia</v>
      </c>
      <c r="N4236" s="3" t="str">
        <f t="shared" si="133"/>
        <v>Nov-2020</v>
      </c>
    </row>
    <row r="4237" spans="1:14" x14ac:dyDescent="0.3">
      <c r="A4237" s="3" t="s">
        <v>360</v>
      </c>
      <c r="B4237" s="3" t="s">
        <v>361</v>
      </c>
      <c r="C4237" s="8">
        <v>2020</v>
      </c>
      <c r="D4237" s="8">
        <v>12</v>
      </c>
      <c r="E4237" s="3" t="str">
        <f t="shared" si="132"/>
        <v>December</v>
      </c>
      <c r="F4237" s="3" t="s">
        <v>13</v>
      </c>
      <c r="G4237" s="8">
        <v>7983.8109869999998</v>
      </c>
      <c r="H4237" s="8">
        <v>9260</v>
      </c>
      <c r="I4237" s="8">
        <v>1264.6982889999999</v>
      </c>
      <c r="J4237" s="8">
        <v>4322.4570370000001</v>
      </c>
      <c r="K4237" s="8">
        <v>2894.6498459999998</v>
      </c>
      <c r="L4237" s="8">
        <v>5770.6240330000001</v>
      </c>
      <c r="M4237" s="9" t="str">
        <f>IF(A4237="",M4238,A4237)</f>
        <v>Tunisia</v>
      </c>
      <c r="N4237" s="3" t="str">
        <f t="shared" si="133"/>
        <v>Dec-2020</v>
      </c>
    </row>
    <row r="4238" spans="1:14" x14ac:dyDescent="0.3">
      <c r="A4238" s="3" t="s">
        <v>360</v>
      </c>
      <c r="B4238" s="3" t="s">
        <v>361</v>
      </c>
      <c r="C4238" s="8">
        <v>2021</v>
      </c>
      <c r="D4238" s="8">
        <v>1</v>
      </c>
      <c r="E4238" s="3" t="str">
        <f t="shared" si="132"/>
        <v>January</v>
      </c>
      <c r="F4238" s="3" t="s">
        <v>13</v>
      </c>
      <c r="G4238" s="8">
        <v>8015.8341350000001</v>
      </c>
      <c r="H4238" s="8">
        <v>11188</v>
      </c>
      <c r="I4238" s="8">
        <v>3154.741407</v>
      </c>
      <c r="J4238" s="8">
        <v>7477.1984439999997</v>
      </c>
      <c r="K4238" s="8">
        <v>6002.377504</v>
      </c>
      <c r="L4238" s="8">
        <v>9011.9878470000003</v>
      </c>
      <c r="M4238" s="9" t="str">
        <f>IF(A4238="",M4239,A4238)</f>
        <v>Tunisia</v>
      </c>
      <c r="N4238" s="3" t="str">
        <f t="shared" si="133"/>
        <v>Jan-2021</v>
      </c>
    </row>
    <row r="4239" spans="1:14" x14ac:dyDescent="0.3">
      <c r="A4239" s="3" t="s">
        <v>360</v>
      </c>
      <c r="B4239" s="3" t="s">
        <v>361</v>
      </c>
      <c r="C4239" s="8">
        <v>2021</v>
      </c>
      <c r="D4239" s="8">
        <v>2</v>
      </c>
      <c r="E4239" s="3" t="str">
        <f t="shared" si="132"/>
        <v>February</v>
      </c>
      <c r="F4239" s="3" t="s">
        <v>13</v>
      </c>
      <c r="G4239" s="8">
        <v>8154.8307940000004</v>
      </c>
      <c r="H4239" s="8">
        <v>7733</v>
      </c>
      <c r="I4239" s="8">
        <v>-439.25525160000001</v>
      </c>
      <c r="J4239" s="8">
        <v>7037.9431930000001</v>
      </c>
      <c r="K4239" s="8">
        <v>5412.8162970000003</v>
      </c>
      <c r="L4239" s="8">
        <v>8673.7505330000004</v>
      </c>
      <c r="M4239" s="9" t="str">
        <f>IF(A4239="",M4240,A4239)</f>
        <v>Tunisia</v>
      </c>
      <c r="N4239" s="3" t="str">
        <f t="shared" si="133"/>
        <v>Feb-2021</v>
      </c>
    </row>
    <row r="4240" spans="1:14" x14ac:dyDescent="0.3">
      <c r="A4240" s="3" t="s">
        <v>360</v>
      </c>
      <c r="B4240" s="3" t="s">
        <v>361</v>
      </c>
      <c r="C4240" s="8">
        <v>2021</v>
      </c>
      <c r="D4240" s="8">
        <v>3</v>
      </c>
      <c r="E4240" s="3" t="str">
        <f t="shared" si="132"/>
        <v>March</v>
      </c>
      <c r="F4240" s="3" t="s">
        <v>13</v>
      </c>
      <c r="G4240" s="8">
        <v>7609.4568650000001</v>
      </c>
      <c r="H4240" s="8">
        <v>7874</v>
      </c>
      <c r="I4240" s="8">
        <v>247.1186774</v>
      </c>
      <c r="J4240" s="8">
        <v>7285.0618700000005</v>
      </c>
      <c r="K4240" s="8">
        <v>5507.8920280000002</v>
      </c>
      <c r="L4240" s="8">
        <v>9025.9787890000007</v>
      </c>
      <c r="M4240" s="9" t="str">
        <f>IF(A4240="",M4241,A4240)</f>
        <v>Tunisia</v>
      </c>
      <c r="N4240" s="3" t="str">
        <f t="shared" si="133"/>
        <v>Mar-2021</v>
      </c>
    </row>
    <row r="4241" spans="1:14" x14ac:dyDescent="0.3">
      <c r="A4241" s="3" t="s">
        <v>360</v>
      </c>
      <c r="B4241" s="3" t="s">
        <v>361</v>
      </c>
      <c r="C4241" s="8">
        <v>2021</v>
      </c>
      <c r="D4241" s="8">
        <v>4</v>
      </c>
      <c r="E4241" s="3" t="str">
        <f t="shared" si="132"/>
        <v>April</v>
      </c>
      <c r="F4241" s="3" t="s">
        <v>13</v>
      </c>
      <c r="G4241" s="8">
        <v>6463.1437759999999</v>
      </c>
      <c r="H4241" s="8">
        <v>9560</v>
      </c>
      <c r="I4241" s="8">
        <v>3079.4317660000002</v>
      </c>
      <c r="J4241" s="8">
        <v>10364.493640000001</v>
      </c>
      <c r="K4241" s="8">
        <v>8536.3381270000009</v>
      </c>
      <c r="L4241" s="8">
        <v>12180.370220000001</v>
      </c>
      <c r="M4241" s="9" t="str">
        <f>IF(A4241="",M4242,A4241)</f>
        <v>Tunisia</v>
      </c>
      <c r="N4241" s="3" t="str">
        <f t="shared" si="133"/>
        <v>Apr-2021</v>
      </c>
    </row>
    <row r="4242" spans="1:14" x14ac:dyDescent="0.3">
      <c r="A4242" s="3" t="s">
        <v>360</v>
      </c>
      <c r="B4242" s="3" t="s">
        <v>361</v>
      </c>
      <c r="C4242" s="8">
        <v>2021</v>
      </c>
      <c r="D4242" s="8">
        <v>5</v>
      </c>
      <c r="E4242" s="3" t="str">
        <f t="shared" si="132"/>
        <v>May</v>
      </c>
      <c r="F4242" s="3" t="s">
        <v>13</v>
      </c>
      <c r="G4242" s="8">
        <v>5908.2184180000004</v>
      </c>
      <c r="H4242" s="8">
        <v>8809</v>
      </c>
      <c r="I4242" s="8">
        <v>2883.3571240000001</v>
      </c>
      <c r="J4242" s="8">
        <v>13247.850759999999</v>
      </c>
      <c r="K4242" s="8">
        <v>11398.51302</v>
      </c>
      <c r="L4242" s="8">
        <v>15114.945599999999</v>
      </c>
      <c r="M4242" s="9" t="str">
        <f>IF(A4242="",M4243,A4242)</f>
        <v>Tunisia</v>
      </c>
      <c r="N4242" s="3" t="str">
        <f t="shared" si="133"/>
        <v>May-2021</v>
      </c>
    </row>
    <row r="4243" spans="1:14" x14ac:dyDescent="0.3">
      <c r="A4243" s="3" t="s">
        <v>360</v>
      </c>
      <c r="B4243" s="3" t="s">
        <v>361</v>
      </c>
      <c r="C4243" s="8">
        <v>2021</v>
      </c>
      <c r="D4243" s="8">
        <v>6</v>
      </c>
      <c r="E4243" s="3" t="str">
        <f t="shared" si="132"/>
        <v>June</v>
      </c>
      <c r="F4243" s="3" t="s">
        <v>13</v>
      </c>
      <c r="G4243" s="8">
        <v>5858.1817380000002</v>
      </c>
      <c r="H4243" s="8">
        <v>10069</v>
      </c>
      <c r="I4243" s="8">
        <v>4193.3938040000003</v>
      </c>
      <c r="J4243" s="8">
        <v>17441.244559999999</v>
      </c>
      <c r="K4243" s="8">
        <v>15544.661410000001</v>
      </c>
      <c r="L4243" s="8">
        <v>19364.382440000001</v>
      </c>
      <c r="M4243" s="9" t="str">
        <f>IF(A4243="",M4244,A4243)</f>
        <v>Tunisia</v>
      </c>
      <c r="N4243" s="3" t="str">
        <f t="shared" si="133"/>
        <v>Jun-2021</v>
      </c>
    </row>
    <row r="4244" spans="1:14" x14ac:dyDescent="0.3">
      <c r="A4244" s="3" t="s">
        <v>360</v>
      </c>
      <c r="B4244" s="3" t="s">
        <v>361</v>
      </c>
      <c r="C4244" s="8">
        <v>2021</v>
      </c>
      <c r="D4244" s="8">
        <v>7</v>
      </c>
      <c r="E4244" s="3" t="str">
        <f t="shared" si="132"/>
        <v>July</v>
      </c>
      <c r="F4244" s="3" t="s">
        <v>13</v>
      </c>
      <c r="G4244" s="8">
        <v>6420.4120510000002</v>
      </c>
      <c r="H4244" s="8">
        <v>16073</v>
      </c>
      <c r="I4244" s="8">
        <v>9635.1634909999993</v>
      </c>
      <c r="J4244" s="8">
        <v>27076.408049999998</v>
      </c>
      <c r="K4244" s="8">
        <v>25111.91144</v>
      </c>
      <c r="L4244" s="8">
        <v>29102.86306</v>
      </c>
      <c r="M4244" s="9" t="str">
        <f>IF(A4244="",M4245,A4244)</f>
        <v>Tunisia</v>
      </c>
      <c r="N4244" s="3" t="str">
        <f t="shared" si="133"/>
        <v>Jul-2021</v>
      </c>
    </row>
    <row r="4245" spans="1:14" x14ac:dyDescent="0.3">
      <c r="A4245" s="3" t="s">
        <v>360</v>
      </c>
      <c r="B4245" s="3" t="s">
        <v>361</v>
      </c>
      <c r="C4245" s="8">
        <v>2021</v>
      </c>
      <c r="D4245" s="8">
        <v>8</v>
      </c>
      <c r="E4245" s="3" t="str">
        <f t="shared" si="132"/>
        <v>August</v>
      </c>
      <c r="F4245" s="3" t="s">
        <v>13</v>
      </c>
      <c r="G4245" s="8">
        <v>6453.6226029999998</v>
      </c>
      <c r="H4245" s="8">
        <v>13202</v>
      </c>
      <c r="I4245" s="8">
        <v>6730.9529389999998</v>
      </c>
      <c r="J4245" s="8">
        <v>33807.360990000001</v>
      </c>
      <c r="K4245" s="8">
        <v>31839.503959999998</v>
      </c>
      <c r="L4245" s="8">
        <v>35830.80227</v>
      </c>
      <c r="M4245" s="9" t="str">
        <f>IF(A4245="",M4246,A4245)</f>
        <v>Tunisia</v>
      </c>
      <c r="N4245" s="3" t="str">
        <f t="shared" si="133"/>
        <v>Aug-2021</v>
      </c>
    </row>
    <row r="4246" spans="1:14" x14ac:dyDescent="0.3">
      <c r="A4246" s="3" t="s">
        <v>360</v>
      </c>
      <c r="B4246" s="3" t="s">
        <v>361</v>
      </c>
      <c r="C4246" s="8">
        <v>2021</v>
      </c>
      <c r="D4246" s="8">
        <v>9</v>
      </c>
      <c r="E4246" s="3" t="str">
        <f t="shared" si="132"/>
        <v>September</v>
      </c>
      <c r="F4246" s="3" t="s">
        <v>13</v>
      </c>
      <c r="G4246" s="8">
        <v>6076.0200439999999</v>
      </c>
      <c r="H4246" s="8">
        <v>7761</v>
      </c>
      <c r="I4246" s="8">
        <v>1667.5554979999999</v>
      </c>
      <c r="J4246" s="8">
        <v>35474.916490000003</v>
      </c>
      <c r="K4246" s="8">
        <v>33503.404390000003</v>
      </c>
      <c r="L4246" s="8">
        <v>37568.8819</v>
      </c>
      <c r="M4246" s="9" t="str">
        <f>IF(A4246="",M4247,A4246)</f>
        <v>Tunisia</v>
      </c>
      <c r="N4246" s="3" t="str">
        <f t="shared" si="133"/>
        <v>Sep-2021</v>
      </c>
    </row>
    <row r="4247" spans="1:14" x14ac:dyDescent="0.3">
      <c r="A4247" s="3" t="s">
        <v>360</v>
      </c>
      <c r="B4247" s="3" t="s">
        <v>361</v>
      </c>
      <c r="C4247" s="8">
        <v>2021</v>
      </c>
      <c r="D4247" s="8">
        <v>10</v>
      </c>
      <c r="E4247" s="3" t="str">
        <f t="shared" si="132"/>
        <v>October</v>
      </c>
      <c r="F4247" s="3" t="s">
        <v>13</v>
      </c>
      <c r="G4247" s="8">
        <v>6244.0107330000001</v>
      </c>
      <c r="H4247" s="8">
        <v>6406</v>
      </c>
      <c r="I4247" s="8">
        <v>144.5648095</v>
      </c>
      <c r="J4247" s="8">
        <v>35619.481299999999</v>
      </c>
      <c r="K4247" s="8">
        <v>33541.15681</v>
      </c>
      <c r="L4247" s="8">
        <v>37764.810160000001</v>
      </c>
      <c r="M4247" s="9" t="str">
        <f>IF(A4247="",M4248,A4247)</f>
        <v>Tunisia</v>
      </c>
      <c r="N4247" s="3" t="str">
        <f t="shared" si="133"/>
        <v>Oct-2021</v>
      </c>
    </row>
    <row r="4248" spans="1:14" x14ac:dyDescent="0.3">
      <c r="A4248" s="3" t="s">
        <v>360</v>
      </c>
      <c r="B4248" s="3" t="s">
        <v>361</v>
      </c>
      <c r="C4248" s="8">
        <v>2021</v>
      </c>
      <c r="D4248" s="8">
        <v>11</v>
      </c>
      <c r="E4248" s="3" t="str">
        <f t="shared" si="132"/>
        <v>November</v>
      </c>
      <c r="F4248" s="3" t="s">
        <v>13</v>
      </c>
      <c r="G4248" s="8">
        <v>6878.0492709999999</v>
      </c>
      <c r="H4248" s="8">
        <v>6549</v>
      </c>
      <c r="I4248" s="8">
        <v>-346.47372869999998</v>
      </c>
      <c r="J4248" s="8">
        <v>35273.007570000002</v>
      </c>
      <c r="K4248" s="8">
        <v>33099.564270000003</v>
      </c>
      <c r="L4248" s="8">
        <v>37420.071949999998</v>
      </c>
      <c r="M4248" s="9" t="str">
        <f>IF(A4248="",M4249,A4248)</f>
        <v>Tunisia</v>
      </c>
      <c r="N4248" s="3" t="str">
        <f t="shared" si="133"/>
        <v>Nov-2021</v>
      </c>
    </row>
    <row r="4249" spans="1:14" x14ac:dyDescent="0.3">
      <c r="A4249" s="3" t="s">
        <v>360</v>
      </c>
      <c r="B4249" s="3" t="s">
        <v>361</v>
      </c>
      <c r="C4249" s="8">
        <v>2021</v>
      </c>
      <c r="D4249" s="8">
        <v>12</v>
      </c>
      <c r="E4249" s="3" t="str">
        <f t="shared" si="132"/>
        <v>December</v>
      </c>
      <c r="F4249" s="3" t="s">
        <v>13</v>
      </c>
      <c r="G4249" s="8">
        <v>8156.1673469999996</v>
      </c>
      <c r="H4249" s="8">
        <v>8101</v>
      </c>
      <c r="I4249" s="8">
        <v>-72.591804769999996</v>
      </c>
      <c r="J4249" s="8">
        <v>35200.41577</v>
      </c>
      <c r="K4249" s="8">
        <v>33030.095849999998</v>
      </c>
      <c r="L4249" s="8">
        <v>37429.766620000002</v>
      </c>
      <c r="M4249" s="9" t="str">
        <f>IF(A4249="",M4250,A4249)</f>
        <v>Tunisia</v>
      </c>
      <c r="N4249" s="3" t="str">
        <f t="shared" si="133"/>
        <v>Dec-2021</v>
      </c>
    </row>
    <row r="4250" spans="1:14" x14ac:dyDescent="0.3">
      <c r="A4250" s="3" t="s">
        <v>362</v>
      </c>
      <c r="B4250" s="3" t="s">
        <v>363</v>
      </c>
      <c r="C4250" s="8">
        <v>2020</v>
      </c>
      <c r="D4250" s="8">
        <v>1</v>
      </c>
      <c r="E4250" s="3" t="str">
        <f t="shared" si="132"/>
        <v>January</v>
      </c>
      <c r="F4250" s="3" t="s">
        <v>13</v>
      </c>
      <c r="G4250" s="8">
        <v>45935.391660000001</v>
      </c>
      <c r="H4250" s="8">
        <v>48308</v>
      </c>
      <c r="I4250" s="8">
        <v>2286.8197620000001</v>
      </c>
      <c r="J4250" s="8">
        <v>2286.8197620000001</v>
      </c>
      <c r="K4250" s="8">
        <v>402.9401264</v>
      </c>
      <c r="L4250" s="8">
        <v>3891.6957050000001</v>
      </c>
      <c r="M4250" s="9" t="str">
        <f>IF(A4250="",M4251,A4250)</f>
        <v>TÃ¼rkiye</v>
      </c>
      <c r="N4250" s="3" t="str">
        <f t="shared" si="133"/>
        <v>Jan-2020</v>
      </c>
    </row>
    <row r="4251" spans="1:14" x14ac:dyDescent="0.3">
      <c r="A4251" s="3" t="s">
        <v>362</v>
      </c>
      <c r="B4251" s="3" t="s">
        <v>363</v>
      </c>
      <c r="C4251" s="8">
        <v>2020</v>
      </c>
      <c r="D4251" s="8">
        <v>2</v>
      </c>
      <c r="E4251" s="3" t="str">
        <f t="shared" si="132"/>
        <v>February</v>
      </c>
      <c r="F4251" s="3" t="s">
        <v>13</v>
      </c>
      <c r="G4251" s="8">
        <v>43938.39056</v>
      </c>
      <c r="H4251" s="8">
        <v>40254</v>
      </c>
      <c r="I4251" s="8">
        <v>-3770.1791360000002</v>
      </c>
      <c r="J4251" s="8">
        <v>-1483.3593739999999</v>
      </c>
      <c r="K4251" s="8">
        <v>-4265.5491780000002</v>
      </c>
      <c r="L4251" s="8">
        <v>1411.8020240000001</v>
      </c>
      <c r="M4251" s="9" t="str">
        <f>IF(A4251="",M4252,A4251)</f>
        <v>TÃ¼rkiye</v>
      </c>
      <c r="N4251" s="3" t="str">
        <f t="shared" si="133"/>
        <v>Feb-2020</v>
      </c>
    </row>
    <row r="4252" spans="1:14" x14ac:dyDescent="0.3">
      <c r="A4252" s="3" t="s">
        <v>362</v>
      </c>
      <c r="B4252" s="3" t="s">
        <v>363</v>
      </c>
      <c r="C4252" s="8">
        <v>2020</v>
      </c>
      <c r="D4252" s="8">
        <v>3</v>
      </c>
      <c r="E4252" s="3" t="str">
        <f t="shared" si="132"/>
        <v>March</v>
      </c>
      <c r="F4252" s="3" t="s">
        <v>13</v>
      </c>
      <c r="G4252" s="8">
        <v>42991.919820000003</v>
      </c>
      <c r="H4252" s="8">
        <v>43280</v>
      </c>
      <c r="I4252" s="8">
        <v>202.2916079</v>
      </c>
      <c r="J4252" s="8">
        <v>-1281.0677659999999</v>
      </c>
      <c r="K4252" s="8">
        <v>-5005.6594420000001</v>
      </c>
      <c r="L4252" s="8">
        <v>2368.2620870000001</v>
      </c>
      <c r="M4252" s="9" t="str">
        <f>IF(A4252="",M4253,A4252)</f>
        <v>TÃ¼rkiye</v>
      </c>
      <c r="N4252" s="3" t="str">
        <f t="shared" si="133"/>
        <v>Mar-2020</v>
      </c>
    </row>
    <row r="4253" spans="1:14" x14ac:dyDescent="0.3">
      <c r="A4253" s="3" t="s">
        <v>362</v>
      </c>
      <c r="B4253" s="3" t="s">
        <v>363</v>
      </c>
      <c r="C4253" s="8">
        <v>2020</v>
      </c>
      <c r="D4253" s="8">
        <v>4</v>
      </c>
      <c r="E4253" s="3" t="str">
        <f t="shared" si="132"/>
        <v>April</v>
      </c>
      <c r="F4253" s="3" t="s">
        <v>13</v>
      </c>
      <c r="G4253" s="8">
        <v>41363.773410000002</v>
      </c>
      <c r="H4253" s="8">
        <v>44072</v>
      </c>
      <c r="I4253" s="8">
        <v>2622.4380169999999</v>
      </c>
      <c r="J4253" s="8">
        <v>1341.3702510000001</v>
      </c>
      <c r="K4253" s="8">
        <v>-2858.4526810000002</v>
      </c>
      <c r="L4253" s="8">
        <v>5473.4171480000005</v>
      </c>
      <c r="M4253" s="9" t="str">
        <f>IF(A4253="",M4254,A4253)</f>
        <v>TÃ¼rkiye</v>
      </c>
      <c r="N4253" s="3" t="str">
        <f t="shared" si="133"/>
        <v>Apr-2020</v>
      </c>
    </row>
    <row r="4254" spans="1:14" x14ac:dyDescent="0.3">
      <c r="A4254" s="3" t="s">
        <v>362</v>
      </c>
      <c r="B4254" s="3" t="s">
        <v>363</v>
      </c>
      <c r="C4254" s="8">
        <v>2020</v>
      </c>
      <c r="D4254" s="8">
        <v>5</v>
      </c>
      <c r="E4254" s="3" t="str">
        <f t="shared" si="132"/>
        <v>May</v>
      </c>
      <c r="F4254" s="3" t="s">
        <v>13</v>
      </c>
      <c r="G4254" s="8">
        <v>40410.872089999997</v>
      </c>
      <c r="H4254" s="8">
        <v>40327</v>
      </c>
      <c r="I4254" s="8">
        <v>-169.66066309999999</v>
      </c>
      <c r="J4254" s="8">
        <v>1171.7095879999999</v>
      </c>
      <c r="K4254" s="8">
        <v>-3102.4028640000001</v>
      </c>
      <c r="L4254" s="8">
        <v>5802.5657890000002</v>
      </c>
      <c r="M4254" s="9" t="str">
        <f>IF(A4254="",M4255,A4254)</f>
        <v>TÃ¼rkiye</v>
      </c>
      <c r="N4254" s="3" t="str">
        <f t="shared" si="133"/>
        <v>May-2020</v>
      </c>
    </row>
    <row r="4255" spans="1:14" x14ac:dyDescent="0.3">
      <c r="A4255" s="3" t="s">
        <v>362</v>
      </c>
      <c r="B4255" s="3" t="s">
        <v>363</v>
      </c>
      <c r="C4255" s="8">
        <v>2020</v>
      </c>
      <c r="D4255" s="8">
        <v>6</v>
      </c>
      <c r="E4255" s="3" t="str">
        <f t="shared" si="132"/>
        <v>June</v>
      </c>
      <c r="F4255" s="3" t="s">
        <v>13</v>
      </c>
      <c r="G4255" s="8">
        <v>40081.098639999997</v>
      </c>
      <c r="H4255" s="8">
        <v>38662</v>
      </c>
      <c r="I4255" s="8">
        <v>-1504.8872120000001</v>
      </c>
      <c r="J4255" s="8">
        <v>-333.1776246</v>
      </c>
      <c r="K4255" s="8">
        <v>-4965.7578910000002</v>
      </c>
      <c r="L4255" s="8">
        <v>4414.079761</v>
      </c>
      <c r="M4255" s="9" t="str">
        <f>IF(A4255="",M4256,A4255)</f>
        <v>TÃ¼rkiye</v>
      </c>
      <c r="N4255" s="3" t="str">
        <f t="shared" si="133"/>
        <v>Jun-2020</v>
      </c>
    </row>
    <row r="4256" spans="1:14" x14ac:dyDescent="0.3">
      <c r="A4256" s="3" t="s">
        <v>362</v>
      </c>
      <c r="B4256" s="3" t="s">
        <v>363</v>
      </c>
      <c r="C4256" s="8">
        <v>2020</v>
      </c>
      <c r="D4256" s="8">
        <v>7</v>
      </c>
      <c r="E4256" s="3" t="str">
        <f t="shared" si="132"/>
        <v>July</v>
      </c>
      <c r="F4256" s="3" t="s">
        <v>13</v>
      </c>
      <c r="G4256" s="8">
        <v>41574.369299999998</v>
      </c>
      <c r="H4256" s="8">
        <v>44713</v>
      </c>
      <c r="I4256" s="8">
        <v>3052.8421290000001</v>
      </c>
      <c r="J4256" s="8">
        <v>2719.6645050000002</v>
      </c>
      <c r="K4256" s="8">
        <v>-2354.6482719999999</v>
      </c>
      <c r="L4256" s="8">
        <v>7874.9870229999997</v>
      </c>
      <c r="M4256" s="9" t="str">
        <f>IF(A4256="",M4257,A4256)</f>
        <v>TÃ¼rkiye</v>
      </c>
      <c r="N4256" s="3" t="str">
        <f t="shared" si="133"/>
        <v>Jul-2020</v>
      </c>
    </row>
    <row r="4257" spans="1:14" x14ac:dyDescent="0.3">
      <c r="A4257" s="3" t="s">
        <v>362</v>
      </c>
      <c r="B4257" s="3" t="s">
        <v>363</v>
      </c>
      <c r="C4257" s="8">
        <v>2020</v>
      </c>
      <c r="D4257" s="8">
        <v>8</v>
      </c>
      <c r="E4257" s="3" t="str">
        <f t="shared" si="132"/>
        <v>August</v>
      </c>
      <c r="F4257" s="3" t="s">
        <v>13</v>
      </c>
      <c r="G4257" s="8">
        <v>41154.696830000001</v>
      </c>
      <c r="H4257" s="8">
        <v>49118</v>
      </c>
      <c r="I4257" s="8">
        <v>7877.5146000000004</v>
      </c>
      <c r="J4257" s="8">
        <v>10597.179099999999</v>
      </c>
      <c r="K4257" s="8">
        <v>5085.8859320000001</v>
      </c>
      <c r="L4257" s="8">
        <v>15940.76686</v>
      </c>
      <c r="M4257" s="9" t="str">
        <f>IF(A4257="",M4258,A4257)</f>
        <v>TÃ¼rkiye</v>
      </c>
      <c r="N4257" s="3" t="str">
        <f t="shared" si="133"/>
        <v>Aug-2020</v>
      </c>
    </row>
    <row r="4258" spans="1:14" x14ac:dyDescent="0.3">
      <c r="A4258" s="3" t="s">
        <v>362</v>
      </c>
      <c r="B4258" s="3" t="s">
        <v>363</v>
      </c>
      <c r="C4258" s="8">
        <v>2020</v>
      </c>
      <c r="D4258" s="8">
        <v>9</v>
      </c>
      <c r="E4258" s="3" t="str">
        <f t="shared" si="132"/>
        <v>September</v>
      </c>
      <c r="F4258" s="3" t="s">
        <v>13</v>
      </c>
      <c r="G4258" s="8">
        <v>39334.103730000003</v>
      </c>
      <c r="H4258" s="8">
        <v>50497</v>
      </c>
      <c r="I4258" s="8">
        <v>11077.107690000001</v>
      </c>
      <c r="J4258" s="8">
        <v>21674.286800000002</v>
      </c>
      <c r="K4258" s="8">
        <v>16104.874820000001</v>
      </c>
      <c r="L4258" s="8">
        <v>27256.735550000001</v>
      </c>
      <c r="M4258" s="9" t="str">
        <f>IF(A4258="",M4259,A4258)</f>
        <v>TÃ¼rkiye</v>
      </c>
      <c r="N4258" s="3" t="str">
        <f t="shared" si="133"/>
        <v>Sep-2020</v>
      </c>
    </row>
    <row r="4259" spans="1:14" x14ac:dyDescent="0.3">
      <c r="A4259" s="3" t="s">
        <v>362</v>
      </c>
      <c r="B4259" s="3" t="s">
        <v>363</v>
      </c>
      <c r="C4259" s="8">
        <v>2020</v>
      </c>
      <c r="D4259" s="8">
        <v>10</v>
      </c>
      <c r="E4259" s="3" t="str">
        <f t="shared" si="132"/>
        <v>October</v>
      </c>
      <c r="F4259" s="3" t="s">
        <v>13</v>
      </c>
      <c r="G4259" s="8">
        <v>40256.179660000002</v>
      </c>
      <c r="H4259" s="8">
        <v>49089</v>
      </c>
      <c r="I4259" s="8">
        <v>8747.0317649999997</v>
      </c>
      <c r="J4259" s="8">
        <v>30421.31856</v>
      </c>
      <c r="K4259" s="8">
        <v>24523.517169999999</v>
      </c>
      <c r="L4259" s="8">
        <v>36591.011400000003</v>
      </c>
      <c r="M4259" s="9" t="str">
        <f>IF(A4259="",M4260,A4259)</f>
        <v>TÃ¼rkiye</v>
      </c>
      <c r="N4259" s="3" t="str">
        <f t="shared" si="133"/>
        <v>Oct-2020</v>
      </c>
    </row>
    <row r="4260" spans="1:14" x14ac:dyDescent="0.3">
      <c r="A4260" s="3" t="s">
        <v>362</v>
      </c>
      <c r="B4260" s="3" t="s">
        <v>363</v>
      </c>
      <c r="C4260" s="8">
        <v>2020</v>
      </c>
      <c r="D4260" s="8">
        <v>11</v>
      </c>
      <c r="E4260" s="3" t="str">
        <f t="shared" si="132"/>
        <v>November</v>
      </c>
      <c r="F4260" s="3" t="s">
        <v>13</v>
      </c>
      <c r="G4260" s="8">
        <v>42645.576300000001</v>
      </c>
      <c r="H4260" s="8">
        <v>65923</v>
      </c>
      <c r="I4260" s="8">
        <v>23191.635129999999</v>
      </c>
      <c r="J4260" s="8">
        <v>53612.953690000002</v>
      </c>
      <c r="K4260" s="8">
        <v>47400.981950000001</v>
      </c>
      <c r="L4260" s="8">
        <v>60111.64473</v>
      </c>
      <c r="M4260" s="9" t="str">
        <f>IF(A4260="",M4261,A4260)</f>
        <v>TÃ¼rkiye</v>
      </c>
      <c r="N4260" s="3" t="str">
        <f t="shared" si="133"/>
        <v>Nov-2020</v>
      </c>
    </row>
    <row r="4261" spans="1:14" x14ac:dyDescent="0.3">
      <c r="A4261" s="3" t="s">
        <v>362</v>
      </c>
      <c r="B4261" s="3" t="s">
        <v>363</v>
      </c>
      <c r="C4261" s="8">
        <v>2020</v>
      </c>
      <c r="D4261" s="8">
        <v>12</v>
      </c>
      <c r="E4261" s="3" t="str">
        <f t="shared" si="132"/>
        <v>December</v>
      </c>
      <c r="F4261" s="3" t="s">
        <v>13</v>
      </c>
      <c r="G4261" s="8">
        <v>46801.418590000001</v>
      </c>
      <c r="H4261" s="8">
        <v>70000</v>
      </c>
      <c r="I4261" s="8">
        <v>23112.792829999999</v>
      </c>
      <c r="J4261" s="8">
        <v>76725.746520000001</v>
      </c>
      <c r="K4261" s="8">
        <v>69875.777369999996</v>
      </c>
      <c r="L4261" s="8">
        <v>83689.982050000006</v>
      </c>
      <c r="M4261" s="9" t="str">
        <f>IF(A4261="",M4262,A4261)</f>
        <v>TÃ¼rkiye</v>
      </c>
      <c r="N4261" s="3" t="str">
        <f t="shared" si="133"/>
        <v>Dec-2020</v>
      </c>
    </row>
    <row r="4262" spans="1:14" x14ac:dyDescent="0.3">
      <c r="A4262" s="3" t="s">
        <v>362</v>
      </c>
      <c r="B4262" s="3" t="s">
        <v>363</v>
      </c>
      <c r="C4262" s="8">
        <v>2021</v>
      </c>
      <c r="D4262" s="8">
        <v>1</v>
      </c>
      <c r="E4262" s="3" t="str">
        <f t="shared" si="132"/>
        <v>January</v>
      </c>
      <c r="F4262" s="3" t="s">
        <v>13</v>
      </c>
      <c r="G4262" s="8">
        <v>46763.762419999999</v>
      </c>
      <c r="H4262" s="8">
        <v>53961</v>
      </c>
      <c r="I4262" s="8">
        <v>7158.9921670000003</v>
      </c>
      <c r="J4262" s="8">
        <v>83884.738689999998</v>
      </c>
      <c r="K4262" s="8">
        <v>76633.55515</v>
      </c>
      <c r="L4262" s="8">
        <v>91181.807390000002</v>
      </c>
      <c r="M4262" s="9" t="str">
        <f>IF(A4262="",M4263,A4262)</f>
        <v>TÃ¼rkiye</v>
      </c>
      <c r="N4262" s="3" t="str">
        <f t="shared" si="133"/>
        <v>Jan-2021</v>
      </c>
    </row>
    <row r="4263" spans="1:14" x14ac:dyDescent="0.3">
      <c r="A4263" s="3" t="s">
        <v>362</v>
      </c>
      <c r="B4263" s="3" t="s">
        <v>363</v>
      </c>
      <c r="C4263" s="8">
        <v>2021</v>
      </c>
      <c r="D4263" s="8">
        <v>2</v>
      </c>
      <c r="E4263" s="3" t="str">
        <f t="shared" si="132"/>
        <v>February</v>
      </c>
      <c r="F4263" s="3" t="s">
        <v>13</v>
      </c>
      <c r="G4263" s="8">
        <v>44822.26511</v>
      </c>
      <c r="H4263" s="8">
        <v>42428</v>
      </c>
      <c r="I4263" s="8">
        <v>-2432.5105229999999</v>
      </c>
      <c r="J4263" s="8">
        <v>81452.228170000002</v>
      </c>
      <c r="K4263" s="8">
        <v>73827.11808</v>
      </c>
      <c r="L4263" s="8">
        <v>88819.410770000002</v>
      </c>
      <c r="M4263" s="9" t="str">
        <f>IF(A4263="",M4264,A4263)</f>
        <v>TÃ¼rkiye</v>
      </c>
      <c r="N4263" s="3" t="str">
        <f t="shared" si="133"/>
        <v>Feb-2021</v>
      </c>
    </row>
    <row r="4264" spans="1:14" x14ac:dyDescent="0.3">
      <c r="A4264" s="3" t="s">
        <v>362</v>
      </c>
      <c r="B4264" s="3" t="s">
        <v>363</v>
      </c>
      <c r="C4264" s="8">
        <v>2021</v>
      </c>
      <c r="D4264" s="8">
        <v>3</v>
      </c>
      <c r="E4264" s="3" t="str">
        <f t="shared" si="132"/>
        <v>March</v>
      </c>
      <c r="F4264" s="3" t="s">
        <v>13</v>
      </c>
      <c r="G4264" s="8">
        <v>43790.544379999999</v>
      </c>
      <c r="H4264" s="8">
        <v>49503</v>
      </c>
      <c r="I4264" s="8">
        <v>5674.2102089999998</v>
      </c>
      <c r="J4264" s="8">
        <v>87126.438370000003</v>
      </c>
      <c r="K4264" s="8">
        <v>78983.148449999993</v>
      </c>
      <c r="L4264" s="8">
        <v>94919.983240000001</v>
      </c>
      <c r="M4264" s="9" t="str">
        <f>IF(A4264="",M4265,A4264)</f>
        <v>TÃ¼rkiye</v>
      </c>
      <c r="N4264" s="3" t="str">
        <f t="shared" si="133"/>
        <v>Mar-2021</v>
      </c>
    </row>
    <row r="4265" spans="1:14" x14ac:dyDescent="0.3">
      <c r="A4265" s="3" t="s">
        <v>362</v>
      </c>
      <c r="B4265" s="3" t="s">
        <v>363</v>
      </c>
      <c r="C4265" s="8">
        <v>2021</v>
      </c>
      <c r="D4265" s="8">
        <v>4</v>
      </c>
      <c r="E4265" s="3" t="str">
        <f t="shared" si="132"/>
        <v>April</v>
      </c>
      <c r="F4265" s="3" t="s">
        <v>13</v>
      </c>
      <c r="G4265" s="8">
        <v>42165.565609999998</v>
      </c>
      <c r="H4265" s="8">
        <v>58751</v>
      </c>
      <c r="I4265" s="8">
        <v>16547.188979999999</v>
      </c>
      <c r="J4265" s="8">
        <v>103673.6274</v>
      </c>
      <c r="K4265" s="8">
        <v>95249.370790000001</v>
      </c>
      <c r="L4265" s="8">
        <v>111974.07580000001</v>
      </c>
      <c r="M4265" s="9" t="str">
        <f>IF(A4265="",M4266,A4265)</f>
        <v>TÃ¼rkiye</v>
      </c>
      <c r="N4265" s="3" t="str">
        <f t="shared" si="133"/>
        <v>Apr-2021</v>
      </c>
    </row>
    <row r="4266" spans="1:14" x14ac:dyDescent="0.3">
      <c r="A4266" s="3" t="s">
        <v>362</v>
      </c>
      <c r="B4266" s="3" t="s">
        <v>363</v>
      </c>
      <c r="C4266" s="8">
        <v>2021</v>
      </c>
      <c r="D4266" s="8">
        <v>5</v>
      </c>
      <c r="E4266" s="3" t="str">
        <f t="shared" si="132"/>
        <v>May</v>
      </c>
      <c r="F4266" s="3" t="s">
        <v>13</v>
      </c>
      <c r="G4266" s="8">
        <v>41263.244180000002</v>
      </c>
      <c r="H4266" s="8">
        <v>53076</v>
      </c>
      <c r="I4266" s="8">
        <v>11774.510410000001</v>
      </c>
      <c r="J4266" s="8">
        <v>115448.1378</v>
      </c>
      <c r="K4266" s="8">
        <v>106826.2115</v>
      </c>
      <c r="L4266" s="8">
        <v>124249.55190000001</v>
      </c>
      <c r="M4266" s="9" t="str">
        <f>IF(A4266="",M4267,A4266)</f>
        <v>TÃ¼rkiye</v>
      </c>
      <c r="N4266" s="3" t="str">
        <f t="shared" si="133"/>
        <v>May-2021</v>
      </c>
    </row>
    <row r="4267" spans="1:14" x14ac:dyDescent="0.3">
      <c r="A4267" s="3" t="s">
        <v>362</v>
      </c>
      <c r="B4267" s="3" t="s">
        <v>363</v>
      </c>
      <c r="C4267" s="8">
        <v>2021</v>
      </c>
      <c r="D4267" s="8">
        <v>6</v>
      </c>
      <c r="E4267" s="3" t="str">
        <f t="shared" si="132"/>
        <v>June</v>
      </c>
      <c r="F4267" s="3" t="s">
        <v>13</v>
      </c>
      <c r="G4267" s="8">
        <v>40956.563739999998</v>
      </c>
      <c r="H4267" s="8">
        <v>43694</v>
      </c>
      <c r="I4267" s="8">
        <v>2699.19085</v>
      </c>
      <c r="J4267" s="8">
        <v>118147.32859999999</v>
      </c>
      <c r="K4267" s="8">
        <v>109475.0861</v>
      </c>
      <c r="L4267" s="8">
        <v>127308.4708</v>
      </c>
      <c r="M4267" s="9" t="str">
        <f>IF(A4267="",M4268,A4267)</f>
        <v>TÃ¼rkiye</v>
      </c>
      <c r="N4267" s="3" t="str">
        <f t="shared" si="133"/>
        <v>Jun-2021</v>
      </c>
    </row>
    <row r="4268" spans="1:14" x14ac:dyDescent="0.3">
      <c r="A4268" s="3" t="s">
        <v>362</v>
      </c>
      <c r="B4268" s="3" t="s">
        <v>363</v>
      </c>
      <c r="C4268" s="8">
        <v>2021</v>
      </c>
      <c r="D4268" s="8">
        <v>7</v>
      </c>
      <c r="E4268" s="3" t="str">
        <f t="shared" si="132"/>
        <v>July</v>
      </c>
      <c r="F4268" s="3" t="s">
        <v>13</v>
      </c>
      <c r="G4268" s="8">
        <v>42436.642500000002</v>
      </c>
      <c r="H4268" s="8">
        <v>50238</v>
      </c>
      <c r="I4268" s="8">
        <v>7763.1120860000001</v>
      </c>
      <c r="J4268" s="8">
        <v>125910.44070000001</v>
      </c>
      <c r="K4268" s="8">
        <v>116967.3365</v>
      </c>
      <c r="L4268" s="8">
        <v>135267.5687</v>
      </c>
      <c r="M4268" s="9" t="str">
        <f>IF(A4268="",M4269,A4268)</f>
        <v>TÃ¼rkiye</v>
      </c>
      <c r="N4268" s="3" t="str">
        <f t="shared" si="133"/>
        <v>Jul-2021</v>
      </c>
    </row>
    <row r="4269" spans="1:14" x14ac:dyDescent="0.3">
      <c r="A4269" s="3" t="s">
        <v>362</v>
      </c>
      <c r="B4269" s="3" t="s">
        <v>363</v>
      </c>
      <c r="C4269" s="8">
        <v>2021</v>
      </c>
      <c r="D4269" s="8">
        <v>8</v>
      </c>
      <c r="E4269" s="3" t="str">
        <f t="shared" si="132"/>
        <v>August</v>
      </c>
      <c r="F4269" s="3" t="s">
        <v>13</v>
      </c>
      <c r="G4269" s="8">
        <v>41928.542909999996</v>
      </c>
      <c r="H4269" s="8">
        <v>61277</v>
      </c>
      <c r="I4269" s="8">
        <v>19310.21168</v>
      </c>
      <c r="J4269" s="8">
        <v>145220.65239999999</v>
      </c>
      <c r="K4269" s="8">
        <v>135978.91930000001</v>
      </c>
      <c r="L4269" s="8">
        <v>154892.37950000001</v>
      </c>
      <c r="M4269" s="9" t="str">
        <f>IF(A4269="",M4270,A4269)</f>
        <v>TÃ¼rkiye</v>
      </c>
      <c r="N4269" s="3" t="str">
        <f t="shared" si="133"/>
        <v>Aug-2021</v>
      </c>
    </row>
    <row r="4270" spans="1:14" x14ac:dyDescent="0.3">
      <c r="A4270" s="3" t="s">
        <v>362</v>
      </c>
      <c r="B4270" s="3" t="s">
        <v>363</v>
      </c>
      <c r="C4270" s="8">
        <v>2021</v>
      </c>
      <c r="D4270" s="8">
        <v>9</v>
      </c>
      <c r="E4270" s="3" t="str">
        <f t="shared" si="132"/>
        <v>September</v>
      </c>
      <c r="F4270" s="3" t="s">
        <v>13</v>
      </c>
      <c r="G4270" s="8">
        <v>40110.73919</v>
      </c>
      <c r="H4270" s="8">
        <v>57790</v>
      </c>
      <c r="I4270" s="8">
        <v>17641.0154</v>
      </c>
      <c r="J4270" s="8">
        <v>162861.6678</v>
      </c>
      <c r="K4270" s="8">
        <v>153728.69750000001</v>
      </c>
      <c r="L4270" s="8">
        <v>172819.2488</v>
      </c>
      <c r="M4270" s="9" t="str">
        <f>IF(A4270="",M4271,A4270)</f>
        <v>TÃ¼rkiye</v>
      </c>
      <c r="N4270" s="3" t="str">
        <f t="shared" si="133"/>
        <v>Sep-2021</v>
      </c>
    </row>
    <row r="4271" spans="1:14" x14ac:dyDescent="0.3">
      <c r="A4271" s="3" t="s">
        <v>362</v>
      </c>
      <c r="B4271" s="3" t="s">
        <v>363</v>
      </c>
      <c r="C4271" s="8">
        <v>2021</v>
      </c>
      <c r="D4271" s="8">
        <v>10</v>
      </c>
      <c r="E4271" s="3" t="str">
        <f t="shared" si="132"/>
        <v>October</v>
      </c>
      <c r="F4271" s="3" t="s">
        <v>13</v>
      </c>
      <c r="G4271" s="8">
        <v>41126.844149999997</v>
      </c>
      <c r="H4271" s="8">
        <v>59673</v>
      </c>
      <c r="I4271" s="8">
        <v>18507.91044</v>
      </c>
      <c r="J4271" s="8">
        <v>181369.57819999999</v>
      </c>
      <c r="K4271" s="8">
        <v>171725.14739999999</v>
      </c>
      <c r="L4271" s="8">
        <v>191499.74350000001</v>
      </c>
      <c r="M4271" s="9" t="str">
        <f>IF(A4271="",M4272,A4271)</f>
        <v>TÃ¼rkiye</v>
      </c>
      <c r="N4271" s="3" t="str">
        <f t="shared" si="133"/>
        <v>Oct-2021</v>
      </c>
    </row>
    <row r="4272" spans="1:14" x14ac:dyDescent="0.3">
      <c r="A4272" s="3" t="s">
        <v>362</v>
      </c>
      <c r="B4272" s="3" t="s">
        <v>363</v>
      </c>
      <c r="C4272" s="8">
        <v>2021</v>
      </c>
      <c r="D4272" s="8">
        <v>11</v>
      </c>
      <c r="E4272" s="3" t="str">
        <f t="shared" si="132"/>
        <v>November</v>
      </c>
      <c r="F4272" s="3" t="s">
        <v>13</v>
      </c>
      <c r="G4272" s="8">
        <v>43649.345999999998</v>
      </c>
      <c r="H4272" s="8">
        <v>60204</v>
      </c>
      <c r="I4272" s="8">
        <v>16516.408589999999</v>
      </c>
      <c r="J4272" s="8">
        <v>197885.98680000001</v>
      </c>
      <c r="K4272" s="8">
        <v>187720.00159999999</v>
      </c>
      <c r="L4272" s="8">
        <v>208387.133</v>
      </c>
      <c r="M4272" s="9" t="str">
        <f>IF(A4272="",M4273,A4272)</f>
        <v>TÃ¼rkiye</v>
      </c>
      <c r="N4272" s="3" t="str">
        <f t="shared" si="133"/>
        <v>Nov-2021</v>
      </c>
    </row>
    <row r="4273" spans="1:14" x14ac:dyDescent="0.3">
      <c r="A4273" s="3" t="s">
        <v>362</v>
      </c>
      <c r="B4273" s="3" t="s">
        <v>363</v>
      </c>
      <c r="C4273" s="8">
        <v>2021</v>
      </c>
      <c r="D4273" s="8">
        <v>12</v>
      </c>
      <c r="E4273" s="3" t="str">
        <f t="shared" si="132"/>
        <v>December</v>
      </c>
      <c r="F4273" s="3" t="s">
        <v>13</v>
      </c>
      <c r="G4273" s="8">
        <v>47660.100939999997</v>
      </c>
      <c r="H4273" s="8">
        <v>59966</v>
      </c>
      <c r="I4273" s="8">
        <v>12267.65365</v>
      </c>
      <c r="J4273" s="8">
        <v>210153.64050000001</v>
      </c>
      <c r="K4273" s="8">
        <v>199645.4583</v>
      </c>
      <c r="L4273" s="8">
        <v>220867.6214</v>
      </c>
      <c r="M4273" s="9" t="str">
        <f>IF(A4273="",M4274,A4273)</f>
        <v>TÃ¼rkiye</v>
      </c>
      <c r="N4273" s="3" t="str">
        <f t="shared" si="133"/>
        <v>Dec-2021</v>
      </c>
    </row>
    <row r="4274" spans="1:14" x14ac:dyDescent="0.3">
      <c r="A4274" s="3" t="s">
        <v>364</v>
      </c>
      <c r="B4274" s="3" t="s">
        <v>365</v>
      </c>
      <c r="C4274" s="8">
        <v>2020</v>
      </c>
      <c r="D4274" s="8">
        <v>1</v>
      </c>
      <c r="E4274" s="3" t="str">
        <f t="shared" si="132"/>
        <v>January</v>
      </c>
      <c r="F4274" s="3" t="s">
        <v>8</v>
      </c>
      <c r="G4274" s="8">
        <v>7.7170317500000003</v>
      </c>
      <c r="H4274" s="8">
        <v>7.843</v>
      </c>
      <c r="I4274" s="8">
        <v>0.12596825</v>
      </c>
      <c r="J4274" s="8">
        <v>0.12596825</v>
      </c>
      <c r="K4274" s="8">
        <v>-5.1003432489999998</v>
      </c>
      <c r="L4274" s="8">
        <v>6.6901603620000003</v>
      </c>
      <c r="M4274" s="9" t="str">
        <f>IF(A4274="",M4275,A4274)</f>
        <v>Tuvalu</v>
      </c>
      <c r="N4274" s="3" t="str">
        <f t="shared" si="133"/>
        <v>Jan-2020</v>
      </c>
    </row>
    <row r="4275" spans="1:14" x14ac:dyDescent="0.3">
      <c r="A4275" s="3" t="s">
        <v>364</v>
      </c>
      <c r="B4275" s="3" t="s">
        <v>365</v>
      </c>
      <c r="C4275" s="8">
        <v>2020</v>
      </c>
      <c r="D4275" s="8">
        <v>2</v>
      </c>
      <c r="E4275" s="3" t="str">
        <f t="shared" si="132"/>
        <v>February</v>
      </c>
      <c r="F4275" s="3" t="s">
        <v>8</v>
      </c>
      <c r="G4275" s="8">
        <v>7.695752658</v>
      </c>
      <c r="H4275" s="8">
        <v>7.7190000000000003</v>
      </c>
      <c r="I4275" s="8">
        <v>2.3247342000000001E-2</v>
      </c>
      <c r="J4275" s="8">
        <v>0.14921559200000001</v>
      </c>
      <c r="K4275" s="8">
        <v>-7.4278436250000004</v>
      </c>
      <c r="L4275" s="8">
        <v>8.6618437779999997</v>
      </c>
      <c r="M4275" s="9" t="str">
        <f>IF(A4275="",M4276,A4275)</f>
        <v>Tuvalu</v>
      </c>
      <c r="N4275" s="3" t="str">
        <f t="shared" si="133"/>
        <v>Feb-2020</v>
      </c>
    </row>
    <row r="4276" spans="1:14" x14ac:dyDescent="0.3">
      <c r="A4276" s="3" t="s">
        <v>364</v>
      </c>
      <c r="B4276" s="3" t="s">
        <v>365</v>
      </c>
      <c r="C4276" s="8">
        <v>2020</v>
      </c>
      <c r="D4276" s="8">
        <v>3</v>
      </c>
      <c r="E4276" s="3" t="str">
        <f t="shared" si="132"/>
        <v>March</v>
      </c>
      <c r="F4276" s="3" t="s">
        <v>8</v>
      </c>
      <c r="G4276" s="8">
        <v>7.6892636259999998</v>
      </c>
      <c r="H4276" s="8">
        <v>7.7489999999999997</v>
      </c>
      <c r="I4276" s="8">
        <v>5.9736374000000002E-2</v>
      </c>
      <c r="J4276" s="8">
        <v>0.20895196599999999</v>
      </c>
      <c r="K4276" s="8">
        <v>-9.5955978149999996</v>
      </c>
      <c r="L4276" s="8">
        <v>10.8420646</v>
      </c>
      <c r="M4276" s="9" t="str">
        <f>IF(A4276="",M4277,A4276)</f>
        <v>Tuvalu</v>
      </c>
      <c r="N4276" s="3" t="str">
        <f t="shared" si="133"/>
        <v>Mar-2020</v>
      </c>
    </row>
    <row r="4277" spans="1:14" x14ac:dyDescent="0.3">
      <c r="A4277" s="3" t="s">
        <v>364</v>
      </c>
      <c r="B4277" s="3" t="s">
        <v>365</v>
      </c>
      <c r="C4277" s="8">
        <v>2020</v>
      </c>
      <c r="D4277" s="8">
        <v>4</v>
      </c>
      <c r="E4277" s="3" t="str">
        <f t="shared" si="132"/>
        <v>April</v>
      </c>
      <c r="F4277" s="3" t="s">
        <v>8</v>
      </c>
      <c r="G4277" s="8">
        <v>7.6792002139999997</v>
      </c>
      <c r="H4277" s="8">
        <v>7.851</v>
      </c>
      <c r="I4277" s="8">
        <v>0.17179978600000001</v>
      </c>
      <c r="J4277" s="8">
        <v>0.38075175300000003</v>
      </c>
      <c r="K4277" s="8">
        <v>-10.676645300000001</v>
      </c>
      <c r="L4277" s="8">
        <v>13.263067019999999</v>
      </c>
      <c r="M4277" s="9" t="str">
        <f>IF(A4277="",M4278,A4277)</f>
        <v>Tuvalu</v>
      </c>
      <c r="N4277" s="3" t="str">
        <f t="shared" si="133"/>
        <v>Apr-2020</v>
      </c>
    </row>
    <row r="4278" spans="1:14" x14ac:dyDescent="0.3">
      <c r="A4278" s="3" t="s">
        <v>364</v>
      </c>
      <c r="B4278" s="3" t="s">
        <v>365</v>
      </c>
      <c r="C4278" s="8">
        <v>2020</v>
      </c>
      <c r="D4278" s="8">
        <v>5</v>
      </c>
      <c r="E4278" s="3" t="str">
        <f t="shared" si="132"/>
        <v>May</v>
      </c>
      <c r="F4278" s="3" t="s">
        <v>8</v>
      </c>
      <c r="G4278" s="8">
        <v>7.6614396119999997</v>
      </c>
      <c r="H4278" s="8">
        <v>8.1020000000000003</v>
      </c>
      <c r="I4278" s="8">
        <v>0.44056038800000002</v>
      </c>
      <c r="J4278" s="8">
        <v>0.82131214100000005</v>
      </c>
      <c r="K4278" s="8">
        <v>-11.448300509999999</v>
      </c>
      <c r="L4278" s="8">
        <v>15.150357720000001</v>
      </c>
      <c r="M4278" s="9" t="str">
        <f>IF(A4278="",M4279,A4278)</f>
        <v>Tuvalu</v>
      </c>
      <c r="N4278" s="3" t="str">
        <f t="shared" si="133"/>
        <v>May-2020</v>
      </c>
    </row>
    <row r="4279" spans="1:14" x14ac:dyDescent="0.3">
      <c r="A4279" s="3" t="s">
        <v>364</v>
      </c>
      <c r="B4279" s="3" t="s">
        <v>365</v>
      </c>
      <c r="C4279" s="8">
        <v>2020</v>
      </c>
      <c r="D4279" s="8">
        <v>6</v>
      </c>
      <c r="E4279" s="3" t="str">
        <f t="shared" si="132"/>
        <v>June</v>
      </c>
      <c r="F4279" s="3" t="s">
        <v>8</v>
      </c>
      <c r="G4279" s="8">
        <v>7.6800874710000002</v>
      </c>
      <c r="H4279" s="8">
        <v>7.9660000000000002</v>
      </c>
      <c r="I4279" s="8">
        <v>0.28591252900000003</v>
      </c>
      <c r="J4279" s="8">
        <v>1.1072246699999999</v>
      </c>
      <c r="K4279" s="8">
        <v>-12.42239549</v>
      </c>
      <c r="L4279" s="8">
        <v>16.269851979999999</v>
      </c>
      <c r="M4279" s="9" t="str">
        <f>IF(A4279="",M4280,A4279)</f>
        <v>Tuvalu</v>
      </c>
      <c r="N4279" s="3" t="str">
        <f t="shared" si="133"/>
        <v>Jun-2020</v>
      </c>
    </row>
    <row r="4280" spans="1:14" x14ac:dyDescent="0.3">
      <c r="A4280" s="3" t="s">
        <v>364</v>
      </c>
      <c r="B4280" s="3" t="s">
        <v>365</v>
      </c>
      <c r="C4280" s="8">
        <v>2020</v>
      </c>
      <c r="D4280" s="8">
        <v>7</v>
      </c>
      <c r="E4280" s="3" t="str">
        <f t="shared" si="132"/>
        <v>July</v>
      </c>
      <c r="F4280" s="3" t="s">
        <v>8</v>
      </c>
      <c r="G4280" s="8">
        <v>7.6776845189999996</v>
      </c>
      <c r="H4280" s="8">
        <v>7.8220000000000001</v>
      </c>
      <c r="I4280" s="8">
        <v>0.144315481</v>
      </c>
      <c r="J4280" s="8">
        <v>1.2515401509999999</v>
      </c>
      <c r="K4280" s="8">
        <v>-12.83631257</v>
      </c>
      <c r="L4280" s="8">
        <v>17.749828569999998</v>
      </c>
      <c r="M4280" s="9" t="str">
        <f>IF(A4280="",M4281,A4280)</f>
        <v>Tuvalu</v>
      </c>
      <c r="N4280" s="3" t="str">
        <f t="shared" si="133"/>
        <v>Jul-2020</v>
      </c>
    </row>
    <row r="4281" spans="1:14" x14ac:dyDescent="0.3">
      <c r="A4281" s="3" t="s">
        <v>364</v>
      </c>
      <c r="B4281" s="3" t="s">
        <v>365</v>
      </c>
      <c r="C4281" s="8">
        <v>2020</v>
      </c>
      <c r="D4281" s="8">
        <v>8</v>
      </c>
      <c r="E4281" s="3" t="str">
        <f t="shared" si="132"/>
        <v>August</v>
      </c>
      <c r="F4281" s="3" t="s">
        <v>8</v>
      </c>
      <c r="G4281" s="8">
        <v>7.6801040670000003</v>
      </c>
      <c r="H4281" s="8">
        <v>7.726</v>
      </c>
      <c r="I4281" s="8">
        <v>4.5895933E-2</v>
      </c>
      <c r="J4281" s="8">
        <v>1.297436083</v>
      </c>
      <c r="K4281" s="8">
        <v>-14.14962038</v>
      </c>
      <c r="L4281" s="8">
        <v>19.044070170000001</v>
      </c>
      <c r="M4281" s="9" t="str">
        <f>IF(A4281="",M4282,A4281)</f>
        <v>Tuvalu</v>
      </c>
      <c r="N4281" s="3" t="str">
        <f t="shared" si="133"/>
        <v>Aug-2020</v>
      </c>
    </row>
    <row r="4282" spans="1:14" x14ac:dyDescent="0.3">
      <c r="A4282" s="3" t="s">
        <v>364</v>
      </c>
      <c r="B4282" s="3" t="s">
        <v>365</v>
      </c>
      <c r="C4282" s="8">
        <v>2020</v>
      </c>
      <c r="D4282" s="8">
        <v>9</v>
      </c>
      <c r="E4282" s="3" t="str">
        <f t="shared" si="132"/>
        <v>September</v>
      </c>
      <c r="F4282" s="3" t="s">
        <v>8</v>
      </c>
      <c r="G4282" s="8">
        <v>7.7018486429999999</v>
      </c>
      <c r="H4282" s="8">
        <v>7.8150000000000004</v>
      </c>
      <c r="I4282" s="8">
        <v>0.11315135699999999</v>
      </c>
      <c r="J4282" s="8">
        <v>1.41058744</v>
      </c>
      <c r="K4282" s="8">
        <v>-15.066089290000001</v>
      </c>
      <c r="L4282" s="8">
        <v>19.37684492</v>
      </c>
      <c r="M4282" s="9" t="str">
        <f>IF(A4282="",M4283,A4282)</f>
        <v>Tuvalu</v>
      </c>
      <c r="N4282" s="3" t="str">
        <f t="shared" si="133"/>
        <v>Sep-2020</v>
      </c>
    </row>
    <row r="4283" spans="1:14" x14ac:dyDescent="0.3">
      <c r="A4283" s="3" t="s">
        <v>364</v>
      </c>
      <c r="B4283" s="3" t="s">
        <v>365</v>
      </c>
      <c r="C4283" s="8">
        <v>2020</v>
      </c>
      <c r="D4283" s="8">
        <v>10</v>
      </c>
      <c r="E4283" s="3" t="str">
        <f t="shared" si="132"/>
        <v>October</v>
      </c>
      <c r="F4283" s="3" t="s">
        <v>8</v>
      </c>
      <c r="G4283" s="8">
        <v>7.7022319079999999</v>
      </c>
      <c r="H4283" s="8">
        <v>7.6109999999999998</v>
      </c>
      <c r="I4283" s="8">
        <v>-9.1231908E-2</v>
      </c>
      <c r="J4283" s="8">
        <v>1.3193555320000001</v>
      </c>
      <c r="K4283" s="8">
        <v>-16.13008713</v>
      </c>
      <c r="L4283" s="8">
        <v>20.813218689999999</v>
      </c>
      <c r="M4283" s="9" t="str">
        <f>IF(A4283="",M4284,A4283)</f>
        <v>Tuvalu</v>
      </c>
      <c r="N4283" s="3" t="str">
        <f t="shared" si="133"/>
        <v>Oct-2020</v>
      </c>
    </row>
    <row r="4284" spans="1:14" x14ac:dyDescent="0.3">
      <c r="A4284" s="3" t="s">
        <v>364</v>
      </c>
      <c r="B4284" s="3" t="s">
        <v>365</v>
      </c>
      <c r="C4284" s="8">
        <v>2020</v>
      </c>
      <c r="D4284" s="8">
        <v>11</v>
      </c>
      <c r="E4284" s="3" t="str">
        <f t="shared" si="132"/>
        <v>November</v>
      </c>
      <c r="F4284" s="3" t="s">
        <v>8</v>
      </c>
      <c r="G4284" s="8">
        <v>7.6848173329999998</v>
      </c>
      <c r="H4284" s="8">
        <v>7.742</v>
      </c>
      <c r="I4284" s="8">
        <v>5.7182667E-2</v>
      </c>
      <c r="J4284" s="8">
        <v>1.3765381990000001</v>
      </c>
      <c r="K4284" s="8">
        <v>-16.968677530000001</v>
      </c>
      <c r="L4284" s="8">
        <v>22.61269304</v>
      </c>
      <c r="M4284" s="9" t="str">
        <f>IF(A4284="",M4285,A4284)</f>
        <v>Tuvalu</v>
      </c>
      <c r="N4284" s="3" t="str">
        <f t="shared" si="133"/>
        <v>Nov-2020</v>
      </c>
    </row>
    <row r="4285" spans="1:14" x14ac:dyDescent="0.3">
      <c r="A4285" s="3" t="s">
        <v>364</v>
      </c>
      <c r="B4285" s="3" t="s">
        <v>365</v>
      </c>
      <c r="C4285" s="8">
        <v>2020</v>
      </c>
      <c r="D4285" s="8">
        <v>12</v>
      </c>
      <c r="E4285" s="3" t="str">
        <f t="shared" si="132"/>
        <v>December</v>
      </c>
      <c r="F4285" s="3" t="s">
        <v>8</v>
      </c>
      <c r="G4285" s="8">
        <v>7.7172989789999997</v>
      </c>
      <c r="H4285" s="8">
        <v>7.8079999999999998</v>
      </c>
      <c r="I4285" s="8">
        <v>9.0701021000000007E-2</v>
      </c>
      <c r="J4285" s="8">
        <v>1.46723922</v>
      </c>
      <c r="K4285" s="8">
        <v>-18.181661170000002</v>
      </c>
      <c r="L4285" s="8">
        <v>23.809919140000002</v>
      </c>
      <c r="M4285" s="9" t="str">
        <f>IF(A4285="",M4286,A4285)</f>
        <v>Tuvalu</v>
      </c>
      <c r="N4285" s="3" t="str">
        <f t="shared" si="133"/>
        <v>Dec-2020</v>
      </c>
    </row>
    <row r="4286" spans="1:14" x14ac:dyDescent="0.3">
      <c r="A4286" s="3" t="s">
        <v>364</v>
      </c>
      <c r="B4286" s="3" t="s">
        <v>365</v>
      </c>
      <c r="C4286" s="8">
        <v>2021</v>
      </c>
      <c r="D4286" s="8">
        <v>1</v>
      </c>
      <c r="E4286" s="3" t="str">
        <f t="shared" si="132"/>
        <v>January</v>
      </c>
      <c r="F4286" s="3" t="s">
        <v>8</v>
      </c>
      <c r="G4286" s="8">
        <v>7.7287231859999999</v>
      </c>
      <c r="H4286" s="8">
        <v>7.694</v>
      </c>
      <c r="I4286" s="8">
        <v>-3.4723186000000003E-2</v>
      </c>
      <c r="J4286" s="8">
        <v>1.4325160349999999</v>
      </c>
      <c r="K4286" s="8">
        <v>-18.67546703</v>
      </c>
      <c r="L4286" s="8">
        <v>24.39079263</v>
      </c>
      <c r="M4286" s="9" t="str">
        <f>IF(A4286="",M4287,A4286)</f>
        <v>Tuvalu</v>
      </c>
      <c r="N4286" s="3" t="str">
        <f t="shared" si="133"/>
        <v>Jan-2021</v>
      </c>
    </row>
    <row r="4287" spans="1:14" x14ac:dyDescent="0.3">
      <c r="A4287" s="3" t="s">
        <v>364</v>
      </c>
      <c r="B4287" s="3" t="s">
        <v>365</v>
      </c>
      <c r="C4287" s="8">
        <v>2021</v>
      </c>
      <c r="D4287" s="8">
        <v>2</v>
      </c>
      <c r="E4287" s="3" t="str">
        <f t="shared" si="132"/>
        <v>February</v>
      </c>
      <c r="F4287" s="3" t="s">
        <v>8</v>
      </c>
      <c r="G4287" s="8">
        <v>7.7159874210000003</v>
      </c>
      <c r="H4287" s="8">
        <v>7.7149999999999999</v>
      </c>
      <c r="I4287" s="8">
        <v>-9.8742100000000005E-4</v>
      </c>
      <c r="J4287" s="8">
        <v>1.4315286140000001</v>
      </c>
      <c r="K4287" s="8">
        <v>-18.833704770000001</v>
      </c>
      <c r="L4287" s="8">
        <v>24.653984959999999</v>
      </c>
      <c r="M4287" s="9" t="str">
        <f>IF(A4287="",M4288,A4287)</f>
        <v>Tuvalu</v>
      </c>
      <c r="N4287" s="3" t="str">
        <f t="shared" si="133"/>
        <v>Feb-2021</v>
      </c>
    </row>
    <row r="4288" spans="1:14" x14ac:dyDescent="0.3">
      <c r="A4288" s="3" t="s">
        <v>364</v>
      </c>
      <c r="B4288" s="3" t="s">
        <v>365</v>
      </c>
      <c r="C4288" s="8">
        <v>2021</v>
      </c>
      <c r="D4288" s="8">
        <v>3</v>
      </c>
      <c r="E4288" s="3" t="str">
        <f t="shared" si="132"/>
        <v>March</v>
      </c>
      <c r="F4288" s="3" t="s">
        <v>8</v>
      </c>
      <c r="G4288" s="8">
        <v>7.7208154999999996</v>
      </c>
      <c r="H4288" s="8">
        <v>7.8520000000000003</v>
      </c>
      <c r="I4288" s="8">
        <v>0.13118450000000001</v>
      </c>
      <c r="J4288" s="8">
        <v>1.5627131139999999</v>
      </c>
      <c r="K4288" s="8">
        <v>-20.78168973</v>
      </c>
      <c r="L4288" s="8">
        <v>26.41749205</v>
      </c>
      <c r="M4288" s="9" t="str">
        <f>IF(A4288="",M4289,A4288)</f>
        <v>Tuvalu</v>
      </c>
      <c r="N4288" s="3" t="str">
        <f t="shared" si="133"/>
        <v>Mar-2021</v>
      </c>
    </row>
    <row r="4289" spans="1:14" x14ac:dyDescent="0.3">
      <c r="A4289" s="3" t="s">
        <v>364</v>
      </c>
      <c r="B4289" s="3" t="s">
        <v>365</v>
      </c>
      <c r="C4289" s="8">
        <v>2021</v>
      </c>
      <c r="D4289" s="8">
        <v>4</v>
      </c>
      <c r="E4289" s="3" t="str">
        <f t="shared" si="132"/>
        <v>April</v>
      </c>
      <c r="F4289" s="3" t="s">
        <v>8</v>
      </c>
      <c r="G4289" s="8">
        <v>7.7017686879999996</v>
      </c>
      <c r="H4289" s="8">
        <v>7.75</v>
      </c>
      <c r="I4289" s="8">
        <v>4.8231311999999998E-2</v>
      </c>
      <c r="J4289" s="8">
        <v>1.6109444260000001</v>
      </c>
      <c r="K4289" s="8">
        <v>-21.159423260000001</v>
      </c>
      <c r="L4289" s="8">
        <v>26.168925470000001</v>
      </c>
      <c r="M4289" s="9" t="str">
        <f>IF(A4289="",M4290,A4289)</f>
        <v>Tuvalu</v>
      </c>
      <c r="N4289" s="3" t="str">
        <f t="shared" si="133"/>
        <v>Apr-2021</v>
      </c>
    </row>
    <row r="4290" spans="1:14" x14ac:dyDescent="0.3">
      <c r="A4290" s="3" t="s">
        <v>364</v>
      </c>
      <c r="B4290" s="3" t="s">
        <v>365</v>
      </c>
      <c r="C4290" s="8">
        <v>2021</v>
      </c>
      <c r="D4290" s="8">
        <v>5</v>
      </c>
      <c r="E4290" s="3" t="str">
        <f t="shared" ref="E4290:E4353" si="134">TEXT(DATE(C4290,D4290,1),"MMMM")</f>
        <v>May</v>
      </c>
      <c r="F4290" s="3" t="s">
        <v>8</v>
      </c>
      <c r="G4290" s="8">
        <v>7.7163972420000002</v>
      </c>
      <c r="H4290" s="8">
        <v>7.9279999999999999</v>
      </c>
      <c r="I4290" s="8">
        <v>0.211602758</v>
      </c>
      <c r="J4290" s="8">
        <v>1.8225471849999999</v>
      </c>
      <c r="K4290" s="8">
        <v>-21.922298789999999</v>
      </c>
      <c r="L4290" s="8">
        <v>27.506127920000001</v>
      </c>
      <c r="M4290" s="9" t="str">
        <f>IF(A4290="",M4291,A4290)</f>
        <v>Tuvalu</v>
      </c>
      <c r="N4290" s="3" t="str">
        <f t="shared" ref="N4290:N4353" si="135">TEXT(DATE(C4290,D4290,1),"MMM-YYYY")</f>
        <v>May-2021</v>
      </c>
    </row>
    <row r="4291" spans="1:14" x14ac:dyDescent="0.3">
      <c r="A4291" s="3" t="s">
        <v>364</v>
      </c>
      <c r="B4291" s="3" t="s">
        <v>365</v>
      </c>
      <c r="C4291" s="8">
        <v>2021</v>
      </c>
      <c r="D4291" s="8">
        <v>6</v>
      </c>
      <c r="E4291" s="3" t="str">
        <f t="shared" si="134"/>
        <v>June</v>
      </c>
      <c r="F4291" s="3" t="s">
        <v>8</v>
      </c>
      <c r="G4291" s="8">
        <v>7.70230602</v>
      </c>
      <c r="H4291" s="8">
        <v>7.9710000000000001</v>
      </c>
      <c r="I4291" s="8">
        <v>0.26869398</v>
      </c>
      <c r="J4291" s="8">
        <v>2.0912411639999999</v>
      </c>
      <c r="K4291" s="8">
        <v>-21.67647535</v>
      </c>
      <c r="L4291" s="8">
        <v>29.595117049999999</v>
      </c>
      <c r="M4291" s="9" t="str">
        <f>IF(A4291="",M4292,A4291)</f>
        <v>Tuvalu</v>
      </c>
      <c r="N4291" s="3" t="str">
        <f t="shared" si="135"/>
        <v>Jun-2021</v>
      </c>
    </row>
    <row r="4292" spans="1:14" x14ac:dyDescent="0.3">
      <c r="A4292" s="3" t="s">
        <v>364</v>
      </c>
      <c r="B4292" s="3" t="s">
        <v>365</v>
      </c>
      <c r="C4292" s="8">
        <v>2021</v>
      </c>
      <c r="D4292" s="8">
        <v>7</v>
      </c>
      <c r="E4292" s="3" t="str">
        <f t="shared" si="134"/>
        <v>July</v>
      </c>
      <c r="F4292" s="3" t="s">
        <v>8</v>
      </c>
      <c r="G4292" s="8">
        <v>7.7205305209999997</v>
      </c>
      <c r="H4292" s="8">
        <v>8.1910000000000007</v>
      </c>
      <c r="I4292" s="8">
        <v>0.47046947900000002</v>
      </c>
      <c r="J4292" s="8">
        <v>2.5617106440000001</v>
      </c>
      <c r="K4292" s="8">
        <v>-21.010026159999999</v>
      </c>
      <c r="L4292" s="8">
        <v>30.123186319999999</v>
      </c>
      <c r="M4292" s="9" t="str">
        <f>IF(A4292="",M4293,A4292)</f>
        <v>Tuvalu</v>
      </c>
      <c r="N4292" s="3" t="str">
        <f t="shared" si="135"/>
        <v>Jul-2021</v>
      </c>
    </row>
    <row r="4293" spans="1:14" x14ac:dyDescent="0.3">
      <c r="A4293" s="3" t="s">
        <v>364</v>
      </c>
      <c r="B4293" s="3" t="s">
        <v>365</v>
      </c>
      <c r="C4293" s="8">
        <v>2021</v>
      </c>
      <c r="D4293" s="8">
        <v>8</v>
      </c>
      <c r="E4293" s="3" t="str">
        <f t="shared" si="134"/>
        <v>August</v>
      </c>
      <c r="F4293" s="3" t="s">
        <v>8</v>
      </c>
      <c r="G4293" s="8">
        <v>7.7135143130000001</v>
      </c>
      <c r="H4293" s="8">
        <v>8.1809999999999992</v>
      </c>
      <c r="I4293" s="8">
        <v>0.46748568699999998</v>
      </c>
      <c r="J4293" s="8">
        <v>3.02919633</v>
      </c>
      <c r="K4293" s="8">
        <v>-22.230809059999999</v>
      </c>
      <c r="L4293" s="8">
        <v>32.046470210000003</v>
      </c>
      <c r="M4293" s="9" t="str">
        <f>IF(A4293="",M4294,A4293)</f>
        <v>Tuvalu</v>
      </c>
      <c r="N4293" s="3" t="str">
        <f t="shared" si="135"/>
        <v>Aug-2021</v>
      </c>
    </row>
    <row r="4294" spans="1:14" x14ac:dyDescent="0.3">
      <c r="A4294" s="3" t="s">
        <v>364</v>
      </c>
      <c r="B4294" s="3" t="s">
        <v>365</v>
      </c>
      <c r="C4294" s="8">
        <v>2021</v>
      </c>
      <c r="D4294" s="8">
        <v>9</v>
      </c>
      <c r="E4294" s="3" t="str">
        <f t="shared" si="134"/>
        <v>September</v>
      </c>
      <c r="F4294" s="3" t="s">
        <v>8</v>
      </c>
      <c r="G4294" s="8">
        <v>7.7285294410000001</v>
      </c>
      <c r="H4294" s="8">
        <v>8.1809999999999992</v>
      </c>
      <c r="I4294" s="8">
        <v>0.45247055899999999</v>
      </c>
      <c r="J4294" s="8">
        <v>3.481666889</v>
      </c>
      <c r="K4294" s="8">
        <v>-21.97946142</v>
      </c>
      <c r="L4294" s="8">
        <v>32.054135160000001</v>
      </c>
      <c r="M4294" s="9" t="str">
        <f>IF(A4294="",M4295,A4294)</f>
        <v>Tuvalu</v>
      </c>
      <c r="N4294" s="3" t="str">
        <f t="shared" si="135"/>
        <v>Sep-2021</v>
      </c>
    </row>
    <row r="4295" spans="1:14" x14ac:dyDescent="0.3">
      <c r="A4295" s="3" t="s">
        <v>364</v>
      </c>
      <c r="B4295" s="3" t="s">
        <v>365</v>
      </c>
      <c r="C4295" s="8">
        <v>2021</v>
      </c>
      <c r="D4295" s="8">
        <v>10</v>
      </c>
      <c r="E4295" s="3" t="str">
        <f t="shared" si="134"/>
        <v>October</v>
      </c>
      <c r="F4295" s="3" t="s">
        <v>8</v>
      </c>
      <c r="G4295" s="8">
        <v>7.7585970179999997</v>
      </c>
      <c r="H4295" s="8">
        <v>8.4700000000000006</v>
      </c>
      <c r="I4295" s="8">
        <v>0.71140298199999996</v>
      </c>
      <c r="J4295" s="8">
        <v>4.1930698709999996</v>
      </c>
      <c r="K4295" s="8">
        <v>-23.22765399</v>
      </c>
      <c r="L4295" s="8">
        <v>34.479985159999998</v>
      </c>
      <c r="M4295" s="9" t="str">
        <f>IF(A4295="",M4296,A4295)</f>
        <v>Tuvalu</v>
      </c>
      <c r="N4295" s="3" t="str">
        <f t="shared" si="135"/>
        <v>Oct-2021</v>
      </c>
    </row>
    <row r="4296" spans="1:14" x14ac:dyDescent="0.3">
      <c r="A4296" s="3" t="s">
        <v>364</v>
      </c>
      <c r="B4296" s="3" t="s">
        <v>365</v>
      </c>
      <c r="C4296" s="8">
        <v>2021</v>
      </c>
      <c r="D4296" s="8">
        <v>11</v>
      </c>
      <c r="E4296" s="3" t="str">
        <f t="shared" si="134"/>
        <v>November</v>
      </c>
      <c r="F4296" s="3" t="s">
        <v>8</v>
      </c>
      <c r="G4296" s="8">
        <v>7.734955802</v>
      </c>
      <c r="H4296" s="8">
        <v>8.4930000000000003</v>
      </c>
      <c r="I4296" s="8">
        <v>0.758044198</v>
      </c>
      <c r="J4296" s="8">
        <v>4.951114069</v>
      </c>
      <c r="K4296" s="8">
        <v>-22.56576321</v>
      </c>
      <c r="L4296" s="8">
        <v>34.91592455</v>
      </c>
      <c r="M4296" s="9" t="str">
        <f>IF(A4296="",M4297,A4296)</f>
        <v>Tuvalu</v>
      </c>
      <c r="N4296" s="3" t="str">
        <f t="shared" si="135"/>
        <v>Nov-2021</v>
      </c>
    </row>
    <row r="4297" spans="1:14" x14ac:dyDescent="0.3">
      <c r="A4297" s="3" t="s">
        <v>364</v>
      </c>
      <c r="B4297" s="3" t="s">
        <v>365</v>
      </c>
      <c r="C4297" s="8">
        <v>2021</v>
      </c>
      <c r="D4297" s="8">
        <v>12</v>
      </c>
      <c r="E4297" s="3" t="str">
        <f t="shared" si="134"/>
        <v>December</v>
      </c>
      <c r="F4297" s="3" t="s">
        <v>8</v>
      </c>
      <c r="G4297" s="8">
        <v>7.7068121859999996</v>
      </c>
      <c r="H4297" s="8">
        <v>8.6379999999999999</v>
      </c>
      <c r="I4297" s="8">
        <v>0.93118781399999995</v>
      </c>
      <c r="J4297" s="8">
        <v>5.8823018820000001</v>
      </c>
      <c r="K4297" s="8">
        <v>-23.004015519999999</v>
      </c>
      <c r="L4297" s="8">
        <v>37.313601040000002</v>
      </c>
      <c r="M4297" s="9" t="str">
        <f>IF(A4297="",M4298,A4297)</f>
        <v>Tuvalu</v>
      </c>
      <c r="N4297" s="3" t="str">
        <f t="shared" si="135"/>
        <v>Dec-2021</v>
      </c>
    </row>
    <row r="4298" spans="1:14" x14ac:dyDescent="0.3">
      <c r="A4298" s="3" t="s">
        <v>366</v>
      </c>
      <c r="B4298" s="3" t="s">
        <v>367</v>
      </c>
      <c r="C4298" s="8">
        <v>2020</v>
      </c>
      <c r="D4298" s="8">
        <v>1</v>
      </c>
      <c r="E4298" s="3" t="str">
        <f t="shared" si="134"/>
        <v>January</v>
      </c>
      <c r="F4298" s="3" t="s">
        <v>8</v>
      </c>
      <c r="G4298" s="8">
        <v>26613.436559999998</v>
      </c>
      <c r="H4298" s="8">
        <v>27955.53</v>
      </c>
      <c r="I4298" s="8">
        <v>1342.093441</v>
      </c>
      <c r="J4298" s="8">
        <v>1342.093441</v>
      </c>
      <c r="K4298" s="8">
        <v>-5323.8700630000003</v>
      </c>
      <c r="L4298" s="8">
        <v>9496.0343809999995</v>
      </c>
      <c r="M4298" s="9" t="str">
        <f>IF(A4298="",M4299,A4298)</f>
        <v>United Republic of Tanzania</v>
      </c>
      <c r="N4298" s="3" t="str">
        <f t="shared" si="135"/>
        <v>Jan-2020</v>
      </c>
    </row>
    <row r="4299" spans="1:14" x14ac:dyDescent="0.3">
      <c r="A4299" s="3" t="s">
        <v>366</v>
      </c>
      <c r="B4299" s="3" t="s">
        <v>367</v>
      </c>
      <c r="C4299" s="8">
        <v>2020</v>
      </c>
      <c r="D4299" s="8">
        <v>2</v>
      </c>
      <c r="E4299" s="3" t="str">
        <f t="shared" si="134"/>
        <v>February</v>
      </c>
      <c r="F4299" s="3" t="s">
        <v>8</v>
      </c>
      <c r="G4299" s="8">
        <v>26662.904190000001</v>
      </c>
      <c r="H4299" s="8">
        <v>26916.489000000001</v>
      </c>
      <c r="I4299" s="8">
        <v>253.5848053</v>
      </c>
      <c r="J4299" s="8">
        <v>1595.6782459999999</v>
      </c>
      <c r="K4299" s="8">
        <v>-8104.507826</v>
      </c>
      <c r="L4299" s="8">
        <v>12980.14328</v>
      </c>
      <c r="M4299" s="9" t="str">
        <f>IF(A4299="",M4300,A4299)</f>
        <v>United Republic of Tanzania</v>
      </c>
      <c r="N4299" s="3" t="str">
        <f t="shared" si="135"/>
        <v>Feb-2020</v>
      </c>
    </row>
    <row r="4300" spans="1:14" x14ac:dyDescent="0.3">
      <c r="A4300" s="3" t="s">
        <v>366</v>
      </c>
      <c r="B4300" s="3" t="s">
        <v>367</v>
      </c>
      <c r="C4300" s="8">
        <v>2020</v>
      </c>
      <c r="D4300" s="8">
        <v>3</v>
      </c>
      <c r="E4300" s="3" t="str">
        <f t="shared" si="134"/>
        <v>March</v>
      </c>
      <c r="F4300" s="3" t="s">
        <v>8</v>
      </c>
      <c r="G4300" s="8">
        <v>26627.722730000001</v>
      </c>
      <c r="H4300" s="8">
        <v>26199.433000000001</v>
      </c>
      <c r="I4300" s="8">
        <v>-428.2897347</v>
      </c>
      <c r="J4300" s="8">
        <v>1167.3885110000001</v>
      </c>
      <c r="K4300" s="8">
        <v>-11009.60859</v>
      </c>
      <c r="L4300" s="8">
        <v>14528.314329999999</v>
      </c>
      <c r="M4300" s="9" t="str">
        <f>IF(A4300="",M4301,A4300)</f>
        <v>United Republic of Tanzania</v>
      </c>
      <c r="N4300" s="3" t="str">
        <f t="shared" si="135"/>
        <v>Mar-2020</v>
      </c>
    </row>
    <row r="4301" spans="1:14" x14ac:dyDescent="0.3">
      <c r="A4301" s="3" t="s">
        <v>366</v>
      </c>
      <c r="B4301" s="3" t="s">
        <v>367</v>
      </c>
      <c r="C4301" s="8">
        <v>2020</v>
      </c>
      <c r="D4301" s="8">
        <v>4</v>
      </c>
      <c r="E4301" s="3" t="str">
        <f t="shared" si="134"/>
        <v>April</v>
      </c>
      <c r="F4301" s="3" t="s">
        <v>8</v>
      </c>
      <c r="G4301" s="8">
        <v>26777.563279999998</v>
      </c>
      <c r="H4301" s="8">
        <v>25876.852999999999</v>
      </c>
      <c r="I4301" s="8">
        <v>-900.71027609999999</v>
      </c>
      <c r="J4301" s="8">
        <v>266.67823529999998</v>
      </c>
      <c r="K4301" s="8">
        <v>-13225.733920000001</v>
      </c>
      <c r="L4301" s="8">
        <v>16278.714749999999</v>
      </c>
      <c r="M4301" s="9" t="str">
        <f>IF(A4301="",M4302,A4301)</f>
        <v>United Republic of Tanzania</v>
      </c>
      <c r="N4301" s="3" t="str">
        <f t="shared" si="135"/>
        <v>Apr-2020</v>
      </c>
    </row>
    <row r="4302" spans="1:14" x14ac:dyDescent="0.3">
      <c r="A4302" s="3" t="s">
        <v>366</v>
      </c>
      <c r="B4302" s="3" t="s">
        <v>367</v>
      </c>
      <c r="C4302" s="8">
        <v>2020</v>
      </c>
      <c r="D4302" s="8">
        <v>5</v>
      </c>
      <c r="E4302" s="3" t="str">
        <f t="shared" si="134"/>
        <v>May</v>
      </c>
      <c r="F4302" s="3" t="s">
        <v>8</v>
      </c>
      <c r="G4302" s="8">
        <v>26808.943500000001</v>
      </c>
      <c r="H4302" s="8">
        <v>25914.448</v>
      </c>
      <c r="I4302" s="8">
        <v>-894.49549990000003</v>
      </c>
      <c r="J4302" s="8">
        <v>-627.81726460000004</v>
      </c>
      <c r="K4302" s="8">
        <v>-15439.152</v>
      </c>
      <c r="L4302" s="8">
        <v>16800.87183</v>
      </c>
      <c r="M4302" s="9" t="str">
        <f>IF(A4302="",M4303,A4302)</f>
        <v>United Republic of Tanzania</v>
      </c>
      <c r="N4302" s="3" t="str">
        <f t="shared" si="135"/>
        <v>May-2020</v>
      </c>
    </row>
    <row r="4303" spans="1:14" x14ac:dyDescent="0.3">
      <c r="A4303" s="3" t="s">
        <v>366</v>
      </c>
      <c r="B4303" s="3" t="s">
        <v>367</v>
      </c>
      <c r="C4303" s="8">
        <v>2020</v>
      </c>
      <c r="D4303" s="8">
        <v>6</v>
      </c>
      <c r="E4303" s="3" t="str">
        <f t="shared" si="134"/>
        <v>June</v>
      </c>
      <c r="F4303" s="3" t="s">
        <v>8</v>
      </c>
      <c r="G4303" s="8">
        <v>26994.476709999999</v>
      </c>
      <c r="H4303" s="8">
        <v>26056.792000000001</v>
      </c>
      <c r="I4303" s="8">
        <v>-937.68470869999999</v>
      </c>
      <c r="J4303" s="8">
        <v>-1565.5019729999999</v>
      </c>
      <c r="K4303" s="8">
        <v>-18669.834320000002</v>
      </c>
      <c r="L4303" s="8">
        <v>17366.27605</v>
      </c>
      <c r="M4303" s="9" t="str">
        <f>IF(A4303="",M4304,A4303)</f>
        <v>United Republic of Tanzania</v>
      </c>
      <c r="N4303" s="3" t="str">
        <f t="shared" si="135"/>
        <v>Jun-2020</v>
      </c>
    </row>
    <row r="4304" spans="1:14" x14ac:dyDescent="0.3">
      <c r="A4304" s="3" t="s">
        <v>366</v>
      </c>
      <c r="B4304" s="3" t="s">
        <v>367</v>
      </c>
      <c r="C4304" s="8">
        <v>2020</v>
      </c>
      <c r="D4304" s="8">
        <v>7</v>
      </c>
      <c r="E4304" s="3" t="str">
        <f t="shared" si="134"/>
        <v>July</v>
      </c>
      <c r="F4304" s="3" t="s">
        <v>8</v>
      </c>
      <c r="G4304" s="8">
        <v>27041.435000000001</v>
      </c>
      <c r="H4304" s="8">
        <v>25847.431</v>
      </c>
      <c r="I4304" s="8">
        <v>-1194.0040019999999</v>
      </c>
      <c r="J4304" s="8">
        <v>-2759.505975</v>
      </c>
      <c r="K4304" s="8">
        <v>-20379.87499</v>
      </c>
      <c r="L4304" s="8">
        <v>17068.689869999998</v>
      </c>
      <c r="M4304" s="9" t="str">
        <f>IF(A4304="",M4305,A4304)</f>
        <v>United Republic of Tanzania</v>
      </c>
      <c r="N4304" s="3" t="str">
        <f t="shared" si="135"/>
        <v>Jul-2020</v>
      </c>
    </row>
    <row r="4305" spans="1:14" x14ac:dyDescent="0.3">
      <c r="A4305" s="3" t="s">
        <v>366</v>
      </c>
      <c r="B4305" s="3" t="s">
        <v>367</v>
      </c>
      <c r="C4305" s="8">
        <v>2020</v>
      </c>
      <c r="D4305" s="8">
        <v>8</v>
      </c>
      <c r="E4305" s="3" t="str">
        <f t="shared" si="134"/>
        <v>August</v>
      </c>
      <c r="F4305" s="3" t="s">
        <v>8</v>
      </c>
      <c r="G4305" s="8">
        <v>26911.626189999999</v>
      </c>
      <c r="H4305" s="8">
        <v>26330.221000000001</v>
      </c>
      <c r="I4305" s="8">
        <v>-581.40519180000001</v>
      </c>
      <c r="J4305" s="8">
        <v>-3340.9111670000002</v>
      </c>
      <c r="K4305" s="8">
        <v>-22540.902859999998</v>
      </c>
      <c r="L4305" s="8">
        <v>17483.33455</v>
      </c>
      <c r="M4305" s="9" t="str">
        <f>IF(A4305="",M4306,A4305)</f>
        <v>United Republic of Tanzania</v>
      </c>
      <c r="N4305" s="3" t="str">
        <f t="shared" si="135"/>
        <v>Aug-2020</v>
      </c>
    </row>
    <row r="4306" spans="1:14" x14ac:dyDescent="0.3">
      <c r="A4306" s="3" t="s">
        <v>366</v>
      </c>
      <c r="B4306" s="3" t="s">
        <v>367</v>
      </c>
      <c r="C4306" s="8">
        <v>2020</v>
      </c>
      <c r="D4306" s="8">
        <v>9</v>
      </c>
      <c r="E4306" s="3" t="str">
        <f t="shared" si="134"/>
        <v>September</v>
      </c>
      <c r="F4306" s="3" t="s">
        <v>8</v>
      </c>
      <c r="G4306" s="8">
        <v>26713.551670000001</v>
      </c>
      <c r="H4306" s="8">
        <v>26397.633000000002</v>
      </c>
      <c r="I4306" s="8">
        <v>-315.91866640000001</v>
      </c>
      <c r="J4306" s="8">
        <v>-3656.8298329999998</v>
      </c>
      <c r="K4306" s="8">
        <v>-24979.491450000001</v>
      </c>
      <c r="L4306" s="8">
        <v>19171.728709999999</v>
      </c>
      <c r="M4306" s="9" t="str">
        <f>IF(A4306="",M4307,A4306)</f>
        <v>United Republic of Tanzania</v>
      </c>
      <c r="N4306" s="3" t="str">
        <f t="shared" si="135"/>
        <v>Sep-2020</v>
      </c>
    </row>
    <row r="4307" spans="1:14" x14ac:dyDescent="0.3">
      <c r="A4307" s="3" t="s">
        <v>366</v>
      </c>
      <c r="B4307" s="3" t="s">
        <v>367</v>
      </c>
      <c r="C4307" s="8">
        <v>2020</v>
      </c>
      <c r="D4307" s="8">
        <v>10</v>
      </c>
      <c r="E4307" s="3" t="str">
        <f t="shared" si="134"/>
        <v>October</v>
      </c>
      <c r="F4307" s="3" t="s">
        <v>8</v>
      </c>
      <c r="G4307" s="8">
        <v>26450.79969</v>
      </c>
      <c r="H4307" s="8">
        <v>25584.692999999999</v>
      </c>
      <c r="I4307" s="8">
        <v>-866.10668799999996</v>
      </c>
      <c r="J4307" s="8">
        <v>-4522.9365209999996</v>
      </c>
      <c r="K4307" s="8">
        <v>-27004.130860000001</v>
      </c>
      <c r="L4307" s="8">
        <v>20524.816490000001</v>
      </c>
      <c r="M4307" s="9" t="str">
        <f>IF(A4307="",M4308,A4307)</f>
        <v>United Republic of Tanzania</v>
      </c>
      <c r="N4307" s="3" t="str">
        <f t="shared" si="135"/>
        <v>Oct-2020</v>
      </c>
    </row>
    <row r="4308" spans="1:14" x14ac:dyDescent="0.3">
      <c r="A4308" s="3" t="s">
        <v>366</v>
      </c>
      <c r="B4308" s="3" t="s">
        <v>367</v>
      </c>
      <c r="C4308" s="8">
        <v>2020</v>
      </c>
      <c r="D4308" s="8">
        <v>11</v>
      </c>
      <c r="E4308" s="3" t="str">
        <f t="shared" si="134"/>
        <v>November</v>
      </c>
      <c r="F4308" s="3" t="s">
        <v>8</v>
      </c>
      <c r="G4308" s="8">
        <v>26528.729729999999</v>
      </c>
      <c r="H4308" s="8">
        <v>25873.440999999999</v>
      </c>
      <c r="I4308" s="8">
        <v>-655.28872690000003</v>
      </c>
      <c r="J4308" s="8">
        <v>-5178.2252479999997</v>
      </c>
      <c r="K4308" s="8">
        <v>-28028.962640000002</v>
      </c>
      <c r="L4308" s="8">
        <v>20045.29364</v>
      </c>
      <c r="M4308" s="9" t="str">
        <f>IF(A4308="",M4309,A4308)</f>
        <v>United Republic of Tanzania</v>
      </c>
      <c r="N4308" s="3" t="str">
        <f t="shared" si="135"/>
        <v>Nov-2020</v>
      </c>
    </row>
    <row r="4309" spans="1:14" x14ac:dyDescent="0.3">
      <c r="A4309" s="3" t="s">
        <v>366</v>
      </c>
      <c r="B4309" s="3" t="s">
        <v>367</v>
      </c>
      <c r="C4309" s="8">
        <v>2020</v>
      </c>
      <c r="D4309" s="8">
        <v>12</v>
      </c>
      <c r="E4309" s="3" t="str">
        <f t="shared" si="134"/>
        <v>December</v>
      </c>
      <c r="F4309" s="3" t="s">
        <v>8</v>
      </c>
      <c r="G4309" s="8">
        <v>26554.432509999999</v>
      </c>
      <c r="H4309" s="8">
        <v>26411.710999999999</v>
      </c>
      <c r="I4309" s="8">
        <v>-142.72150930000001</v>
      </c>
      <c r="J4309" s="8">
        <v>-5320.9467569999997</v>
      </c>
      <c r="K4309" s="8">
        <v>-28962.26843</v>
      </c>
      <c r="L4309" s="8">
        <v>20467.57777</v>
      </c>
      <c r="M4309" s="9" t="str">
        <f>IF(A4309="",M4310,A4309)</f>
        <v>United Republic of Tanzania</v>
      </c>
      <c r="N4309" s="3" t="str">
        <f t="shared" si="135"/>
        <v>Dec-2020</v>
      </c>
    </row>
    <row r="4310" spans="1:14" x14ac:dyDescent="0.3">
      <c r="A4310" s="3" t="s">
        <v>366</v>
      </c>
      <c r="B4310" s="3" t="s">
        <v>367</v>
      </c>
      <c r="C4310" s="8">
        <v>2021</v>
      </c>
      <c r="D4310" s="8">
        <v>1</v>
      </c>
      <c r="E4310" s="3" t="str">
        <f t="shared" si="134"/>
        <v>January</v>
      </c>
      <c r="F4310" s="3" t="s">
        <v>8</v>
      </c>
      <c r="G4310" s="8">
        <v>26559.00604</v>
      </c>
      <c r="H4310" s="8">
        <v>27710.350999999999</v>
      </c>
      <c r="I4310" s="8">
        <v>1151.344957</v>
      </c>
      <c r="J4310" s="8">
        <v>-4169.6018000000004</v>
      </c>
      <c r="K4310" s="8">
        <v>-29001.927479999998</v>
      </c>
      <c r="L4310" s="8">
        <v>22104.952789999999</v>
      </c>
      <c r="M4310" s="9" t="str">
        <f>IF(A4310="",M4311,A4310)</f>
        <v>United Republic of Tanzania</v>
      </c>
      <c r="N4310" s="3" t="str">
        <f t="shared" si="135"/>
        <v>Jan-2021</v>
      </c>
    </row>
    <row r="4311" spans="1:14" x14ac:dyDescent="0.3">
      <c r="A4311" s="3" t="s">
        <v>366</v>
      </c>
      <c r="B4311" s="3" t="s">
        <v>367</v>
      </c>
      <c r="C4311" s="8">
        <v>2021</v>
      </c>
      <c r="D4311" s="8">
        <v>2</v>
      </c>
      <c r="E4311" s="3" t="str">
        <f t="shared" si="134"/>
        <v>February</v>
      </c>
      <c r="F4311" s="3" t="s">
        <v>8</v>
      </c>
      <c r="G4311" s="8">
        <v>26607.910360000002</v>
      </c>
      <c r="H4311" s="8">
        <v>28556.583999999999</v>
      </c>
      <c r="I4311" s="8">
        <v>1948.673644</v>
      </c>
      <c r="J4311" s="8">
        <v>-2220.9281559999999</v>
      </c>
      <c r="K4311" s="8">
        <v>-28442.429660000002</v>
      </c>
      <c r="L4311" s="8">
        <v>26157.229770000002</v>
      </c>
      <c r="M4311" s="9" t="str">
        <f>IF(A4311="",M4312,A4311)</f>
        <v>United Republic of Tanzania</v>
      </c>
      <c r="N4311" s="3" t="str">
        <f t="shared" si="135"/>
        <v>Feb-2021</v>
      </c>
    </row>
    <row r="4312" spans="1:14" x14ac:dyDescent="0.3">
      <c r="A4312" s="3" t="s">
        <v>366</v>
      </c>
      <c r="B4312" s="3" t="s">
        <v>367</v>
      </c>
      <c r="C4312" s="8">
        <v>2021</v>
      </c>
      <c r="D4312" s="8">
        <v>3</v>
      </c>
      <c r="E4312" s="3" t="str">
        <f t="shared" si="134"/>
        <v>March</v>
      </c>
      <c r="F4312" s="3" t="s">
        <v>8</v>
      </c>
      <c r="G4312" s="8">
        <v>26582.356400000001</v>
      </c>
      <c r="H4312" s="8">
        <v>28540.073</v>
      </c>
      <c r="I4312" s="8">
        <v>1957.716602</v>
      </c>
      <c r="J4312" s="8">
        <v>-263.2115541</v>
      </c>
      <c r="K4312" s="8">
        <v>-28220.89372</v>
      </c>
      <c r="L4312" s="8">
        <v>28142.830030000001</v>
      </c>
      <c r="M4312" s="9" t="str">
        <f>IF(A4312="",M4313,A4312)</f>
        <v>United Republic of Tanzania</v>
      </c>
      <c r="N4312" s="3" t="str">
        <f t="shared" si="135"/>
        <v>Mar-2021</v>
      </c>
    </row>
    <row r="4313" spans="1:14" x14ac:dyDescent="0.3">
      <c r="A4313" s="3" t="s">
        <v>366</v>
      </c>
      <c r="B4313" s="3" t="s">
        <v>367</v>
      </c>
      <c r="C4313" s="8">
        <v>2021</v>
      </c>
      <c r="D4313" s="8">
        <v>4</v>
      </c>
      <c r="E4313" s="3" t="str">
        <f t="shared" si="134"/>
        <v>April</v>
      </c>
      <c r="F4313" s="3" t="s">
        <v>8</v>
      </c>
      <c r="G4313" s="8">
        <v>26724.264500000001</v>
      </c>
      <c r="H4313" s="8">
        <v>28313.684000000001</v>
      </c>
      <c r="I4313" s="8">
        <v>1589.419498</v>
      </c>
      <c r="J4313" s="8">
        <v>1326.207944</v>
      </c>
      <c r="K4313" s="8">
        <v>-27113.053059999998</v>
      </c>
      <c r="L4313" s="8">
        <v>31624.62355</v>
      </c>
      <c r="M4313" s="9" t="str">
        <f>IF(A4313="",M4314,A4313)</f>
        <v>United Republic of Tanzania</v>
      </c>
      <c r="N4313" s="3" t="str">
        <f t="shared" si="135"/>
        <v>Apr-2021</v>
      </c>
    </row>
    <row r="4314" spans="1:14" x14ac:dyDescent="0.3">
      <c r="A4314" s="3" t="s">
        <v>366</v>
      </c>
      <c r="B4314" s="3" t="s">
        <v>367</v>
      </c>
      <c r="C4314" s="8">
        <v>2021</v>
      </c>
      <c r="D4314" s="8">
        <v>5</v>
      </c>
      <c r="E4314" s="3" t="str">
        <f t="shared" si="134"/>
        <v>May</v>
      </c>
      <c r="F4314" s="3" t="s">
        <v>8</v>
      </c>
      <c r="G4314" s="8">
        <v>26764.58294</v>
      </c>
      <c r="H4314" s="8">
        <v>27999.940999999999</v>
      </c>
      <c r="I4314" s="8">
        <v>1235.358058</v>
      </c>
      <c r="J4314" s="8">
        <v>2561.566002</v>
      </c>
      <c r="K4314" s="8">
        <v>-27380.601149999999</v>
      </c>
      <c r="L4314" s="8">
        <v>34639.387300000002</v>
      </c>
      <c r="M4314" s="9" t="str">
        <f>IF(A4314="",M4315,A4314)</f>
        <v>United Republic of Tanzania</v>
      </c>
      <c r="N4314" s="3" t="str">
        <f t="shared" si="135"/>
        <v>May-2021</v>
      </c>
    </row>
    <row r="4315" spans="1:14" x14ac:dyDescent="0.3">
      <c r="A4315" s="3" t="s">
        <v>366</v>
      </c>
      <c r="B4315" s="3" t="s">
        <v>367</v>
      </c>
      <c r="C4315" s="8">
        <v>2021</v>
      </c>
      <c r="D4315" s="8">
        <v>6</v>
      </c>
      <c r="E4315" s="3" t="str">
        <f t="shared" si="134"/>
        <v>June</v>
      </c>
      <c r="F4315" s="3" t="s">
        <v>8</v>
      </c>
      <c r="G4315" s="8">
        <v>26943.709009999999</v>
      </c>
      <c r="H4315" s="8">
        <v>28094.544000000002</v>
      </c>
      <c r="I4315" s="8">
        <v>1150.8349880000001</v>
      </c>
      <c r="J4315" s="8">
        <v>3712.4009900000001</v>
      </c>
      <c r="K4315" s="8">
        <v>-28525.054090000001</v>
      </c>
      <c r="L4315" s="8">
        <v>38274.296620000001</v>
      </c>
      <c r="M4315" s="9" t="str">
        <f>IF(A4315="",M4316,A4315)</f>
        <v>United Republic of Tanzania</v>
      </c>
      <c r="N4315" s="3" t="str">
        <f t="shared" si="135"/>
        <v>Jun-2021</v>
      </c>
    </row>
    <row r="4316" spans="1:14" x14ac:dyDescent="0.3">
      <c r="A4316" s="3" t="s">
        <v>366</v>
      </c>
      <c r="B4316" s="3" t="s">
        <v>367</v>
      </c>
      <c r="C4316" s="8">
        <v>2021</v>
      </c>
      <c r="D4316" s="8">
        <v>7</v>
      </c>
      <c r="E4316" s="3" t="str">
        <f t="shared" si="134"/>
        <v>July</v>
      </c>
      <c r="F4316" s="3" t="s">
        <v>8</v>
      </c>
      <c r="G4316" s="8">
        <v>26993.984380000002</v>
      </c>
      <c r="H4316" s="8">
        <v>29009.413</v>
      </c>
      <c r="I4316" s="8">
        <v>2015.4286199999999</v>
      </c>
      <c r="J4316" s="8">
        <v>5727.8296090000003</v>
      </c>
      <c r="K4316" s="8">
        <v>-28853.886180000001</v>
      </c>
      <c r="L4316" s="8">
        <v>40392.927920000002</v>
      </c>
      <c r="M4316" s="9" t="str">
        <f>IF(A4316="",M4317,A4316)</f>
        <v>United Republic of Tanzania</v>
      </c>
      <c r="N4316" s="3" t="str">
        <f t="shared" si="135"/>
        <v>Jul-2021</v>
      </c>
    </row>
    <row r="4317" spans="1:14" x14ac:dyDescent="0.3">
      <c r="A4317" s="3" t="s">
        <v>366</v>
      </c>
      <c r="B4317" s="3" t="s">
        <v>367</v>
      </c>
      <c r="C4317" s="8">
        <v>2021</v>
      </c>
      <c r="D4317" s="8">
        <v>8</v>
      </c>
      <c r="E4317" s="3" t="str">
        <f t="shared" si="134"/>
        <v>August</v>
      </c>
      <c r="F4317" s="3" t="s">
        <v>8</v>
      </c>
      <c r="G4317" s="8">
        <v>26857.421249999999</v>
      </c>
      <c r="H4317" s="8">
        <v>30290.266</v>
      </c>
      <c r="I4317" s="8">
        <v>3432.8447500000002</v>
      </c>
      <c r="J4317" s="8">
        <v>9160.6743600000009</v>
      </c>
      <c r="K4317" s="8">
        <v>-25934.17871</v>
      </c>
      <c r="L4317" s="8">
        <v>44288.278509999996</v>
      </c>
      <c r="M4317" s="9" t="str">
        <f>IF(A4317="",M4318,A4317)</f>
        <v>United Republic of Tanzania</v>
      </c>
      <c r="N4317" s="3" t="str">
        <f t="shared" si="135"/>
        <v>Aug-2021</v>
      </c>
    </row>
    <row r="4318" spans="1:14" x14ac:dyDescent="0.3">
      <c r="A4318" s="3" t="s">
        <v>366</v>
      </c>
      <c r="B4318" s="3" t="s">
        <v>367</v>
      </c>
      <c r="C4318" s="8">
        <v>2021</v>
      </c>
      <c r="D4318" s="8">
        <v>9</v>
      </c>
      <c r="E4318" s="3" t="str">
        <f t="shared" si="134"/>
        <v>September</v>
      </c>
      <c r="F4318" s="3" t="s">
        <v>8</v>
      </c>
      <c r="G4318" s="8">
        <v>26664.23301</v>
      </c>
      <c r="H4318" s="8">
        <v>27090.723000000002</v>
      </c>
      <c r="I4318" s="8">
        <v>426.48999209999999</v>
      </c>
      <c r="J4318" s="8">
        <v>9587.1643519999998</v>
      </c>
      <c r="K4318" s="8">
        <v>-25413.96081</v>
      </c>
      <c r="L4318" s="8">
        <v>45582.823859999997</v>
      </c>
      <c r="M4318" s="9" t="str">
        <f>IF(A4318="",M4319,A4318)</f>
        <v>United Republic of Tanzania</v>
      </c>
      <c r="N4318" s="3" t="str">
        <f t="shared" si="135"/>
        <v>Sep-2021</v>
      </c>
    </row>
    <row r="4319" spans="1:14" x14ac:dyDescent="0.3">
      <c r="A4319" s="3" t="s">
        <v>366</v>
      </c>
      <c r="B4319" s="3" t="s">
        <v>367</v>
      </c>
      <c r="C4319" s="8">
        <v>2021</v>
      </c>
      <c r="D4319" s="8">
        <v>10</v>
      </c>
      <c r="E4319" s="3" t="str">
        <f t="shared" si="134"/>
        <v>October</v>
      </c>
      <c r="F4319" s="3" t="s">
        <v>8</v>
      </c>
      <c r="G4319" s="8">
        <v>26404.522690000002</v>
      </c>
      <c r="H4319" s="8">
        <v>26256.817999999999</v>
      </c>
      <c r="I4319" s="8">
        <v>-147.70468919999999</v>
      </c>
      <c r="J4319" s="8">
        <v>9439.4596619999993</v>
      </c>
      <c r="K4319" s="8">
        <v>-28128.40207</v>
      </c>
      <c r="L4319" s="8">
        <v>47487.88409</v>
      </c>
      <c r="M4319" s="9" t="str">
        <f>IF(A4319="",M4320,A4319)</f>
        <v>United Republic of Tanzania</v>
      </c>
      <c r="N4319" s="3" t="str">
        <f t="shared" si="135"/>
        <v>Oct-2021</v>
      </c>
    </row>
    <row r="4320" spans="1:14" x14ac:dyDescent="0.3">
      <c r="A4320" s="3" t="s">
        <v>366</v>
      </c>
      <c r="B4320" s="3" t="s">
        <v>367</v>
      </c>
      <c r="C4320" s="8">
        <v>2021</v>
      </c>
      <c r="D4320" s="8">
        <v>11</v>
      </c>
      <c r="E4320" s="3" t="str">
        <f t="shared" si="134"/>
        <v>November</v>
      </c>
      <c r="F4320" s="3" t="s">
        <v>8</v>
      </c>
      <c r="G4320" s="8">
        <v>26488.77246</v>
      </c>
      <c r="H4320" s="8">
        <v>26354.35</v>
      </c>
      <c r="I4320" s="8">
        <v>-134.4224639</v>
      </c>
      <c r="J4320" s="8">
        <v>9305.037198</v>
      </c>
      <c r="K4320" s="8">
        <v>-27461.378860000001</v>
      </c>
      <c r="L4320" s="8">
        <v>48425.992729999998</v>
      </c>
      <c r="M4320" s="9" t="str">
        <f>IF(A4320="",M4321,A4320)</f>
        <v>United Republic of Tanzania</v>
      </c>
      <c r="N4320" s="3" t="str">
        <f t="shared" si="135"/>
        <v>Nov-2021</v>
      </c>
    </row>
    <row r="4321" spans="1:14" x14ac:dyDescent="0.3">
      <c r="A4321" s="3" t="s">
        <v>366</v>
      </c>
      <c r="B4321" s="3" t="s">
        <v>367</v>
      </c>
      <c r="C4321" s="8">
        <v>2021</v>
      </c>
      <c r="D4321" s="8">
        <v>12</v>
      </c>
      <c r="E4321" s="3" t="str">
        <f t="shared" si="134"/>
        <v>December</v>
      </c>
      <c r="F4321" s="3" t="s">
        <v>8</v>
      </c>
      <c r="G4321" s="8">
        <v>26499.364799999999</v>
      </c>
      <c r="H4321" s="8">
        <v>26902.455999999998</v>
      </c>
      <c r="I4321" s="8">
        <v>403.0912027</v>
      </c>
      <c r="J4321" s="8">
        <v>9708.1284009999999</v>
      </c>
      <c r="K4321" s="8">
        <v>-28705.009610000001</v>
      </c>
      <c r="L4321" s="8">
        <v>48542.197789999998</v>
      </c>
      <c r="M4321" s="9" t="str">
        <f>IF(A4321="",M4322,A4321)</f>
        <v>United Republic of Tanzania</v>
      </c>
      <c r="N4321" s="3" t="str">
        <f t="shared" si="135"/>
        <v>Dec-2021</v>
      </c>
    </row>
    <row r="4322" spans="1:14" x14ac:dyDescent="0.3">
      <c r="A4322" s="3" t="s">
        <v>368</v>
      </c>
      <c r="B4322" s="3" t="s">
        <v>369</v>
      </c>
      <c r="C4322" s="8">
        <v>2020</v>
      </c>
      <c r="D4322" s="8">
        <v>1</v>
      </c>
      <c r="E4322" s="3" t="str">
        <f t="shared" si="134"/>
        <v>January</v>
      </c>
      <c r="F4322" s="3" t="s">
        <v>8</v>
      </c>
      <c r="G4322" s="8">
        <v>18835.240760000001</v>
      </c>
      <c r="H4322" s="8">
        <v>19500.940999999999</v>
      </c>
      <c r="I4322" s="8">
        <v>665.70023979999996</v>
      </c>
      <c r="J4322" s="8">
        <v>665.70023979999996</v>
      </c>
      <c r="K4322" s="8">
        <v>-3856.7376389999999</v>
      </c>
      <c r="L4322" s="8">
        <v>6309.6293329999999</v>
      </c>
      <c r="M4322" s="9" t="str">
        <f>IF(A4322="",M4323,A4322)</f>
        <v>Uganda</v>
      </c>
      <c r="N4322" s="3" t="str">
        <f t="shared" si="135"/>
        <v>Jan-2020</v>
      </c>
    </row>
    <row r="4323" spans="1:14" x14ac:dyDescent="0.3">
      <c r="A4323" s="3" t="s">
        <v>368</v>
      </c>
      <c r="B4323" s="3" t="s">
        <v>369</v>
      </c>
      <c r="C4323" s="8">
        <v>2020</v>
      </c>
      <c r="D4323" s="8">
        <v>2</v>
      </c>
      <c r="E4323" s="3" t="str">
        <f t="shared" si="134"/>
        <v>February</v>
      </c>
      <c r="F4323" s="3" t="s">
        <v>8</v>
      </c>
      <c r="G4323" s="8">
        <v>18905.038369999998</v>
      </c>
      <c r="H4323" s="8">
        <v>18721.27</v>
      </c>
      <c r="I4323" s="8">
        <v>-183.7683667</v>
      </c>
      <c r="J4323" s="8">
        <v>481.93187310000002</v>
      </c>
      <c r="K4323" s="8">
        <v>-6312.5017470000003</v>
      </c>
      <c r="L4323" s="8">
        <v>8250.9898379999995</v>
      </c>
      <c r="M4323" s="9" t="str">
        <f>IF(A4323="",M4324,A4323)</f>
        <v>Uganda</v>
      </c>
      <c r="N4323" s="3" t="str">
        <f t="shared" si="135"/>
        <v>Feb-2020</v>
      </c>
    </row>
    <row r="4324" spans="1:14" x14ac:dyDescent="0.3">
      <c r="A4324" s="3" t="s">
        <v>368</v>
      </c>
      <c r="B4324" s="3" t="s">
        <v>369</v>
      </c>
      <c r="C4324" s="8">
        <v>2020</v>
      </c>
      <c r="D4324" s="8">
        <v>3</v>
      </c>
      <c r="E4324" s="3" t="str">
        <f t="shared" si="134"/>
        <v>March</v>
      </c>
      <c r="F4324" s="3" t="s">
        <v>8</v>
      </c>
      <c r="G4324" s="8">
        <v>18855.250080000002</v>
      </c>
      <c r="H4324" s="8">
        <v>18459.037</v>
      </c>
      <c r="I4324" s="8">
        <v>-396.21307630000001</v>
      </c>
      <c r="J4324" s="8">
        <v>85.718796810000001</v>
      </c>
      <c r="K4324" s="8">
        <v>-8286.9927740000003</v>
      </c>
      <c r="L4324" s="8">
        <v>9086.2869630000005</v>
      </c>
      <c r="M4324" s="9" t="str">
        <f>IF(A4324="",M4325,A4324)</f>
        <v>Uganda</v>
      </c>
      <c r="N4324" s="3" t="str">
        <f t="shared" si="135"/>
        <v>Mar-2020</v>
      </c>
    </row>
    <row r="4325" spans="1:14" x14ac:dyDescent="0.3">
      <c r="A4325" s="3" t="s">
        <v>368</v>
      </c>
      <c r="B4325" s="3" t="s">
        <v>369</v>
      </c>
      <c r="C4325" s="8">
        <v>2020</v>
      </c>
      <c r="D4325" s="8">
        <v>4</v>
      </c>
      <c r="E4325" s="3" t="str">
        <f t="shared" si="134"/>
        <v>April</v>
      </c>
      <c r="F4325" s="3" t="s">
        <v>8</v>
      </c>
      <c r="G4325" s="8">
        <v>19015.63193</v>
      </c>
      <c r="H4325" s="8">
        <v>16593.118999999999</v>
      </c>
      <c r="I4325" s="8">
        <v>-2422.5129310000002</v>
      </c>
      <c r="J4325" s="8">
        <v>-2336.7941340000002</v>
      </c>
      <c r="K4325" s="8">
        <v>-11804.32575</v>
      </c>
      <c r="L4325" s="8">
        <v>7272.2845779999998</v>
      </c>
      <c r="M4325" s="9" t="str">
        <f>IF(A4325="",M4326,A4325)</f>
        <v>Uganda</v>
      </c>
      <c r="N4325" s="3" t="str">
        <f t="shared" si="135"/>
        <v>Apr-2020</v>
      </c>
    </row>
    <row r="4326" spans="1:14" x14ac:dyDescent="0.3">
      <c r="A4326" s="3" t="s">
        <v>368</v>
      </c>
      <c r="B4326" s="3" t="s">
        <v>369</v>
      </c>
      <c r="C4326" s="8">
        <v>2020</v>
      </c>
      <c r="D4326" s="8">
        <v>5</v>
      </c>
      <c r="E4326" s="3" t="str">
        <f t="shared" si="134"/>
        <v>May</v>
      </c>
      <c r="F4326" s="3" t="s">
        <v>8</v>
      </c>
      <c r="G4326" s="8">
        <v>18917.511910000001</v>
      </c>
      <c r="H4326" s="8">
        <v>17082.014999999999</v>
      </c>
      <c r="I4326" s="8">
        <v>-1835.4969060000001</v>
      </c>
      <c r="J4326" s="8">
        <v>-4172.2910400000001</v>
      </c>
      <c r="K4326" s="8">
        <v>-14358.06582</v>
      </c>
      <c r="L4326" s="8">
        <v>6370.7644389999996</v>
      </c>
      <c r="M4326" s="9" t="str">
        <f>IF(A4326="",M4327,A4326)</f>
        <v>Uganda</v>
      </c>
      <c r="N4326" s="3" t="str">
        <f t="shared" si="135"/>
        <v>May-2020</v>
      </c>
    </row>
    <row r="4327" spans="1:14" x14ac:dyDescent="0.3">
      <c r="A4327" s="3" t="s">
        <v>368</v>
      </c>
      <c r="B4327" s="3" t="s">
        <v>369</v>
      </c>
      <c r="C4327" s="8">
        <v>2020</v>
      </c>
      <c r="D4327" s="8">
        <v>6</v>
      </c>
      <c r="E4327" s="3" t="str">
        <f t="shared" si="134"/>
        <v>June</v>
      </c>
      <c r="F4327" s="3" t="s">
        <v>8</v>
      </c>
      <c r="G4327" s="8">
        <v>19005.1479</v>
      </c>
      <c r="H4327" s="8">
        <v>18122.232</v>
      </c>
      <c r="I4327" s="8">
        <v>-882.91589729999998</v>
      </c>
      <c r="J4327" s="8">
        <v>-5055.2069369999999</v>
      </c>
      <c r="K4327" s="8">
        <v>-16082.636109999999</v>
      </c>
      <c r="L4327" s="8">
        <v>7334.790661</v>
      </c>
      <c r="M4327" s="9" t="str">
        <f>IF(A4327="",M4328,A4327)</f>
        <v>Uganda</v>
      </c>
      <c r="N4327" s="3" t="str">
        <f t="shared" si="135"/>
        <v>Jun-2020</v>
      </c>
    </row>
    <row r="4328" spans="1:14" x14ac:dyDescent="0.3">
      <c r="A4328" s="3" t="s">
        <v>368</v>
      </c>
      <c r="B4328" s="3" t="s">
        <v>369</v>
      </c>
      <c r="C4328" s="8">
        <v>2020</v>
      </c>
      <c r="D4328" s="8">
        <v>7</v>
      </c>
      <c r="E4328" s="3" t="str">
        <f t="shared" si="134"/>
        <v>July</v>
      </c>
      <c r="F4328" s="3" t="s">
        <v>8</v>
      </c>
      <c r="G4328" s="8">
        <v>19008.207490000001</v>
      </c>
      <c r="H4328" s="8">
        <v>18789.081999999999</v>
      </c>
      <c r="I4328" s="8">
        <v>-219.12548770000001</v>
      </c>
      <c r="J4328" s="8">
        <v>-5274.3324249999996</v>
      </c>
      <c r="K4328" s="8">
        <v>-17345.993620000001</v>
      </c>
      <c r="L4328" s="8">
        <v>7973.2623439999998</v>
      </c>
      <c r="M4328" s="9" t="str">
        <f>IF(A4328="",M4329,A4328)</f>
        <v>Uganda</v>
      </c>
      <c r="N4328" s="3" t="str">
        <f t="shared" si="135"/>
        <v>Jul-2020</v>
      </c>
    </row>
    <row r="4329" spans="1:14" x14ac:dyDescent="0.3">
      <c r="A4329" s="3" t="s">
        <v>368</v>
      </c>
      <c r="B4329" s="3" t="s">
        <v>369</v>
      </c>
      <c r="C4329" s="8">
        <v>2020</v>
      </c>
      <c r="D4329" s="8">
        <v>8</v>
      </c>
      <c r="E4329" s="3" t="str">
        <f t="shared" si="134"/>
        <v>August</v>
      </c>
      <c r="F4329" s="3" t="s">
        <v>8</v>
      </c>
      <c r="G4329" s="8">
        <v>19000.562900000001</v>
      </c>
      <c r="H4329" s="8">
        <v>19756.342000000001</v>
      </c>
      <c r="I4329" s="8">
        <v>755.77910429999997</v>
      </c>
      <c r="J4329" s="8">
        <v>-4518.5533210000003</v>
      </c>
      <c r="K4329" s="8">
        <v>-17507.1738</v>
      </c>
      <c r="L4329" s="8">
        <v>10280.248439999999</v>
      </c>
      <c r="M4329" s="9" t="str">
        <f>IF(A4329="",M4330,A4329)</f>
        <v>Uganda</v>
      </c>
      <c r="N4329" s="3" t="str">
        <f t="shared" si="135"/>
        <v>Aug-2020</v>
      </c>
    </row>
    <row r="4330" spans="1:14" x14ac:dyDescent="0.3">
      <c r="A4330" s="3" t="s">
        <v>368</v>
      </c>
      <c r="B4330" s="3" t="s">
        <v>369</v>
      </c>
      <c r="C4330" s="8">
        <v>2020</v>
      </c>
      <c r="D4330" s="8">
        <v>9</v>
      </c>
      <c r="E4330" s="3" t="str">
        <f t="shared" si="134"/>
        <v>September</v>
      </c>
      <c r="F4330" s="3" t="s">
        <v>8</v>
      </c>
      <c r="G4330" s="8">
        <v>18937.651040000001</v>
      </c>
      <c r="H4330" s="8">
        <v>19864.069</v>
      </c>
      <c r="I4330" s="8">
        <v>926.41796239999996</v>
      </c>
      <c r="J4330" s="8">
        <v>-3592.135358</v>
      </c>
      <c r="K4330" s="8">
        <v>-17807.057850000001</v>
      </c>
      <c r="L4330" s="8">
        <v>12093.787340000001</v>
      </c>
      <c r="M4330" s="9" t="str">
        <f>IF(A4330="",M4331,A4330)</f>
        <v>Uganda</v>
      </c>
      <c r="N4330" s="3" t="str">
        <f t="shared" si="135"/>
        <v>Sep-2020</v>
      </c>
    </row>
    <row r="4331" spans="1:14" x14ac:dyDescent="0.3">
      <c r="A4331" s="3" t="s">
        <v>368</v>
      </c>
      <c r="B4331" s="3" t="s">
        <v>369</v>
      </c>
      <c r="C4331" s="8">
        <v>2020</v>
      </c>
      <c r="D4331" s="8">
        <v>10</v>
      </c>
      <c r="E4331" s="3" t="str">
        <f t="shared" si="134"/>
        <v>October</v>
      </c>
      <c r="F4331" s="3" t="s">
        <v>8</v>
      </c>
      <c r="G4331" s="8">
        <v>18885.648539999998</v>
      </c>
      <c r="H4331" s="8">
        <v>19537.883000000002</v>
      </c>
      <c r="I4331" s="8">
        <v>652.23445800000002</v>
      </c>
      <c r="J4331" s="8">
        <v>-2939.900901</v>
      </c>
      <c r="K4331" s="8">
        <v>-18628.15047</v>
      </c>
      <c r="L4331" s="8">
        <v>13919.801149999999</v>
      </c>
      <c r="M4331" s="9" t="str">
        <f>IF(A4331="",M4332,A4331)</f>
        <v>Uganda</v>
      </c>
      <c r="N4331" s="3" t="str">
        <f t="shared" si="135"/>
        <v>Oct-2020</v>
      </c>
    </row>
    <row r="4332" spans="1:14" x14ac:dyDescent="0.3">
      <c r="A4332" s="3" t="s">
        <v>368</v>
      </c>
      <c r="B4332" s="3" t="s">
        <v>369</v>
      </c>
      <c r="C4332" s="8">
        <v>2020</v>
      </c>
      <c r="D4332" s="8">
        <v>11</v>
      </c>
      <c r="E4332" s="3" t="str">
        <f t="shared" si="134"/>
        <v>November</v>
      </c>
      <c r="F4332" s="3" t="s">
        <v>8</v>
      </c>
      <c r="G4332" s="8">
        <v>18933.197400000001</v>
      </c>
      <c r="H4332" s="8">
        <v>19932.431</v>
      </c>
      <c r="I4332" s="8">
        <v>999.23359519999997</v>
      </c>
      <c r="J4332" s="8">
        <v>-1940.6673049999999</v>
      </c>
      <c r="K4332" s="8">
        <v>-18056.839049999999</v>
      </c>
      <c r="L4332" s="8">
        <v>15111.24109</v>
      </c>
      <c r="M4332" s="9" t="str">
        <f>IF(A4332="",M4333,A4332)</f>
        <v>Uganda</v>
      </c>
      <c r="N4332" s="3" t="str">
        <f t="shared" si="135"/>
        <v>Nov-2020</v>
      </c>
    </row>
    <row r="4333" spans="1:14" x14ac:dyDescent="0.3">
      <c r="A4333" s="3" t="s">
        <v>368</v>
      </c>
      <c r="B4333" s="3" t="s">
        <v>369</v>
      </c>
      <c r="C4333" s="8">
        <v>2020</v>
      </c>
      <c r="D4333" s="8">
        <v>12</v>
      </c>
      <c r="E4333" s="3" t="str">
        <f t="shared" si="134"/>
        <v>December</v>
      </c>
      <c r="F4333" s="3" t="s">
        <v>8</v>
      </c>
      <c r="G4333" s="8">
        <v>18865.824779999999</v>
      </c>
      <c r="H4333" s="8">
        <v>19860.363000000001</v>
      </c>
      <c r="I4333" s="8">
        <v>994.53822209999998</v>
      </c>
      <c r="J4333" s="8">
        <v>-946.12908319999997</v>
      </c>
      <c r="K4333" s="8">
        <v>-18498.910889999999</v>
      </c>
      <c r="L4333" s="8">
        <v>17654.02</v>
      </c>
      <c r="M4333" s="9" t="str">
        <f>IF(A4333="",M4334,A4333)</f>
        <v>Uganda</v>
      </c>
      <c r="N4333" s="3" t="str">
        <f t="shared" si="135"/>
        <v>Dec-2020</v>
      </c>
    </row>
    <row r="4334" spans="1:14" x14ac:dyDescent="0.3">
      <c r="A4334" s="3" t="s">
        <v>368</v>
      </c>
      <c r="B4334" s="3" t="s">
        <v>369</v>
      </c>
      <c r="C4334" s="8">
        <v>2021</v>
      </c>
      <c r="D4334" s="8">
        <v>1</v>
      </c>
      <c r="E4334" s="3" t="str">
        <f t="shared" si="134"/>
        <v>January</v>
      </c>
      <c r="F4334" s="3" t="s">
        <v>8</v>
      </c>
      <c r="G4334" s="8">
        <v>18762.379929999999</v>
      </c>
      <c r="H4334" s="8">
        <v>19029.994999999999</v>
      </c>
      <c r="I4334" s="8">
        <v>267.61506730000002</v>
      </c>
      <c r="J4334" s="8">
        <v>-678.5140159</v>
      </c>
      <c r="K4334" s="8">
        <v>-18861.740150000001</v>
      </c>
      <c r="L4334" s="8">
        <v>18327.67211</v>
      </c>
      <c r="M4334" s="9" t="str">
        <f>IF(A4334="",M4335,A4334)</f>
        <v>Uganda</v>
      </c>
      <c r="N4334" s="3" t="str">
        <f t="shared" si="135"/>
        <v>Jan-2021</v>
      </c>
    </row>
    <row r="4335" spans="1:14" x14ac:dyDescent="0.3">
      <c r="A4335" s="3" t="s">
        <v>368</v>
      </c>
      <c r="B4335" s="3" t="s">
        <v>369</v>
      </c>
      <c r="C4335" s="8">
        <v>2021</v>
      </c>
      <c r="D4335" s="8">
        <v>2</v>
      </c>
      <c r="E4335" s="3" t="str">
        <f t="shared" si="134"/>
        <v>February</v>
      </c>
      <c r="F4335" s="3" t="s">
        <v>8</v>
      </c>
      <c r="G4335" s="8">
        <v>18838.823769999999</v>
      </c>
      <c r="H4335" s="8">
        <v>18759.73</v>
      </c>
      <c r="I4335" s="8">
        <v>-79.093774490000001</v>
      </c>
      <c r="J4335" s="8">
        <v>-757.6077904</v>
      </c>
      <c r="K4335" s="8">
        <v>-19671.21154</v>
      </c>
      <c r="L4335" s="8">
        <v>19910.455760000001</v>
      </c>
      <c r="M4335" s="9" t="str">
        <f>IF(A4335="",M4336,A4335)</f>
        <v>Uganda</v>
      </c>
      <c r="N4335" s="3" t="str">
        <f t="shared" si="135"/>
        <v>Feb-2021</v>
      </c>
    </row>
    <row r="4336" spans="1:14" x14ac:dyDescent="0.3">
      <c r="A4336" s="3" t="s">
        <v>368</v>
      </c>
      <c r="B4336" s="3" t="s">
        <v>369</v>
      </c>
      <c r="C4336" s="8">
        <v>2021</v>
      </c>
      <c r="D4336" s="8">
        <v>3</v>
      </c>
      <c r="E4336" s="3" t="str">
        <f t="shared" si="134"/>
        <v>March</v>
      </c>
      <c r="F4336" s="3" t="s">
        <v>8</v>
      </c>
      <c r="G4336" s="8">
        <v>18790.544910000001</v>
      </c>
      <c r="H4336" s="8">
        <v>18647.774000000001</v>
      </c>
      <c r="I4336" s="8">
        <v>-142.7709083</v>
      </c>
      <c r="J4336" s="8">
        <v>-900.37869860000001</v>
      </c>
      <c r="K4336" s="8">
        <v>-21049.73371</v>
      </c>
      <c r="L4336" s="8">
        <v>20609.085709999999</v>
      </c>
      <c r="M4336" s="9" t="str">
        <f>IF(A4336="",M4337,A4336)</f>
        <v>Uganda</v>
      </c>
      <c r="N4336" s="3" t="str">
        <f t="shared" si="135"/>
        <v>Mar-2021</v>
      </c>
    </row>
    <row r="4337" spans="1:14" x14ac:dyDescent="0.3">
      <c r="A4337" s="3" t="s">
        <v>368</v>
      </c>
      <c r="B4337" s="3" t="s">
        <v>369</v>
      </c>
      <c r="C4337" s="8">
        <v>2021</v>
      </c>
      <c r="D4337" s="8">
        <v>4</v>
      </c>
      <c r="E4337" s="3" t="str">
        <f t="shared" si="134"/>
        <v>April</v>
      </c>
      <c r="F4337" s="3" t="s">
        <v>8</v>
      </c>
      <c r="G4337" s="8">
        <v>18953.327799999999</v>
      </c>
      <c r="H4337" s="8">
        <v>18598.705000000002</v>
      </c>
      <c r="I4337" s="8">
        <v>-354.62280140000001</v>
      </c>
      <c r="J4337" s="8">
        <v>-1255.0015000000001</v>
      </c>
      <c r="K4337" s="8">
        <v>-22708.97884</v>
      </c>
      <c r="L4337" s="8">
        <v>20526.735939999999</v>
      </c>
      <c r="M4337" s="9" t="str">
        <f>IF(A4337="",M4338,A4337)</f>
        <v>Uganda</v>
      </c>
      <c r="N4337" s="3" t="str">
        <f t="shared" si="135"/>
        <v>Apr-2021</v>
      </c>
    </row>
    <row r="4338" spans="1:14" x14ac:dyDescent="0.3">
      <c r="A4338" s="3" t="s">
        <v>368</v>
      </c>
      <c r="B4338" s="3" t="s">
        <v>369</v>
      </c>
      <c r="C4338" s="8">
        <v>2021</v>
      </c>
      <c r="D4338" s="8">
        <v>5</v>
      </c>
      <c r="E4338" s="3" t="str">
        <f t="shared" si="134"/>
        <v>May</v>
      </c>
      <c r="F4338" s="3" t="s">
        <v>8</v>
      </c>
      <c r="G4338" s="8">
        <v>18863.829129999998</v>
      </c>
      <c r="H4338" s="8">
        <v>19229.632000000001</v>
      </c>
      <c r="I4338" s="8">
        <v>365.80286599999999</v>
      </c>
      <c r="J4338" s="8">
        <v>-889.19863399999997</v>
      </c>
      <c r="K4338" s="8">
        <v>-22144.7212</v>
      </c>
      <c r="L4338" s="8">
        <v>21356.064299999998</v>
      </c>
      <c r="M4338" s="9" t="str">
        <f>IF(A4338="",M4339,A4338)</f>
        <v>Uganda</v>
      </c>
      <c r="N4338" s="3" t="str">
        <f t="shared" si="135"/>
        <v>May-2021</v>
      </c>
    </row>
    <row r="4339" spans="1:14" x14ac:dyDescent="0.3">
      <c r="A4339" s="3" t="s">
        <v>368</v>
      </c>
      <c r="B4339" s="3" t="s">
        <v>369</v>
      </c>
      <c r="C4339" s="8">
        <v>2021</v>
      </c>
      <c r="D4339" s="8">
        <v>6</v>
      </c>
      <c r="E4339" s="3" t="str">
        <f t="shared" si="134"/>
        <v>June</v>
      </c>
      <c r="F4339" s="3" t="s">
        <v>8</v>
      </c>
      <c r="G4339" s="8">
        <v>18936.531989999999</v>
      </c>
      <c r="H4339" s="8">
        <v>21970.973999999998</v>
      </c>
      <c r="I4339" s="8">
        <v>3034.4420140000002</v>
      </c>
      <c r="J4339" s="8">
        <v>2145.2433799999999</v>
      </c>
      <c r="K4339" s="8">
        <v>-19871.59649</v>
      </c>
      <c r="L4339" s="8">
        <v>25612.478569999999</v>
      </c>
      <c r="M4339" s="9" t="str">
        <f>IF(A4339="",M4340,A4339)</f>
        <v>Uganda</v>
      </c>
      <c r="N4339" s="3" t="str">
        <f t="shared" si="135"/>
        <v>Jun-2021</v>
      </c>
    </row>
    <row r="4340" spans="1:14" x14ac:dyDescent="0.3">
      <c r="A4340" s="3" t="s">
        <v>368</v>
      </c>
      <c r="B4340" s="3" t="s">
        <v>369</v>
      </c>
      <c r="C4340" s="8">
        <v>2021</v>
      </c>
      <c r="D4340" s="8">
        <v>7</v>
      </c>
      <c r="E4340" s="3" t="str">
        <f t="shared" si="134"/>
        <v>July</v>
      </c>
      <c r="F4340" s="3" t="s">
        <v>8</v>
      </c>
      <c r="G4340" s="8">
        <v>18944.514859999999</v>
      </c>
      <c r="H4340" s="8">
        <v>21803.066999999999</v>
      </c>
      <c r="I4340" s="8">
        <v>2858.5521370000001</v>
      </c>
      <c r="J4340" s="8">
        <v>5003.7955169999996</v>
      </c>
      <c r="K4340" s="8">
        <v>-17918.705979999999</v>
      </c>
      <c r="L4340" s="8">
        <v>29188.279559999999</v>
      </c>
      <c r="M4340" s="9" t="str">
        <f>IF(A4340="",M4341,A4340)</f>
        <v>Uganda</v>
      </c>
      <c r="N4340" s="3" t="str">
        <f t="shared" si="135"/>
        <v>Jul-2021</v>
      </c>
    </row>
    <row r="4341" spans="1:14" x14ac:dyDescent="0.3">
      <c r="A4341" s="3" t="s">
        <v>368</v>
      </c>
      <c r="B4341" s="3" t="s">
        <v>369</v>
      </c>
      <c r="C4341" s="8">
        <v>2021</v>
      </c>
      <c r="D4341" s="8">
        <v>8</v>
      </c>
      <c r="E4341" s="3" t="str">
        <f t="shared" si="134"/>
        <v>August</v>
      </c>
      <c r="F4341" s="3" t="s">
        <v>8</v>
      </c>
      <c r="G4341" s="8">
        <v>18938.677029999999</v>
      </c>
      <c r="H4341" s="8">
        <v>19456.37</v>
      </c>
      <c r="I4341" s="8">
        <v>517.69297059999997</v>
      </c>
      <c r="J4341" s="8">
        <v>5521.488488</v>
      </c>
      <c r="K4341" s="8">
        <v>-19052.70291</v>
      </c>
      <c r="L4341" s="8">
        <v>30281.298920000001</v>
      </c>
      <c r="M4341" s="9" t="str">
        <f>IF(A4341="",M4342,A4341)</f>
        <v>Uganda</v>
      </c>
      <c r="N4341" s="3" t="str">
        <f t="shared" si="135"/>
        <v>Aug-2021</v>
      </c>
    </row>
    <row r="4342" spans="1:14" x14ac:dyDescent="0.3">
      <c r="A4342" s="3" t="s">
        <v>368</v>
      </c>
      <c r="B4342" s="3" t="s">
        <v>369</v>
      </c>
      <c r="C4342" s="8">
        <v>2021</v>
      </c>
      <c r="D4342" s="8">
        <v>9</v>
      </c>
      <c r="E4342" s="3" t="str">
        <f t="shared" si="134"/>
        <v>September</v>
      </c>
      <c r="F4342" s="3" t="s">
        <v>8</v>
      </c>
      <c r="G4342" s="8">
        <v>18869.67814</v>
      </c>
      <c r="H4342" s="8">
        <v>18980.866000000002</v>
      </c>
      <c r="I4342" s="8">
        <v>111.1878615</v>
      </c>
      <c r="J4342" s="8">
        <v>5632.6763499999997</v>
      </c>
      <c r="K4342" s="8">
        <v>-18545.694360000001</v>
      </c>
      <c r="L4342" s="8">
        <v>29752.90624</v>
      </c>
      <c r="M4342" s="9" t="str">
        <f>IF(A4342="",M4343,A4342)</f>
        <v>Uganda</v>
      </c>
      <c r="N4342" s="3" t="str">
        <f t="shared" si="135"/>
        <v>Sep-2021</v>
      </c>
    </row>
    <row r="4343" spans="1:14" x14ac:dyDescent="0.3">
      <c r="A4343" s="3" t="s">
        <v>368</v>
      </c>
      <c r="B4343" s="3" t="s">
        <v>369</v>
      </c>
      <c r="C4343" s="8">
        <v>2021</v>
      </c>
      <c r="D4343" s="8">
        <v>10</v>
      </c>
      <c r="E4343" s="3" t="str">
        <f t="shared" si="134"/>
        <v>October</v>
      </c>
      <c r="F4343" s="3" t="s">
        <v>8</v>
      </c>
      <c r="G4343" s="8">
        <v>18835.808830000002</v>
      </c>
      <c r="H4343" s="8">
        <v>18633.797999999999</v>
      </c>
      <c r="I4343" s="8">
        <v>-202.0108333</v>
      </c>
      <c r="J4343" s="8">
        <v>5430.665516</v>
      </c>
      <c r="K4343" s="8">
        <v>-19989.244620000001</v>
      </c>
      <c r="L4343" s="8">
        <v>30856.068190000002</v>
      </c>
      <c r="M4343" s="9" t="str">
        <f>IF(A4343="",M4344,A4343)</f>
        <v>Uganda</v>
      </c>
      <c r="N4343" s="3" t="str">
        <f t="shared" si="135"/>
        <v>Oct-2021</v>
      </c>
    </row>
    <row r="4344" spans="1:14" x14ac:dyDescent="0.3">
      <c r="A4344" s="3" t="s">
        <v>368</v>
      </c>
      <c r="B4344" s="3" t="s">
        <v>369</v>
      </c>
      <c r="C4344" s="8">
        <v>2021</v>
      </c>
      <c r="D4344" s="8">
        <v>11</v>
      </c>
      <c r="E4344" s="3" t="str">
        <f t="shared" si="134"/>
        <v>November</v>
      </c>
      <c r="F4344" s="3" t="s">
        <v>8</v>
      </c>
      <c r="G4344" s="8">
        <v>18873.00088</v>
      </c>
      <c r="H4344" s="8">
        <v>19013.100999999999</v>
      </c>
      <c r="I4344" s="8">
        <v>140.10011950000001</v>
      </c>
      <c r="J4344" s="8">
        <v>5570.7656360000001</v>
      </c>
      <c r="K4344" s="8">
        <v>-19693.83899</v>
      </c>
      <c r="L4344" s="8">
        <v>31492.009150000002</v>
      </c>
      <c r="M4344" s="9" t="str">
        <f>IF(A4344="",M4345,A4344)</f>
        <v>Uganda</v>
      </c>
      <c r="N4344" s="3" t="str">
        <f t="shared" si="135"/>
        <v>Nov-2021</v>
      </c>
    </row>
    <row r="4345" spans="1:14" x14ac:dyDescent="0.3">
      <c r="A4345" s="3" t="s">
        <v>368</v>
      </c>
      <c r="B4345" s="3" t="s">
        <v>369</v>
      </c>
      <c r="C4345" s="8">
        <v>2021</v>
      </c>
      <c r="D4345" s="8">
        <v>12</v>
      </c>
      <c r="E4345" s="3" t="str">
        <f t="shared" si="134"/>
        <v>December</v>
      </c>
      <c r="F4345" s="3" t="s">
        <v>8</v>
      </c>
      <c r="G4345" s="8">
        <v>18796.64572</v>
      </c>
      <c r="H4345" s="8">
        <v>19865.969000000001</v>
      </c>
      <c r="I4345" s="8">
        <v>1069.3232820000001</v>
      </c>
      <c r="J4345" s="8">
        <v>6640.0889180000004</v>
      </c>
      <c r="K4345" s="8">
        <v>-20777.99597</v>
      </c>
      <c r="L4345" s="8">
        <v>32850.651489999997</v>
      </c>
      <c r="M4345" s="9" t="str">
        <f>IF(A4345="",M4346,A4345)</f>
        <v>Uganda</v>
      </c>
      <c r="N4345" s="3" t="str">
        <f t="shared" si="135"/>
        <v>Dec-2021</v>
      </c>
    </row>
    <row r="4346" spans="1:14" x14ac:dyDescent="0.3">
      <c r="A4346" s="3" t="s">
        <v>370</v>
      </c>
      <c r="B4346" s="3" t="s">
        <v>371</v>
      </c>
      <c r="C4346" s="8">
        <v>2020</v>
      </c>
      <c r="D4346" s="8">
        <v>1</v>
      </c>
      <c r="E4346" s="3" t="str">
        <f t="shared" si="134"/>
        <v>January</v>
      </c>
      <c r="F4346" s="3" t="s">
        <v>13</v>
      </c>
      <c r="G4346" s="8">
        <v>52339.473619999997</v>
      </c>
      <c r="H4346" s="8">
        <v>53610</v>
      </c>
      <c r="I4346" s="8">
        <v>1224.10971</v>
      </c>
      <c r="J4346" s="8">
        <v>1224.10971</v>
      </c>
      <c r="K4346" s="8">
        <v>-882.75700359999996</v>
      </c>
      <c r="L4346" s="8">
        <v>3286.6081349999999</v>
      </c>
      <c r="M4346" s="9" t="str">
        <f>IF(A4346="",M4347,A4346)</f>
        <v>Ukraine</v>
      </c>
      <c r="N4346" s="3" t="str">
        <f t="shared" si="135"/>
        <v>Jan-2020</v>
      </c>
    </row>
    <row r="4347" spans="1:14" x14ac:dyDescent="0.3">
      <c r="A4347" s="3" t="s">
        <v>370</v>
      </c>
      <c r="B4347" s="3" t="s">
        <v>371</v>
      </c>
      <c r="C4347" s="8">
        <v>2020</v>
      </c>
      <c r="D4347" s="8">
        <v>2</v>
      </c>
      <c r="E4347" s="3" t="str">
        <f t="shared" si="134"/>
        <v>February</v>
      </c>
      <c r="F4347" s="3" t="s">
        <v>13</v>
      </c>
      <c r="G4347" s="8">
        <v>48584.371189999998</v>
      </c>
      <c r="H4347" s="8">
        <v>47128</v>
      </c>
      <c r="I4347" s="8">
        <v>-1502.787857</v>
      </c>
      <c r="J4347" s="8">
        <v>-278.67814670000001</v>
      </c>
      <c r="K4347" s="8">
        <v>-3537.965721</v>
      </c>
      <c r="L4347" s="8">
        <v>2903.8184310000001</v>
      </c>
      <c r="M4347" s="9" t="str">
        <f>IF(A4347="",M4348,A4347)</f>
        <v>Ukraine</v>
      </c>
      <c r="N4347" s="3" t="str">
        <f t="shared" si="135"/>
        <v>Feb-2020</v>
      </c>
    </row>
    <row r="4348" spans="1:14" x14ac:dyDescent="0.3">
      <c r="A4348" s="3" t="s">
        <v>370</v>
      </c>
      <c r="B4348" s="3" t="s">
        <v>371</v>
      </c>
      <c r="C4348" s="8">
        <v>2020</v>
      </c>
      <c r="D4348" s="8">
        <v>3</v>
      </c>
      <c r="E4348" s="3" t="str">
        <f t="shared" si="134"/>
        <v>March</v>
      </c>
      <c r="F4348" s="3" t="s">
        <v>13</v>
      </c>
      <c r="G4348" s="8">
        <v>50303.102500000001</v>
      </c>
      <c r="H4348" s="8">
        <v>48326</v>
      </c>
      <c r="I4348" s="8">
        <v>-2023.5191709999999</v>
      </c>
      <c r="J4348" s="8">
        <v>-2302.197318</v>
      </c>
      <c r="K4348" s="8">
        <v>-6502.1350510000002</v>
      </c>
      <c r="L4348" s="8">
        <v>1864.8023909999999</v>
      </c>
      <c r="M4348" s="9" t="str">
        <f>IF(A4348="",M4349,A4348)</f>
        <v>Ukraine</v>
      </c>
      <c r="N4348" s="3" t="str">
        <f t="shared" si="135"/>
        <v>Mar-2020</v>
      </c>
    </row>
    <row r="4349" spans="1:14" x14ac:dyDescent="0.3">
      <c r="A4349" s="3" t="s">
        <v>370</v>
      </c>
      <c r="B4349" s="3" t="s">
        <v>371</v>
      </c>
      <c r="C4349" s="8">
        <v>2020</v>
      </c>
      <c r="D4349" s="8">
        <v>4</v>
      </c>
      <c r="E4349" s="3" t="str">
        <f t="shared" si="134"/>
        <v>April</v>
      </c>
      <c r="F4349" s="3" t="s">
        <v>13</v>
      </c>
      <c r="G4349" s="8">
        <v>48914.869489999997</v>
      </c>
      <c r="H4349" s="8">
        <v>46223</v>
      </c>
      <c r="I4349" s="8">
        <v>-2738.2861520000001</v>
      </c>
      <c r="J4349" s="8">
        <v>-5040.4834709999996</v>
      </c>
      <c r="K4349" s="8">
        <v>-9816.2632969999995</v>
      </c>
      <c r="L4349" s="8">
        <v>-133.21169019999999</v>
      </c>
      <c r="M4349" s="9" t="str">
        <f>IF(A4349="",M4350,A4349)</f>
        <v>Ukraine</v>
      </c>
      <c r="N4349" s="3" t="str">
        <f t="shared" si="135"/>
        <v>Apr-2020</v>
      </c>
    </row>
    <row r="4350" spans="1:14" x14ac:dyDescent="0.3">
      <c r="A4350" s="3" t="s">
        <v>370</v>
      </c>
      <c r="B4350" s="3" t="s">
        <v>371</v>
      </c>
      <c r="C4350" s="8">
        <v>2020</v>
      </c>
      <c r="D4350" s="8">
        <v>5</v>
      </c>
      <c r="E4350" s="3" t="str">
        <f t="shared" si="134"/>
        <v>May</v>
      </c>
      <c r="F4350" s="3" t="s">
        <v>13</v>
      </c>
      <c r="G4350" s="8">
        <v>49257.593820000002</v>
      </c>
      <c r="H4350" s="8">
        <v>44680</v>
      </c>
      <c r="I4350" s="8">
        <v>-4624.0104840000004</v>
      </c>
      <c r="J4350" s="8">
        <v>-9664.4939549999999</v>
      </c>
      <c r="K4350" s="8">
        <v>-14926.54962</v>
      </c>
      <c r="L4350" s="8">
        <v>-4354.6951060000001</v>
      </c>
      <c r="M4350" s="9" t="str">
        <f>IF(A4350="",M4351,A4350)</f>
        <v>Ukraine</v>
      </c>
      <c r="N4350" s="3" t="str">
        <f t="shared" si="135"/>
        <v>May-2020</v>
      </c>
    </row>
    <row r="4351" spans="1:14" x14ac:dyDescent="0.3">
      <c r="A4351" s="3" t="s">
        <v>370</v>
      </c>
      <c r="B4351" s="3" t="s">
        <v>371</v>
      </c>
      <c r="C4351" s="8">
        <v>2020</v>
      </c>
      <c r="D4351" s="8">
        <v>6</v>
      </c>
      <c r="E4351" s="3" t="str">
        <f t="shared" si="134"/>
        <v>June</v>
      </c>
      <c r="F4351" s="3" t="s">
        <v>13</v>
      </c>
      <c r="G4351" s="8">
        <v>44944.673629999998</v>
      </c>
      <c r="H4351" s="8">
        <v>47043</v>
      </c>
      <c r="I4351" s="8">
        <v>2051.9097069999998</v>
      </c>
      <c r="J4351" s="8">
        <v>-7612.5842480000001</v>
      </c>
      <c r="K4351" s="8">
        <v>-13303.84482</v>
      </c>
      <c r="L4351" s="8">
        <v>-1756.9616619999999</v>
      </c>
      <c r="M4351" s="9" t="str">
        <f>IF(A4351="",M4352,A4351)</f>
        <v>Ukraine</v>
      </c>
      <c r="N4351" s="3" t="str">
        <f t="shared" si="135"/>
        <v>Jun-2020</v>
      </c>
    </row>
    <row r="4352" spans="1:14" x14ac:dyDescent="0.3">
      <c r="A4352" s="3" t="s">
        <v>370</v>
      </c>
      <c r="B4352" s="3" t="s">
        <v>371</v>
      </c>
      <c r="C4352" s="8">
        <v>2020</v>
      </c>
      <c r="D4352" s="8">
        <v>7</v>
      </c>
      <c r="E4352" s="3" t="str">
        <f t="shared" si="134"/>
        <v>July</v>
      </c>
      <c r="F4352" s="3" t="s">
        <v>13</v>
      </c>
      <c r="G4352" s="8">
        <v>44700.561269999998</v>
      </c>
      <c r="H4352" s="8">
        <v>47297</v>
      </c>
      <c r="I4352" s="8">
        <v>2550.0220639999998</v>
      </c>
      <c r="J4352" s="8">
        <v>-5062.5621840000003</v>
      </c>
      <c r="K4352" s="8">
        <v>-11269.55019</v>
      </c>
      <c r="L4352" s="8">
        <v>1216.7413120000001</v>
      </c>
      <c r="M4352" s="9" t="str">
        <f>IF(A4352="",M4353,A4352)</f>
        <v>Ukraine</v>
      </c>
      <c r="N4352" s="3" t="str">
        <f t="shared" si="135"/>
        <v>Jul-2020</v>
      </c>
    </row>
    <row r="4353" spans="1:14" x14ac:dyDescent="0.3">
      <c r="A4353" s="3" t="s">
        <v>370</v>
      </c>
      <c r="B4353" s="3" t="s">
        <v>371</v>
      </c>
      <c r="C4353" s="8">
        <v>2020</v>
      </c>
      <c r="D4353" s="8">
        <v>8</v>
      </c>
      <c r="E4353" s="3" t="str">
        <f t="shared" si="134"/>
        <v>August</v>
      </c>
      <c r="F4353" s="3" t="s">
        <v>13</v>
      </c>
      <c r="G4353" s="8">
        <v>43144.701240000002</v>
      </c>
      <c r="H4353" s="8">
        <v>44008</v>
      </c>
      <c r="I4353" s="8">
        <v>816.88209529999995</v>
      </c>
      <c r="J4353" s="8">
        <v>-4245.6800890000004</v>
      </c>
      <c r="K4353" s="8">
        <v>-11156.58439</v>
      </c>
      <c r="L4353" s="8">
        <v>2181.1168640000001</v>
      </c>
      <c r="M4353" s="9" t="str">
        <f>IF(A4353="",M4354,A4353)</f>
        <v>Ukraine</v>
      </c>
      <c r="N4353" s="3" t="str">
        <f t="shared" si="135"/>
        <v>Aug-2020</v>
      </c>
    </row>
    <row r="4354" spans="1:14" x14ac:dyDescent="0.3">
      <c r="A4354" s="3" t="s">
        <v>370</v>
      </c>
      <c r="B4354" s="3" t="s">
        <v>371</v>
      </c>
      <c r="C4354" s="8">
        <v>2020</v>
      </c>
      <c r="D4354" s="8">
        <v>9</v>
      </c>
      <c r="E4354" s="3" t="str">
        <f t="shared" ref="E4354:E4417" si="136">TEXT(DATE(C4354,D4354,1),"MMMM")</f>
        <v>September</v>
      </c>
      <c r="F4354" s="3" t="s">
        <v>13</v>
      </c>
      <c r="G4354" s="8">
        <v>42381.485930000003</v>
      </c>
      <c r="H4354" s="8">
        <v>48372</v>
      </c>
      <c r="I4354" s="8">
        <v>5944.0974020000003</v>
      </c>
      <c r="J4354" s="8">
        <v>1698.4173129999999</v>
      </c>
      <c r="K4354" s="8">
        <v>-5156.787851</v>
      </c>
      <c r="L4354" s="8">
        <v>8519.8109499999991</v>
      </c>
      <c r="M4354" s="9" t="str">
        <f>IF(A4354="",M4355,A4354)</f>
        <v>Ukraine</v>
      </c>
      <c r="N4354" s="3" t="str">
        <f t="shared" ref="N4354:N4417" si="137">TEXT(DATE(C4354,D4354,1),"MMM-YYYY")</f>
        <v>Sep-2020</v>
      </c>
    </row>
    <row r="4355" spans="1:14" x14ac:dyDescent="0.3">
      <c r="A4355" s="3" t="s">
        <v>370</v>
      </c>
      <c r="B4355" s="3" t="s">
        <v>371</v>
      </c>
      <c r="C4355" s="8">
        <v>2020</v>
      </c>
      <c r="D4355" s="8">
        <v>10</v>
      </c>
      <c r="E4355" s="3" t="str">
        <f t="shared" si="136"/>
        <v>October</v>
      </c>
      <c r="F4355" s="3" t="s">
        <v>13</v>
      </c>
      <c r="G4355" s="8">
        <v>47857.437429999998</v>
      </c>
      <c r="H4355" s="8">
        <v>59047</v>
      </c>
      <c r="I4355" s="8">
        <v>11143.1459</v>
      </c>
      <c r="J4355" s="8">
        <v>12841.56322</v>
      </c>
      <c r="K4355" s="8">
        <v>5569.8122439999997</v>
      </c>
      <c r="L4355" s="8">
        <v>19858.707780000001</v>
      </c>
      <c r="M4355" s="9" t="str">
        <f>IF(A4355="",M4356,A4355)</f>
        <v>Ukraine</v>
      </c>
      <c r="N4355" s="3" t="str">
        <f t="shared" si="137"/>
        <v>Oct-2020</v>
      </c>
    </row>
    <row r="4356" spans="1:14" x14ac:dyDescent="0.3">
      <c r="A4356" s="3" t="s">
        <v>370</v>
      </c>
      <c r="B4356" s="3" t="s">
        <v>371</v>
      </c>
      <c r="C4356" s="8">
        <v>2020</v>
      </c>
      <c r="D4356" s="8">
        <v>11</v>
      </c>
      <c r="E4356" s="3" t="str">
        <f t="shared" si="136"/>
        <v>November</v>
      </c>
      <c r="F4356" s="3" t="s">
        <v>13</v>
      </c>
      <c r="G4356" s="8">
        <v>48764.939230000004</v>
      </c>
      <c r="H4356" s="8">
        <v>63438</v>
      </c>
      <c r="I4356" s="8">
        <v>14626.6441</v>
      </c>
      <c r="J4356" s="8">
        <v>27468.207320000001</v>
      </c>
      <c r="K4356" s="8">
        <v>19320.436369999999</v>
      </c>
      <c r="L4356" s="8">
        <v>34893.29537</v>
      </c>
      <c r="M4356" s="9" t="str">
        <f>IF(A4356="",M4357,A4356)</f>
        <v>Ukraine</v>
      </c>
      <c r="N4356" s="3" t="str">
        <f t="shared" si="137"/>
        <v>Nov-2020</v>
      </c>
    </row>
    <row r="4357" spans="1:14" x14ac:dyDescent="0.3">
      <c r="A4357" s="3" t="s">
        <v>370</v>
      </c>
      <c r="B4357" s="3" t="s">
        <v>371</v>
      </c>
      <c r="C4357" s="8">
        <v>2020</v>
      </c>
      <c r="D4357" s="8">
        <v>12</v>
      </c>
      <c r="E4357" s="3" t="str">
        <f t="shared" si="136"/>
        <v>December</v>
      </c>
      <c r="F4357" s="3" t="s">
        <v>13</v>
      </c>
      <c r="G4357" s="8">
        <v>51959.151400000002</v>
      </c>
      <c r="H4357" s="8">
        <v>67663</v>
      </c>
      <c r="I4357" s="8">
        <v>15657.431930000001</v>
      </c>
      <c r="J4357" s="8">
        <v>43125.63925</v>
      </c>
      <c r="K4357" s="8">
        <v>35004.821680000001</v>
      </c>
      <c r="L4357" s="8">
        <v>51033.849020000001</v>
      </c>
      <c r="M4357" s="9" t="str">
        <f>IF(A4357="",M4358,A4357)</f>
        <v>Ukraine</v>
      </c>
      <c r="N4357" s="3" t="str">
        <f t="shared" si="137"/>
        <v>Dec-2020</v>
      </c>
    </row>
    <row r="4358" spans="1:14" x14ac:dyDescent="0.3">
      <c r="A4358" s="3" t="s">
        <v>370</v>
      </c>
      <c r="B4358" s="3" t="s">
        <v>371</v>
      </c>
      <c r="C4358" s="8">
        <v>2021</v>
      </c>
      <c r="D4358" s="8">
        <v>1</v>
      </c>
      <c r="E4358" s="3" t="str">
        <f t="shared" si="136"/>
        <v>January</v>
      </c>
      <c r="F4358" s="3" t="s">
        <v>13</v>
      </c>
      <c r="G4358" s="8">
        <v>51986.914640000003</v>
      </c>
      <c r="H4358" s="8">
        <v>57721</v>
      </c>
      <c r="I4358" s="8">
        <v>5720.5853610000004</v>
      </c>
      <c r="J4358" s="8">
        <v>48846.224609999997</v>
      </c>
      <c r="K4358" s="8">
        <v>40403.318950000001</v>
      </c>
      <c r="L4358" s="8">
        <v>56928.204429999998</v>
      </c>
      <c r="M4358" s="9" t="str">
        <f>IF(A4358="",M4359,A4358)</f>
        <v>Ukraine</v>
      </c>
      <c r="N4358" s="3" t="str">
        <f t="shared" si="137"/>
        <v>Jan-2021</v>
      </c>
    </row>
    <row r="4359" spans="1:14" x14ac:dyDescent="0.3">
      <c r="A4359" s="3" t="s">
        <v>370</v>
      </c>
      <c r="B4359" s="3" t="s">
        <v>371</v>
      </c>
      <c r="C4359" s="8">
        <v>2021</v>
      </c>
      <c r="D4359" s="8">
        <v>2</v>
      </c>
      <c r="E4359" s="3" t="str">
        <f t="shared" si="136"/>
        <v>February</v>
      </c>
      <c r="F4359" s="3" t="s">
        <v>13</v>
      </c>
      <c r="G4359" s="8">
        <v>48268.796900000001</v>
      </c>
      <c r="H4359" s="8">
        <v>51391</v>
      </c>
      <c r="I4359" s="8">
        <v>3108.703098</v>
      </c>
      <c r="J4359" s="8">
        <v>51954.927710000004</v>
      </c>
      <c r="K4359" s="8">
        <v>43334.57172</v>
      </c>
      <c r="L4359" s="8">
        <v>60360.621720000003</v>
      </c>
      <c r="M4359" s="9" t="str">
        <f>IF(A4359="",M4360,A4359)</f>
        <v>Ukraine</v>
      </c>
      <c r="N4359" s="3" t="str">
        <f t="shared" si="137"/>
        <v>Feb-2021</v>
      </c>
    </row>
    <row r="4360" spans="1:14" x14ac:dyDescent="0.3">
      <c r="A4360" s="3" t="s">
        <v>370</v>
      </c>
      <c r="B4360" s="3" t="s">
        <v>371</v>
      </c>
      <c r="C4360" s="8">
        <v>2021</v>
      </c>
      <c r="D4360" s="8">
        <v>3</v>
      </c>
      <c r="E4360" s="3" t="str">
        <f t="shared" si="136"/>
        <v>March</v>
      </c>
      <c r="F4360" s="3" t="s">
        <v>13</v>
      </c>
      <c r="G4360" s="8">
        <v>49950.577400000002</v>
      </c>
      <c r="H4360" s="8">
        <v>64938</v>
      </c>
      <c r="I4360" s="8">
        <v>14973.9226</v>
      </c>
      <c r="J4360" s="8">
        <v>66928.850309999994</v>
      </c>
      <c r="K4360" s="8">
        <v>58199.758020000001</v>
      </c>
      <c r="L4360" s="8">
        <v>75834.065329999998</v>
      </c>
      <c r="M4360" s="9" t="str">
        <f>IF(A4360="",M4361,A4360)</f>
        <v>Ukraine</v>
      </c>
      <c r="N4360" s="3" t="str">
        <f t="shared" si="137"/>
        <v>Mar-2021</v>
      </c>
    </row>
    <row r="4361" spans="1:14" x14ac:dyDescent="0.3">
      <c r="A4361" s="3" t="s">
        <v>370</v>
      </c>
      <c r="B4361" s="3" t="s">
        <v>371</v>
      </c>
      <c r="C4361" s="8">
        <v>2021</v>
      </c>
      <c r="D4361" s="8">
        <v>4</v>
      </c>
      <c r="E4361" s="3" t="str">
        <f t="shared" si="136"/>
        <v>April</v>
      </c>
      <c r="F4361" s="3" t="s">
        <v>13</v>
      </c>
      <c r="G4361" s="8">
        <v>48662.557889999996</v>
      </c>
      <c r="H4361" s="8">
        <v>68621</v>
      </c>
      <c r="I4361" s="8">
        <v>19944.94211</v>
      </c>
      <c r="J4361" s="8">
        <v>86873.792419999998</v>
      </c>
      <c r="K4361" s="8">
        <v>77708.210869999995</v>
      </c>
      <c r="L4361" s="8">
        <v>96121.003039999996</v>
      </c>
      <c r="M4361" s="9" t="str">
        <f>IF(A4361="",M4362,A4361)</f>
        <v>Ukraine</v>
      </c>
      <c r="N4361" s="3" t="str">
        <f t="shared" si="137"/>
        <v>Apr-2021</v>
      </c>
    </row>
    <row r="4362" spans="1:14" x14ac:dyDescent="0.3">
      <c r="A4362" s="3" t="s">
        <v>370</v>
      </c>
      <c r="B4362" s="3" t="s">
        <v>371</v>
      </c>
      <c r="C4362" s="8">
        <v>2021</v>
      </c>
      <c r="D4362" s="8">
        <v>5</v>
      </c>
      <c r="E4362" s="3" t="str">
        <f t="shared" si="136"/>
        <v>May</v>
      </c>
      <c r="F4362" s="3" t="s">
        <v>13</v>
      </c>
      <c r="G4362" s="8">
        <v>48991.202819999999</v>
      </c>
      <c r="H4362" s="8">
        <v>57293</v>
      </c>
      <c r="I4362" s="8">
        <v>8288.2971770000004</v>
      </c>
      <c r="J4362" s="8">
        <v>95162.089600000007</v>
      </c>
      <c r="K4362" s="8">
        <v>85848.29075</v>
      </c>
      <c r="L4362" s="8">
        <v>104723.49980000001</v>
      </c>
      <c r="M4362" s="9" t="str">
        <f>IF(A4362="",M4363,A4362)</f>
        <v>Ukraine</v>
      </c>
      <c r="N4362" s="3" t="str">
        <f t="shared" si="137"/>
        <v>May-2021</v>
      </c>
    </row>
    <row r="4363" spans="1:14" x14ac:dyDescent="0.3">
      <c r="A4363" s="3" t="s">
        <v>370</v>
      </c>
      <c r="B4363" s="3" t="s">
        <v>371</v>
      </c>
      <c r="C4363" s="8">
        <v>2021</v>
      </c>
      <c r="D4363" s="8">
        <v>6</v>
      </c>
      <c r="E4363" s="3" t="str">
        <f t="shared" si="136"/>
        <v>June</v>
      </c>
      <c r="F4363" s="3" t="s">
        <v>13</v>
      </c>
      <c r="G4363" s="8">
        <v>44564.487840000002</v>
      </c>
      <c r="H4363" s="8">
        <v>49077</v>
      </c>
      <c r="I4363" s="8">
        <v>4499.0121559999998</v>
      </c>
      <c r="J4363" s="8">
        <v>99661.101750000002</v>
      </c>
      <c r="K4363" s="8">
        <v>89869.608429999993</v>
      </c>
      <c r="L4363" s="8">
        <v>109512.1124</v>
      </c>
      <c r="M4363" s="9" t="str">
        <f>IF(A4363="",M4364,A4363)</f>
        <v>Ukraine</v>
      </c>
      <c r="N4363" s="3" t="str">
        <f t="shared" si="137"/>
        <v>Jun-2021</v>
      </c>
    </row>
    <row r="4364" spans="1:14" x14ac:dyDescent="0.3">
      <c r="A4364" s="3" t="s">
        <v>370</v>
      </c>
      <c r="B4364" s="3" t="s">
        <v>371</v>
      </c>
      <c r="C4364" s="8">
        <v>2021</v>
      </c>
      <c r="D4364" s="8">
        <v>7</v>
      </c>
      <c r="E4364" s="3" t="str">
        <f t="shared" si="136"/>
        <v>July</v>
      </c>
      <c r="F4364" s="3" t="s">
        <v>13</v>
      </c>
      <c r="G4364" s="8">
        <v>44348.054259999997</v>
      </c>
      <c r="H4364" s="8">
        <v>46851</v>
      </c>
      <c r="I4364" s="8">
        <v>2489.4457389999998</v>
      </c>
      <c r="J4364" s="8">
        <v>102150.5475</v>
      </c>
      <c r="K4364" s="8">
        <v>92032.256580000001</v>
      </c>
      <c r="L4364" s="8">
        <v>112073.31969999999</v>
      </c>
      <c r="M4364" s="9" t="str">
        <f>IF(A4364="",M4365,A4364)</f>
        <v>Ukraine</v>
      </c>
      <c r="N4364" s="3" t="str">
        <f t="shared" si="137"/>
        <v>Jul-2021</v>
      </c>
    </row>
    <row r="4365" spans="1:14" x14ac:dyDescent="0.3">
      <c r="A4365" s="3" t="s">
        <v>370</v>
      </c>
      <c r="B4365" s="3" t="s">
        <v>371</v>
      </c>
      <c r="C4365" s="8">
        <v>2021</v>
      </c>
      <c r="D4365" s="8">
        <v>8</v>
      </c>
      <c r="E4365" s="3" t="str">
        <f t="shared" si="136"/>
        <v>August</v>
      </c>
      <c r="F4365" s="3" t="s">
        <v>13</v>
      </c>
      <c r="G4365" s="8">
        <v>42921.408969999997</v>
      </c>
      <c r="H4365" s="8">
        <v>43538</v>
      </c>
      <c r="I4365" s="8">
        <v>603.09103230000005</v>
      </c>
      <c r="J4365" s="8">
        <v>102753.6385</v>
      </c>
      <c r="K4365" s="8">
        <v>91979.063339999993</v>
      </c>
      <c r="L4365" s="8">
        <v>112645.5904</v>
      </c>
      <c r="M4365" s="9" t="str">
        <f>IF(A4365="",M4366,A4365)</f>
        <v>Ukraine</v>
      </c>
      <c r="N4365" s="3" t="str">
        <f t="shared" si="137"/>
        <v>Aug-2021</v>
      </c>
    </row>
    <row r="4366" spans="1:14" x14ac:dyDescent="0.3">
      <c r="A4366" s="3" t="s">
        <v>370</v>
      </c>
      <c r="B4366" s="3" t="s">
        <v>371</v>
      </c>
      <c r="C4366" s="8">
        <v>2021</v>
      </c>
      <c r="D4366" s="8">
        <v>9</v>
      </c>
      <c r="E4366" s="3" t="str">
        <f t="shared" si="136"/>
        <v>September</v>
      </c>
      <c r="F4366" s="3" t="s">
        <v>13</v>
      </c>
      <c r="G4366" s="8">
        <v>42131.345110000002</v>
      </c>
      <c r="H4366" s="8">
        <v>48425</v>
      </c>
      <c r="I4366" s="8">
        <v>6280.154888</v>
      </c>
      <c r="J4366" s="8">
        <v>109033.7934</v>
      </c>
      <c r="K4366" s="8">
        <v>98393.903349999993</v>
      </c>
      <c r="L4366" s="8">
        <v>119462.2</v>
      </c>
      <c r="M4366" s="9" t="str">
        <f>IF(A4366="",M4367,A4366)</f>
        <v>Ukraine</v>
      </c>
      <c r="N4366" s="3" t="str">
        <f t="shared" si="137"/>
        <v>Sep-2021</v>
      </c>
    </row>
    <row r="4367" spans="1:14" x14ac:dyDescent="0.3">
      <c r="A4367" s="3" t="s">
        <v>370</v>
      </c>
      <c r="B4367" s="3" t="s">
        <v>371</v>
      </c>
      <c r="C4367" s="8">
        <v>2021</v>
      </c>
      <c r="D4367" s="8">
        <v>10</v>
      </c>
      <c r="E4367" s="3" t="str">
        <f t="shared" si="136"/>
        <v>October</v>
      </c>
      <c r="F4367" s="3" t="s">
        <v>13</v>
      </c>
      <c r="G4367" s="8">
        <v>47508.605349999998</v>
      </c>
      <c r="H4367" s="8">
        <v>74282</v>
      </c>
      <c r="I4367" s="8">
        <v>26759.894649999998</v>
      </c>
      <c r="J4367" s="8">
        <v>135793.6881</v>
      </c>
      <c r="K4367" s="8">
        <v>124850.5968</v>
      </c>
      <c r="L4367" s="8">
        <v>146772.12330000001</v>
      </c>
      <c r="M4367" s="9" t="str">
        <f>IF(A4367="",M4368,A4367)</f>
        <v>Ukraine</v>
      </c>
      <c r="N4367" s="3" t="str">
        <f t="shared" si="137"/>
        <v>Oct-2021</v>
      </c>
    </row>
    <row r="4368" spans="1:14" x14ac:dyDescent="0.3">
      <c r="A4368" s="3" t="s">
        <v>370</v>
      </c>
      <c r="B4368" s="3" t="s">
        <v>371</v>
      </c>
      <c r="C4368" s="8">
        <v>2021</v>
      </c>
      <c r="D4368" s="8">
        <v>11</v>
      </c>
      <c r="E4368" s="3" t="str">
        <f t="shared" si="136"/>
        <v>November</v>
      </c>
      <c r="F4368" s="3" t="s">
        <v>13</v>
      </c>
      <c r="G4368" s="8">
        <v>48496.226040000001</v>
      </c>
      <c r="H4368" s="8">
        <v>87862</v>
      </c>
      <c r="I4368" s="8">
        <v>39352.273959999999</v>
      </c>
      <c r="J4368" s="8">
        <v>175145.962</v>
      </c>
      <c r="K4368" s="8">
        <v>163717.4075</v>
      </c>
      <c r="L4368" s="8">
        <v>186015.448</v>
      </c>
      <c r="M4368" s="9" t="str">
        <f>IF(A4368="",M4369,A4368)</f>
        <v>Ukraine</v>
      </c>
      <c r="N4368" s="3" t="str">
        <f t="shared" si="137"/>
        <v>Nov-2021</v>
      </c>
    </row>
    <row r="4369" spans="1:14" x14ac:dyDescent="0.3">
      <c r="A4369" s="3" t="s">
        <v>370</v>
      </c>
      <c r="B4369" s="3" t="s">
        <v>371</v>
      </c>
      <c r="C4369" s="8">
        <v>2021</v>
      </c>
      <c r="D4369" s="8">
        <v>12</v>
      </c>
      <c r="E4369" s="3" t="str">
        <f t="shared" si="136"/>
        <v>December</v>
      </c>
      <c r="F4369" s="3" t="s">
        <v>13</v>
      </c>
      <c r="G4369" s="8">
        <v>51560.307410000001</v>
      </c>
      <c r="H4369" s="8">
        <v>64264</v>
      </c>
      <c r="I4369" s="8">
        <v>12690.192590000001</v>
      </c>
      <c r="J4369" s="8">
        <v>187836.15460000001</v>
      </c>
      <c r="K4369" s="8">
        <v>176712.2671</v>
      </c>
      <c r="L4369" s="8">
        <v>199338.28409999999</v>
      </c>
      <c r="M4369" s="9" t="str">
        <f>IF(A4369="",M4370,A4369)</f>
        <v>Ukraine</v>
      </c>
      <c r="N4369" s="3" t="str">
        <f t="shared" si="137"/>
        <v>Dec-2021</v>
      </c>
    </row>
    <row r="4370" spans="1:14" x14ac:dyDescent="0.3">
      <c r="A4370" s="3" t="s">
        <v>372</v>
      </c>
      <c r="B4370" s="3" t="s">
        <v>373</v>
      </c>
      <c r="C4370" s="8">
        <v>2020</v>
      </c>
      <c r="D4370" s="8">
        <v>1</v>
      </c>
      <c r="E4370" s="3" t="str">
        <f t="shared" si="136"/>
        <v>January</v>
      </c>
      <c r="F4370" s="3" t="s">
        <v>13</v>
      </c>
      <c r="G4370" s="8">
        <v>2619.0153129999999</v>
      </c>
      <c r="H4370" s="8">
        <v>2546</v>
      </c>
      <c r="I4370" s="8">
        <v>-73.015313079999999</v>
      </c>
      <c r="J4370" s="8">
        <v>-73.015313079999999</v>
      </c>
      <c r="K4370" s="8">
        <v>-175.6514071</v>
      </c>
      <c r="L4370" s="8">
        <v>23.732347000000001</v>
      </c>
      <c r="M4370" s="9" t="str">
        <f>IF(A4370="",M4371,A4370)</f>
        <v>Uruguay</v>
      </c>
      <c r="N4370" s="3" t="str">
        <f t="shared" si="137"/>
        <v>Jan-2020</v>
      </c>
    </row>
    <row r="4371" spans="1:14" x14ac:dyDescent="0.3">
      <c r="A4371" s="3" t="s">
        <v>372</v>
      </c>
      <c r="B4371" s="3" t="s">
        <v>373</v>
      </c>
      <c r="C4371" s="8">
        <v>2020</v>
      </c>
      <c r="D4371" s="8">
        <v>2</v>
      </c>
      <c r="E4371" s="3" t="str">
        <f t="shared" si="136"/>
        <v>February</v>
      </c>
      <c r="F4371" s="3" t="s">
        <v>13</v>
      </c>
      <c r="G4371" s="8">
        <v>2461.2891359999999</v>
      </c>
      <c r="H4371" s="8">
        <v>2427</v>
      </c>
      <c r="I4371" s="8">
        <v>-34.289136200000002</v>
      </c>
      <c r="J4371" s="8">
        <v>-107.3044493</v>
      </c>
      <c r="K4371" s="8">
        <v>-259.58155959999999</v>
      </c>
      <c r="L4371" s="8">
        <v>49.832954350000001</v>
      </c>
      <c r="M4371" s="9" t="str">
        <f>IF(A4371="",M4372,A4371)</f>
        <v>Uruguay</v>
      </c>
      <c r="N4371" s="3" t="str">
        <f t="shared" si="137"/>
        <v>Feb-2020</v>
      </c>
    </row>
    <row r="4372" spans="1:14" x14ac:dyDescent="0.3">
      <c r="A4372" s="3" t="s">
        <v>372</v>
      </c>
      <c r="B4372" s="3" t="s">
        <v>373</v>
      </c>
      <c r="C4372" s="8">
        <v>2020</v>
      </c>
      <c r="D4372" s="8">
        <v>3</v>
      </c>
      <c r="E4372" s="3" t="str">
        <f t="shared" si="136"/>
        <v>March</v>
      </c>
      <c r="F4372" s="3" t="s">
        <v>13</v>
      </c>
      <c r="G4372" s="8">
        <v>2553.4617010000002</v>
      </c>
      <c r="H4372" s="8">
        <v>2601</v>
      </c>
      <c r="I4372" s="8">
        <v>47.53829915</v>
      </c>
      <c r="J4372" s="8">
        <v>-59.766150140000001</v>
      </c>
      <c r="K4372" s="8">
        <v>-256.12116350000002</v>
      </c>
      <c r="L4372" s="8">
        <v>141.52574010000001</v>
      </c>
      <c r="M4372" s="9" t="str">
        <f>IF(A4372="",M4373,A4372)</f>
        <v>Uruguay</v>
      </c>
      <c r="N4372" s="3" t="str">
        <f t="shared" si="137"/>
        <v>Mar-2020</v>
      </c>
    </row>
    <row r="4373" spans="1:14" x14ac:dyDescent="0.3">
      <c r="A4373" s="3" t="s">
        <v>372</v>
      </c>
      <c r="B4373" s="3" t="s">
        <v>373</v>
      </c>
      <c r="C4373" s="8">
        <v>2020</v>
      </c>
      <c r="D4373" s="8">
        <v>4</v>
      </c>
      <c r="E4373" s="3" t="str">
        <f t="shared" si="136"/>
        <v>April</v>
      </c>
      <c r="F4373" s="3" t="s">
        <v>13</v>
      </c>
      <c r="G4373" s="8">
        <v>2642.5893569999998</v>
      </c>
      <c r="H4373" s="8">
        <v>2511</v>
      </c>
      <c r="I4373" s="8">
        <v>-131.5893567</v>
      </c>
      <c r="J4373" s="8">
        <v>-191.3555068</v>
      </c>
      <c r="K4373" s="8">
        <v>-412.56709489999997</v>
      </c>
      <c r="L4373" s="8">
        <v>46.794724780000003</v>
      </c>
      <c r="M4373" s="9" t="str">
        <f>IF(A4373="",M4374,A4373)</f>
        <v>Uruguay</v>
      </c>
      <c r="N4373" s="3" t="str">
        <f t="shared" si="137"/>
        <v>Apr-2020</v>
      </c>
    </row>
    <row r="4374" spans="1:14" x14ac:dyDescent="0.3">
      <c r="A4374" s="3" t="s">
        <v>372</v>
      </c>
      <c r="B4374" s="3" t="s">
        <v>373</v>
      </c>
      <c r="C4374" s="8">
        <v>2020</v>
      </c>
      <c r="D4374" s="8">
        <v>5</v>
      </c>
      <c r="E4374" s="3" t="str">
        <f t="shared" si="136"/>
        <v>May</v>
      </c>
      <c r="F4374" s="3" t="s">
        <v>13</v>
      </c>
      <c r="G4374" s="8">
        <v>2961.6019379999998</v>
      </c>
      <c r="H4374" s="8">
        <v>2718</v>
      </c>
      <c r="I4374" s="8">
        <v>-243.60193839999999</v>
      </c>
      <c r="J4374" s="8">
        <v>-434.9574452</v>
      </c>
      <c r="K4374" s="8">
        <v>-712.13134769999999</v>
      </c>
      <c r="L4374" s="8">
        <v>-147.54978919999999</v>
      </c>
      <c r="M4374" s="9" t="str">
        <f>IF(A4374="",M4375,A4374)</f>
        <v>Uruguay</v>
      </c>
      <c r="N4374" s="3" t="str">
        <f t="shared" si="137"/>
        <v>May-2020</v>
      </c>
    </row>
    <row r="4375" spans="1:14" x14ac:dyDescent="0.3">
      <c r="A4375" s="3" t="s">
        <v>372</v>
      </c>
      <c r="B4375" s="3" t="s">
        <v>373</v>
      </c>
      <c r="C4375" s="8">
        <v>2020</v>
      </c>
      <c r="D4375" s="8">
        <v>6</v>
      </c>
      <c r="E4375" s="3" t="str">
        <f t="shared" si="136"/>
        <v>June</v>
      </c>
      <c r="F4375" s="3" t="s">
        <v>13</v>
      </c>
      <c r="G4375" s="8">
        <v>3338.2139609999999</v>
      </c>
      <c r="H4375" s="8">
        <v>2707</v>
      </c>
      <c r="I4375" s="8">
        <v>-631.2139608</v>
      </c>
      <c r="J4375" s="8">
        <v>-1066.1714059999999</v>
      </c>
      <c r="K4375" s="8">
        <v>-1377.7167959999999</v>
      </c>
      <c r="L4375" s="8">
        <v>-751.52366099999995</v>
      </c>
      <c r="M4375" s="9" t="str">
        <f>IF(A4375="",M4376,A4375)</f>
        <v>Uruguay</v>
      </c>
      <c r="N4375" s="3" t="str">
        <f t="shared" si="137"/>
        <v>Jun-2020</v>
      </c>
    </row>
    <row r="4376" spans="1:14" x14ac:dyDescent="0.3">
      <c r="A4376" s="3" t="s">
        <v>372</v>
      </c>
      <c r="B4376" s="3" t="s">
        <v>373</v>
      </c>
      <c r="C4376" s="8">
        <v>2020</v>
      </c>
      <c r="D4376" s="8">
        <v>7</v>
      </c>
      <c r="E4376" s="3" t="str">
        <f t="shared" si="136"/>
        <v>July</v>
      </c>
      <c r="F4376" s="3" t="s">
        <v>13</v>
      </c>
      <c r="G4376" s="8">
        <v>3556.7783519999998</v>
      </c>
      <c r="H4376" s="8">
        <v>3162</v>
      </c>
      <c r="I4376" s="8">
        <v>-394.77835149999999</v>
      </c>
      <c r="J4376" s="8">
        <v>-1460.949758</v>
      </c>
      <c r="K4376" s="8">
        <v>-1816.6443690000001</v>
      </c>
      <c r="L4376" s="8">
        <v>-1092.1491779999999</v>
      </c>
      <c r="M4376" s="9" t="str">
        <f>IF(A4376="",M4377,A4376)</f>
        <v>Uruguay</v>
      </c>
      <c r="N4376" s="3" t="str">
        <f t="shared" si="137"/>
        <v>Jul-2020</v>
      </c>
    </row>
    <row r="4377" spans="1:14" x14ac:dyDescent="0.3">
      <c r="A4377" s="3" t="s">
        <v>372</v>
      </c>
      <c r="B4377" s="3" t="s">
        <v>373</v>
      </c>
      <c r="C4377" s="8">
        <v>2020</v>
      </c>
      <c r="D4377" s="8">
        <v>8</v>
      </c>
      <c r="E4377" s="3" t="str">
        <f t="shared" si="136"/>
        <v>August</v>
      </c>
      <c r="F4377" s="3" t="s">
        <v>13</v>
      </c>
      <c r="G4377" s="8">
        <v>3423.4375359999999</v>
      </c>
      <c r="H4377" s="8">
        <v>2952</v>
      </c>
      <c r="I4377" s="8">
        <v>-471.43753570000001</v>
      </c>
      <c r="J4377" s="8">
        <v>-1932.387293</v>
      </c>
      <c r="K4377" s="8">
        <v>-2317.8039800000001</v>
      </c>
      <c r="L4377" s="8">
        <v>-1546.3922319999999</v>
      </c>
      <c r="M4377" s="9" t="str">
        <f>IF(A4377="",M4378,A4377)</f>
        <v>Uruguay</v>
      </c>
      <c r="N4377" s="3" t="str">
        <f t="shared" si="137"/>
        <v>Aug-2020</v>
      </c>
    </row>
    <row r="4378" spans="1:14" x14ac:dyDescent="0.3">
      <c r="A4378" s="3" t="s">
        <v>372</v>
      </c>
      <c r="B4378" s="3" t="s">
        <v>373</v>
      </c>
      <c r="C4378" s="8">
        <v>2020</v>
      </c>
      <c r="D4378" s="8">
        <v>9</v>
      </c>
      <c r="E4378" s="3" t="str">
        <f t="shared" si="136"/>
        <v>September</v>
      </c>
      <c r="F4378" s="3" t="s">
        <v>13</v>
      </c>
      <c r="G4378" s="8">
        <v>3141.0208050000001</v>
      </c>
      <c r="H4378" s="8">
        <v>2866</v>
      </c>
      <c r="I4378" s="8">
        <v>-275.0208045</v>
      </c>
      <c r="J4378" s="8">
        <v>-2207.4080979999999</v>
      </c>
      <c r="K4378" s="8">
        <v>-2627.3199439999999</v>
      </c>
      <c r="L4378" s="8">
        <v>-1796.467455</v>
      </c>
      <c r="M4378" s="9" t="str">
        <f>IF(A4378="",M4379,A4378)</f>
        <v>Uruguay</v>
      </c>
      <c r="N4378" s="3" t="str">
        <f t="shared" si="137"/>
        <v>Sep-2020</v>
      </c>
    </row>
    <row r="4379" spans="1:14" x14ac:dyDescent="0.3">
      <c r="A4379" s="3" t="s">
        <v>372</v>
      </c>
      <c r="B4379" s="3" t="s">
        <v>373</v>
      </c>
      <c r="C4379" s="8">
        <v>2020</v>
      </c>
      <c r="D4379" s="8">
        <v>10</v>
      </c>
      <c r="E4379" s="3" t="str">
        <f t="shared" si="136"/>
        <v>October</v>
      </c>
      <c r="F4379" s="3" t="s">
        <v>13</v>
      </c>
      <c r="G4379" s="8">
        <v>2872.7826089999999</v>
      </c>
      <c r="H4379" s="8">
        <v>2721</v>
      </c>
      <c r="I4379" s="8">
        <v>-151.78260900000001</v>
      </c>
      <c r="J4379" s="8">
        <v>-2359.1907070000002</v>
      </c>
      <c r="K4379" s="8">
        <v>-2794.2115469999999</v>
      </c>
      <c r="L4379" s="8">
        <v>-1928.896195</v>
      </c>
      <c r="M4379" s="9" t="str">
        <f>IF(A4379="",M4380,A4379)</f>
        <v>Uruguay</v>
      </c>
      <c r="N4379" s="3" t="str">
        <f t="shared" si="137"/>
        <v>Oct-2020</v>
      </c>
    </row>
    <row r="4380" spans="1:14" x14ac:dyDescent="0.3">
      <c r="A4380" s="3" t="s">
        <v>372</v>
      </c>
      <c r="B4380" s="3" t="s">
        <v>373</v>
      </c>
      <c r="C4380" s="8">
        <v>2020</v>
      </c>
      <c r="D4380" s="8">
        <v>11</v>
      </c>
      <c r="E4380" s="3" t="str">
        <f t="shared" si="136"/>
        <v>November</v>
      </c>
      <c r="F4380" s="3" t="s">
        <v>13</v>
      </c>
      <c r="G4380" s="8">
        <v>2701.1196970000001</v>
      </c>
      <c r="H4380" s="8">
        <v>2568</v>
      </c>
      <c r="I4380" s="8">
        <v>-133.11969690000001</v>
      </c>
      <c r="J4380" s="8">
        <v>-2492.3104039999998</v>
      </c>
      <c r="K4380" s="8">
        <v>-2927.4107359999998</v>
      </c>
      <c r="L4380" s="8">
        <v>-2030.2031790000001</v>
      </c>
      <c r="M4380" s="9" t="str">
        <f>IF(A4380="",M4381,A4380)</f>
        <v>Uruguay</v>
      </c>
      <c r="N4380" s="3" t="str">
        <f t="shared" si="137"/>
        <v>Nov-2020</v>
      </c>
    </row>
    <row r="4381" spans="1:14" x14ac:dyDescent="0.3">
      <c r="A4381" s="3" t="s">
        <v>372</v>
      </c>
      <c r="B4381" s="3" t="s">
        <v>373</v>
      </c>
      <c r="C4381" s="8">
        <v>2020</v>
      </c>
      <c r="D4381" s="8">
        <v>12</v>
      </c>
      <c r="E4381" s="3" t="str">
        <f t="shared" si="136"/>
        <v>December</v>
      </c>
      <c r="F4381" s="3" t="s">
        <v>13</v>
      </c>
      <c r="G4381" s="8">
        <v>2638.9053130000002</v>
      </c>
      <c r="H4381" s="8">
        <v>2859</v>
      </c>
      <c r="I4381" s="8">
        <v>220.09468659999999</v>
      </c>
      <c r="J4381" s="8">
        <v>-2272.215717</v>
      </c>
      <c r="K4381" s="8">
        <v>-2726.4515270000002</v>
      </c>
      <c r="L4381" s="8">
        <v>-1813.5915809999999</v>
      </c>
      <c r="M4381" s="9" t="str">
        <f>IF(A4381="",M4382,A4381)</f>
        <v>Uruguay</v>
      </c>
      <c r="N4381" s="3" t="str">
        <f t="shared" si="137"/>
        <v>Dec-2020</v>
      </c>
    </row>
    <row r="4382" spans="1:14" x14ac:dyDescent="0.3">
      <c r="A4382" s="3" t="s">
        <v>372</v>
      </c>
      <c r="B4382" s="3" t="s">
        <v>373</v>
      </c>
      <c r="C4382" s="8">
        <v>2021</v>
      </c>
      <c r="D4382" s="8">
        <v>1</v>
      </c>
      <c r="E4382" s="3" t="str">
        <f t="shared" si="136"/>
        <v>January</v>
      </c>
      <c r="F4382" s="3" t="s">
        <v>13</v>
      </c>
      <c r="G4382" s="8">
        <v>2643.0349540000002</v>
      </c>
      <c r="H4382" s="8">
        <v>3074</v>
      </c>
      <c r="I4382" s="8">
        <v>430.96504640000001</v>
      </c>
      <c r="J4382" s="8">
        <v>-1841.250671</v>
      </c>
      <c r="K4382" s="8">
        <v>-2317.3344029999998</v>
      </c>
      <c r="L4382" s="8">
        <v>-1347.30384</v>
      </c>
      <c r="M4382" s="9" t="str">
        <f>IF(A4382="",M4383,A4382)</f>
        <v>Uruguay</v>
      </c>
      <c r="N4382" s="3" t="str">
        <f t="shared" si="137"/>
        <v>Jan-2021</v>
      </c>
    </row>
    <row r="4383" spans="1:14" x14ac:dyDescent="0.3">
      <c r="A4383" s="3" t="s">
        <v>372</v>
      </c>
      <c r="B4383" s="3" t="s">
        <v>373</v>
      </c>
      <c r="C4383" s="8">
        <v>2021</v>
      </c>
      <c r="D4383" s="8">
        <v>2</v>
      </c>
      <c r="E4383" s="3" t="str">
        <f t="shared" si="136"/>
        <v>February</v>
      </c>
      <c r="F4383" s="3" t="s">
        <v>13</v>
      </c>
      <c r="G4383" s="8">
        <v>2486.6547369999998</v>
      </c>
      <c r="H4383" s="8">
        <v>2541</v>
      </c>
      <c r="I4383" s="8">
        <v>54.345263269999997</v>
      </c>
      <c r="J4383" s="8">
        <v>-1786.905407</v>
      </c>
      <c r="K4383" s="8">
        <v>-2280.9822680000002</v>
      </c>
      <c r="L4383" s="8">
        <v>-1246.019562</v>
      </c>
      <c r="M4383" s="9" t="str">
        <f>IF(A4383="",M4384,A4383)</f>
        <v>Uruguay</v>
      </c>
      <c r="N4383" s="3" t="str">
        <f t="shared" si="137"/>
        <v>Feb-2021</v>
      </c>
    </row>
    <row r="4384" spans="1:14" x14ac:dyDescent="0.3">
      <c r="A4384" s="3" t="s">
        <v>372</v>
      </c>
      <c r="B4384" s="3" t="s">
        <v>373</v>
      </c>
      <c r="C4384" s="8">
        <v>2021</v>
      </c>
      <c r="D4384" s="8">
        <v>3</v>
      </c>
      <c r="E4384" s="3" t="str">
        <f t="shared" si="136"/>
        <v>March</v>
      </c>
      <c r="F4384" s="3" t="s">
        <v>13</v>
      </c>
      <c r="G4384" s="8">
        <v>2576.2557459999998</v>
      </c>
      <c r="H4384" s="8">
        <v>3065</v>
      </c>
      <c r="I4384" s="8">
        <v>488.7442542</v>
      </c>
      <c r="J4384" s="8">
        <v>-1298.161153</v>
      </c>
      <c r="K4384" s="8">
        <v>-1803.0278470000001</v>
      </c>
      <c r="L4384" s="8">
        <v>-760.69467940000004</v>
      </c>
      <c r="M4384" s="9" t="str">
        <f>IF(A4384="",M4385,A4384)</f>
        <v>Uruguay</v>
      </c>
      <c r="N4384" s="3" t="str">
        <f t="shared" si="137"/>
        <v>Mar-2021</v>
      </c>
    </row>
    <row r="4385" spans="1:14" x14ac:dyDescent="0.3">
      <c r="A4385" s="3" t="s">
        <v>372</v>
      </c>
      <c r="B4385" s="3" t="s">
        <v>373</v>
      </c>
      <c r="C4385" s="8">
        <v>2021</v>
      </c>
      <c r="D4385" s="8">
        <v>4</v>
      </c>
      <c r="E4385" s="3" t="str">
        <f t="shared" si="136"/>
        <v>April</v>
      </c>
      <c r="F4385" s="3" t="s">
        <v>13</v>
      </c>
      <c r="G4385" s="8">
        <v>2671.7634779999998</v>
      </c>
      <c r="H4385" s="8">
        <v>4442</v>
      </c>
      <c r="I4385" s="8">
        <v>1770.2365219999999</v>
      </c>
      <c r="J4385" s="8">
        <v>472.07536859999999</v>
      </c>
      <c r="K4385" s="8">
        <v>-42.154667109999998</v>
      </c>
      <c r="L4385" s="8">
        <v>1038.6369010000001</v>
      </c>
      <c r="M4385" s="9" t="str">
        <f>IF(A4385="",M4386,A4385)</f>
        <v>Uruguay</v>
      </c>
      <c r="N4385" s="3" t="str">
        <f t="shared" si="137"/>
        <v>Apr-2021</v>
      </c>
    </row>
    <row r="4386" spans="1:14" x14ac:dyDescent="0.3">
      <c r="A4386" s="3" t="s">
        <v>372</v>
      </c>
      <c r="B4386" s="3" t="s">
        <v>373</v>
      </c>
      <c r="C4386" s="8">
        <v>2021</v>
      </c>
      <c r="D4386" s="8">
        <v>5</v>
      </c>
      <c r="E4386" s="3" t="str">
        <f t="shared" si="136"/>
        <v>May</v>
      </c>
      <c r="F4386" s="3" t="s">
        <v>13</v>
      </c>
      <c r="G4386" s="8">
        <v>2987.13301</v>
      </c>
      <c r="H4386" s="8">
        <v>4792</v>
      </c>
      <c r="I4386" s="8">
        <v>1804.86699</v>
      </c>
      <c r="J4386" s="8">
        <v>2276.9423590000001</v>
      </c>
      <c r="K4386" s="8">
        <v>1722.255265</v>
      </c>
      <c r="L4386" s="8">
        <v>2884.0841919999998</v>
      </c>
      <c r="M4386" s="9" t="str">
        <f>IF(A4386="",M4387,A4386)</f>
        <v>Uruguay</v>
      </c>
      <c r="N4386" s="3" t="str">
        <f t="shared" si="137"/>
        <v>May-2021</v>
      </c>
    </row>
    <row r="4387" spans="1:14" x14ac:dyDescent="0.3">
      <c r="A4387" s="3" t="s">
        <v>372</v>
      </c>
      <c r="B4387" s="3" t="s">
        <v>373</v>
      </c>
      <c r="C4387" s="8">
        <v>2021</v>
      </c>
      <c r="D4387" s="8">
        <v>6</v>
      </c>
      <c r="E4387" s="3" t="str">
        <f t="shared" si="136"/>
        <v>June</v>
      </c>
      <c r="F4387" s="3" t="s">
        <v>13</v>
      </c>
      <c r="G4387" s="8">
        <v>3375.1428599999999</v>
      </c>
      <c r="H4387" s="8">
        <v>4448</v>
      </c>
      <c r="I4387" s="8">
        <v>1072.8571400000001</v>
      </c>
      <c r="J4387" s="8">
        <v>3349.7994990000002</v>
      </c>
      <c r="K4387" s="8">
        <v>2738.7013189999998</v>
      </c>
      <c r="L4387" s="8">
        <v>3984.4987289999999</v>
      </c>
      <c r="M4387" s="9" t="str">
        <f>IF(A4387="",M4388,A4387)</f>
        <v>Uruguay</v>
      </c>
      <c r="N4387" s="3" t="str">
        <f t="shared" si="137"/>
        <v>Jun-2021</v>
      </c>
    </row>
    <row r="4388" spans="1:14" x14ac:dyDescent="0.3">
      <c r="A4388" s="3" t="s">
        <v>372</v>
      </c>
      <c r="B4388" s="3" t="s">
        <v>373</v>
      </c>
      <c r="C4388" s="8">
        <v>2021</v>
      </c>
      <c r="D4388" s="8">
        <v>7</v>
      </c>
      <c r="E4388" s="3" t="str">
        <f t="shared" si="136"/>
        <v>July</v>
      </c>
      <c r="F4388" s="3" t="s">
        <v>13</v>
      </c>
      <c r="G4388" s="8">
        <v>3593.6464810000002</v>
      </c>
      <c r="H4388" s="8">
        <v>3713</v>
      </c>
      <c r="I4388" s="8">
        <v>119.3535193</v>
      </c>
      <c r="J4388" s="8">
        <v>3469.153018</v>
      </c>
      <c r="K4388" s="8">
        <v>2836.060457</v>
      </c>
      <c r="L4388" s="8">
        <v>4093.2871500000001</v>
      </c>
      <c r="M4388" s="9" t="str">
        <f>IF(A4388="",M4389,A4388)</f>
        <v>Uruguay</v>
      </c>
      <c r="N4388" s="3" t="str">
        <f t="shared" si="137"/>
        <v>Jul-2021</v>
      </c>
    </row>
    <row r="4389" spans="1:14" x14ac:dyDescent="0.3">
      <c r="A4389" s="3" t="s">
        <v>372</v>
      </c>
      <c r="B4389" s="3" t="s">
        <v>373</v>
      </c>
      <c r="C4389" s="8">
        <v>2021</v>
      </c>
      <c r="D4389" s="8">
        <v>8</v>
      </c>
      <c r="E4389" s="3" t="str">
        <f t="shared" si="136"/>
        <v>August</v>
      </c>
      <c r="F4389" s="3" t="s">
        <v>13</v>
      </c>
      <c r="G4389" s="8">
        <v>3455.4177</v>
      </c>
      <c r="H4389" s="8">
        <v>3379</v>
      </c>
      <c r="I4389" s="8">
        <v>-76.417699519999999</v>
      </c>
      <c r="J4389" s="8">
        <v>3392.735318</v>
      </c>
      <c r="K4389" s="8">
        <v>2731.8300279999999</v>
      </c>
      <c r="L4389" s="8">
        <v>4067.6839129999998</v>
      </c>
      <c r="M4389" s="9" t="str">
        <f>IF(A4389="",M4390,A4389)</f>
        <v>Uruguay</v>
      </c>
      <c r="N4389" s="3" t="str">
        <f t="shared" si="137"/>
        <v>Aug-2021</v>
      </c>
    </row>
    <row r="4390" spans="1:14" x14ac:dyDescent="0.3">
      <c r="A4390" s="3" t="s">
        <v>372</v>
      </c>
      <c r="B4390" s="3" t="s">
        <v>373</v>
      </c>
      <c r="C4390" s="8">
        <v>2021</v>
      </c>
      <c r="D4390" s="8">
        <v>9</v>
      </c>
      <c r="E4390" s="3" t="str">
        <f t="shared" si="136"/>
        <v>September</v>
      </c>
      <c r="F4390" s="3" t="s">
        <v>13</v>
      </c>
      <c r="G4390" s="8">
        <v>3172.6837850000002</v>
      </c>
      <c r="H4390" s="8">
        <v>2949</v>
      </c>
      <c r="I4390" s="8">
        <v>-223.683785</v>
      </c>
      <c r="J4390" s="8">
        <v>3169.0515329999998</v>
      </c>
      <c r="K4390" s="8">
        <v>2518.0333869999999</v>
      </c>
      <c r="L4390" s="8">
        <v>3881.8983680000001</v>
      </c>
      <c r="M4390" s="9" t="str">
        <f>IF(A4390="",M4391,A4390)</f>
        <v>Uruguay</v>
      </c>
      <c r="N4390" s="3" t="str">
        <f t="shared" si="137"/>
        <v>Sep-2021</v>
      </c>
    </row>
    <row r="4391" spans="1:14" x14ac:dyDescent="0.3">
      <c r="A4391" s="3" t="s">
        <v>372</v>
      </c>
      <c r="B4391" s="3" t="s">
        <v>373</v>
      </c>
      <c r="C4391" s="8">
        <v>2021</v>
      </c>
      <c r="D4391" s="8">
        <v>10</v>
      </c>
      <c r="E4391" s="3" t="str">
        <f t="shared" si="136"/>
        <v>October</v>
      </c>
      <c r="F4391" s="3" t="s">
        <v>13</v>
      </c>
      <c r="G4391" s="8">
        <v>2901.8725410000002</v>
      </c>
      <c r="H4391" s="8">
        <v>2959</v>
      </c>
      <c r="I4391" s="8">
        <v>57.127458660000002</v>
      </c>
      <c r="J4391" s="8">
        <v>3226.1789920000001</v>
      </c>
      <c r="K4391" s="8">
        <v>2498.5478790000002</v>
      </c>
      <c r="L4391" s="8">
        <v>3940.1330379999999</v>
      </c>
      <c r="M4391" s="9" t="str">
        <f>IF(A4391="",M4392,A4391)</f>
        <v>Uruguay</v>
      </c>
      <c r="N4391" s="3" t="str">
        <f t="shared" si="137"/>
        <v>Oct-2021</v>
      </c>
    </row>
    <row r="4392" spans="1:14" x14ac:dyDescent="0.3">
      <c r="A4392" s="3" t="s">
        <v>372</v>
      </c>
      <c r="B4392" s="3" t="s">
        <v>373</v>
      </c>
      <c r="C4392" s="8">
        <v>2021</v>
      </c>
      <c r="D4392" s="8">
        <v>11</v>
      </c>
      <c r="E4392" s="3" t="str">
        <f t="shared" si="136"/>
        <v>November</v>
      </c>
      <c r="F4392" s="3" t="s">
        <v>13</v>
      </c>
      <c r="G4392" s="8">
        <v>2728.0334339999999</v>
      </c>
      <c r="H4392" s="8">
        <v>2785</v>
      </c>
      <c r="I4392" s="8">
        <v>56.966565889999998</v>
      </c>
      <c r="J4392" s="8">
        <v>3283.1455580000002</v>
      </c>
      <c r="K4392" s="8">
        <v>2551.5123760000001</v>
      </c>
      <c r="L4392" s="8">
        <v>4013.7227240000002</v>
      </c>
      <c r="M4392" s="9" t="str">
        <f>IF(A4392="",M4393,A4392)</f>
        <v>Uruguay</v>
      </c>
      <c r="N4392" s="3" t="str">
        <f t="shared" si="137"/>
        <v>Nov-2021</v>
      </c>
    </row>
    <row r="4393" spans="1:14" x14ac:dyDescent="0.3">
      <c r="A4393" s="3" t="s">
        <v>372</v>
      </c>
      <c r="B4393" s="3" t="s">
        <v>373</v>
      </c>
      <c r="C4393" s="8">
        <v>2021</v>
      </c>
      <c r="D4393" s="8">
        <v>12</v>
      </c>
      <c r="E4393" s="3" t="str">
        <f t="shared" si="136"/>
        <v>December</v>
      </c>
      <c r="F4393" s="3" t="s">
        <v>13</v>
      </c>
      <c r="G4393" s="8">
        <v>2670.0189209999999</v>
      </c>
      <c r="H4393" s="8">
        <v>3021</v>
      </c>
      <c r="I4393" s="8">
        <v>350.9810794</v>
      </c>
      <c r="J4393" s="8">
        <v>3634.1266369999998</v>
      </c>
      <c r="K4393" s="8">
        <v>2882.5579419999999</v>
      </c>
      <c r="L4393" s="8">
        <v>4393.037292</v>
      </c>
      <c r="M4393" s="9" t="str">
        <f>IF(A4393="",M4394,A4393)</f>
        <v>Uruguay</v>
      </c>
      <c r="N4393" s="3" t="str">
        <f t="shared" si="137"/>
        <v>Dec-2021</v>
      </c>
    </row>
    <row r="4394" spans="1:14" x14ac:dyDescent="0.3">
      <c r="A4394" s="3" t="s">
        <v>374</v>
      </c>
      <c r="B4394" s="3" t="s">
        <v>375</v>
      </c>
      <c r="C4394" s="8">
        <v>2020</v>
      </c>
      <c r="D4394" s="8">
        <v>1</v>
      </c>
      <c r="E4394" s="3" t="str">
        <f t="shared" si="136"/>
        <v>January</v>
      </c>
      <c r="F4394" s="3" t="s">
        <v>13</v>
      </c>
      <c r="G4394" s="8">
        <v>254787.11809999999</v>
      </c>
      <c r="H4394" s="8">
        <v>264086</v>
      </c>
      <c r="I4394" s="8">
        <v>9271.4652289999995</v>
      </c>
      <c r="J4394" s="8">
        <v>9271.4652289999995</v>
      </c>
      <c r="K4394" s="8">
        <v>2250.4535310000001</v>
      </c>
      <c r="L4394" s="8">
        <v>16937.11969</v>
      </c>
      <c r="M4394" s="9" t="str">
        <f>IF(A4394="",M4395,A4394)</f>
        <v>United States of America</v>
      </c>
      <c r="N4394" s="3" t="str">
        <f t="shared" si="137"/>
        <v>Jan-2020</v>
      </c>
    </row>
    <row r="4395" spans="1:14" x14ac:dyDescent="0.3">
      <c r="A4395" s="3" t="s">
        <v>374</v>
      </c>
      <c r="B4395" s="3" t="s">
        <v>375</v>
      </c>
      <c r="C4395" s="8">
        <v>2020</v>
      </c>
      <c r="D4395" s="8">
        <v>2</v>
      </c>
      <c r="E4395" s="3" t="str">
        <f t="shared" si="136"/>
        <v>February</v>
      </c>
      <c r="F4395" s="3" t="s">
        <v>13</v>
      </c>
      <c r="G4395" s="8">
        <v>255069.89780000001</v>
      </c>
      <c r="H4395" s="8">
        <v>244957</v>
      </c>
      <c r="I4395" s="8">
        <v>-10140.314420000001</v>
      </c>
      <c r="J4395" s="8">
        <v>-868.84919390000005</v>
      </c>
      <c r="K4395" s="8">
        <v>-11349.563700000001</v>
      </c>
      <c r="L4395" s="8">
        <v>9595.1282580000006</v>
      </c>
      <c r="M4395" s="9" t="str">
        <f>IF(A4395="",M4396,A4395)</f>
        <v>United States of America</v>
      </c>
      <c r="N4395" s="3" t="str">
        <f t="shared" si="137"/>
        <v>Feb-2020</v>
      </c>
    </row>
    <row r="4396" spans="1:14" x14ac:dyDescent="0.3">
      <c r="A4396" s="3" t="s">
        <v>374</v>
      </c>
      <c r="B4396" s="3" t="s">
        <v>375</v>
      </c>
      <c r="C4396" s="8">
        <v>2020</v>
      </c>
      <c r="D4396" s="8">
        <v>3</v>
      </c>
      <c r="E4396" s="3" t="str">
        <f t="shared" si="136"/>
        <v>March</v>
      </c>
      <c r="F4396" s="3" t="s">
        <v>13</v>
      </c>
      <c r="G4396" s="8">
        <v>252347.1575</v>
      </c>
      <c r="H4396" s="8">
        <v>271617</v>
      </c>
      <c r="I4396" s="8">
        <v>19242.42582</v>
      </c>
      <c r="J4396" s="8">
        <v>18373.57663</v>
      </c>
      <c r="K4396" s="8">
        <v>4526.6329230000001</v>
      </c>
      <c r="L4396" s="8">
        <v>32496.491139999998</v>
      </c>
      <c r="M4396" s="9" t="str">
        <f>IF(A4396="",M4397,A4396)</f>
        <v>United States of America</v>
      </c>
      <c r="N4396" s="3" t="str">
        <f t="shared" si="137"/>
        <v>Mar-2020</v>
      </c>
    </row>
    <row r="4397" spans="1:14" x14ac:dyDescent="0.3">
      <c r="A4397" s="3" t="s">
        <v>374</v>
      </c>
      <c r="B4397" s="3" t="s">
        <v>375</v>
      </c>
      <c r="C4397" s="8">
        <v>2020</v>
      </c>
      <c r="D4397" s="8">
        <v>4</v>
      </c>
      <c r="E4397" s="3" t="str">
        <f t="shared" si="136"/>
        <v>April</v>
      </c>
      <c r="F4397" s="3" t="s">
        <v>13</v>
      </c>
      <c r="G4397" s="8">
        <v>245372.2145</v>
      </c>
      <c r="H4397" s="8">
        <v>320645</v>
      </c>
      <c r="I4397" s="8">
        <v>75245.368849999999</v>
      </c>
      <c r="J4397" s="8">
        <v>93618.945479999995</v>
      </c>
      <c r="K4397" s="8">
        <v>77354.291490000003</v>
      </c>
      <c r="L4397" s="8">
        <v>108788.9114</v>
      </c>
      <c r="M4397" s="9" t="str">
        <f>IF(A4397="",M4398,A4397)</f>
        <v>United States of America</v>
      </c>
      <c r="N4397" s="3" t="str">
        <f t="shared" si="137"/>
        <v>Apr-2020</v>
      </c>
    </row>
    <row r="4398" spans="1:14" x14ac:dyDescent="0.3">
      <c r="A4398" s="3" t="s">
        <v>374</v>
      </c>
      <c r="B4398" s="3" t="s">
        <v>375</v>
      </c>
      <c r="C4398" s="8">
        <v>2020</v>
      </c>
      <c r="D4398" s="8">
        <v>5</v>
      </c>
      <c r="E4398" s="3" t="str">
        <f t="shared" si="136"/>
        <v>May</v>
      </c>
      <c r="F4398" s="3" t="s">
        <v>13</v>
      </c>
      <c r="G4398" s="8">
        <v>237891.5202</v>
      </c>
      <c r="H4398" s="8">
        <v>280833</v>
      </c>
      <c r="I4398" s="8">
        <v>42914.063090000003</v>
      </c>
      <c r="J4398" s="8">
        <v>136533.0086</v>
      </c>
      <c r="K4398" s="8">
        <v>118529.4955</v>
      </c>
      <c r="L4398" s="8">
        <v>153492.77480000001</v>
      </c>
      <c r="M4398" s="9" t="str">
        <f>IF(A4398="",M4399,A4398)</f>
        <v>United States of America</v>
      </c>
      <c r="N4398" s="3" t="str">
        <f t="shared" si="137"/>
        <v>May-2020</v>
      </c>
    </row>
    <row r="4399" spans="1:14" x14ac:dyDescent="0.3">
      <c r="A4399" s="3" t="s">
        <v>374</v>
      </c>
      <c r="B4399" s="3" t="s">
        <v>375</v>
      </c>
      <c r="C4399" s="8">
        <v>2020</v>
      </c>
      <c r="D4399" s="8">
        <v>6</v>
      </c>
      <c r="E4399" s="3" t="str">
        <f t="shared" si="136"/>
        <v>June</v>
      </c>
      <c r="F4399" s="3" t="s">
        <v>13</v>
      </c>
      <c r="G4399" s="8">
        <v>232665.5393</v>
      </c>
      <c r="H4399" s="8">
        <v>250688</v>
      </c>
      <c r="I4399" s="8">
        <v>17995.044000000002</v>
      </c>
      <c r="J4399" s="8">
        <v>154528.0526</v>
      </c>
      <c r="K4399" s="8">
        <v>135031.94690000001</v>
      </c>
      <c r="L4399" s="8">
        <v>173379.7893</v>
      </c>
      <c r="M4399" s="9" t="str">
        <f>IF(A4399="",M4400,A4399)</f>
        <v>United States of America</v>
      </c>
      <c r="N4399" s="3" t="str">
        <f t="shared" si="137"/>
        <v>Jun-2020</v>
      </c>
    </row>
    <row r="4400" spans="1:14" x14ac:dyDescent="0.3">
      <c r="A4400" s="3" t="s">
        <v>374</v>
      </c>
      <c r="B4400" s="3" t="s">
        <v>375</v>
      </c>
      <c r="C4400" s="8">
        <v>2020</v>
      </c>
      <c r="D4400" s="8">
        <v>7</v>
      </c>
      <c r="E4400" s="3" t="str">
        <f t="shared" si="136"/>
        <v>July</v>
      </c>
      <c r="F4400" s="3" t="s">
        <v>13</v>
      </c>
      <c r="G4400" s="8">
        <v>231288.12599999999</v>
      </c>
      <c r="H4400" s="8">
        <v>278630</v>
      </c>
      <c r="I4400" s="8">
        <v>47314.457329999997</v>
      </c>
      <c r="J4400" s="8">
        <v>201842.5099</v>
      </c>
      <c r="K4400" s="8">
        <v>181381.93580000001</v>
      </c>
      <c r="L4400" s="8">
        <v>223156.568</v>
      </c>
      <c r="M4400" s="9" t="str">
        <f>IF(A4400="",M4401,A4400)</f>
        <v>United States of America</v>
      </c>
      <c r="N4400" s="3" t="str">
        <f t="shared" si="137"/>
        <v>Jul-2020</v>
      </c>
    </row>
    <row r="4401" spans="1:14" x14ac:dyDescent="0.3">
      <c r="A4401" s="3" t="s">
        <v>374</v>
      </c>
      <c r="B4401" s="3" t="s">
        <v>375</v>
      </c>
      <c r="C4401" s="8">
        <v>2020</v>
      </c>
      <c r="D4401" s="8">
        <v>8</v>
      </c>
      <c r="E4401" s="3" t="str">
        <f t="shared" si="136"/>
        <v>August</v>
      </c>
      <c r="F4401" s="3" t="s">
        <v>13</v>
      </c>
      <c r="G4401" s="8">
        <v>231167.60829999999</v>
      </c>
      <c r="H4401" s="8">
        <v>277440</v>
      </c>
      <c r="I4401" s="8">
        <v>46244.974990000002</v>
      </c>
      <c r="J4401" s="8">
        <v>248087.48490000001</v>
      </c>
      <c r="K4401" s="8">
        <v>225810.14319999999</v>
      </c>
      <c r="L4401" s="8">
        <v>270175.77559999999</v>
      </c>
      <c r="M4401" s="9" t="str">
        <f>IF(A4401="",M4402,A4401)</f>
        <v>United States of America</v>
      </c>
      <c r="N4401" s="3" t="str">
        <f t="shared" si="137"/>
        <v>Aug-2020</v>
      </c>
    </row>
    <row r="4402" spans="1:14" x14ac:dyDescent="0.3">
      <c r="A4402" s="3" t="s">
        <v>374</v>
      </c>
      <c r="B4402" s="3" t="s">
        <v>375</v>
      </c>
      <c r="C4402" s="8">
        <v>2020</v>
      </c>
      <c r="D4402" s="8">
        <v>9</v>
      </c>
      <c r="E4402" s="3" t="str">
        <f t="shared" si="136"/>
        <v>September</v>
      </c>
      <c r="F4402" s="3" t="s">
        <v>13</v>
      </c>
      <c r="G4402" s="8">
        <v>233260.73860000001</v>
      </c>
      <c r="H4402" s="8">
        <v>257237</v>
      </c>
      <c r="I4402" s="8">
        <v>23948.84476</v>
      </c>
      <c r="J4402" s="8">
        <v>272036.3297</v>
      </c>
      <c r="K4402" s="8">
        <v>248360.42290000001</v>
      </c>
      <c r="L4402" s="8">
        <v>296431.94059999997</v>
      </c>
      <c r="M4402" s="9" t="str">
        <f>IF(A4402="",M4403,A4402)</f>
        <v>United States of America</v>
      </c>
      <c r="N4402" s="3" t="str">
        <f t="shared" si="137"/>
        <v>Sep-2020</v>
      </c>
    </row>
    <row r="4403" spans="1:14" x14ac:dyDescent="0.3">
      <c r="A4403" s="3" t="s">
        <v>374</v>
      </c>
      <c r="B4403" s="3" t="s">
        <v>375</v>
      </c>
      <c r="C4403" s="8">
        <v>2020</v>
      </c>
      <c r="D4403" s="8">
        <v>10</v>
      </c>
      <c r="E4403" s="3" t="str">
        <f t="shared" si="136"/>
        <v>October</v>
      </c>
      <c r="F4403" s="3" t="s">
        <v>13</v>
      </c>
      <c r="G4403" s="8">
        <v>240381.3927</v>
      </c>
      <c r="H4403" s="8">
        <v>273686</v>
      </c>
      <c r="I4403" s="8">
        <v>33277.190600000002</v>
      </c>
      <c r="J4403" s="8">
        <v>305313.52029999997</v>
      </c>
      <c r="K4403" s="8">
        <v>280172.03480000002</v>
      </c>
      <c r="L4403" s="8">
        <v>330150.43560000003</v>
      </c>
      <c r="M4403" s="9" t="str">
        <f>IF(A4403="",M4404,A4403)</f>
        <v>United States of America</v>
      </c>
      <c r="N4403" s="3" t="str">
        <f t="shared" si="137"/>
        <v>Oct-2020</v>
      </c>
    </row>
    <row r="4404" spans="1:14" x14ac:dyDescent="0.3">
      <c r="A4404" s="3" t="s">
        <v>374</v>
      </c>
      <c r="B4404" s="3" t="s">
        <v>375</v>
      </c>
      <c r="C4404" s="8">
        <v>2020</v>
      </c>
      <c r="D4404" s="8">
        <v>11</v>
      </c>
      <c r="E4404" s="3" t="str">
        <f t="shared" si="136"/>
        <v>November</v>
      </c>
      <c r="F4404" s="3" t="s">
        <v>13</v>
      </c>
      <c r="G4404" s="8">
        <v>249636.95209999999</v>
      </c>
      <c r="H4404" s="8">
        <v>303540</v>
      </c>
      <c r="I4404" s="8">
        <v>53875.631260000002</v>
      </c>
      <c r="J4404" s="8">
        <v>359189.15149999998</v>
      </c>
      <c r="K4404" s="8">
        <v>330837.24819999997</v>
      </c>
      <c r="L4404" s="8">
        <v>384989.03230000002</v>
      </c>
      <c r="M4404" s="9" t="str">
        <f>IF(A4404="",M4405,A4404)</f>
        <v>United States of America</v>
      </c>
      <c r="N4404" s="3" t="str">
        <f t="shared" si="137"/>
        <v>Nov-2020</v>
      </c>
    </row>
    <row r="4405" spans="1:14" x14ac:dyDescent="0.3">
      <c r="A4405" s="3" t="s">
        <v>374</v>
      </c>
      <c r="B4405" s="3" t="s">
        <v>375</v>
      </c>
      <c r="C4405" s="8">
        <v>2020</v>
      </c>
      <c r="D4405" s="8">
        <v>12</v>
      </c>
      <c r="E4405" s="3" t="str">
        <f t="shared" si="136"/>
        <v>December</v>
      </c>
      <c r="F4405" s="3" t="s">
        <v>13</v>
      </c>
      <c r="G4405" s="8">
        <v>258654.8952</v>
      </c>
      <c r="H4405" s="8">
        <v>366806</v>
      </c>
      <c r="I4405" s="8">
        <v>108123.6881</v>
      </c>
      <c r="J4405" s="8">
        <v>467312.83960000001</v>
      </c>
      <c r="K4405" s="8">
        <v>438277.89510000002</v>
      </c>
      <c r="L4405" s="8">
        <v>494574.27830000001</v>
      </c>
      <c r="M4405" s="9" t="str">
        <f>IF(A4405="",M4406,A4405)</f>
        <v>United States of America</v>
      </c>
      <c r="N4405" s="3" t="str">
        <f t="shared" si="137"/>
        <v>Dec-2020</v>
      </c>
    </row>
    <row r="4406" spans="1:14" x14ac:dyDescent="0.3">
      <c r="A4406" s="3" t="s">
        <v>374</v>
      </c>
      <c r="B4406" s="3" t="s">
        <v>375</v>
      </c>
      <c r="C4406" s="8">
        <v>2021</v>
      </c>
      <c r="D4406" s="8">
        <v>1</v>
      </c>
      <c r="E4406" s="3" t="str">
        <f t="shared" si="136"/>
        <v>January</v>
      </c>
      <c r="F4406" s="3" t="s">
        <v>13</v>
      </c>
      <c r="G4406" s="8">
        <v>258666.07829999999</v>
      </c>
      <c r="H4406" s="8">
        <v>373192</v>
      </c>
      <c r="I4406" s="8">
        <v>114449.17170000001</v>
      </c>
      <c r="J4406" s="8">
        <v>581762.01139999996</v>
      </c>
      <c r="K4406" s="8">
        <v>552102.35869999998</v>
      </c>
      <c r="L4406" s="8">
        <v>611395.8591</v>
      </c>
      <c r="M4406" s="9" t="str">
        <f>IF(A4406="",M4407,A4406)</f>
        <v>United States of America</v>
      </c>
      <c r="N4406" s="3" t="str">
        <f t="shared" si="137"/>
        <v>Jan-2021</v>
      </c>
    </row>
    <row r="4407" spans="1:14" x14ac:dyDescent="0.3">
      <c r="A4407" s="3" t="s">
        <v>374</v>
      </c>
      <c r="B4407" s="3" t="s">
        <v>375</v>
      </c>
      <c r="C4407" s="8">
        <v>2021</v>
      </c>
      <c r="D4407" s="8">
        <v>2</v>
      </c>
      <c r="E4407" s="3" t="str">
        <f t="shared" si="136"/>
        <v>February</v>
      </c>
      <c r="F4407" s="3" t="s">
        <v>13</v>
      </c>
      <c r="G4407" s="8">
        <v>259086.51190000001</v>
      </c>
      <c r="H4407" s="8">
        <v>282466</v>
      </c>
      <c r="I4407" s="8">
        <v>23302.73806</v>
      </c>
      <c r="J4407" s="8">
        <v>605064.74939999997</v>
      </c>
      <c r="K4407" s="8">
        <v>574395.88249999995</v>
      </c>
      <c r="L4407" s="8">
        <v>636339.18700000003</v>
      </c>
      <c r="M4407" s="9" t="str">
        <f>IF(A4407="",M4408,A4407)</f>
        <v>United States of America</v>
      </c>
      <c r="N4407" s="3" t="str">
        <f t="shared" si="137"/>
        <v>Feb-2021</v>
      </c>
    </row>
    <row r="4408" spans="1:14" x14ac:dyDescent="0.3">
      <c r="A4408" s="3" t="s">
        <v>374</v>
      </c>
      <c r="B4408" s="3" t="s">
        <v>375</v>
      </c>
      <c r="C4408" s="8">
        <v>2021</v>
      </c>
      <c r="D4408" s="8">
        <v>3</v>
      </c>
      <c r="E4408" s="3" t="str">
        <f t="shared" si="136"/>
        <v>March</v>
      </c>
      <c r="F4408" s="3" t="s">
        <v>13</v>
      </c>
      <c r="G4408" s="8">
        <v>256585.61600000001</v>
      </c>
      <c r="H4408" s="8">
        <v>271227</v>
      </c>
      <c r="I4408" s="8">
        <v>14564.634</v>
      </c>
      <c r="J4408" s="8">
        <v>619629.38340000005</v>
      </c>
      <c r="K4408" s="8">
        <v>586511.72470000002</v>
      </c>
      <c r="L4408" s="8">
        <v>652623.82109999994</v>
      </c>
      <c r="M4408" s="9" t="str">
        <f>IF(A4408="",M4409,A4408)</f>
        <v>United States of America</v>
      </c>
      <c r="N4408" s="3" t="str">
        <f t="shared" si="137"/>
        <v>Mar-2021</v>
      </c>
    </row>
    <row r="4409" spans="1:14" x14ac:dyDescent="0.3">
      <c r="A4409" s="3" t="s">
        <v>374</v>
      </c>
      <c r="B4409" s="3" t="s">
        <v>375</v>
      </c>
      <c r="C4409" s="8">
        <v>2021</v>
      </c>
      <c r="D4409" s="8">
        <v>4</v>
      </c>
      <c r="E4409" s="3" t="str">
        <f t="shared" si="136"/>
        <v>April</v>
      </c>
      <c r="F4409" s="3" t="s">
        <v>13</v>
      </c>
      <c r="G4409" s="8">
        <v>249429.568</v>
      </c>
      <c r="H4409" s="8">
        <v>256871</v>
      </c>
      <c r="I4409" s="8">
        <v>7364.6820479999997</v>
      </c>
      <c r="J4409" s="8">
        <v>626994.06550000003</v>
      </c>
      <c r="K4409" s="8">
        <v>593080.60759999999</v>
      </c>
      <c r="L4409" s="8">
        <v>660638.11719999998</v>
      </c>
      <c r="M4409" s="9" t="str">
        <f>IF(A4409="",M4410,A4409)</f>
        <v>United States of America</v>
      </c>
      <c r="N4409" s="3" t="str">
        <f t="shared" si="137"/>
        <v>Apr-2021</v>
      </c>
    </row>
    <row r="4410" spans="1:14" x14ac:dyDescent="0.3">
      <c r="A4410" s="3" t="s">
        <v>374</v>
      </c>
      <c r="B4410" s="3" t="s">
        <v>375</v>
      </c>
      <c r="C4410" s="8">
        <v>2021</v>
      </c>
      <c r="D4410" s="8">
        <v>5</v>
      </c>
      <c r="E4410" s="3" t="str">
        <f t="shared" si="136"/>
        <v>May</v>
      </c>
      <c r="F4410" s="3" t="s">
        <v>13</v>
      </c>
      <c r="G4410" s="8">
        <v>241972.03940000001</v>
      </c>
      <c r="H4410" s="8">
        <v>258569</v>
      </c>
      <c r="I4410" s="8">
        <v>16520.210599999999</v>
      </c>
      <c r="J4410" s="8">
        <v>643514.27610000002</v>
      </c>
      <c r="K4410" s="8">
        <v>608616.81079999998</v>
      </c>
      <c r="L4410" s="8">
        <v>678276.90009999997</v>
      </c>
      <c r="M4410" s="9" t="str">
        <f>IF(A4410="",M4411,A4410)</f>
        <v>United States of America</v>
      </c>
      <c r="N4410" s="3" t="str">
        <f t="shared" si="137"/>
        <v>May-2021</v>
      </c>
    </row>
    <row r="4411" spans="1:14" x14ac:dyDescent="0.3">
      <c r="A4411" s="3" t="s">
        <v>374</v>
      </c>
      <c r="B4411" s="3" t="s">
        <v>375</v>
      </c>
      <c r="C4411" s="8">
        <v>2021</v>
      </c>
      <c r="D4411" s="8">
        <v>6</v>
      </c>
      <c r="E4411" s="3" t="str">
        <f t="shared" si="136"/>
        <v>June</v>
      </c>
      <c r="F4411" s="3" t="s">
        <v>13</v>
      </c>
      <c r="G4411" s="8">
        <v>236333.486</v>
      </c>
      <c r="H4411" s="8">
        <v>245271</v>
      </c>
      <c r="I4411" s="8">
        <v>8860.7640169999995</v>
      </c>
      <c r="J4411" s="8">
        <v>652375.04009999998</v>
      </c>
      <c r="K4411" s="8">
        <v>617117.35419999994</v>
      </c>
      <c r="L4411" s="8">
        <v>691330.27630000003</v>
      </c>
      <c r="M4411" s="9" t="str">
        <f>IF(A4411="",M4412,A4411)</f>
        <v>United States of America</v>
      </c>
      <c r="N4411" s="3" t="str">
        <f t="shared" si="137"/>
        <v>Jun-2021</v>
      </c>
    </row>
    <row r="4412" spans="1:14" x14ac:dyDescent="0.3">
      <c r="A4412" s="3" t="s">
        <v>374</v>
      </c>
      <c r="B4412" s="3" t="s">
        <v>375</v>
      </c>
      <c r="C4412" s="8">
        <v>2021</v>
      </c>
      <c r="D4412" s="8">
        <v>7</v>
      </c>
      <c r="E4412" s="3" t="str">
        <f t="shared" si="136"/>
        <v>July</v>
      </c>
      <c r="F4412" s="3" t="s">
        <v>13</v>
      </c>
      <c r="G4412" s="8">
        <v>235198.22219999999</v>
      </c>
      <c r="H4412" s="8">
        <v>257884</v>
      </c>
      <c r="I4412" s="8">
        <v>22609.027760000001</v>
      </c>
      <c r="J4412" s="8">
        <v>674984.06790000002</v>
      </c>
      <c r="K4412" s="8">
        <v>636438.76839999994</v>
      </c>
      <c r="L4412" s="8">
        <v>713395.02910000004</v>
      </c>
      <c r="M4412" s="9" t="str">
        <f>IF(A4412="",M4413,A4412)</f>
        <v>United States of America</v>
      </c>
      <c r="N4412" s="3" t="str">
        <f t="shared" si="137"/>
        <v>Jul-2021</v>
      </c>
    </row>
    <row r="4413" spans="1:14" x14ac:dyDescent="0.3">
      <c r="A4413" s="3" t="s">
        <v>374</v>
      </c>
      <c r="B4413" s="3" t="s">
        <v>375</v>
      </c>
      <c r="C4413" s="8">
        <v>2021</v>
      </c>
      <c r="D4413" s="8">
        <v>8</v>
      </c>
      <c r="E4413" s="3" t="str">
        <f t="shared" si="136"/>
        <v>August</v>
      </c>
      <c r="F4413" s="3" t="s">
        <v>13</v>
      </c>
      <c r="G4413" s="8">
        <v>235064.67739999999</v>
      </c>
      <c r="H4413" s="8">
        <v>304530</v>
      </c>
      <c r="I4413" s="8">
        <v>69388.572610000003</v>
      </c>
      <c r="J4413" s="8">
        <v>744372.64049999998</v>
      </c>
      <c r="K4413" s="8">
        <v>704115.1311</v>
      </c>
      <c r="L4413" s="8">
        <v>784488.94979999994</v>
      </c>
      <c r="M4413" s="9" t="str">
        <f>IF(A4413="",M4414,A4413)</f>
        <v>United States of America</v>
      </c>
      <c r="N4413" s="3" t="str">
        <f t="shared" si="137"/>
        <v>Aug-2021</v>
      </c>
    </row>
    <row r="4414" spans="1:14" x14ac:dyDescent="0.3">
      <c r="A4414" s="3" t="s">
        <v>374</v>
      </c>
      <c r="B4414" s="3" t="s">
        <v>375</v>
      </c>
      <c r="C4414" s="8">
        <v>2021</v>
      </c>
      <c r="D4414" s="8">
        <v>9</v>
      </c>
      <c r="E4414" s="3" t="str">
        <f t="shared" si="136"/>
        <v>September</v>
      </c>
      <c r="F4414" s="3" t="s">
        <v>13</v>
      </c>
      <c r="G4414" s="8">
        <v>237153.76819999999</v>
      </c>
      <c r="H4414" s="8">
        <v>312246</v>
      </c>
      <c r="I4414" s="8">
        <v>75015.481830000004</v>
      </c>
      <c r="J4414" s="8">
        <v>819388.12230000005</v>
      </c>
      <c r="K4414" s="8">
        <v>778349.37320000003</v>
      </c>
      <c r="L4414" s="8">
        <v>862992.8541</v>
      </c>
      <c r="M4414" s="9" t="str">
        <f>IF(A4414="",M4415,A4414)</f>
        <v>United States of America</v>
      </c>
      <c r="N4414" s="3" t="str">
        <f t="shared" si="137"/>
        <v>Sep-2021</v>
      </c>
    </row>
    <row r="4415" spans="1:14" x14ac:dyDescent="0.3">
      <c r="A4415" s="3" t="s">
        <v>374</v>
      </c>
      <c r="B4415" s="3" t="s">
        <v>375</v>
      </c>
      <c r="C4415" s="8">
        <v>2021</v>
      </c>
      <c r="D4415" s="8">
        <v>10</v>
      </c>
      <c r="E4415" s="3" t="str">
        <f t="shared" si="136"/>
        <v>October</v>
      </c>
      <c r="F4415" s="3" t="s">
        <v>13</v>
      </c>
      <c r="G4415" s="8">
        <v>244301.7763</v>
      </c>
      <c r="H4415" s="8">
        <v>300161</v>
      </c>
      <c r="I4415" s="8">
        <v>55782.473660000003</v>
      </c>
      <c r="J4415" s="8">
        <v>875170.59600000002</v>
      </c>
      <c r="K4415" s="8">
        <v>833615.50249999994</v>
      </c>
      <c r="L4415" s="8">
        <v>918991.38289999997</v>
      </c>
      <c r="M4415" s="9" t="str">
        <f>IF(A4415="",M4416,A4415)</f>
        <v>United States of America</v>
      </c>
      <c r="N4415" s="3" t="str">
        <f t="shared" si="137"/>
        <v>Oct-2021</v>
      </c>
    </row>
    <row r="4416" spans="1:14" x14ac:dyDescent="0.3">
      <c r="A4416" s="3" t="s">
        <v>374</v>
      </c>
      <c r="B4416" s="3" t="s">
        <v>375</v>
      </c>
      <c r="C4416" s="8">
        <v>2021</v>
      </c>
      <c r="D4416" s="8">
        <v>11</v>
      </c>
      <c r="E4416" s="3" t="str">
        <f t="shared" si="136"/>
        <v>November</v>
      </c>
      <c r="F4416" s="3" t="s">
        <v>13</v>
      </c>
      <c r="G4416" s="8">
        <v>253590.82490000001</v>
      </c>
      <c r="H4416" s="8">
        <v>289613</v>
      </c>
      <c r="I4416" s="8">
        <v>35945.425049999998</v>
      </c>
      <c r="J4416" s="8">
        <v>911116.02099999995</v>
      </c>
      <c r="K4416" s="8">
        <v>868251.59979999997</v>
      </c>
      <c r="L4416" s="8">
        <v>955987.19759999996</v>
      </c>
      <c r="M4416" s="9" t="str">
        <f>IF(A4416="",M4417,A4416)</f>
        <v>United States of America</v>
      </c>
      <c r="N4416" s="3" t="str">
        <f t="shared" si="137"/>
        <v>Nov-2021</v>
      </c>
    </row>
    <row r="4417" spans="1:14" x14ac:dyDescent="0.3">
      <c r="A4417" s="3" t="s">
        <v>374</v>
      </c>
      <c r="B4417" s="3" t="s">
        <v>375</v>
      </c>
      <c r="C4417" s="8">
        <v>2021</v>
      </c>
      <c r="D4417" s="8">
        <v>12</v>
      </c>
      <c r="E4417" s="3" t="str">
        <f t="shared" si="136"/>
        <v>December</v>
      </c>
      <c r="F4417" s="3" t="s">
        <v>13</v>
      </c>
      <c r="G4417" s="8">
        <v>262342.93489999999</v>
      </c>
      <c r="H4417" s="8">
        <v>319729</v>
      </c>
      <c r="I4417" s="8">
        <v>57309.315089999996</v>
      </c>
      <c r="J4417" s="8">
        <v>968425.33609999996</v>
      </c>
      <c r="K4417" s="8">
        <v>925435.73690000002</v>
      </c>
      <c r="L4417" s="8">
        <v>1013269.3419999999</v>
      </c>
      <c r="M4417" s="9" t="str">
        <f>IF(A4417="",M4418,A4417)</f>
        <v>United States of America</v>
      </c>
      <c r="N4417" s="3" t="str">
        <f t="shared" si="137"/>
        <v>Dec-2021</v>
      </c>
    </row>
    <row r="4418" spans="1:14" x14ac:dyDescent="0.3">
      <c r="A4418" s="3" t="s">
        <v>376</v>
      </c>
      <c r="B4418" s="3" t="s">
        <v>377</v>
      </c>
      <c r="C4418" s="8">
        <v>2020</v>
      </c>
      <c r="D4418" s="8">
        <v>1</v>
      </c>
      <c r="E4418" s="3" t="str">
        <f t="shared" ref="E4418:E4481" si="138">TEXT(DATE(C4418,D4418,1),"MMMM")</f>
        <v>January</v>
      </c>
      <c r="F4418" s="3" t="s">
        <v>13</v>
      </c>
      <c r="G4418" s="8">
        <v>14670.4241</v>
      </c>
      <c r="H4418" s="8">
        <v>11659</v>
      </c>
      <c r="I4418" s="8">
        <v>-3012.1220819999999</v>
      </c>
      <c r="J4418" s="8">
        <v>-3012.1220819999999</v>
      </c>
      <c r="K4418" s="8">
        <v>-4427.6182790000003</v>
      </c>
      <c r="L4418" s="8">
        <v>-1599.7128720000001</v>
      </c>
      <c r="M4418" s="9" t="str">
        <f>IF(A4418="",M4419,A4418)</f>
        <v>Uzbekistan</v>
      </c>
      <c r="N4418" s="3" t="str">
        <f t="shared" ref="N4418:N4481" si="139">TEXT(DATE(C4418,D4418,1),"MMM-YYYY")</f>
        <v>Jan-2020</v>
      </c>
    </row>
    <row r="4419" spans="1:14" x14ac:dyDescent="0.3">
      <c r="A4419" s="3" t="s">
        <v>376</v>
      </c>
      <c r="B4419" s="3" t="s">
        <v>377</v>
      </c>
      <c r="C4419" s="8">
        <v>2020</v>
      </c>
      <c r="D4419" s="8">
        <v>2</v>
      </c>
      <c r="E4419" s="3" t="str">
        <f t="shared" si="138"/>
        <v>February</v>
      </c>
      <c r="F4419" s="3" t="s">
        <v>13</v>
      </c>
      <c r="G4419" s="8">
        <v>14802.624030000001</v>
      </c>
      <c r="H4419" s="8">
        <v>14336</v>
      </c>
      <c r="I4419" s="8">
        <v>-467.3220063</v>
      </c>
      <c r="J4419" s="8">
        <v>-3479.4440880000002</v>
      </c>
      <c r="K4419" s="8">
        <v>-5650.2524919999996</v>
      </c>
      <c r="L4419" s="8">
        <v>-1380.308777</v>
      </c>
      <c r="M4419" s="9" t="str">
        <f>IF(A4419="",M4420,A4419)</f>
        <v>Uzbekistan</v>
      </c>
      <c r="N4419" s="3" t="str">
        <f t="shared" si="139"/>
        <v>Feb-2020</v>
      </c>
    </row>
    <row r="4420" spans="1:14" x14ac:dyDescent="0.3">
      <c r="A4420" s="3" t="s">
        <v>376</v>
      </c>
      <c r="B4420" s="3" t="s">
        <v>377</v>
      </c>
      <c r="C4420" s="8">
        <v>2020</v>
      </c>
      <c r="D4420" s="8">
        <v>3</v>
      </c>
      <c r="E4420" s="3" t="str">
        <f t="shared" si="138"/>
        <v>March</v>
      </c>
      <c r="F4420" s="3" t="s">
        <v>13</v>
      </c>
      <c r="G4420" s="8">
        <v>14618.449409999999</v>
      </c>
      <c r="H4420" s="8">
        <v>13226</v>
      </c>
      <c r="I4420" s="8">
        <v>-1393.1473920000001</v>
      </c>
      <c r="J4420" s="8">
        <v>-4872.59148</v>
      </c>
      <c r="K4420" s="8">
        <v>-7410.8020820000002</v>
      </c>
      <c r="L4420" s="8">
        <v>-2322.9020129999999</v>
      </c>
      <c r="M4420" s="9" t="str">
        <f>IF(A4420="",M4421,A4420)</f>
        <v>Uzbekistan</v>
      </c>
      <c r="N4420" s="3" t="str">
        <f t="shared" si="139"/>
        <v>Mar-2020</v>
      </c>
    </row>
    <row r="4421" spans="1:14" x14ac:dyDescent="0.3">
      <c r="A4421" s="3" t="s">
        <v>376</v>
      </c>
      <c r="B4421" s="3" t="s">
        <v>377</v>
      </c>
      <c r="C4421" s="8">
        <v>2020</v>
      </c>
      <c r="D4421" s="8">
        <v>4</v>
      </c>
      <c r="E4421" s="3" t="str">
        <f t="shared" si="138"/>
        <v>April</v>
      </c>
      <c r="F4421" s="3" t="s">
        <v>13</v>
      </c>
      <c r="G4421" s="8">
        <v>14354.52823</v>
      </c>
      <c r="H4421" s="8">
        <v>12158</v>
      </c>
      <c r="I4421" s="8">
        <v>-2197.2262110000001</v>
      </c>
      <c r="J4421" s="8">
        <v>-7069.8176910000002</v>
      </c>
      <c r="K4421" s="8">
        <v>-10000.93535</v>
      </c>
      <c r="L4421" s="8">
        <v>-4128.4598820000001</v>
      </c>
      <c r="M4421" s="9" t="str">
        <f>IF(A4421="",M4422,A4421)</f>
        <v>Uzbekistan</v>
      </c>
      <c r="N4421" s="3" t="str">
        <f t="shared" si="139"/>
        <v>Apr-2020</v>
      </c>
    </row>
    <row r="4422" spans="1:14" x14ac:dyDescent="0.3">
      <c r="A4422" s="3" t="s">
        <v>376</v>
      </c>
      <c r="B4422" s="3" t="s">
        <v>377</v>
      </c>
      <c r="C4422" s="8">
        <v>2020</v>
      </c>
      <c r="D4422" s="8">
        <v>5</v>
      </c>
      <c r="E4422" s="3" t="str">
        <f t="shared" si="138"/>
        <v>May</v>
      </c>
      <c r="F4422" s="3" t="s">
        <v>13</v>
      </c>
      <c r="G4422" s="8">
        <v>14045.68619</v>
      </c>
      <c r="H4422" s="8">
        <v>12345</v>
      </c>
      <c r="I4422" s="8">
        <v>-1701.384168</v>
      </c>
      <c r="J4422" s="8">
        <v>-8771.2018590000007</v>
      </c>
      <c r="K4422" s="8">
        <v>-11973.106460000001</v>
      </c>
      <c r="L4422" s="8">
        <v>-5532.1976240000004</v>
      </c>
      <c r="M4422" s="9" t="str">
        <f>IF(A4422="",M4423,A4422)</f>
        <v>Uzbekistan</v>
      </c>
      <c r="N4422" s="3" t="str">
        <f t="shared" si="139"/>
        <v>May-2020</v>
      </c>
    </row>
    <row r="4423" spans="1:14" x14ac:dyDescent="0.3">
      <c r="A4423" s="3" t="s">
        <v>376</v>
      </c>
      <c r="B4423" s="3" t="s">
        <v>377</v>
      </c>
      <c r="C4423" s="8">
        <v>2020</v>
      </c>
      <c r="D4423" s="8">
        <v>6</v>
      </c>
      <c r="E4423" s="3" t="str">
        <f t="shared" si="138"/>
        <v>June</v>
      </c>
      <c r="F4423" s="3" t="s">
        <v>13</v>
      </c>
      <c r="G4423" s="8">
        <v>13709.61052</v>
      </c>
      <c r="H4423" s="8">
        <v>14434</v>
      </c>
      <c r="I4423" s="8">
        <v>723.69149730000004</v>
      </c>
      <c r="J4423" s="8">
        <v>-8047.510362</v>
      </c>
      <c r="K4423" s="8">
        <v>-11604.453589999999</v>
      </c>
      <c r="L4423" s="8">
        <v>-4530.1072590000003</v>
      </c>
      <c r="M4423" s="9" t="str">
        <f>IF(A4423="",M4424,A4423)</f>
        <v>Uzbekistan</v>
      </c>
      <c r="N4423" s="3" t="str">
        <f t="shared" si="139"/>
        <v>Jun-2020</v>
      </c>
    </row>
    <row r="4424" spans="1:14" x14ac:dyDescent="0.3">
      <c r="A4424" s="3" t="s">
        <v>376</v>
      </c>
      <c r="B4424" s="3" t="s">
        <v>377</v>
      </c>
      <c r="C4424" s="8">
        <v>2020</v>
      </c>
      <c r="D4424" s="8">
        <v>7</v>
      </c>
      <c r="E4424" s="3" t="str">
        <f t="shared" si="138"/>
        <v>July</v>
      </c>
      <c r="F4424" s="3" t="s">
        <v>13</v>
      </c>
      <c r="G4424" s="8">
        <v>13470.29948</v>
      </c>
      <c r="H4424" s="8">
        <v>18159</v>
      </c>
      <c r="I4424" s="8">
        <v>4688.0025459999997</v>
      </c>
      <c r="J4424" s="8">
        <v>-3359.5078159999998</v>
      </c>
      <c r="K4424" s="8">
        <v>-7114.0697829999999</v>
      </c>
      <c r="L4424" s="8">
        <v>372.04576259999999</v>
      </c>
      <c r="M4424" s="9" t="str">
        <f>IF(A4424="",M4425,A4424)</f>
        <v>Uzbekistan</v>
      </c>
      <c r="N4424" s="3" t="str">
        <f t="shared" si="139"/>
        <v>Jul-2020</v>
      </c>
    </row>
    <row r="4425" spans="1:14" x14ac:dyDescent="0.3">
      <c r="A4425" s="3" t="s">
        <v>376</v>
      </c>
      <c r="B4425" s="3" t="s">
        <v>377</v>
      </c>
      <c r="C4425" s="8">
        <v>2020</v>
      </c>
      <c r="D4425" s="8">
        <v>8</v>
      </c>
      <c r="E4425" s="3" t="str">
        <f t="shared" si="138"/>
        <v>August</v>
      </c>
      <c r="F4425" s="3" t="s">
        <v>13</v>
      </c>
      <c r="G4425" s="8">
        <v>13232.49516</v>
      </c>
      <c r="H4425" s="8">
        <v>21678</v>
      </c>
      <c r="I4425" s="8">
        <v>8444.8068579999999</v>
      </c>
      <c r="J4425" s="8">
        <v>5085.2990419999996</v>
      </c>
      <c r="K4425" s="8">
        <v>1124.8438040000001</v>
      </c>
      <c r="L4425" s="8">
        <v>9068.5003410000008</v>
      </c>
      <c r="M4425" s="9" t="str">
        <f>IF(A4425="",M4426,A4425)</f>
        <v>Uzbekistan</v>
      </c>
      <c r="N4425" s="3" t="str">
        <f t="shared" si="139"/>
        <v>Aug-2020</v>
      </c>
    </row>
    <row r="4426" spans="1:14" x14ac:dyDescent="0.3">
      <c r="A4426" s="3" t="s">
        <v>376</v>
      </c>
      <c r="B4426" s="3" t="s">
        <v>377</v>
      </c>
      <c r="C4426" s="8">
        <v>2020</v>
      </c>
      <c r="D4426" s="8">
        <v>9</v>
      </c>
      <c r="E4426" s="3" t="str">
        <f t="shared" si="138"/>
        <v>September</v>
      </c>
      <c r="F4426" s="3" t="s">
        <v>13</v>
      </c>
      <c r="G4426" s="8">
        <v>13066.560460000001</v>
      </c>
      <c r="H4426" s="8">
        <v>13779</v>
      </c>
      <c r="I4426" s="8">
        <v>711.74156679999999</v>
      </c>
      <c r="J4426" s="8">
        <v>5797.0406089999997</v>
      </c>
      <c r="K4426" s="8">
        <v>1668.864808</v>
      </c>
      <c r="L4426" s="8">
        <v>9924.9119480000008</v>
      </c>
      <c r="M4426" s="9" t="str">
        <f>IF(A4426="",M4427,A4426)</f>
        <v>Uzbekistan</v>
      </c>
      <c r="N4426" s="3" t="str">
        <f t="shared" si="139"/>
        <v>Sep-2020</v>
      </c>
    </row>
    <row r="4427" spans="1:14" x14ac:dyDescent="0.3">
      <c r="A4427" s="3" t="s">
        <v>376</v>
      </c>
      <c r="B4427" s="3" t="s">
        <v>377</v>
      </c>
      <c r="C4427" s="8">
        <v>2020</v>
      </c>
      <c r="D4427" s="8">
        <v>10</v>
      </c>
      <c r="E4427" s="3" t="str">
        <f t="shared" si="138"/>
        <v>October</v>
      </c>
      <c r="F4427" s="3" t="s">
        <v>13</v>
      </c>
      <c r="G4427" s="8">
        <v>13436.10238</v>
      </c>
      <c r="H4427" s="8">
        <v>16363</v>
      </c>
      <c r="I4427" s="8">
        <v>2926.1996429999999</v>
      </c>
      <c r="J4427" s="8">
        <v>8723.2402519999996</v>
      </c>
      <c r="K4427" s="8">
        <v>4259.2291379999997</v>
      </c>
      <c r="L4427" s="8">
        <v>13366.740659999999</v>
      </c>
      <c r="M4427" s="9" t="str">
        <f>IF(A4427="",M4428,A4427)</f>
        <v>Uzbekistan</v>
      </c>
      <c r="N4427" s="3" t="str">
        <f t="shared" si="139"/>
        <v>Oct-2020</v>
      </c>
    </row>
    <row r="4428" spans="1:14" x14ac:dyDescent="0.3">
      <c r="A4428" s="3" t="s">
        <v>376</v>
      </c>
      <c r="B4428" s="3" t="s">
        <v>377</v>
      </c>
      <c r="C4428" s="8">
        <v>2020</v>
      </c>
      <c r="D4428" s="8">
        <v>11</v>
      </c>
      <c r="E4428" s="3" t="str">
        <f t="shared" si="138"/>
        <v>November</v>
      </c>
      <c r="F4428" s="3" t="s">
        <v>13</v>
      </c>
      <c r="G4428" s="8">
        <v>14068.258610000001</v>
      </c>
      <c r="H4428" s="8">
        <v>14871</v>
      </c>
      <c r="I4428" s="8">
        <v>802.04340930000001</v>
      </c>
      <c r="J4428" s="8">
        <v>9525.2836609999995</v>
      </c>
      <c r="K4428" s="8">
        <v>4788.1110879999997</v>
      </c>
      <c r="L4428" s="8">
        <v>14334.2852</v>
      </c>
      <c r="M4428" s="9" t="str">
        <f>IF(A4428="",M4429,A4428)</f>
        <v>Uzbekistan</v>
      </c>
      <c r="N4428" s="3" t="str">
        <f t="shared" si="139"/>
        <v>Nov-2020</v>
      </c>
    </row>
    <row r="4429" spans="1:14" x14ac:dyDescent="0.3">
      <c r="A4429" s="3" t="s">
        <v>376</v>
      </c>
      <c r="B4429" s="3" t="s">
        <v>377</v>
      </c>
      <c r="C4429" s="8">
        <v>2020</v>
      </c>
      <c r="D4429" s="8">
        <v>12</v>
      </c>
      <c r="E4429" s="3" t="str">
        <f t="shared" si="138"/>
        <v>December</v>
      </c>
      <c r="F4429" s="3" t="s">
        <v>13</v>
      </c>
      <c r="G4429" s="8">
        <v>14604.43556</v>
      </c>
      <c r="H4429" s="8">
        <v>20874</v>
      </c>
      <c r="I4429" s="8">
        <v>6268.8664650000001</v>
      </c>
      <c r="J4429" s="8">
        <v>15794.15013</v>
      </c>
      <c r="K4429" s="8">
        <v>10661.674639999999</v>
      </c>
      <c r="L4429" s="8">
        <v>20955.542119999998</v>
      </c>
      <c r="M4429" s="9" t="str">
        <f>IF(A4429="",M4430,A4429)</f>
        <v>Uzbekistan</v>
      </c>
      <c r="N4429" s="3" t="str">
        <f t="shared" si="139"/>
        <v>Dec-2020</v>
      </c>
    </row>
    <row r="4430" spans="1:14" x14ac:dyDescent="0.3">
      <c r="A4430" s="3" t="s">
        <v>376</v>
      </c>
      <c r="B4430" s="3" t="s">
        <v>377</v>
      </c>
      <c r="C4430" s="8">
        <v>2021</v>
      </c>
      <c r="D4430" s="8">
        <v>1</v>
      </c>
      <c r="E4430" s="3" t="str">
        <f t="shared" si="138"/>
        <v>January</v>
      </c>
      <c r="F4430" s="3" t="s">
        <v>13</v>
      </c>
      <c r="G4430" s="8">
        <v>14691.27643</v>
      </c>
      <c r="H4430" s="8">
        <v>12480</v>
      </c>
      <c r="I4430" s="8">
        <v>-2212.323394</v>
      </c>
      <c r="J4430" s="8">
        <v>13581.826730000001</v>
      </c>
      <c r="K4430" s="8">
        <v>8245.8365450000001</v>
      </c>
      <c r="L4430" s="8">
        <v>18933.90106</v>
      </c>
      <c r="M4430" s="9" t="str">
        <f>IF(A4430="",M4431,A4430)</f>
        <v>Uzbekistan</v>
      </c>
      <c r="N4430" s="3" t="str">
        <f t="shared" si="139"/>
        <v>Jan-2021</v>
      </c>
    </row>
    <row r="4431" spans="1:14" x14ac:dyDescent="0.3">
      <c r="A4431" s="3" t="s">
        <v>376</v>
      </c>
      <c r="B4431" s="3" t="s">
        <v>377</v>
      </c>
      <c r="C4431" s="8">
        <v>2021</v>
      </c>
      <c r="D4431" s="8">
        <v>2</v>
      </c>
      <c r="E4431" s="3" t="str">
        <f t="shared" si="138"/>
        <v>February</v>
      </c>
      <c r="F4431" s="3" t="s">
        <v>13</v>
      </c>
      <c r="G4431" s="8">
        <v>14754.2032</v>
      </c>
      <c r="H4431" s="8">
        <v>15392</v>
      </c>
      <c r="I4431" s="8">
        <v>636.74983399999996</v>
      </c>
      <c r="J4431" s="8">
        <v>14218.576569999999</v>
      </c>
      <c r="K4431" s="8">
        <v>8774.9190419999995</v>
      </c>
      <c r="L4431" s="8">
        <v>19907.798200000001</v>
      </c>
      <c r="M4431" s="9" t="str">
        <f>IF(A4431="",M4432,A4431)</f>
        <v>Uzbekistan</v>
      </c>
      <c r="N4431" s="3" t="str">
        <f t="shared" si="139"/>
        <v>Feb-2021</v>
      </c>
    </row>
    <row r="4432" spans="1:14" x14ac:dyDescent="0.3">
      <c r="A4432" s="3" t="s">
        <v>376</v>
      </c>
      <c r="B4432" s="3" t="s">
        <v>377</v>
      </c>
      <c r="C4432" s="8">
        <v>2021</v>
      </c>
      <c r="D4432" s="8">
        <v>3</v>
      </c>
      <c r="E4432" s="3" t="str">
        <f t="shared" si="138"/>
        <v>March</v>
      </c>
      <c r="F4432" s="3" t="s">
        <v>13</v>
      </c>
      <c r="G4432" s="8">
        <v>14563.718870000001</v>
      </c>
      <c r="H4432" s="8">
        <v>14241</v>
      </c>
      <c r="I4432" s="8">
        <v>-323.7658409</v>
      </c>
      <c r="J4432" s="8">
        <v>13894.810729999999</v>
      </c>
      <c r="K4432" s="8">
        <v>8312.3382509999992</v>
      </c>
      <c r="L4432" s="8">
        <v>19505.37729</v>
      </c>
      <c r="M4432" s="9" t="str">
        <f>IF(A4432="",M4433,A4432)</f>
        <v>Uzbekistan</v>
      </c>
      <c r="N4432" s="3" t="str">
        <f t="shared" si="139"/>
        <v>Mar-2021</v>
      </c>
    </row>
    <row r="4433" spans="1:14" x14ac:dyDescent="0.3">
      <c r="A4433" s="3" t="s">
        <v>376</v>
      </c>
      <c r="B4433" s="3" t="s">
        <v>377</v>
      </c>
      <c r="C4433" s="8">
        <v>2021</v>
      </c>
      <c r="D4433" s="8">
        <v>4</v>
      </c>
      <c r="E4433" s="3" t="str">
        <f t="shared" si="138"/>
        <v>April</v>
      </c>
      <c r="F4433" s="3" t="s">
        <v>13</v>
      </c>
      <c r="G4433" s="8">
        <v>14286.755090000001</v>
      </c>
      <c r="H4433" s="8">
        <v>13015</v>
      </c>
      <c r="I4433" s="8">
        <v>-1272.8020550000001</v>
      </c>
      <c r="J4433" s="8">
        <v>12622.008669999999</v>
      </c>
      <c r="K4433" s="8">
        <v>6741.0969649999997</v>
      </c>
      <c r="L4433" s="8">
        <v>18612.644649999998</v>
      </c>
      <c r="M4433" s="9" t="str">
        <f>IF(A4433="",M4434,A4433)</f>
        <v>Uzbekistan</v>
      </c>
      <c r="N4433" s="3" t="str">
        <f t="shared" si="139"/>
        <v>Apr-2021</v>
      </c>
    </row>
    <row r="4434" spans="1:14" x14ac:dyDescent="0.3">
      <c r="A4434" s="3" t="s">
        <v>376</v>
      </c>
      <c r="B4434" s="3" t="s">
        <v>377</v>
      </c>
      <c r="C4434" s="8">
        <v>2021</v>
      </c>
      <c r="D4434" s="8">
        <v>5</v>
      </c>
      <c r="E4434" s="3" t="str">
        <f t="shared" si="138"/>
        <v>May</v>
      </c>
      <c r="F4434" s="3" t="s">
        <v>13</v>
      </c>
      <c r="G4434" s="8">
        <v>13989.84894</v>
      </c>
      <c r="H4434" s="8">
        <v>13024</v>
      </c>
      <c r="I4434" s="8">
        <v>-966.89590229999999</v>
      </c>
      <c r="J4434" s="8">
        <v>11655.11277</v>
      </c>
      <c r="K4434" s="8">
        <v>5191.6345739999997</v>
      </c>
      <c r="L4434" s="8">
        <v>17552.7585</v>
      </c>
      <c r="M4434" s="9" t="str">
        <f>IF(A4434="",M4435,A4434)</f>
        <v>Uzbekistan</v>
      </c>
      <c r="N4434" s="3" t="str">
        <f t="shared" si="139"/>
        <v>May-2021</v>
      </c>
    </row>
    <row r="4435" spans="1:14" x14ac:dyDescent="0.3">
      <c r="A4435" s="3" t="s">
        <v>376</v>
      </c>
      <c r="B4435" s="3" t="s">
        <v>377</v>
      </c>
      <c r="C4435" s="8">
        <v>2021</v>
      </c>
      <c r="D4435" s="8">
        <v>6</v>
      </c>
      <c r="E4435" s="3" t="str">
        <f t="shared" si="138"/>
        <v>June</v>
      </c>
      <c r="F4435" s="3" t="s">
        <v>13</v>
      </c>
      <c r="G4435" s="8">
        <v>13786.9665</v>
      </c>
      <c r="H4435" s="8">
        <v>15316</v>
      </c>
      <c r="I4435" s="8">
        <v>1527.986529</v>
      </c>
      <c r="J4435" s="8">
        <v>13183.0993</v>
      </c>
      <c r="K4435" s="8">
        <v>6265.2638690000003</v>
      </c>
      <c r="L4435" s="8">
        <v>19575.780620000001</v>
      </c>
      <c r="M4435" s="9" t="str">
        <f>IF(A4435="",M4436,A4435)</f>
        <v>Uzbekistan</v>
      </c>
      <c r="N4435" s="3" t="str">
        <f t="shared" si="139"/>
        <v>Jun-2021</v>
      </c>
    </row>
    <row r="4436" spans="1:14" x14ac:dyDescent="0.3">
      <c r="A4436" s="3" t="s">
        <v>376</v>
      </c>
      <c r="B4436" s="3" t="s">
        <v>377</v>
      </c>
      <c r="C4436" s="8">
        <v>2021</v>
      </c>
      <c r="D4436" s="8">
        <v>7</v>
      </c>
      <c r="E4436" s="3" t="str">
        <f t="shared" si="138"/>
        <v>July</v>
      </c>
      <c r="F4436" s="3" t="s">
        <v>13</v>
      </c>
      <c r="G4436" s="8">
        <v>13530.74512</v>
      </c>
      <c r="H4436" s="8">
        <v>18499</v>
      </c>
      <c r="I4436" s="8">
        <v>4967.2079139999996</v>
      </c>
      <c r="J4436" s="8">
        <v>18150.307209999999</v>
      </c>
      <c r="K4436" s="8">
        <v>11328.16534</v>
      </c>
      <c r="L4436" s="8">
        <v>24986.472959999999</v>
      </c>
      <c r="M4436" s="9" t="str">
        <f>IF(A4436="",M4437,A4436)</f>
        <v>Uzbekistan</v>
      </c>
      <c r="N4436" s="3" t="str">
        <f t="shared" si="139"/>
        <v>Jul-2021</v>
      </c>
    </row>
    <row r="4437" spans="1:14" x14ac:dyDescent="0.3">
      <c r="A4437" s="3" t="s">
        <v>376</v>
      </c>
      <c r="B4437" s="3" t="s">
        <v>377</v>
      </c>
      <c r="C4437" s="8">
        <v>2021</v>
      </c>
      <c r="D4437" s="8">
        <v>8</v>
      </c>
      <c r="E4437" s="3" t="str">
        <f t="shared" si="138"/>
        <v>August</v>
      </c>
      <c r="F4437" s="3" t="s">
        <v>13</v>
      </c>
      <c r="G4437" s="8">
        <v>13148.860640000001</v>
      </c>
      <c r="H4437" s="8">
        <v>22204</v>
      </c>
      <c r="I4437" s="8">
        <v>9054.0923970000003</v>
      </c>
      <c r="J4437" s="8">
        <v>27204.39961</v>
      </c>
      <c r="K4437" s="8">
        <v>20189.31005</v>
      </c>
      <c r="L4437" s="8">
        <v>34181.799319999998</v>
      </c>
      <c r="M4437" s="9" t="str">
        <f>IF(A4437="",M4438,A4437)</f>
        <v>Uzbekistan</v>
      </c>
      <c r="N4437" s="3" t="str">
        <f t="shared" si="139"/>
        <v>Aug-2021</v>
      </c>
    </row>
    <row r="4438" spans="1:14" x14ac:dyDescent="0.3">
      <c r="A4438" s="3" t="s">
        <v>376</v>
      </c>
      <c r="B4438" s="3" t="s">
        <v>377</v>
      </c>
      <c r="C4438" s="8">
        <v>2021</v>
      </c>
      <c r="D4438" s="8">
        <v>9</v>
      </c>
      <c r="E4438" s="3" t="str">
        <f t="shared" si="138"/>
        <v>September</v>
      </c>
      <c r="F4438" s="3" t="s">
        <v>13</v>
      </c>
      <c r="G4438" s="8">
        <v>13118.48259</v>
      </c>
      <c r="H4438" s="8">
        <v>14087</v>
      </c>
      <c r="I4438" s="8">
        <v>967.47044349999999</v>
      </c>
      <c r="J4438" s="8">
        <v>28171.870050000001</v>
      </c>
      <c r="K4438" s="8">
        <v>20821.984339999999</v>
      </c>
      <c r="L4438" s="8">
        <v>35175.780400000003</v>
      </c>
      <c r="M4438" s="9" t="str">
        <f>IF(A4438="",M4439,A4438)</f>
        <v>Uzbekistan</v>
      </c>
      <c r="N4438" s="3" t="str">
        <f t="shared" si="139"/>
        <v>Sep-2021</v>
      </c>
    </row>
    <row r="4439" spans="1:14" x14ac:dyDescent="0.3">
      <c r="A4439" s="3" t="s">
        <v>376</v>
      </c>
      <c r="B4439" s="3" t="s">
        <v>377</v>
      </c>
      <c r="C4439" s="8">
        <v>2021</v>
      </c>
      <c r="D4439" s="8">
        <v>10</v>
      </c>
      <c r="E4439" s="3" t="str">
        <f t="shared" si="138"/>
        <v>October</v>
      </c>
      <c r="F4439" s="3" t="s">
        <v>13</v>
      </c>
      <c r="G4439" s="8">
        <v>13435.58706</v>
      </c>
      <c r="H4439" s="8">
        <v>14344</v>
      </c>
      <c r="I4439" s="8">
        <v>907.36597789999996</v>
      </c>
      <c r="J4439" s="8">
        <v>29079.23603</v>
      </c>
      <c r="K4439" s="8">
        <v>21649.99584</v>
      </c>
      <c r="L4439" s="8">
        <v>36423.57879</v>
      </c>
      <c r="M4439" s="9" t="str">
        <f>IF(A4439="",M4440,A4439)</f>
        <v>Uzbekistan</v>
      </c>
      <c r="N4439" s="3" t="str">
        <f t="shared" si="139"/>
        <v>Oct-2021</v>
      </c>
    </row>
    <row r="4440" spans="1:14" x14ac:dyDescent="0.3">
      <c r="A4440" s="3" t="s">
        <v>376</v>
      </c>
      <c r="B4440" s="3" t="s">
        <v>377</v>
      </c>
      <c r="C4440" s="8">
        <v>2021</v>
      </c>
      <c r="D4440" s="8">
        <v>11</v>
      </c>
      <c r="E4440" s="3" t="str">
        <f t="shared" si="138"/>
        <v>November</v>
      </c>
      <c r="F4440" s="3" t="s">
        <v>13</v>
      </c>
      <c r="G4440" s="8">
        <v>14017.294239999999</v>
      </c>
      <c r="H4440" s="8">
        <v>13590</v>
      </c>
      <c r="I4440" s="8">
        <v>-428.34120250000001</v>
      </c>
      <c r="J4440" s="8">
        <v>28650.894830000001</v>
      </c>
      <c r="K4440" s="8">
        <v>20842.809949999999</v>
      </c>
      <c r="L4440" s="8">
        <v>35776.870620000002</v>
      </c>
      <c r="M4440" s="9" t="str">
        <f>IF(A4440="",M4441,A4440)</f>
        <v>Uzbekistan</v>
      </c>
      <c r="N4440" s="3" t="str">
        <f t="shared" si="139"/>
        <v>Nov-2021</v>
      </c>
    </row>
    <row r="4441" spans="1:14" x14ac:dyDescent="0.3">
      <c r="A4441" s="3" t="s">
        <v>376</v>
      </c>
      <c r="B4441" s="3" t="s">
        <v>377</v>
      </c>
      <c r="C4441" s="8">
        <v>2021</v>
      </c>
      <c r="D4441" s="8">
        <v>12</v>
      </c>
      <c r="E4441" s="3" t="str">
        <f t="shared" si="138"/>
        <v>December</v>
      </c>
      <c r="F4441" s="3" t="s">
        <v>13</v>
      </c>
      <c r="G4441" s="8">
        <v>14567.59424</v>
      </c>
      <c r="H4441" s="8">
        <v>16538</v>
      </c>
      <c r="I4441" s="8">
        <v>1969.358788</v>
      </c>
      <c r="J4441" s="8">
        <v>30620.25362</v>
      </c>
      <c r="K4441" s="8">
        <v>22898.428739999999</v>
      </c>
      <c r="L4441" s="8">
        <v>38080.807130000001</v>
      </c>
      <c r="M4441" s="9" t="str">
        <f>IF(A4441="",M4442,A4441)</f>
        <v>Uzbekistan</v>
      </c>
      <c r="N4441" s="3" t="str">
        <f t="shared" si="139"/>
        <v>Dec-2021</v>
      </c>
    </row>
    <row r="4442" spans="1:14" x14ac:dyDescent="0.3">
      <c r="A4442" s="3" t="s">
        <v>378</v>
      </c>
      <c r="B4442" s="3" t="s">
        <v>379</v>
      </c>
      <c r="C4442" s="8">
        <v>2020</v>
      </c>
      <c r="D4442" s="8">
        <v>1</v>
      </c>
      <c r="E4442" s="3" t="str">
        <f t="shared" si="138"/>
        <v>January</v>
      </c>
      <c r="F4442" s="3" t="s">
        <v>13</v>
      </c>
      <c r="G4442" s="8">
        <v>84.770641150000003</v>
      </c>
      <c r="H4442" s="8">
        <v>93</v>
      </c>
      <c r="I4442" s="8">
        <v>8.0626921849999995</v>
      </c>
      <c r="J4442" s="8">
        <v>8.0626921849999995</v>
      </c>
      <c r="K4442" s="8">
        <v>1.5309922920000001</v>
      </c>
      <c r="L4442" s="8">
        <v>14.26930918</v>
      </c>
      <c r="M4442" s="9" t="str">
        <f>IF(A4442="",M4443,A4442)</f>
        <v>Saint Vincent and the Grenadines</v>
      </c>
      <c r="N4442" s="3" t="str">
        <f t="shared" si="139"/>
        <v>Jan-2020</v>
      </c>
    </row>
    <row r="4443" spans="1:14" x14ac:dyDescent="0.3">
      <c r="A4443" s="3" t="s">
        <v>378</v>
      </c>
      <c r="B4443" s="3" t="s">
        <v>379</v>
      </c>
      <c r="C4443" s="8">
        <v>2020</v>
      </c>
      <c r="D4443" s="8">
        <v>2</v>
      </c>
      <c r="E4443" s="3" t="str">
        <f t="shared" si="138"/>
        <v>February</v>
      </c>
      <c r="F4443" s="3" t="s">
        <v>13</v>
      </c>
      <c r="G4443" s="8">
        <v>83.232600439999999</v>
      </c>
      <c r="H4443" s="8">
        <v>76</v>
      </c>
      <c r="I4443" s="8">
        <v>-7.3992671049999998</v>
      </c>
      <c r="J4443" s="8">
        <v>0.66342508</v>
      </c>
      <c r="K4443" s="8">
        <v>-9.2803366139999994</v>
      </c>
      <c r="L4443" s="8">
        <v>9.8494798649999993</v>
      </c>
      <c r="M4443" s="9" t="str">
        <f>IF(A4443="",M4444,A4443)</f>
        <v>Saint Vincent and the Grenadines</v>
      </c>
      <c r="N4443" s="3" t="str">
        <f t="shared" si="139"/>
        <v>Feb-2020</v>
      </c>
    </row>
    <row r="4444" spans="1:14" x14ac:dyDescent="0.3">
      <c r="A4444" s="3" t="s">
        <v>378</v>
      </c>
      <c r="B4444" s="3" t="s">
        <v>379</v>
      </c>
      <c r="C4444" s="8">
        <v>2020</v>
      </c>
      <c r="D4444" s="8">
        <v>3</v>
      </c>
      <c r="E4444" s="3" t="str">
        <f t="shared" si="138"/>
        <v>March</v>
      </c>
      <c r="F4444" s="3" t="s">
        <v>13</v>
      </c>
      <c r="G4444" s="8">
        <v>82.620090719999993</v>
      </c>
      <c r="H4444" s="8">
        <v>90</v>
      </c>
      <c r="I4444" s="8">
        <v>7.2132426159999996</v>
      </c>
      <c r="J4444" s="8">
        <v>7.8766676960000002</v>
      </c>
      <c r="K4444" s="8">
        <v>-3.8383638520000001</v>
      </c>
      <c r="L4444" s="8">
        <v>20.327151400000002</v>
      </c>
      <c r="M4444" s="9" t="str">
        <f>IF(A4444="",M4445,A4444)</f>
        <v>Saint Vincent and the Grenadines</v>
      </c>
      <c r="N4444" s="3" t="str">
        <f t="shared" si="139"/>
        <v>Mar-2020</v>
      </c>
    </row>
    <row r="4445" spans="1:14" x14ac:dyDescent="0.3">
      <c r="A4445" s="3" t="s">
        <v>378</v>
      </c>
      <c r="B4445" s="3" t="s">
        <v>379</v>
      </c>
      <c r="C4445" s="8">
        <v>2020</v>
      </c>
      <c r="D4445" s="8">
        <v>4</v>
      </c>
      <c r="E4445" s="3" t="str">
        <f t="shared" si="138"/>
        <v>April</v>
      </c>
      <c r="F4445" s="3" t="s">
        <v>13</v>
      </c>
      <c r="G4445" s="8">
        <v>82.657324810000006</v>
      </c>
      <c r="H4445" s="8">
        <v>87</v>
      </c>
      <c r="I4445" s="8">
        <v>4.1760085220000001</v>
      </c>
      <c r="J4445" s="8">
        <v>12.05267622</v>
      </c>
      <c r="K4445" s="8">
        <v>-1.8777060459999999</v>
      </c>
      <c r="L4445" s="8">
        <v>26.637736480000001</v>
      </c>
      <c r="M4445" s="9" t="str">
        <f>IF(A4445="",M4446,A4445)</f>
        <v>Saint Vincent and the Grenadines</v>
      </c>
      <c r="N4445" s="3" t="str">
        <f t="shared" si="139"/>
        <v>Apr-2020</v>
      </c>
    </row>
    <row r="4446" spans="1:14" x14ac:dyDescent="0.3">
      <c r="A4446" s="3" t="s">
        <v>378</v>
      </c>
      <c r="B4446" s="3" t="s">
        <v>379</v>
      </c>
      <c r="C4446" s="8">
        <v>2020</v>
      </c>
      <c r="D4446" s="8">
        <v>5</v>
      </c>
      <c r="E4446" s="3" t="str">
        <f t="shared" si="138"/>
        <v>May</v>
      </c>
      <c r="F4446" s="3" t="s">
        <v>13</v>
      </c>
      <c r="G4446" s="8">
        <v>83.51790441</v>
      </c>
      <c r="H4446" s="8">
        <v>97</v>
      </c>
      <c r="I4446" s="8">
        <v>13.315428929999999</v>
      </c>
      <c r="J4446" s="8">
        <v>25.368105140000001</v>
      </c>
      <c r="K4446" s="8">
        <v>9.6934251820000004</v>
      </c>
      <c r="L4446" s="8">
        <v>41.279246890000003</v>
      </c>
      <c r="M4446" s="9" t="str">
        <f>IF(A4446="",M4447,A4446)</f>
        <v>Saint Vincent and the Grenadines</v>
      </c>
      <c r="N4446" s="3" t="str">
        <f t="shared" si="139"/>
        <v>May-2020</v>
      </c>
    </row>
    <row r="4447" spans="1:14" x14ac:dyDescent="0.3">
      <c r="A4447" s="3" t="s">
        <v>378</v>
      </c>
      <c r="B4447" s="3" t="s">
        <v>379</v>
      </c>
      <c r="C4447" s="8">
        <v>2020</v>
      </c>
      <c r="D4447" s="8">
        <v>6</v>
      </c>
      <c r="E4447" s="3" t="str">
        <f t="shared" si="138"/>
        <v>June</v>
      </c>
      <c r="F4447" s="3" t="s">
        <v>13</v>
      </c>
      <c r="G4447" s="8">
        <v>86.330209620000005</v>
      </c>
      <c r="H4447" s="8">
        <v>82</v>
      </c>
      <c r="I4447" s="8">
        <v>-4.4968762880000002</v>
      </c>
      <c r="J4447" s="8">
        <v>20.871228859999999</v>
      </c>
      <c r="K4447" s="8">
        <v>4.1958873690000003</v>
      </c>
      <c r="L4447" s="8">
        <v>37.759398240000003</v>
      </c>
      <c r="M4447" s="9" t="str">
        <f>IF(A4447="",M4448,A4447)</f>
        <v>Saint Vincent and the Grenadines</v>
      </c>
      <c r="N4447" s="3" t="str">
        <f t="shared" si="139"/>
        <v>Jun-2020</v>
      </c>
    </row>
    <row r="4448" spans="1:14" x14ac:dyDescent="0.3">
      <c r="A4448" s="3" t="s">
        <v>378</v>
      </c>
      <c r="B4448" s="3" t="s">
        <v>379</v>
      </c>
      <c r="C4448" s="8">
        <v>2020</v>
      </c>
      <c r="D4448" s="8">
        <v>7</v>
      </c>
      <c r="E4448" s="3" t="str">
        <f t="shared" si="138"/>
        <v>July</v>
      </c>
      <c r="F4448" s="3" t="s">
        <v>13</v>
      </c>
      <c r="G4448" s="8">
        <v>89.951574260000001</v>
      </c>
      <c r="H4448" s="8">
        <v>84</v>
      </c>
      <c r="I4448" s="8">
        <v>-6.1182409250000003</v>
      </c>
      <c r="J4448" s="8">
        <v>14.75298793</v>
      </c>
      <c r="K4448" s="8">
        <v>-3.8894975829999998</v>
      </c>
      <c r="L4448" s="8">
        <v>33.354025110000002</v>
      </c>
      <c r="M4448" s="9" t="str">
        <f>IF(A4448="",M4449,A4448)</f>
        <v>Saint Vincent and the Grenadines</v>
      </c>
      <c r="N4448" s="3" t="str">
        <f t="shared" si="139"/>
        <v>Jul-2020</v>
      </c>
    </row>
    <row r="4449" spans="1:14" x14ac:dyDescent="0.3">
      <c r="A4449" s="3" t="s">
        <v>378</v>
      </c>
      <c r="B4449" s="3" t="s">
        <v>379</v>
      </c>
      <c r="C4449" s="8">
        <v>2020</v>
      </c>
      <c r="D4449" s="8">
        <v>8</v>
      </c>
      <c r="E4449" s="3" t="str">
        <f t="shared" si="138"/>
        <v>August</v>
      </c>
      <c r="F4449" s="3" t="s">
        <v>13</v>
      </c>
      <c r="G4449" s="8">
        <v>92.177247640000004</v>
      </c>
      <c r="H4449" s="8">
        <v>91</v>
      </c>
      <c r="I4449" s="8">
        <v>-1.3439143090000001</v>
      </c>
      <c r="J4449" s="8">
        <v>13.409073619999999</v>
      </c>
      <c r="K4449" s="8">
        <v>-7.2129793280000003</v>
      </c>
      <c r="L4449" s="8">
        <v>33.563836569999999</v>
      </c>
      <c r="M4449" s="9" t="str">
        <f>IF(A4449="",M4450,A4449)</f>
        <v>Saint Vincent and the Grenadines</v>
      </c>
      <c r="N4449" s="3" t="str">
        <f t="shared" si="139"/>
        <v>Aug-2020</v>
      </c>
    </row>
    <row r="4450" spans="1:14" x14ac:dyDescent="0.3">
      <c r="A4450" s="3" t="s">
        <v>378</v>
      </c>
      <c r="B4450" s="3" t="s">
        <v>379</v>
      </c>
      <c r="C4450" s="8">
        <v>2020</v>
      </c>
      <c r="D4450" s="8">
        <v>9</v>
      </c>
      <c r="E4450" s="3" t="str">
        <f t="shared" si="138"/>
        <v>September</v>
      </c>
      <c r="F4450" s="3" t="s">
        <v>13</v>
      </c>
      <c r="G4450" s="8">
        <v>92.404041849999999</v>
      </c>
      <c r="H4450" s="8">
        <v>94</v>
      </c>
      <c r="I4450" s="8">
        <v>1.4292914880000001</v>
      </c>
      <c r="J4450" s="8">
        <v>14.83836511</v>
      </c>
      <c r="K4450" s="8">
        <v>-7.4374850869999998</v>
      </c>
      <c r="L4450" s="8">
        <v>37.097793979999999</v>
      </c>
      <c r="M4450" s="9" t="str">
        <f>IF(A4450="",M4451,A4450)</f>
        <v>Saint Vincent and the Grenadines</v>
      </c>
      <c r="N4450" s="3" t="str">
        <f t="shared" si="139"/>
        <v>Sep-2020</v>
      </c>
    </row>
    <row r="4451" spans="1:14" x14ac:dyDescent="0.3">
      <c r="A4451" s="3" t="s">
        <v>378</v>
      </c>
      <c r="B4451" s="3" t="s">
        <v>379</v>
      </c>
      <c r="C4451" s="8">
        <v>2020</v>
      </c>
      <c r="D4451" s="8">
        <v>10</v>
      </c>
      <c r="E4451" s="3" t="str">
        <f t="shared" si="138"/>
        <v>October</v>
      </c>
      <c r="F4451" s="3" t="s">
        <v>13</v>
      </c>
      <c r="G4451" s="8">
        <v>90.755424110000007</v>
      </c>
      <c r="H4451" s="8">
        <v>85</v>
      </c>
      <c r="I4451" s="8">
        <v>-5.9220907770000002</v>
      </c>
      <c r="J4451" s="8">
        <v>8.9162743320000004</v>
      </c>
      <c r="K4451" s="8">
        <v>-15.09794496</v>
      </c>
      <c r="L4451" s="8">
        <v>32.531007070000001</v>
      </c>
      <c r="M4451" s="9" t="str">
        <f>IF(A4451="",M4452,A4451)</f>
        <v>Saint Vincent and the Grenadines</v>
      </c>
      <c r="N4451" s="3" t="str">
        <f t="shared" si="139"/>
        <v>Oct-2020</v>
      </c>
    </row>
    <row r="4452" spans="1:14" x14ac:dyDescent="0.3">
      <c r="A4452" s="3" t="s">
        <v>378</v>
      </c>
      <c r="B4452" s="3" t="s">
        <v>379</v>
      </c>
      <c r="C4452" s="8">
        <v>2020</v>
      </c>
      <c r="D4452" s="8">
        <v>11</v>
      </c>
      <c r="E4452" s="3" t="str">
        <f t="shared" si="138"/>
        <v>November</v>
      </c>
      <c r="F4452" s="3" t="s">
        <v>13</v>
      </c>
      <c r="G4452" s="8">
        <v>88.974574279999999</v>
      </c>
      <c r="H4452" s="8">
        <v>90</v>
      </c>
      <c r="I4452" s="8">
        <v>0.85875905500000005</v>
      </c>
      <c r="J4452" s="8">
        <v>9.7750333870000006</v>
      </c>
      <c r="K4452" s="8">
        <v>-14.283082800000001</v>
      </c>
      <c r="L4452" s="8">
        <v>34.948948369999997</v>
      </c>
      <c r="M4452" s="9" t="str">
        <f>IF(A4452="",M4453,A4452)</f>
        <v>Saint Vincent and the Grenadines</v>
      </c>
      <c r="N4452" s="3" t="str">
        <f t="shared" si="139"/>
        <v>Nov-2020</v>
      </c>
    </row>
    <row r="4453" spans="1:14" x14ac:dyDescent="0.3">
      <c r="A4453" s="3" t="s">
        <v>378</v>
      </c>
      <c r="B4453" s="3" t="s">
        <v>379</v>
      </c>
      <c r="C4453" s="8">
        <v>2020</v>
      </c>
      <c r="D4453" s="8">
        <v>12</v>
      </c>
      <c r="E4453" s="3" t="str">
        <f t="shared" si="138"/>
        <v>December</v>
      </c>
      <c r="F4453" s="3" t="s">
        <v>13</v>
      </c>
      <c r="G4453" s="8">
        <v>87.643000000000001</v>
      </c>
      <c r="H4453" s="8">
        <v>80</v>
      </c>
      <c r="I4453" s="8">
        <v>-7.809666665</v>
      </c>
      <c r="J4453" s="8">
        <v>1.965366722</v>
      </c>
      <c r="K4453" s="8">
        <v>-23.152611830000001</v>
      </c>
      <c r="L4453" s="8">
        <v>28.12182391</v>
      </c>
      <c r="M4453" s="9" t="str">
        <f>IF(A4453="",M4454,A4453)</f>
        <v>Saint Vincent and the Grenadines</v>
      </c>
      <c r="N4453" s="3" t="str">
        <f t="shared" si="139"/>
        <v>Dec-2020</v>
      </c>
    </row>
    <row r="4454" spans="1:14" x14ac:dyDescent="0.3">
      <c r="A4454" s="3" t="s">
        <v>378</v>
      </c>
      <c r="B4454" s="3" t="s">
        <v>379</v>
      </c>
      <c r="C4454" s="8">
        <v>2021</v>
      </c>
      <c r="D4454" s="8">
        <v>1</v>
      </c>
      <c r="E4454" s="3" t="str">
        <f t="shared" si="138"/>
        <v>January</v>
      </c>
      <c r="F4454" s="3" t="s">
        <v>13</v>
      </c>
      <c r="G4454" s="8">
        <v>87.619797430000006</v>
      </c>
      <c r="H4454" s="8">
        <v>85</v>
      </c>
      <c r="I4454" s="8">
        <v>-2.6197974259999999</v>
      </c>
      <c r="J4454" s="8">
        <v>-0.65443070400000003</v>
      </c>
      <c r="K4454" s="8">
        <v>-28.158757569999999</v>
      </c>
      <c r="L4454" s="8">
        <v>28.76143441</v>
      </c>
      <c r="M4454" s="9" t="str">
        <f>IF(A4454="",M4455,A4454)</f>
        <v>Saint Vincent and the Grenadines</v>
      </c>
      <c r="N4454" s="3" t="str">
        <f t="shared" si="139"/>
        <v>Jan-2021</v>
      </c>
    </row>
    <row r="4455" spans="1:14" x14ac:dyDescent="0.3">
      <c r="A4455" s="3" t="s">
        <v>378</v>
      </c>
      <c r="B4455" s="3" t="s">
        <v>379</v>
      </c>
      <c r="C4455" s="8">
        <v>2021</v>
      </c>
      <c r="D4455" s="8">
        <v>2</v>
      </c>
      <c r="E4455" s="3" t="str">
        <f t="shared" si="138"/>
        <v>February</v>
      </c>
      <c r="F4455" s="3" t="s">
        <v>13</v>
      </c>
      <c r="G4455" s="8">
        <v>86.356457879999994</v>
      </c>
      <c r="H4455" s="8">
        <v>94</v>
      </c>
      <c r="I4455" s="8">
        <v>7.6435421239999997</v>
      </c>
      <c r="J4455" s="8">
        <v>6.9891114200000004</v>
      </c>
      <c r="K4455" s="8">
        <v>-21.888492620000001</v>
      </c>
      <c r="L4455" s="8">
        <v>36.961586560000001</v>
      </c>
      <c r="M4455" s="9" t="str">
        <f>IF(A4455="",M4456,A4455)</f>
        <v>Saint Vincent and the Grenadines</v>
      </c>
      <c r="N4455" s="3" t="str">
        <f t="shared" si="139"/>
        <v>Feb-2021</v>
      </c>
    </row>
    <row r="4456" spans="1:14" x14ac:dyDescent="0.3">
      <c r="A4456" s="3" t="s">
        <v>378</v>
      </c>
      <c r="B4456" s="3" t="s">
        <v>379</v>
      </c>
      <c r="C4456" s="8">
        <v>2021</v>
      </c>
      <c r="D4456" s="8">
        <v>3</v>
      </c>
      <c r="E4456" s="3" t="str">
        <f t="shared" si="138"/>
        <v>March</v>
      </c>
      <c r="F4456" s="3" t="s">
        <v>13</v>
      </c>
      <c r="G4456" s="8">
        <v>85.433750739999994</v>
      </c>
      <c r="H4456" s="8">
        <v>68</v>
      </c>
      <c r="I4456" s="8">
        <v>-17.433750740000001</v>
      </c>
      <c r="J4456" s="8">
        <v>-10.44463932</v>
      </c>
      <c r="K4456" s="8">
        <v>-40.213022580000001</v>
      </c>
      <c r="L4456" s="8">
        <v>19.36478717</v>
      </c>
      <c r="M4456" s="9" t="str">
        <f>IF(A4456="",M4457,A4456)</f>
        <v>Saint Vincent and the Grenadines</v>
      </c>
      <c r="N4456" s="3" t="str">
        <f t="shared" si="139"/>
        <v>Mar-2021</v>
      </c>
    </row>
    <row r="4457" spans="1:14" x14ac:dyDescent="0.3">
      <c r="A4457" s="3" t="s">
        <v>378</v>
      </c>
      <c r="B4457" s="3" t="s">
        <v>379</v>
      </c>
      <c r="C4457" s="8">
        <v>2021</v>
      </c>
      <c r="D4457" s="8">
        <v>4</v>
      </c>
      <c r="E4457" s="3" t="str">
        <f t="shared" si="138"/>
        <v>April</v>
      </c>
      <c r="F4457" s="3" t="s">
        <v>13</v>
      </c>
      <c r="G4457" s="8">
        <v>85.479352890000001</v>
      </c>
      <c r="H4457" s="8">
        <v>85</v>
      </c>
      <c r="I4457" s="8">
        <v>-0.47935288599999998</v>
      </c>
      <c r="J4457" s="8">
        <v>-10.92399221</v>
      </c>
      <c r="K4457" s="8">
        <v>-41.483504000000003</v>
      </c>
      <c r="L4457" s="8">
        <v>20.394904740000001</v>
      </c>
      <c r="M4457" s="9" t="str">
        <f>IF(A4457="",M4458,A4457)</f>
        <v>Saint Vincent and the Grenadines</v>
      </c>
      <c r="N4457" s="3" t="str">
        <f t="shared" si="139"/>
        <v>Apr-2021</v>
      </c>
    </row>
    <row r="4458" spans="1:14" x14ac:dyDescent="0.3">
      <c r="A4458" s="3" t="s">
        <v>378</v>
      </c>
      <c r="B4458" s="3" t="s">
        <v>379</v>
      </c>
      <c r="C4458" s="8">
        <v>2021</v>
      </c>
      <c r="D4458" s="8">
        <v>5</v>
      </c>
      <c r="E4458" s="3" t="str">
        <f t="shared" si="138"/>
        <v>May</v>
      </c>
      <c r="F4458" s="3" t="s">
        <v>13</v>
      </c>
      <c r="G4458" s="8">
        <v>86.637301789999995</v>
      </c>
      <c r="H4458" s="8">
        <v>87</v>
      </c>
      <c r="I4458" s="8">
        <v>0.36269821000000002</v>
      </c>
      <c r="J4458" s="8">
        <v>-10.561293989999999</v>
      </c>
      <c r="K4458" s="8">
        <v>-42.419316510000002</v>
      </c>
      <c r="L4458" s="8">
        <v>22.22463029</v>
      </c>
      <c r="M4458" s="9" t="str">
        <f>IF(A4458="",M4459,A4458)</f>
        <v>Saint Vincent and the Grenadines</v>
      </c>
      <c r="N4458" s="3" t="str">
        <f t="shared" si="139"/>
        <v>May-2021</v>
      </c>
    </row>
    <row r="4459" spans="1:14" x14ac:dyDescent="0.3">
      <c r="A4459" s="3" t="s">
        <v>378</v>
      </c>
      <c r="B4459" s="3" t="s">
        <v>379</v>
      </c>
      <c r="C4459" s="8">
        <v>2021</v>
      </c>
      <c r="D4459" s="8">
        <v>6</v>
      </c>
      <c r="E4459" s="3" t="str">
        <f t="shared" si="138"/>
        <v>June</v>
      </c>
      <c r="F4459" s="3" t="s">
        <v>13</v>
      </c>
      <c r="G4459" s="8">
        <v>89.653577639999995</v>
      </c>
      <c r="H4459" s="8">
        <v>76</v>
      </c>
      <c r="I4459" s="8">
        <v>-13.65357764</v>
      </c>
      <c r="J4459" s="8">
        <v>-24.214871639999998</v>
      </c>
      <c r="K4459" s="8">
        <v>-59.519670679999997</v>
      </c>
      <c r="L4459" s="8">
        <v>10.085900909999999</v>
      </c>
      <c r="M4459" s="9" t="str">
        <f>IF(A4459="",M4460,A4459)</f>
        <v>Saint Vincent and the Grenadines</v>
      </c>
      <c r="N4459" s="3" t="str">
        <f t="shared" si="139"/>
        <v>Jun-2021</v>
      </c>
    </row>
    <row r="4460" spans="1:14" x14ac:dyDescent="0.3">
      <c r="A4460" s="3" t="s">
        <v>378</v>
      </c>
      <c r="B4460" s="3" t="s">
        <v>379</v>
      </c>
      <c r="C4460" s="8">
        <v>2021</v>
      </c>
      <c r="D4460" s="8">
        <v>7</v>
      </c>
      <c r="E4460" s="3" t="str">
        <f t="shared" si="138"/>
        <v>July</v>
      </c>
      <c r="F4460" s="3" t="s">
        <v>13</v>
      </c>
      <c r="G4460" s="8">
        <v>93.395377929999995</v>
      </c>
      <c r="H4460" s="8">
        <v>90</v>
      </c>
      <c r="I4460" s="8">
        <v>-3.395377935</v>
      </c>
      <c r="J4460" s="8">
        <v>-27.610249570000001</v>
      </c>
      <c r="K4460" s="8">
        <v>-65.605308649999998</v>
      </c>
      <c r="L4460" s="8">
        <v>8.4212875240000002</v>
      </c>
      <c r="M4460" s="9" t="str">
        <f>IF(A4460="",M4461,A4460)</f>
        <v>Saint Vincent and the Grenadines</v>
      </c>
      <c r="N4460" s="3" t="str">
        <f t="shared" si="139"/>
        <v>Jul-2021</v>
      </c>
    </row>
    <row r="4461" spans="1:14" x14ac:dyDescent="0.3">
      <c r="A4461" s="3" t="s">
        <v>378</v>
      </c>
      <c r="B4461" s="3" t="s">
        <v>379</v>
      </c>
      <c r="C4461" s="8">
        <v>2021</v>
      </c>
      <c r="D4461" s="8">
        <v>8</v>
      </c>
      <c r="E4461" s="3" t="str">
        <f t="shared" si="138"/>
        <v>August</v>
      </c>
      <c r="F4461" s="3" t="s">
        <v>13</v>
      </c>
      <c r="G4461" s="8">
        <v>95.339865270000004</v>
      </c>
      <c r="H4461" s="8">
        <v>96</v>
      </c>
      <c r="I4461" s="8">
        <v>0.66013472900000003</v>
      </c>
      <c r="J4461" s="8">
        <v>-26.950114840000001</v>
      </c>
      <c r="K4461" s="8">
        <v>-65.761862550000004</v>
      </c>
      <c r="L4461" s="8">
        <v>9.1610701060000004</v>
      </c>
      <c r="M4461" s="9" t="str">
        <f>IF(A4461="",M4462,A4461)</f>
        <v>Saint Vincent and the Grenadines</v>
      </c>
      <c r="N4461" s="3" t="str">
        <f t="shared" si="139"/>
        <v>Aug-2021</v>
      </c>
    </row>
    <row r="4462" spans="1:14" x14ac:dyDescent="0.3">
      <c r="A4462" s="3" t="s">
        <v>378</v>
      </c>
      <c r="B4462" s="3" t="s">
        <v>379</v>
      </c>
      <c r="C4462" s="8">
        <v>2021</v>
      </c>
      <c r="D4462" s="8">
        <v>9</v>
      </c>
      <c r="E4462" s="3" t="str">
        <f t="shared" si="138"/>
        <v>September</v>
      </c>
      <c r="F4462" s="3" t="s">
        <v>13</v>
      </c>
      <c r="G4462" s="8">
        <v>95.433288669999996</v>
      </c>
      <c r="H4462" s="8">
        <v>109</v>
      </c>
      <c r="I4462" s="8">
        <v>13.56671133</v>
      </c>
      <c r="J4462" s="8">
        <v>-13.38340352</v>
      </c>
      <c r="K4462" s="8">
        <v>-51.482476869999999</v>
      </c>
      <c r="L4462" s="8">
        <v>24.948130710000001</v>
      </c>
      <c r="M4462" s="9" t="str">
        <f>IF(A4462="",M4463,A4462)</f>
        <v>Saint Vincent and the Grenadines</v>
      </c>
      <c r="N4462" s="3" t="str">
        <f t="shared" si="139"/>
        <v>Sep-2021</v>
      </c>
    </row>
    <row r="4463" spans="1:14" x14ac:dyDescent="0.3">
      <c r="A4463" s="3" t="s">
        <v>378</v>
      </c>
      <c r="B4463" s="3" t="s">
        <v>379</v>
      </c>
      <c r="C4463" s="8">
        <v>2021</v>
      </c>
      <c r="D4463" s="8">
        <v>10</v>
      </c>
      <c r="E4463" s="3" t="str">
        <f t="shared" si="138"/>
        <v>October</v>
      </c>
      <c r="F4463" s="3" t="s">
        <v>13</v>
      </c>
      <c r="G4463" s="8">
        <v>93.817655360000003</v>
      </c>
      <c r="H4463" s="8">
        <v>161</v>
      </c>
      <c r="I4463" s="8">
        <v>67.182344639999997</v>
      </c>
      <c r="J4463" s="8">
        <v>53.798941130000003</v>
      </c>
      <c r="K4463" s="8">
        <v>13.979309089999999</v>
      </c>
      <c r="L4463" s="8">
        <v>95.098361190000006</v>
      </c>
      <c r="M4463" s="9" t="str">
        <f>IF(A4463="",M4464,A4463)</f>
        <v>Saint Vincent and the Grenadines</v>
      </c>
      <c r="N4463" s="3" t="str">
        <f t="shared" si="139"/>
        <v>Oct-2021</v>
      </c>
    </row>
    <row r="4464" spans="1:14" x14ac:dyDescent="0.3">
      <c r="A4464" s="3" t="s">
        <v>378</v>
      </c>
      <c r="B4464" s="3" t="s">
        <v>379</v>
      </c>
      <c r="C4464" s="8">
        <v>2021</v>
      </c>
      <c r="D4464" s="8">
        <v>11</v>
      </c>
      <c r="E4464" s="3" t="str">
        <f t="shared" si="138"/>
        <v>November</v>
      </c>
      <c r="F4464" s="3" t="s">
        <v>13</v>
      </c>
      <c r="G4464" s="8">
        <v>92.26713565</v>
      </c>
      <c r="H4464" s="8">
        <v>102</v>
      </c>
      <c r="I4464" s="8">
        <v>9.7328643459999995</v>
      </c>
      <c r="J4464" s="8">
        <v>63.531805470000002</v>
      </c>
      <c r="K4464" s="8">
        <v>22.450781540000001</v>
      </c>
      <c r="L4464" s="8">
        <v>104.8688068</v>
      </c>
      <c r="M4464" s="9" t="str">
        <f>IF(A4464="",M4465,A4464)</f>
        <v>Saint Vincent and the Grenadines</v>
      </c>
      <c r="N4464" s="3" t="str">
        <f t="shared" si="139"/>
        <v>Nov-2021</v>
      </c>
    </row>
    <row r="4465" spans="1:14" x14ac:dyDescent="0.3">
      <c r="A4465" s="3" t="s">
        <v>378</v>
      </c>
      <c r="B4465" s="3" t="s">
        <v>379</v>
      </c>
      <c r="C4465" s="8">
        <v>2021</v>
      </c>
      <c r="D4465" s="8">
        <v>12</v>
      </c>
      <c r="E4465" s="3" t="str">
        <f t="shared" si="138"/>
        <v>December</v>
      </c>
      <c r="F4465" s="3" t="s">
        <v>13</v>
      </c>
      <c r="G4465" s="8">
        <v>90.597983490000004</v>
      </c>
      <c r="H4465" s="8">
        <v>131</v>
      </c>
      <c r="I4465" s="8">
        <v>40.402016510000003</v>
      </c>
      <c r="J4465" s="8">
        <v>103.93382200000001</v>
      </c>
      <c r="K4465" s="8">
        <v>62.130866990000001</v>
      </c>
      <c r="L4465" s="8">
        <v>145.8408771</v>
      </c>
      <c r="M4465" s="9" t="str">
        <f>IF(A4465="",M4466,A4465)</f>
        <v>Saint Vincent and the Grenadines</v>
      </c>
      <c r="N4465" s="3" t="str">
        <f t="shared" si="139"/>
        <v>Dec-2021</v>
      </c>
    </row>
    <row r="4466" spans="1:14" x14ac:dyDescent="0.3">
      <c r="A4466" s="3" t="s">
        <v>380</v>
      </c>
      <c r="B4466" s="3" t="s">
        <v>381</v>
      </c>
      <c r="C4466" s="8">
        <v>2020</v>
      </c>
      <c r="D4466" s="8">
        <v>1</v>
      </c>
      <c r="E4466" s="3" t="str">
        <f t="shared" si="138"/>
        <v>January</v>
      </c>
      <c r="F4466" s="3" t="s">
        <v>8</v>
      </c>
      <c r="G4466" s="8">
        <v>15167.318740000001</v>
      </c>
      <c r="H4466" s="8">
        <v>15626.288</v>
      </c>
      <c r="I4466" s="8">
        <v>458.96925599999997</v>
      </c>
      <c r="J4466" s="8">
        <v>458.96925599999997</v>
      </c>
      <c r="K4466" s="8">
        <v>-3244.6552889999998</v>
      </c>
      <c r="L4466" s="8">
        <v>4768.1997309999997</v>
      </c>
      <c r="M4466" s="9" t="str">
        <f>IF(A4466="",M4467,A4466)</f>
        <v>Venezuela (Bolivarian Republic of)</v>
      </c>
      <c r="N4466" s="3" t="str">
        <f t="shared" si="139"/>
        <v>Jan-2020</v>
      </c>
    </row>
    <row r="4467" spans="1:14" x14ac:dyDescent="0.3">
      <c r="A4467" s="3" t="s">
        <v>380</v>
      </c>
      <c r="B4467" s="3" t="s">
        <v>381</v>
      </c>
      <c r="C4467" s="8">
        <v>2020</v>
      </c>
      <c r="D4467" s="8">
        <v>2</v>
      </c>
      <c r="E4467" s="3" t="str">
        <f t="shared" si="138"/>
        <v>February</v>
      </c>
      <c r="F4467" s="3" t="s">
        <v>8</v>
      </c>
      <c r="G4467" s="8">
        <v>15101.86263</v>
      </c>
      <c r="H4467" s="8">
        <v>15276.130999999999</v>
      </c>
      <c r="I4467" s="8">
        <v>174.26837320000001</v>
      </c>
      <c r="J4467" s="8">
        <v>633.23762929999998</v>
      </c>
      <c r="K4467" s="8">
        <v>-5009.9313330000004</v>
      </c>
      <c r="L4467" s="8">
        <v>7036.4903940000004</v>
      </c>
      <c r="M4467" s="9" t="str">
        <f>IF(A4467="",M4468,A4467)</f>
        <v>Venezuela (Bolivarian Republic of)</v>
      </c>
      <c r="N4467" s="3" t="str">
        <f t="shared" si="139"/>
        <v>Feb-2020</v>
      </c>
    </row>
    <row r="4468" spans="1:14" x14ac:dyDescent="0.3">
      <c r="A4468" s="3" t="s">
        <v>380</v>
      </c>
      <c r="B4468" s="3" t="s">
        <v>381</v>
      </c>
      <c r="C4468" s="8">
        <v>2020</v>
      </c>
      <c r="D4468" s="8">
        <v>3</v>
      </c>
      <c r="E4468" s="3" t="str">
        <f t="shared" si="138"/>
        <v>March</v>
      </c>
      <c r="F4468" s="3" t="s">
        <v>8</v>
      </c>
      <c r="G4468" s="8">
        <v>15065.34755</v>
      </c>
      <c r="H4468" s="8">
        <v>13934.171</v>
      </c>
      <c r="I4468" s="8">
        <v>-1131.1765479999999</v>
      </c>
      <c r="J4468" s="8">
        <v>-497.93891839999998</v>
      </c>
      <c r="K4468" s="8">
        <v>-7147.7236149999999</v>
      </c>
      <c r="L4468" s="8">
        <v>6983.0947159999996</v>
      </c>
      <c r="M4468" s="9" t="str">
        <f>IF(A4468="",M4469,A4468)</f>
        <v>Venezuela (Bolivarian Republic of)</v>
      </c>
      <c r="N4468" s="3" t="str">
        <f t="shared" si="139"/>
        <v>Mar-2020</v>
      </c>
    </row>
    <row r="4469" spans="1:14" x14ac:dyDescent="0.3">
      <c r="A4469" s="3" t="s">
        <v>380</v>
      </c>
      <c r="B4469" s="3" t="s">
        <v>381</v>
      </c>
      <c r="C4469" s="8">
        <v>2020</v>
      </c>
      <c r="D4469" s="8">
        <v>4</v>
      </c>
      <c r="E4469" s="3" t="str">
        <f t="shared" si="138"/>
        <v>April</v>
      </c>
      <c r="F4469" s="3" t="s">
        <v>8</v>
      </c>
      <c r="G4469" s="8">
        <v>15047.36161</v>
      </c>
      <c r="H4469" s="8">
        <v>13920.2</v>
      </c>
      <c r="I4469" s="8">
        <v>-1127.1616100000001</v>
      </c>
      <c r="J4469" s="8">
        <v>-1625.1005279999999</v>
      </c>
      <c r="K4469" s="8">
        <v>-8937.3250989999997</v>
      </c>
      <c r="L4469" s="8">
        <v>6739.5292079999999</v>
      </c>
      <c r="M4469" s="9" t="str">
        <f>IF(A4469="",M4470,A4469)</f>
        <v>Venezuela (Bolivarian Republic of)</v>
      </c>
      <c r="N4469" s="3" t="str">
        <f t="shared" si="139"/>
        <v>Apr-2020</v>
      </c>
    </row>
    <row r="4470" spans="1:14" x14ac:dyDescent="0.3">
      <c r="A4470" s="3" t="s">
        <v>380</v>
      </c>
      <c r="B4470" s="3" t="s">
        <v>381</v>
      </c>
      <c r="C4470" s="8">
        <v>2020</v>
      </c>
      <c r="D4470" s="8">
        <v>5</v>
      </c>
      <c r="E4470" s="3" t="str">
        <f t="shared" si="138"/>
        <v>May</v>
      </c>
      <c r="F4470" s="3" t="s">
        <v>8</v>
      </c>
      <c r="G4470" s="8">
        <v>15122.69627</v>
      </c>
      <c r="H4470" s="8">
        <v>14280.609</v>
      </c>
      <c r="I4470" s="8">
        <v>-842.08726760000002</v>
      </c>
      <c r="J4470" s="8">
        <v>-2467.1877960000002</v>
      </c>
      <c r="K4470" s="8">
        <v>-10564.60167</v>
      </c>
      <c r="L4470" s="8">
        <v>6669.3594160000002</v>
      </c>
      <c r="M4470" s="9" t="str">
        <f>IF(A4470="",M4471,A4470)</f>
        <v>Venezuela (Bolivarian Republic of)</v>
      </c>
      <c r="N4470" s="3" t="str">
        <f t="shared" si="139"/>
        <v>May-2020</v>
      </c>
    </row>
    <row r="4471" spans="1:14" x14ac:dyDescent="0.3">
      <c r="A4471" s="3" t="s">
        <v>380</v>
      </c>
      <c r="B4471" s="3" t="s">
        <v>381</v>
      </c>
      <c r="C4471" s="8">
        <v>2020</v>
      </c>
      <c r="D4471" s="8">
        <v>6</v>
      </c>
      <c r="E4471" s="3" t="str">
        <f t="shared" si="138"/>
        <v>June</v>
      </c>
      <c r="F4471" s="3" t="s">
        <v>8</v>
      </c>
      <c r="G4471" s="8">
        <v>15199.474260000001</v>
      </c>
      <c r="H4471" s="8">
        <v>15387.182000000001</v>
      </c>
      <c r="I4471" s="8">
        <v>187.7077396</v>
      </c>
      <c r="J4471" s="8">
        <v>-2279.4800559999999</v>
      </c>
      <c r="K4471" s="8">
        <v>-11606.099050000001</v>
      </c>
      <c r="L4471" s="8">
        <v>7662.7126200000002</v>
      </c>
      <c r="M4471" s="9" t="str">
        <f>IF(A4471="",M4472,A4471)</f>
        <v>Venezuela (Bolivarian Republic of)</v>
      </c>
      <c r="N4471" s="3" t="str">
        <f t="shared" si="139"/>
        <v>Jun-2020</v>
      </c>
    </row>
    <row r="4472" spans="1:14" x14ac:dyDescent="0.3">
      <c r="A4472" s="3" t="s">
        <v>380</v>
      </c>
      <c r="B4472" s="3" t="s">
        <v>381</v>
      </c>
      <c r="C4472" s="8">
        <v>2020</v>
      </c>
      <c r="D4472" s="8">
        <v>7</v>
      </c>
      <c r="E4472" s="3" t="str">
        <f t="shared" si="138"/>
        <v>July</v>
      </c>
      <c r="F4472" s="3" t="s">
        <v>8</v>
      </c>
      <c r="G4472" s="8">
        <v>15214.840679999999</v>
      </c>
      <c r="H4472" s="8">
        <v>16270.028</v>
      </c>
      <c r="I4472" s="8">
        <v>1055.1873230000001</v>
      </c>
      <c r="J4472" s="8">
        <v>-1224.292733</v>
      </c>
      <c r="K4472" s="8">
        <v>-10951.155280000001</v>
      </c>
      <c r="L4472" s="8">
        <v>9679.0394990000004</v>
      </c>
      <c r="M4472" s="9" t="str">
        <f>IF(A4472="",M4473,A4472)</f>
        <v>Venezuela (Bolivarian Republic of)</v>
      </c>
      <c r="N4472" s="3" t="str">
        <f t="shared" si="139"/>
        <v>Jul-2020</v>
      </c>
    </row>
    <row r="4473" spans="1:14" x14ac:dyDescent="0.3">
      <c r="A4473" s="3" t="s">
        <v>380</v>
      </c>
      <c r="B4473" s="3" t="s">
        <v>381</v>
      </c>
      <c r="C4473" s="8">
        <v>2020</v>
      </c>
      <c r="D4473" s="8">
        <v>8</v>
      </c>
      <c r="E4473" s="3" t="str">
        <f t="shared" si="138"/>
        <v>August</v>
      </c>
      <c r="F4473" s="3" t="s">
        <v>8</v>
      </c>
      <c r="G4473" s="8">
        <v>15167.441639999999</v>
      </c>
      <c r="H4473" s="8">
        <v>16559.144</v>
      </c>
      <c r="I4473" s="8">
        <v>1391.7023549999999</v>
      </c>
      <c r="J4473" s="8">
        <v>167.40962260000001</v>
      </c>
      <c r="K4473" s="8">
        <v>-10169.58728</v>
      </c>
      <c r="L4473" s="8">
        <v>11403.81781</v>
      </c>
      <c r="M4473" s="9" t="str">
        <f>IF(A4473="",M4474,A4473)</f>
        <v>Venezuela (Bolivarian Republic of)</v>
      </c>
      <c r="N4473" s="3" t="str">
        <f t="shared" si="139"/>
        <v>Aug-2020</v>
      </c>
    </row>
    <row r="4474" spans="1:14" x14ac:dyDescent="0.3">
      <c r="A4474" s="3" t="s">
        <v>380</v>
      </c>
      <c r="B4474" s="3" t="s">
        <v>381</v>
      </c>
      <c r="C4474" s="8">
        <v>2020</v>
      </c>
      <c r="D4474" s="8">
        <v>9</v>
      </c>
      <c r="E4474" s="3" t="str">
        <f t="shared" si="138"/>
        <v>September</v>
      </c>
      <c r="F4474" s="3" t="s">
        <v>8</v>
      </c>
      <c r="G4474" s="8">
        <v>15141.913060000001</v>
      </c>
      <c r="H4474" s="8">
        <v>16148.334000000001</v>
      </c>
      <c r="I4474" s="8">
        <v>1006.420938</v>
      </c>
      <c r="J4474" s="8">
        <v>1173.830561</v>
      </c>
      <c r="K4474" s="8">
        <v>-9858.4165379999995</v>
      </c>
      <c r="L4474" s="8">
        <v>13806.69369</v>
      </c>
      <c r="M4474" s="9" t="str">
        <f>IF(A4474="",M4475,A4474)</f>
        <v>Venezuela (Bolivarian Republic of)</v>
      </c>
      <c r="N4474" s="3" t="str">
        <f t="shared" si="139"/>
        <v>Sep-2020</v>
      </c>
    </row>
    <row r="4475" spans="1:14" x14ac:dyDescent="0.3">
      <c r="A4475" s="3" t="s">
        <v>380</v>
      </c>
      <c r="B4475" s="3" t="s">
        <v>381</v>
      </c>
      <c r="C4475" s="8">
        <v>2020</v>
      </c>
      <c r="D4475" s="8">
        <v>10</v>
      </c>
      <c r="E4475" s="3" t="str">
        <f t="shared" si="138"/>
        <v>October</v>
      </c>
      <c r="F4475" s="3" t="s">
        <v>8</v>
      </c>
      <c r="G4475" s="8">
        <v>15156.03138</v>
      </c>
      <c r="H4475" s="8">
        <v>15664.949000000001</v>
      </c>
      <c r="I4475" s="8">
        <v>508.9176248</v>
      </c>
      <c r="J4475" s="8">
        <v>1682.7481849999999</v>
      </c>
      <c r="K4475" s="8">
        <v>-9988.4320800000005</v>
      </c>
      <c r="L4475" s="8">
        <v>15189.310509999999</v>
      </c>
      <c r="M4475" s="9" t="str">
        <f>IF(A4475="",M4476,A4475)</f>
        <v>Venezuela (Bolivarian Republic of)</v>
      </c>
      <c r="N4475" s="3" t="str">
        <f t="shared" si="139"/>
        <v>Oct-2020</v>
      </c>
    </row>
    <row r="4476" spans="1:14" x14ac:dyDescent="0.3">
      <c r="A4476" s="3" t="s">
        <v>380</v>
      </c>
      <c r="B4476" s="3" t="s">
        <v>381</v>
      </c>
      <c r="C4476" s="8">
        <v>2020</v>
      </c>
      <c r="D4476" s="8">
        <v>11</v>
      </c>
      <c r="E4476" s="3" t="str">
        <f t="shared" si="138"/>
        <v>November</v>
      </c>
      <c r="F4476" s="3" t="s">
        <v>8</v>
      </c>
      <c r="G4476" s="8">
        <v>15172.19787</v>
      </c>
      <c r="H4476" s="8">
        <v>15440.130999999999</v>
      </c>
      <c r="I4476" s="8">
        <v>267.93312839999999</v>
      </c>
      <c r="J4476" s="8">
        <v>1950.6813139999999</v>
      </c>
      <c r="K4476" s="8">
        <v>-9994.9899769999993</v>
      </c>
      <c r="L4476" s="8">
        <v>15134.41099</v>
      </c>
      <c r="M4476" s="9" t="str">
        <f>IF(A4476="",M4477,A4476)</f>
        <v>Venezuela (Bolivarian Republic of)</v>
      </c>
      <c r="N4476" s="3" t="str">
        <f t="shared" si="139"/>
        <v>Nov-2020</v>
      </c>
    </row>
    <row r="4477" spans="1:14" x14ac:dyDescent="0.3">
      <c r="A4477" s="3" t="s">
        <v>380</v>
      </c>
      <c r="B4477" s="3" t="s">
        <v>381</v>
      </c>
      <c r="C4477" s="8">
        <v>2020</v>
      </c>
      <c r="D4477" s="8">
        <v>12</v>
      </c>
      <c r="E4477" s="3" t="str">
        <f t="shared" si="138"/>
        <v>December</v>
      </c>
      <c r="F4477" s="3" t="s">
        <v>8</v>
      </c>
      <c r="G4477" s="8">
        <v>15203.25971</v>
      </c>
      <c r="H4477" s="8">
        <v>15580.789000000001</v>
      </c>
      <c r="I4477" s="8">
        <v>377.52928919999999</v>
      </c>
      <c r="J4477" s="8">
        <v>2328.210603</v>
      </c>
      <c r="K4477" s="8">
        <v>-10310.20104</v>
      </c>
      <c r="L4477" s="8">
        <v>16876.879919999999</v>
      </c>
      <c r="M4477" s="9" t="str">
        <f>IF(A4477="",M4478,A4477)</f>
        <v>Venezuela (Bolivarian Republic of)</v>
      </c>
      <c r="N4477" s="3" t="str">
        <f t="shared" si="139"/>
        <v>Dec-2020</v>
      </c>
    </row>
    <row r="4478" spans="1:14" x14ac:dyDescent="0.3">
      <c r="A4478" s="3" t="s">
        <v>380</v>
      </c>
      <c r="B4478" s="3" t="s">
        <v>381</v>
      </c>
      <c r="C4478" s="8">
        <v>2021</v>
      </c>
      <c r="D4478" s="8">
        <v>1</v>
      </c>
      <c r="E4478" s="3" t="str">
        <f t="shared" si="138"/>
        <v>January</v>
      </c>
      <c r="F4478" s="3" t="s">
        <v>8</v>
      </c>
      <c r="G4478" s="8">
        <v>15579.61346</v>
      </c>
      <c r="H4478" s="8">
        <v>16774.758999999998</v>
      </c>
      <c r="I4478" s="8">
        <v>1195.145538</v>
      </c>
      <c r="J4478" s="8">
        <v>3523.3561410000002</v>
      </c>
      <c r="K4478" s="8">
        <v>-9473.1911209999998</v>
      </c>
      <c r="L4478" s="8">
        <v>18816.882130000002</v>
      </c>
      <c r="M4478" s="9" t="str">
        <f>IF(A4478="",M4479,A4478)</f>
        <v>Venezuela (Bolivarian Republic of)</v>
      </c>
      <c r="N4478" s="3" t="str">
        <f t="shared" si="139"/>
        <v>Jan-2021</v>
      </c>
    </row>
    <row r="4479" spans="1:14" x14ac:dyDescent="0.3">
      <c r="A4479" s="3" t="s">
        <v>380</v>
      </c>
      <c r="B4479" s="3" t="s">
        <v>381</v>
      </c>
      <c r="C4479" s="8">
        <v>2021</v>
      </c>
      <c r="D4479" s="8">
        <v>2</v>
      </c>
      <c r="E4479" s="3" t="str">
        <f t="shared" si="138"/>
        <v>February</v>
      </c>
      <c r="F4479" s="3" t="s">
        <v>8</v>
      </c>
      <c r="G4479" s="8">
        <v>15510.258470000001</v>
      </c>
      <c r="H4479" s="8">
        <v>16769.098000000002</v>
      </c>
      <c r="I4479" s="8">
        <v>1258.839528</v>
      </c>
      <c r="J4479" s="8">
        <v>4782.1956689999997</v>
      </c>
      <c r="K4479" s="8">
        <v>-9426.5588970000008</v>
      </c>
      <c r="L4479" s="8">
        <v>20543.627250000001</v>
      </c>
      <c r="M4479" s="9" t="str">
        <f>IF(A4479="",M4480,A4479)</f>
        <v>Venezuela (Bolivarian Republic of)</v>
      </c>
      <c r="N4479" s="3" t="str">
        <f t="shared" si="139"/>
        <v>Feb-2021</v>
      </c>
    </row>
    <row r="4480" spans="1:14" x14ac:dyDescent="0.3">
      <c r="A4480" s="3" t="s">
        <v>380</v>
      </c>
      <c r="B4480" s="3" t="s">
        <v>381</v>
      </c>
      <c r="C4480" s="8">
        <v>2021</v>
      </c>
      <c r="D4480" s="8">
        <v>3</v>
      </c>
      <c r="E4480" s="3" t="str">
        <f t="shared" si="138"/>
        <v>March</v>
      </c>
      <c r="F4480" s="3" t="s">
        <v>8</v>
      </c>
      <c r="G4480" s="8">
        <v>15464.06049</v>
      </c>
      <c r="H4480" s="8">
        <v>16942.667000000001</v>
      </c>
      <c r="I4480" s="8">
        <v>1478.6065129999999</v>
      </c>
      <c r="J4480" s="8">
        <v>6260.8021820000004</v>
      </c>
      <c r="K4480" s="8">
        <v>-8526.4541829999998</v>
      </c>
      <c r="L4480" s="8">
        <v>23011.66619</v>
      </c>
      <c r="M4480" s="9" t="str">
        <f>IF(A4480="",M4481,A4480)</f>
        <v>Venezuela (Bolivarian Republic of)</v>
      </c>
      <c r="N4480" s="3" t="str">
        <f t="shared" si="139"/>
        <v>Mar-2021</v>
      </c>
    </row>
    <row r="4481" spans="1:14" x14ac:dyDescent="0.3">
      <c r="A4481" s="3" t="s">
        <v>380</v>
      </c>
      <c r="B4481" s="3" t="s">
        <v>381</v>
      </c>
      <c r="C4481" s="8">
        <v>2021</v>
      </c>
      <c r="D4481" s="8">
        <v>4</v>
      </c>
      <c r="E4481" s="3" t="str">
        <f t="shared" si="138"/>
        <v>April</v>
      </c>
      <c r="F4481" s="3" t="s">
        <v>8</v>
      </c>
      <c r="G4481" s="8">
        <v>15457.66634</v>
      </c>
      <c r="H4481" s="8">
        <v>17541.939999999999</v>
      </c>
      <c r="I4481" s="8">
        <v>2084.2736559999998</v>
      </c>
      <c r="J4481" s="8">
        <v>8345.0758380000007</v>
      </c>
      <c r="K4481" s="8">
        <v>-7282.8203279999998</v>
      </c>
      <c r="L4481" s="8">
        <v>25472.198090000002</v>
      </c>
      <c r="M4481" s="9" t="str">
        <f>IF(A4481="",M4482,A4481)</f>
        <v>Venezuela (Bolivarian Republic of)</v>
      </c>
      <c r="N4481" s="3" t="str">
        <f t="shared" si="139"/>
        <v>Apr-2021</v>
      </c>
    </row>
    <row r="4482" spans="1:14" x14ac:dyDescent="0.3">
      <c r="A4482" s="3" t="s">
        <v>380</v>
      </c>
      <c r="B4482" s="3" t="s">
        <v>381</v>
      </c>
      <c r="C4482" s="8">
        <v>2021</v>
      </c>
      <c r="D4482" s="8">
        <v>5</v>
      </c>
      <c r="E4482" s="3" t="str">
        <f t="shared" ref="E4482:E4545" si="140">TEXT(DATE(C4482,D4482,1),"MMMM")</f>
        <v>May</v>
      </c>
      <c r="F4482" s="3" t="s">
        <v>8</v>
      </c>
      <c r="G4482" s="8">
        <v>15526.73792</v>
      </c>
      <c r="H4482" s="8">
        <v>17496.526000000002</v>
      </c>
      <c r="I4482" s="8">
        <v>1969.7880769999999</v>
      </c>
      <c r="J4482" s="8">
        <v>10314.86392</v>
      </c>
      <c r="K4482" s="8">
        <v>-5733.3743800000002</v>
      </c>
      <c r="L4482" s="8">
        <v>28563.52824</v>
      </c>
      <c r="M4482" s="9" t="str">
        <f>IF(A4482="",M4483,A4482)</f>
        <v>Venezuela (Bolivarian Republic of)</v>
      </c>
      <c r="N4482" s="3" t="str">
        <f t="shared" ref="N4482:N4545" si="141">TEXT(DATE(C4482,D4482,1),"MMM-YYYY")</f>
        <v>May-2021</v>
      </c>
    </row>
    <row r="4483" spans="1:14" x14ac:dyDescent="0.3">
      <c r="A4483" s="3" t="s">
        <v>380</v>
      </c>
      <c r="B4483" s="3" t="s">
        <v>381</v>
      </c>
      <c r="C4483" s="8">
        <v>2021</v>
      </c>
      <c r="D4483" s="8">
        <v>6</v>
      </c>
      <c r="E4483" s="3" t="str">
        <f t="shared" si="140"/>
        <v>June</v>
      </c>
      <c r="F4483" s="3" t="s">
        <v>8</v>
      </c>
      <c r="G4483" s="8">
        <v>15617.973110000001</v>
      </c>
      <c r="H4483" s="8">
        <v>17304.745999999999</v>
      </c>
      <c r="I4483" s="8">
        <v>1686.7728890000001</v>
      </c>
      <c r="J4483" s="8">
        <v>12001.6368</v>
      </c>
      <c r="K4483" s="8">
        <v>-4216.0465329999997</v>
      </c>
      <c r="L4483" s="8">
        <v>30749.356400000001</v>
      </c>
      <c r="M4483" s="9" t="str">
        <f>IF(A4483="",M4484,A4483)</f>
        <v>Venezuela (Bolivarian Republic of)</v>
      </c>
      <c r="N4483" s="3" t="str">
        <f t="shared" si="141"/>
        <v>Jun-2021</v>
      </c>
    </row>
    <row r="4484" spans="1:14" x14ac:dyDescent="0.3">
      <c r="A4484" s="3" t="s">
        <v>380</v>
      </c>
      <c r="B4484" s="3" t="s">
        <v>381</v>
      </c>
      <c r="C4484" s="8">
        <v>2021</v>
      </c>
      <c r="D4484" s="8">
        <v>7</v>
      </c>
      <c r="E4484" s="3" t="str">
        <f t="shared" si="140"/>
        <v>July</v>
      </c>
      <c r="F4484" s="3" t="s">
        <v>8</v>
      </c>
      <c r="G4484" s="8">
        <v>15624.18706</v>
      </c>
      <c r="H4484" s="8">
        <v>17233.661</v>
      </c>
      <c r="I4484" s="8">
        <v>1609.4739380000001</v>
      </c>
      <c r="J4484" s="8">
        <v>13611.11074</v>
      </c>
      <c r="K4484" s="8">
        <v>-3219.5009570000002</v>
      </c>
      <c r="L4484" s="8">
        <v>32214.06954</v>
      </c>
      <c r="M4484" s="9" t="str">
        <f>IF(A4484="",M4485,A4484)</f>
        <v>Venezuela (Bolivarian Republic of)</v>
      </c>
      <c r="N4484" s="3" t="str">
        <f t="shared" si="141"/>
        <v>Jul-2021</v>
      </c>
    </row>
    <row r="4485" spans="1:14" x14ac:dyDescent="0.3">
      <c r="A4485" s="3" t="s">
        <v>380</v>
      </c>
      <c r="B4485" s="3" t="s">
        <v>381</v>
      </c>
      <c r="C4485" s="8">
        <v>2021</v>
      </c>
      <c r="D4485" s="8">
        <v>8</v>
      </c>
      <c r="E4485" s="3" t="str">
        <f t="shared" si="140"/>
        <v>August</v>
      </c>
      <c r="F4485" s="3" t="s">
        <v>8</v>
      </c>
      <c r="G4485" s="8">
        <v>15585.550569999999</v>
      </c>
      <c r="H4485" s="8">
        <v>17372.886999999999</v>
      </c>
      <c r="I4485" s="8">
        <v>1787.3364329999999</v>
      </c>
      <c r="J4485" s="8">
        <v>15398.447179999999</v>
      </c>
      <c r="K4485" s="8">
        <v>-1296.269086</v>
      </c>
      <c r="L4485" s="8">
        <v>34627.165970000002</v>
      </c>
      <c r="M4485" s="9" t="str">
        <f>IF(A4485="",M4486,A4485)</f>
        <v>Venezuela (Bolivarian Republic of)</v>
      </c>
      <c r="N4485" s="3" t="str">
        <f t="shared" si="141"/>
        <v>Aug-2021</v>
      </c>
    </row>
    <row r="4486" spans="1:14" x14ac:dyDescent="0.3">
      <c r="A4486" s="3" t="s">
        <v>380</v>
      </c>
      <c r="B4486" s="3" t="s">
        <v>381</v>
      </c>
      <c r="C4486" s="8">
        <v>2021</v>
      </c>
      <c r="D4486" s="8">
        <v>9</v>
      </c>
      <c r="E4486" s="3" t="str">
        <f t="shared" si="140"/>
        <v>September</v>
      </c>
      <c r="F4486" s="3" t="s">
        <v>8</v>
      </c>
      <c r="G4486" s="8">
        <v>15536.556200000001</v>
      </c>
      <c r="H4486" s="8">
        <v>17414.704000000002</v>
      </c>
      <c r="I4486" s="8">
        <v>1878.1477990000001</v>
      </c>
      <c r="J4486" s="8">
        <v>17276.594980000002</v>
      </c>
      <c r="K4486" s="8">
        <v>-1212.304519</v>
      </c>
      <c r="L4486" s="8">
        <v>36283.110350000003</v>
      </c>
      <c r="M4486" s="9" t="str">
        <f>IF(A4486="",M4487,A4486)</f>
        <v>Venezuela (Bolivarian Republic of)</v>
      </c>
      <c r="N4486" s="3" t="str">
        <f t="shared" si="141"/>
        <v>Sep-2021</v>
      </c>
    </row>
    <row r="4487" spans="1:14" x14ac:dyDescent="0.3">
      <c r="A4487" s="3" t="s">
        <v>380</v>
      </c>
      <c r="B4487" s="3" t="s">
        <v>381</v>
      </c>
      <c r="C4487" s="8">
        <v>2021</v>
      </c>
      <c r="D4487" s="8">
        <v>10</v>
      </c>
      <c r="E4487" s="3" t="str">
        <f t="shared" si="140"/>
        <v>October</v>
      </c>
      <c r="F4487" s="3" t="s">
        <v>8</v>
      </c>
      <c r="G4487" s="8">
        <v>15566.12831</v>
      </c>
      <c r="H4487" s="8">
        <v>17218.776999999998</v>
      </c>
      <c r="I4487" s="8">
        <v>1652.648694</v>
      </c>
      <c r="J4487" s="8">
        <v>18929.24367</v>
      </c>
      <c r="K4487" s="8">
        <v>218.46110849999999</v>
      </c>
      <c r="L4487" s="8">
        <v>38701.821150000003</v>
      </c>
      <c r="M4487" s="9" t="str">
        <f>IF(A4487="",M4488,A4487)</f>
        <v>Venezuela (Bolivarian Republic of)</v>
      </c>
      <c r="N4487" s="3" t="str">
        <f t="shared" si="141"/>
        <v>Oct-2021</v>
      </c>
    </row>
    <row r="4488" spans="1:14" x14ac:dyDescent="0.3">
      <c r="A4488" s="3" t="s">
        <v>380</v>
      </c>
      <c r="B4488" s="3" t="s">
        <v>381</v>
      </c>
      <c r="C4488" s="8">
        <v>2021</v>
      </c>
      <c r="D4488" s="8">
        <v>11</v>
      </c>
      <c r="E4488" s="3" t="str">
        <f t="shared" si="140"/>
        <v>November</v>
      </c>
      <c r="F4488" s="3" t="s">
        <v>8</v>
      </c>
      <c r="G4488" s="8">
        <v>15579.205480000001</v>
      </c>
      <c r="H4488" s="8">
        <v>16719.098999999998</v>
      </c>
      <c r="I4488" s="8">
        <v>1139.8935240000001</v>
      </c>
      <c r="J4488" s="8">
        <v>20069.137190000001</v>
      </c>
      <c r="K4488" s="8">
        <v>652.74560150000002</v>
      </c>
      <c r="L4488" s="8">
        <v>40350.734940000002</v>
      </c>
      <c r="M4488" s="9" t="str">
        <f>IF(A4488="",M4489,A4488)</f>
        <v>Venezuela (Bolivarian Republic of)</v>
      </c>
      <c r="N4488" s="3" t="str">
        <f t="shared" si="141"/>
        <v>Nov-2021</v>
      </c>
    </row>
    <row r="4489" spans="1:14" x14ac:dyDescent="0.3">
      <c r="A4489" s="3" t="s">
        <v>380</v>
      </c>
      <c r="B4489" s="3" t="s">
        <v>381</v>
      </c>
      <c r="C4489" s="8">
        <v>2021</v>
      </c>
      <c r="D4489" s="8">
        <v>12</v>
      </c>
      <c r="E4489" s="3" t="str">
        <f t="shared" si="140"/>
        <v>December</v>
      </c>
      <c r="F4489" s="3" t="s">
        <v>8</v>
      </c>
      <c r="G4489" s="8">
        <v>15616.69781</v>
      </c>
      <c r="H4489" s="8">
        <v>16685.349999999999</v>
      </c>
      <c r="I4489" s="8">
        <v>1068.6521909999999</v>
      </c>
      <c r="J4489" s="8">
        <v>21137.789379999998</v>
      </c>
      <c r="K4489" s="8">
        <v>1110.883824</v>
      </c>
      <c r="L4489" s="8">
        <v>42149.080150000002</v>
      </c>
      <c r="M4489" s="9" t="str">
        <f>IF(A4489="",M4490,A4489)</f>
        <v>Venezuela (Bolivarian Republic of)</v>
      </c>
      <c r="N4489" s="3" t="str">
        <f t="shared" si="141"/>
        <v>Dec-2021</v>
      </c>
    </row>
    <row r="4490" spans="1:14" x14ac:dyDescent="0.3">
      <c r="A4490" s="3" t="s">
        <v>382</v>
      </c>
      <c r="B4490" s="3" t="s">
        <v>383</v>
      </c>
      <c r="C4490" s="8">
        <v>2020</v>
      </c>
      <c r="D4490" s="8">
        <v>1</v>
      </c>
      <c r="E4490" s="3" t="str">
        <f t="shared" si="140"/>
        <v>January</v>
      </c>
      <c r="F4490" s="3" t="s">
        <v>8</v>
      </c>
      <c r="G4490" s="8">
        <v>62744.835229999997</v>
      </c>
      <c r="H4490" s="8">
        <v>61591.775000000001</v>
      </c>
      <c r="I4490" s="8">
        <v>-1156.4547669999999</v>
      </c>
      <c r="J4490" s="8">
        <v>-1156.4547669999999</v>
      </c>
      <c r="K4490" s="8">
        <v>-1691.1734939999999</v>
      </c>
      <c r="L4490" s="8">
        <v>-619.07072779999999</v>
      </c>
      <c r="M4490" s="9" t="str">
        <f>IF(A4490="",M4491,A4490)</f>
        <v>Viet Nam</v>
      </c>
      <c r="N4490" s="3" t="str">
        <f t="shared" si="141"/>
        <v>Jan-2020</v>
      </c>
    </row>
    <row r="4491" spans="1:14" x14ac:dyDescent="0.3">
      <c r="A4491" s="3" t="s">
        <v>382</v>
      </c>
      <c r="B4491" s="3" t="s">
        <v>383</v>
      </c>
      <c r="C4491" s="8">
        <v>2020</v>
      </c>
      <c r="D4491" s="8">
        <v>2</v>
      </c>
      <c r="E4491" s="3" t="str">
        <f t="shared" si="140"/>
        <v>February</v>
      </c>
      <c r="F4491" s="3" t="s">
        <v>8</v>
      </c>
      <c r="G4491" s="8">
        <v>62713.616130000002</v>
      </c>
      <c r="H4491" s="8">
        <v>56227.489000000001</v>
      </c>
      <c r="I4491" s="8">
        <v>-6476.9473379999999</v>
      </c>
      <c r="J4491" s="8">
        <v>-7633.4021050000001</v>
      </c>
      <c r="K4491" s="8">
        <v>-8306.0634790000004</v>
      </c>
      <c r="L4491" s="8">
        <v>-6914.5421960000003</v>
      </c>
      <c r="M4491" s="9" t="str">
        <f>IF(A4491="",M4492,A4491)</f>
        <v>Viet Nam</v>
      </c>
      <c r="N4491" s="3" t="str">
        <f t="shared" si="141"/>
        <v>Feb-2020</v>
      </c>
    </row>
    <row r="4492" spans="1:14" x14ac:dyDescent="0.3">
      <c r="A4492" s="3" t="s">
        <v>382</v>
      </c>
      <c r="B4492" s="3" t="s">
        <v>383</v>
      </c>
      <c r="C4492" s="8">
        <v>2020</v>
      </c>
      <c r="D4492" s="8">
        <v>3</v>
      </c>
      <c r="E4492" s="3" t="str">
        <f t="shared" si="140"/>
        <v>March</v>
      </c>
      <c r="F4492" s="3" t="s">
        <v>8</v>
      </c>
      <c r="G4492" s="8">
        <v>62014.425819999997</v>
      </c>
      <c r="H4492" s="8">
        <v>55475.684999999998</v>
      </c>
      <c r="I4492" s="8">
        <v>-6530.0946949999998</v>
      </c>
      <c r="J4492" s="8">
        <v>-14163.496800000001</v>
      </c>
      <c r="K4492" s="8">
        <v>-15056.009</v>
      </c>
      <c r="L4492" s="8">
        <v>-13313.434380000001</v>
      </c>
      <c r="M4492" s="9" t="str">
        <f>IF(A4492="",M4493,A4492)</f>
        <v>Viet Nam</v>
      </c>
      <c r="N4492" s="3" t="str">
        <f t="shared" si="141"/>
        <v>Mar-2020</v>
      </c>
    </row>
    <row r="4493" spans="1:14" x14ac:dyDescent="0.3">
      <c r="A4493" s="3" t="s">
        <v>382</v>
      </c>
      <c r="B4493" s="3" t="s">
        <v>383</v>
      </c>
      <c r="C4493" s="8">
        <v>2020</v>
      </c>
      <c r="D4493" s="8">
        <v>4</v>
      </c>
      <c r="E4493" s="3" t="str">
        <f t="shared" si="140"/>
        <v>April</v>
      </c>
      <c r="F4493" s="3" t="s">
        <v>8</v>
      </c>
      <c r="G4493" s="8">
        <v>61443.48343</v>
      </c>
      <c r="H4493" s="8">
        <v>49183.544999999998</v>
      </c>
      <c r="I4493" s="8">
        <v>-12262.844789999999</v>
      </c>
      <c r="J4493" s="8">
        <v>-26426.34159</v>
      </c>
      <c r="K4493" s="8">
        <v>-27414.22625</v>
      </c>
      <c r="L4493" s="8">
        <v>-25491.41128</v>
      </c>
      <c r="M4493" s="9" t="str">
        <f>IF(A4493="",M4494,A4493)</f>
        <v>Viet Nam</v>
      </c>
      <c r="N4493" s="3" t="str">
        <f t="shared" si="141"/>
        <v>Apr-2020</v>
      </c>
    </row>
    <row r="4494" spans="1:14" x14ac:dyDescent="0.3">
      <c r="A4494" s="3" t="s">
        <v>382</v>
      </c>
      <c r="B4494" s="3" t="s">
        <v>383</v>
      </c>
      <c r="C4494" s="8">
        <v>2020</v>
      </c>
      <c r="D4494" s="8">
        <v>5</v>
      </c>
      <c r="E4494" s="3" t="str">
        <f t="shared" si="140"/>
        <v>May</v>
      </c>
      <c r="F4494" s="3" t="s">
        <v>8</v>
      </c>
      <c r="G4494" s="8">
        <v>60282.108350000002</v>
      </c>
      <c r="H4494" s="8">
        <v>52991.125999999997</v>
      </c>
      <c r="I4494" s="8">
        <v>-7283.070823</v>
      </c>
      <c r="J4494" s="8">
        <v>-33709.412409999997</v>
      </c>
      <c r="K4494" s="8">
        <v>-34746.469340000003</v>
      </c>
      <c r="L4494" s="8">
        <v>-32675.738850000002</v>
      </c>
      <c r="M4494" s="9" t="str">
        <f>IF(A4494="",M4495,A4494)</f>
        <v>Viet Nam</v>
      </c>
      <c r="N4494" s="3" t="str">
        <f t="shared" si="141"/>
        <v>May-2020</v>
      </c>
    </row>
    <row r="4495" spans="1:14" x14ac:dyDescent="0.3">
      <c r="A4495" s="3" t="s">
        <v>382</v>
      </c>
      <c r="B4495" s="3" t="s">
        <v>383</v>
      </c>
      <c r="C4495" s="8">
        <v>2020</v>
      </c>
      <c r="D4495" s="8">
        <v>6</v>
      </c>
      <c r="E4495" s="3" t="str">
        <f t="shared" si="140"/>
        <v>June</v>
      </c>
      <c r="F4495" s="3" t="s">
        <v>8</v>
      </c>
      <c r="G4495" s="8">
        <v>60315.017659999998</v>
      </c>
      <c r="H4495" s="8">
        <v>56060.489000000001</v>
      </c>
      <c r="I4495" s="8">
        <v>-4256.6517190000004</v>
      </c>
      <c r="J4495" s="8">
        <v>-37966.064129999999</v>
      </c>
      <c r="K4495" s="8">
        <v>-39065.315260000003</v>
      </c>
      <c r="L4495" s="8">
        <v>-36887.90754</v>
      </c>
      <c r="M4495" s="9" t="str">
        <f>IF(A4495="",M4496,A4495)</f>
        <v>Viet Nam</v>
      </c>
      <c r="N4495" s="3" t="str">
        <f t="shared" si="141"/>
        <v>Jun-2020</v>
      </c>
    </row>
    <row r="4496" spans="1:14" x14ac:dyDescent="0.3">
      <c r="A4496" s="3" t="s">
        <v>382</v>
      </c>
      <c r="B4496" s="3" t="s">
        <v>383</v>
      </c>
      <c r="C4496" s="8">
        <v>2020</v>
      </c>
      <c r="D4496" s="8">
        <v>7</v>
      </c>
      <c r="E4496" s="3" t="str">
        <f t="shared" si="140"/>
        <v>July</v>
      </c>
      <c r="F4496" s="3" t="s">
        <v>8</v>
      </c>
      <c r="G4496" s="8">
        <v>60356.467259999998</v>
      </c>
      <c r="H4496" s="8">
        <v>57608.718000000001</v>
      </c>
      <c r="I4496" s="8">
        <v>-2742.0544369999998</v>
      </c>
      <c r="J4496" s="8">
        <v>-40708.118569999999</v>
      </c>
      <c r="K4496" s="8">
        <v>-41861.400309999997</v>
      </c>
      <c r="L4496" s="8">
        <v>-39625.42985</v>
      </c>
      <c r="M4496" s="9" t="str">
        <f>IF(A4496="",M4497,A4496)</f>
        <v>Viet Nam</v>
      </c>
      <c r="N4496" s="3" t="str">
        <f t="shared" si="141"/>
        <v>Jul-2020</v>
      </c>
    </row>
    <row r="4497" spans="1:14" x14ac:dyDescent="0.3">
      <c r="A4497" s="3" t="s">
        <v>382</v>
      </c>
      <c r="B4497" s="3" t="s">
        <v>383</v>
      </c>
      <c r="C4497" s="8">
        <v>2020</v>
      </c>
      <c r="D4497" s="8">
        <v>8</v>
      </c>
      <c r="E4497" s="3" t="str">
        <f t="shared" si="140"/>
        <v>August</v>
      </c>
      <c r="F4497" s="3" t="s">
        <v>8</v>
      </c>
      <c r="G4497" s="8">
        <v>60577.017879999999</v>
      </c>
      <c r="H4497" s="8">
        <v>58921.374000000003</v>
      </c>
      <c r="I4497" s="8">
        <v>-1655.554306</v>
      </c>
      <c r="J4497" s="8">
        <v>-42363.672870000002</v>
      </c>
      <c r="K4497" s="8">
        <v>-43440.216690000001</v>
      </c>
      <c r="L4497" s="8">
        <v>-41287.053930000002</v>
      </c>
      <c r="M4497" s="9" t="str">
        <f>IF(A4497="",M4498,A4497)</f>
        <v>Viet Nam</v>
      </c>
      <c r="N4497" s="3" t="str">
        <f t="shared" si="141"/>
        <v>Aug-2020</v>
      </c>
    </row>
    <row r="4498" spans="1:14" x14ac:dyDescent="0.3">
      <c r="A4498" s="3" t="s">
        <v>382</v>
      </c>
      <c r="B4498" s="3" t="s">
        <v>383</v>
      </c>
      <c r="C4498" s="8">
        <v>2020</v>
      </c>
      <c r="D4498" s="8">
        <v>9</v>
      </c>
      <c r="E4498" s="3" t="str">
        <f t="shared" si="140"/>
        <v>September</v>
      </c>
      <c r="F4498" s="3" t="s">
        <v>8</v>
      </c>
      <c r="G4498" s="8">
        <v>60767.945930000002</v>
      </c>
      <c r="H4498" s="8">
        <v>56836.93</v>
      </c>
      <c r="I4498" s="8">
        <v>-3930.7205990000002</v>
      </c>
      <c r="J4498" s="8">
        <v>-46294.393470000003</v>
      </c>
      <c r="K4498" s="8">
        <v>-47369.539019999997</v>
      </c>
      <c r="L4498" s="8">
        <v>-45267.313269999999</v>
      </c>
      <c r="M4498" s="9" t="str">
        <f>IF(A4498="",M4499,A4498)</f>
        <v>Viet Nam</v>
      </c>
      <c r="N4498" s="3" t="str">
        <f t="shared" si="141"/>
        <v>Sep-2020</v>
      </c>
    </row>
    <row r="4499" spans="1:14" x14ac:dyDescent="0.3">
      <c r="A4499" s="3" t="s">
        <v>382</v>
      </c>
      <c r="B4499" s="3" t="s">
        <v>383</v>
      </c>
      <c r="C4499" s="8">
        <v>2020</v>
      </c>
      <c r="D4499" s="8">
        <v>10</v>
      </c>
      <c r="E4499" s="3" t="str">
        <f t="shared" si="140"/>
        <v>October</v>
      </c>
      <c r="F4499" s="3" t="s">
        <v>8</v>
      </c>
      <c r="G4499" s="8">
        <v>61783.661119999997</v>
      </c>
      <c r="H4499" s="8">
        <v>57442.642999999996</v>
      </c>
      <c r="I4499" s="8">
        <v>-4339.2156889999997</v>
      </c>
      <c r="J4499" s="8">
        <v>-50633.60916</v>
      </c>
      <c r="K4499" s="8">
        <v>-51673.764929999998</v>
      </c>
      <c r="L4499" s="8">
        <v>-49646.49899</v>
      </c>
      <c r="M4499" s="9" t="str">
        <f>IF(A4499="",M4500,A4499)</f>
        <v>Viet Nam</v>
      </c>
      <c r="N4499" s="3" t="str">
        <f t="shared" si="141"/>
        <v>Oct-2020</v>
      </c>
    </row>
    <row r="4500" spans="1:14" x14ac:dyDescent="0.3">
      <c r="A4500" s="3" t="s">
        <v>382</v>
      </c>
      <c r="B4500" s="3" t="s">
        <v>383</v>
      </c>
      <c r="C4500" s="8">
        <v>2020</v>
      </c>
      <c r="D4500" s="8">
        <v>11</v>
      </c>
      <c r="E4500" s="3" t="str">
        <f t="shared" si="140"/>
        <v>November</v>
      </c>
      <c r="F4500" s="3" t="s">
        <v>8</v>
      </c>
      <c r="G4500" s="8">
        <v>62022.205520000003</v>
      </c>
      <c r="H4500" s="8">
        <v>57599.995999999999</v>
      </c>
      <c r="I4500" s="8">
        <v>-4414.8646779999999</v>
      </c>
      <c r="J4500" s="8">
        <v>-55048.473839999999</v>
      </c>
      <c r="K4500" s="8">
        <v>-56084.847329999997</v>
      </c>
      <c r="L4500" s="8">
        <v>-54035.854650000001</v>
      </c>
      <c r="M4500" s="9" t="str">
        <f>IF(A4500="",M4501,A4500)</f>
        <v>Viet Nam</v>
      </c>
      <c r="N4500" s="3" t="str">
        <f t="shared" si="141"/>
        <v>Nov-2020</v>
      </c>
    </row>
    <row r="4501" spans="1:14" x14ac:dyDescent="0.3">
      <c r="A4501" s="3" t="s">
        <v>382</v>
      </c>
      <c r="B4501" s="3" t="s">
        <v>383</v>
      </c>
      <c r="C4501" s="8">
        <v>2020</v>
      </c>
      <c r="D4501" s="8">
        <v>12</v>
      </c>
      <c r="E4501" s="3" t="str">
        <f t="shared" si="140"/>
        <v>December</v>
      </c>
      <c r="F4501" s="3" t="s">
        <v>8</v>
      </c>
      <c r="G4501" s="8">
        <v>63085.238570000001</v>
      </c>
      <c r="H4501" s="8">
        <v>58840.23</v>
      </c>
      <c r="I4501" s="8">
        <v>-4247.6668600000003</v>
      </c>
      <c r="J4501" s="8">
        <v>-59296.140700000004</v>
      </c>
      <c r="K4501" s="8">
        <v>-60260.123350000002</v>
      </c>
      <c r="L4501" s="8">
        <v>-58384.749880000003</v>
      </c>
      <c r="M4501" s="9" t="str">
        <f>IF(A4501="",M4502,A4501)</f>
        <v>Viet Nam</v>
      </c>
      <c r="N4501" s="3" t="str">
        <f t="shared" si="141"/>
        <v>Dec-2020</v>
      </c>
    </row>
    <row r="4502" spans="1:14" x14ac:dyDescent="0.3">
      <c r="A4502" s="3" t="s">
        <v>382</v>
      </c>
      <c r="B4502" s="3" t="s">
        <v>383</v>
      </c>
      <c r="C4502" s="8">
        <v>2021</v>
      </c>
      <c r="D4502" s="8">
        <v>1</v>
      </c>
      <c r="E4502" s="3" t="str">
        <f t="shared" si="140"/>
        <v>January</v>
      </c>
      <c r="F4502" s="3" t="s">
        <v>8</v>
      </c>
      <c r="G4502" s="8">
        <v>63601.06957</v>
      </c>
      <c r="H4502" s="8">
        <v>58920.85</v>
      </c>
      <c r="I4502" s="8">
        <v>-4680.2195739999997</v>
      </c>
      <c r="J4502" s="8">
        <v>-63976.360269999997</v>
      </c>
      <c r="K4502" s="8">
        <v>-83097.042379999999</v>
      </c>
      <c r="L4502" s="8">
        <v>-39230.558250000002</v>
      </c>
      <c r="M4502" s="9" t="str">
        <f>IF(A4502="",M4503,A4502)</f>
        <v>Viet Nam</v>
      </c>
      <c r="N4502" s="3" t="str">
        <f t="shared" si="141"/>
        <v>Jan-2021</v>
      </c>
    </row>
    <row r="4503" spans="1:14" x14ac:dyDescent="0.3">
      <c r="A4503" s="3" t="s">
        <v>382</v>
      </c>
      <c r="B4503" s="3" t="s">
        <v>383</v>
      </c>
      <c r="C4503" s="8">
        <v>2021</v>
      </c>
      <c r="D4503" s="8">
        <v>2</v>
      </c>
      <c r="E4503" s="3" t="str">
        <f t="shared" si="140"/>
        <v>February</v>
      </c>
      <c r="F4503" s="3" t="s">
        <v>8</v>
      </c>
      <c r="G4503" s="8">
        <v>63554.320119999997</v>
      </c>
      <c r="H4503" s="8">
        <v>58578.601999999999</v>
      </c>
      <c r="I4503" s="8">
        <v>-4975.7181179999998</v>
      </c>
      <c r="J4503" s="8">
        <v>-68952.078389999995</v>
      </c>
      <c r="K4503" s="8">
        <v>-102444.7769</v>
      </c>
      <c r="L4503" s="8">
        <v>-27937.67236</v>
      </c>
      <c r="M4503" s="9" t="str">
        <f>IF(A4503="",M4504,A4503)</f>
        <v>Viet Nam</v>
      </c>
      <c r="N4503" s="3" t="str">
        <f t="shared" si="141"/>
        <v>Feb-2021</v>
      </c>
    </row>
    <row r="4504" spans="1:14" x14ac:dyDescent="0.3">
      <c r="A4504" s="3" t="s">
        <v>382</v>
      </c>
      <c r="B4504" s="3" t="s">
        <v>383</v>
      </c>
      <c r="C4504" s="8">
        <v>2021</v>
      </c>
      <c r="D4504" s="8">
        <v>3</v>
      </c>
      <c r="E4504" s="3" t="str">
        <f t="shared" si="140"/>
        <v>March</v>
      </c>
      <c r="F4504" s="3" t="s">
        <v>8</v>
      </c>
      <c r="G4504" s="8">
        <v>62857.017419999996</v>
      </c>
      <c r="H4504" s="8">
        <v>57924.559000000001</v>
      </c>
      <c r="I4504" s="8">
        <v>-4932.4584219999997</v>
      </c>
      <c r="J4504" s="8">
        <v>-73884.536810000005</v>
      </c>
      <c r="K4504" s="8">
        <v>-121653.52989999999</v>
      </c>
      <c r="L4504" s="8">
        <v>-17126.66303</v>
      </c>
      <c r="M4504" s="9" t="str">
        <f>IF(A4504="",M4505,A4504)</f>
        <v>Viet Nam</v>
      </c>
      <c r="N4504" s="3" t="str">
        <f t="shared" si="141"/>
        <v>Mar-2021</v>
      </c>
    </row>
    <row r="4505" spans="1:14" x14ac:dyDescent="0.3">
      <c r="A4505" s="3" t="s">
        <v>382</v>
      </c>
      <c r="B4505" s="3" t="s">
        <v>383</v>
      </c>
      <c r="C4505" s="8">
        <v>2021</v>
      </c>
      <c r="D4505" s="8">
        <v>4</v>
      </c>
      <c r="E4505" s="3" t="str">
        <f t="shared" si="140"/>
        <v>April</v>
      </c>
      <c r="F4505" s="3" t="s">
        <v>8</v>
      </c>
      <c r="G4505" s="8">
        <v>62279.088900000002</v>
      </c>
      <c r="H4505" s="8">
        <v>57954.951000000001</v>
      </c>
      <c r="I4505" s="8">
        <v>-4324.1378969999996</v>
      </c>
      <c r="J4505" s="8">
        <v>-78208.674710000007</v>
      </c>
      <c r="K4505" s="8">
        <v>-141778.89970000001</v>
      </c>
      <c r="L4505" s="8">
        <v>-2079.2802419999998</v>
      </c>
      <c r="M4505" s="9" t="str">
        <f>IF(A4505="",M4506,A4505)</f>
        <v>Viet Nam</v>
      </c>
      <c r="N4505" s="3" t="str">
        <f t="shared" si="141"/>
        <v>Apr-2021</v>
      </c>
    </row>
    <row r="4506" spans="1:14" x14ac:dyDescent="0.3">
      <c r="A4506" s="3" t="s">
        <v>382</v>
      </c>
      <c r="B4506" s="3" t="s">
        <v>383</v>
      </c>
      <c r="C4506" s="8">
        <v>2021</v>
      </c>
      <c r="D4506" s="8">
        <v>5</v>
      </c>
      <c r="E4506" s="3" t="str">
        <f t="shared" si="140"/>
        <v>May</v>
      </c>
      <c r="F4506" s="3" t="s">
        <v>8</v>
      </c>
      <c r="G4506" s="8">
        <v>61107.977610000002</v>
      </c>
      <c r="H4506" s="8">
        <v>57278.722000000002</v>
      </c>
      <c r="I4506" s="8">
        <v>-3829.2556140000002</v>
      </c>
      <c r="J4506" s="8">
        <v>-82037.930319999999</v>
      </c>
      <c r="K4506" s="8">
        <v>-159470.5134</v>
      </c>
      <c r="L4506" s="8">
        <v>12915.294040000001</v>
      </c>
      <c r="M4506" s="9" t="str">
        <f>IF(A4506="",M4507,A4506)</f>
        <v>Viet Nam</v>
      </c>
      <c r="N4506" s="3" t="str">
        <f t="shared" si="141"/>
        <v>May-2021</v>
      </c>
    </row>
    <row r="4507" spans="1:14" x14ac:dyDescent="0.3">
      <c r="A4507" s="3" t="s">
        <v>382</v>
      </c>
      <c r="B4507" s="3" t="s">
        <v>383</v>
      </c>
      <c r="C4507" s="8">
        <v>2021</v>
      </c>
      <c r="D4507" s="8">
        <v>6</v>
      </c>
      <c r="E4507" s="3" t="str">
        <f t="shared" si="140"/>
        <v>June</v>
      </c>
      <c r="F4507" s="3" t="s">
        <v>8</v>
      </c>
      <c r="G4507" s="8">
        <v>61142.944860000003</v>
      </c>
      <c r="H4507" s="8">
        <v>56822.506000000001</v>
      </c>
      <c r="I4507" s="8">
        <v>-4320.4388580000004</v>
      </c>
      <c r="J4507" s="8">
        <v>-86358.369179999994</v>
      </c>
      <c r="K4507" s="8">
        <v>-179212.76329999999</v>
      </c>
      <c r="L4507" s="8">
        <v>23696.924309999999</v>
      </c>
      <c r="M4507" s="9" t="str">
        <f>IF(A4507="",M4508,A4507)</f>
        <v>Viet Nam</v>
      </c>
      <c r="N4507" s="3" t="str">
        <f t="shared" si="141"/>
        <v>Jun-2021</v>
      </c>
    </row>
    <row r="4508" spans="1:14" x14ac:dyDescent="0.3">
      <c r="A4508" s="3" t="s">
        <v>382</v>
      </c>
      <c r="B4508" s="3" t="s">
        <v>383</v>
      </c>
      <c r="C4508" s="8">
        <v>2021</v>
      </c>
      <c r="D4508" s="8">
        <v>7</v>
      </c>
      <c r="E4508" s="3" t="str">
        <f t="shared" si="140"/>
        <v>July</v>
      </c>
      <c r="F4508" s="3" t="s">
        <v>8</v>
      </c>
      <c r="G4508" s="8">
        <v>61186.344409999998</v>
      </c>
      <c r="H4508" s="8">
        <v>61884.851000000002</v>
      </c>
      <c r="I4508" s="8">
        <v>698.50659089999999</v>
      </c>
      <c r="J4508" s="8">
        <v>-85659.862590000004</v>
      </c>
      <c r="K4508" s="8">
        <v>-193838.36040000001</v>
      </c>
      <c r="L4508" s="8">
        <v>44439.562530000003</v>
      </c>
      <c r="M4508" s="9" t="str">
        <f>IF(A4508="",M4509,A4508)</f>
        <v>Viet Nam</v>
      </c>
      <c r="N4508" s="3" t="str">
        <f t="shared" si="141"/>
        <v>Jul-2021</v>
      </c>
    </row>
    <row r="4509" spans="1:14" x14ac:dyDescent="0.3">
      <c r="A4509" s="3" t="s">
        <v>382</v>
      </c>
      <c r="B4509" s="3" t="s">
        <v>383</v>
      </c>
      <c r="C4509" s="8">
        <v>2021</v>
      </c>
      <c r="D4509" s="8">
        <v>8</v>
      </c>
      <c r="E4509" s="3" t="str">
        <f t="shared" si="140"/>
        <v>August</v>
      </c>
      <c r="F4509" s="3" t="s">
        <v>8</v>
      </c>
      <c r="G4509" s="8">
        <v>61397.034879999999</v>
      </c>
      <c r="H4509" s="8">
        <v>78119.611000000004</v>
      </c>
      <c r="I4509" s="8">
        <v>16722.576120000002</v>
      </c>
      <c r="J4509" s="8">
        <v>-68937.286479999995</v>
      </c>
      <c r="K4509" s="8">
        <v>-201428.41339999999</v>
      </c>
      <c r="L4509" s="8">
        <v>82991.882880000005</v>
      </c>
      <c r="M4509" s="9" t="str">
        <f>IF(A4509="",M4510,A4509)</f>
        <v>Viet Nam</v>
      </c>
      <c r="N4509" s="3" t="str">
        <f t="shared" si="141"/>
        <v>Aug-2021</v>
      </c>
    </row>
    <row r="4510" spans="1:14" x14ac:dyDescent="0.3">
      <c r="A4510" s="3" t="s">
        <v>382</v>
      </c>
      <c r="B4510" s="3" t="s">
        <v>383</v>
      </c>
      <c r="C4510" s="8">
        <v>2021</v>
      </c>
      <c r="D4510" s="8">
        <v>9</v>
      </c>
      <c r="E4510" s="3" t="str">
        <f t="shared" si="140"/>
        <v>September</v>
      </c>
      <c r="F4510" s="3" t="s">
        <v>8</v>
      </c>
      <c r="G4510" s="8">
        <v>61590.877769999999</v>
      </c>
      <c r="H4510" s="8">
        <v>73510.698000000004</v>
      </c>
      <c r="I4510" s="8">
        <v>11919.820229999999</v>
      </c>
      <c r="J4510" s="8">
        <v>-57017.466249999998</v>
      </c>
      <c r="K4510" s="8">
        <v>-206266.91399999999</v>
      </c>
      <c r="L4510" s="8">
        <v>118616.7614</v>
      </c>
      <c r="M4510" s="9" t="str">
        <f>IF(A4510="",M4511,A4510)</f>
        <v>Viet Nam</v>
      </c>
      <c r="N4510" s="3" t="str">
        <f t="shared" si="141"/>
        <v>Sep-2021</v>
      </c>
    </row>
    <row r="4511" spans="1:14" x14ac:dyDescent="0.3">
      <c r="A4511" s="3" t="s">
        <v>382</v>
      </c>
      <c r="B4511" s="3" t="s">
        <v>383</v>
      </c>
      <c r="C4511" s="8">
        <v>2021</v>
      </c>
      <c r="D4511" s="8">
        <v>10</v>
      </c>
      <c r="E4511" s="3" t="str">
        <f t="shared" si="140"/>
        <v>October</v>
      </c>
      <c r="F4511" s="3" t="s">
        <v>8</v>
      </c>
      <c r="G4511" s="8">
        <v>62625.930379999998</v>
      </c>
      <c r="H4511" s="8">
        <v>66728.555999999997</v>
      </c>
      <c r="I4511" s="8">
        <v>4102.6256219999996</v>
      </c>
      <c r="J4511" s="8">
        <v>-52914.840629999999</v>
      </c>
      <c r="K4511" s="8">
        <v>-222629.4191</v>
      </c>
      <c r="L4511" s="8">
        <v>139643.5209</v>
      </c>
      <c r="M4511" s="9" t="str">
        <f>IF(A4511="",M4512,A4511)</f>
        <v>Viet Nam</v>
      </c>
      <c r="N4511" s="3" t="str">
        <f t="shared" si="141"/>
        <v>Oct-2021</v>
      </c>
    </row>
    <row r="4512" spans="1:14" x14ac:dyDescent="0.3">
      <c r="A4512" s="3" t="s">
        <v>382</v>
      </c>
      <c r="B4512" s="3" t="s">
        <v>383</v>
      </c>
      <c r="C4512" s="8">
        <v>2021</v>
      </c>
      <c r="D4512" s="8">
        <v>11</v>
      </c>
      <c r="E4512" s="3" t="str">
        <f t="shared" si="140"/>
        <v>November</v>
      </c>
      <c r="F4512" s="3" t="s">
        <v>8</v>
      </c>
      <c r="G4512" s="8">
        <v>62860.53112</v>
      </c>
      <c r="H4512" s="8">
        <v>67892.929999999993</v>
      </c>
      <c r="I4512" s="8">
        <v>5032.3988769999996</v>
      </c>
      <c r="J4512" s="8">
        <v>-47882.441749999998</v>
      </c>
      <c r="K4512" s="8">
        <v>-236532.90150000001</v>
      </c>
      <c r="L4512" s="8">
        <v>167292.67749999999</v>
      </c>
      <c r="M4512" s="9" t="str">
        <f>IF(A4512="",M4513,A4512)</f>
        <v>Viet Nam</v>
      </c>
      <c r="N4512" s="3" t="str">
        <f t="shared" si="141"/>
        <v>Nov-2021</v>
      </c>
    </row>
    <row r="4513" spans="1:14" x14ac:dyDescent="0.3">
      <c r="A4513" s="3" t="s">
        <v>382</v>
      </c>
      <c r="B4513" s="3" t="s">
        <v>383</v>
      </c>
      <c r="C4513" s="8">
        <v>2021</v>
      </c>
      <c r="D4513" s="8">
        <v>12</v>
      </c>
      <c r="E4513" s="3" t="str">
        <f t="shared" si="140"/>
        <v>December</v>
      </c>
      <c r="F4513" s="3" t="s">
        <v>8</v>
      </c>
      <c r="G4513" s="8">
        <v>63951.004330000003</v>
      </c>
      <c r="H4513" s="8">
        <v>74559.054999999993</v>
      </c>
      <c r="I4513" s="8">
        <v>10608.050670000001</v>
      </c>
      <c r="J4513" s="8">
        <v>-37274.391080000001</v>
      </c>
      <c r="K4513" s="8">
        <v>-241633.48310000001</v>
      </c>
      <c r="L4513" s="8">
        <v>200166.9724</v>
      </c>
      <c r="M4513" s="9" t="str">
        <f>IF(A4513="",M4514,A4513)</f>
        <v>Viet Nam</v>
      </c>
      <c r="N4513" s="3" t="str">
        <f t="shared" si="141"/>
        <v>Dec-2021</v>
      </c>
    </row>
    <row r="4514" spans="1:14" x14ac:dyDescent="0.3">
      <c r="A4514" s="3" t="s">
        <v>384</v>
      </c>
      <c r="B4514" s="3" t="s">
        <v>385</v>
      </c>
      <c r="C4514" s="8">
        <v>2020</v>
      </c>
      <c r="D4514" s="8">
        <v>1</v>
      </c>
      <c r="E4514" s="3" t="str">
        <f t="shared" si="140"/>
        <v>January</v>
      </c>
      <c r="F4514" s="3" t="s">
        <v>8</v>
      </c>
      <c r="G4514" s="8">
        <v>182.84129179999999</v>
      </c>
      <c r="H4514" s="8">
        <v>171.56100000000001</v>
      </c>
      <c r="I4514" s="8">
        <v>-11.28029184</v>
      </c>
      <c r="J4514" s="8">
        <v>-11.28029184</v>
      </c>
      <c r="K4514" s="8">
        <v>-73.92266386</v>
      </c>
      <c r="L4514" s="8">
        <v>71.892476500000001</v>
      </c>
      <c r="M4514" s="9" t="str">
        <f>IF(A4514="",M4515,A4514)</f>
        <v>Vanuatu</v>
      </c>
      <c r="N4514" s="3" t="str">
        <f t="shared" si="141"/>
        <v>Jan-2020</v>
      </c>
    </row>
    <row r="4515" spans="1:14" x14ac:dyDescent="0.3">
      <c r="A4515" s="3" t="s">
        <v>384</v>
      </c>
      <c r="B4515" s="3" t="s">
        <v>385</v>
      </c>
      <c r="C4515" s="8">
        <v>2020</v>
      </c>
      <c r="D4515" s="8">
        <v>2</v>
      </c>
      <c r="E4515" s="3" t="str">
        <f t="shared" si="140"/>
        <v>February</v>
      </c>
      <c r="F4515" s="3" t="s">
        <v>8</v>
      </c>
      <c r="G4515" s="8">
        <v>182.00662220000001</v>
      </c>
      <c r="H4515" s="8">
        <v>180.01900000000001</v>
      </c>
      <c r="I4515" s="8">
        <v>-1.987622204</v>
      </c>
      <c r="J4515" s="8">
        <v>-13.26791405</v>
      </c>
      <c r="K4515" s="8">
        <v>-97.462426609999994</v>
      </c>
      <c r="L4515" s="8">
        <v>88.723215510000003</v>
      </c>
      <c r="M4515" s="9" t="str">
        <f>IF(A4515="",M4516,A4515)</f>
        <v>Vanuatu</v>
      </c>
      <c r="N4515" s="3" t="str">
        <f t="shared" si="141"/>
        <v>Feb-2020</v>
      </c>
    </row>
    <row r="4516" spans="1:14" x14ac:dyDescent="0.3">
      <c r="A4516" s="3" t="s">
        <v>384</v>
      </c>
      <c r="B4516" s="3" t="s">
        <v>385</v>
      </c>
      <c r="C4516" s="8">
        <v>2020</v>
      </c>
      <c r="D4516" s="8">
        <v>3</v>
      </c>
      <c r="E4516" s="3" t="str">
        <f t="shared" si="140"/>
        <v>March</v>
      </c>
      <c r="F4516" s="3" t="s">
        <v>8</v>
      </c>
      <c r="G4516" s="8">
        <v>182.65688929999999</v>
      </c>
      <c r="H4516" s="8">
        <v>183.29400000000001</v>
      </c>
      <c r="I4516" s="8">
        <v>0.63711067700000001</v>
      </c>
      <c r="J4516" s="8">
        <v>-12.630803370000001</v>
      </c>
      <c r="K4516" s="8">
        <v>-112.62961110000001</v>
      </c>
      <c r="L4516" s="8">
        <v>101.6715414</v>
      </c>
      <c r="M4516" s="9" t="str">
        <f>IF(A4516="",M4517,A4516)</f>
        <v>Vanuatu</v>
      </c>
      <c r="N4516" s="3" t="str">
        <f t="shared" si="141"/>
        <v>Mar-2020</v>
      </c>
    </row>
    <row r="4517" spans="1:14" x14ac:dyDescent="0.3">
      <c r="A4517" s="3" t="s">
        <v>384</v>
      </c>
      <c r="B4517" s="3" t="s">
        <v>385</v>
      </c>
      <c r="C4517" s="8">
        <v>2020</v>
      </c>
      <c r="D4517" s="8">
        <v>4</v>
      </c>
      <c r="E4517" s="3" t="str">
        <f t="shared" si="140"/>
        <v>April</v>
      </c>
      <c r="F4517" s="3" t="s">
        <v>8</v>
      </c>
      <c r="G4517" s="8">
        <v>183.32223429999999</v>
      </c>
      <c r="H4517" s="8">
        <v>171.18899999999999</v>
      </c>
      <c r="I4517" s="8">
        <v>-12.133234270000001</v>
      </c>
      <c r="J4517" s="8">
        <v>-24.764037630000001</v>
      </c>
      <c r="K4517" s="8">
        <v>-138.00507899999999</v>
      </c>
      <c r="L4517" s="8">
        <v>101.1828424</v>
      </c>
      <c r="M4517" s="9" t="str">
        <f>IF(A4517="",M4518,A4517)</f>
        <v>Vanuatu</v>
      </c>
      <c r="N4517" s="3" t="str">
        <f t="shared" si="141"/>
        <v>Apr-2020</v>
      </c>
    </row>
    <row r="4518" spans="1:14" x14ac:dyDescent="0.3">
      <c r="A4518" s="3" t="s">
        <v>384</v>
      </c>
      <c r="B4518" s="3" t="s">
        <v>385</v>
      </c>
      <c r="C4518" s="8">
        <v>2020</v>
      </c>
      <c r="D4518" s="8">
        <v>5</v>
      </c>
      <c r="E4518" s="3" t="str">
        <f t="shared" si="140"/>
        <v>May</v>
      </c>
      <c r="F4518" s="3" t="s">
        <v>8</v>
      </c>
      <c r="G4518" s="8">
        <v>185.14063959999999</v>
      </c>
      <c r="H4518" s="8">
        <v>183.27099999999999</v>
      </c>
      <c r="I4518" s="8">
        <v>-1.869639617</v>
      </c>
      <c r="J4518" s="8">
        <v>-26.633677250000002</v>
      </c>
      <c r="K4518" s="8">
        <v>-154.72468280000001</v>
      </c>
      <c r="L4518" s="8">
        <v>114.35896270000001</v>
      </c>
      <c r="M4518" s="9" t="str">
        <f>IF(A4518="",M4519,A4518)</f>
        <v>Vanuatu</v>
      </c>
      <c r="N4518" s="3" t="str">
        <f t="shared" si="141"/>
        <v>May-2020</v>
      </c>
    </row>
    <row r="4519" spans="1:14" x14ac:dyDescent="0.3">
      <c r="A4519" s="3" t="s">
        <v>384</v>
      </c>
      <c r="B4519" s="3" t="s">
        <v>385</v>
      </c>
      <c r="C4519" s="8">
        <v>2020</v>
      </c>
      <c r="D4519" s="8">
        <v>6</v>
      </c>
      <c r="E4519" s="3" t="str">
        <f t="shared" si="140"/>
        <v>June</v>
      </c>
      <c r="F4519" s="3" t="s">
        <v>8</v>
      </c>
      <c r="G4519" s="8">
        <v>185.2516037</v>
      </c>
      <c r="H4519" s="8">
        <v>189.18299999999999</v>
      </c>
      <c r="I4519" s="8">
        <v>3.9313963080000001</v>
      </c>
      <c r="J4519" s="8">
        <v>-22.702280940000001</v>
      </c>
      <c r="K4519" s="8">
        <v>-163.78936640000001</v>
      </c>
      <c r="L4519" s="8">
        <v>131.58985190000001</v>
      </c>
      <c r="M4519" s="9" t="str">
        <f>IF(A4519="",M4520,A4519)</f>
        <v>Vanuatu</v>
      </c>
      <c r="N4519" s="3" t="str">
        <f t="shared" si="141"/>
        <v>Jun-2020</v>
      </c>
    </row>
    <row r="4520" spans="1:14" x14ac:dyDescent="0.3">
      <c r="A4520" s="3" t="s">
        <v>384</v>
      </c>
      <c r="B4520" s="3" t="s">
        <v>385</v>
      </c>
      <c r="C4520" s="8">
        <v>2020</v>
      </c>
      <c r="D4520" s="8">
        <v>7</v>
      </c>
      <c r="E4520" s="3" t="str">
        <f t="shared" si="140"/>
        <v>July</v>
      </c>
      <c r="F4520" s="3" t="s">
        <v>8</v>
      </c>
      <c r="G4520" s="8">
        <v>185.54702069999999</v>
      </c>
      <c r="H4520" s="8">
        <v>195.54499999999999</v>
      </c>
      <c r="I4520" s="8">
        <v>9.9979793360000002</v>
      </c>
      <c r="J4520" s="8">
        <v>-12.70430161</v>
      </c>
      <c r="K4520" s="8">
        <v>-168.3265294</v>
      </c>
      <c r="L4520" s="8">
        <v>162.93022300000001</v>
      </c>
      <c r="M4520" s="9" t="str">
        <f>IF(A4520="",M4521,A4520)</f>
        <v>Vanuatu</v>
      </c>
      <c r="N4520" s="3" t="str">
        <f t="shared" si="141"/>
        <v>Jul-2020</v>
      </c>
    </row>
    <row r="4521" spans="1:14" x14ac:dyDescent="0.3">
      <c r="A4521" s="3" t="s">
        <v>384</v>
      </c>
      <c r="B4521" s="3" t="s">
        <v>385</v>
      </c>
      <c r="C4521" s="8">
        <v>2020</v>
      </c>
      <c r="D4521" s="8">
        <v>8</v>
      </c>
      <c r="E4521" s="3" t="str">
        <f t="shared" si="140"/>
        <v>August</v>
      </c>
      <c r="F4521" s="3" t="s">
        <v>8</v>
      </c>
      <c r="G4521" s="8">
        <v>185.65774640000001</v>
      </c>
      <c r="H4521" s="8">
        <v>197.804</v>
      </c>
      <c r="I4521" s="8">
        <v>12.14625365</v>
      </c>
      <c r="J4521" s="8">
        <v>-0.55804796000000001</v>
      </c>
      <c r="K4521" s="8">
        <v>-161.5768521</v>
      </c>
      <c r="L4521" s="8">
        <v>183.90084709999999</v>
      </c>
      <c r="M4521" s="9" t="str">
        <f>IF(A4521="",M4522,A4521)</f>
        <v>Vanuatu</v>
      </c>
      <c r="N4521" s="3" t="str">
        <f t="shared" si="141"/>
        <v>Aug-2020</v>
      </c>
    </row>
    <row r="4522" spans="1:14" x14ac:dyDescent="0.3">
      <c r="A4522" s="3" t="s">
        <v>384</v>
      </c>
      <c r="B4522" s="3" t="s">
        <v>385</v>
      </c>
      <c r="C4522" s="8">
        <v>2020</v>
      </c>
      <c r="D4522" s="8">
        <v>9</v>
      </c>
      <c r="E4522" s="3" t="str">
        <f t="shared" si="140"/>
        <v>September</v>
      </c>
      <c r="F4522" s="3" t="s">
        <v>8</v>
      </c>
      <c r="G4522" s="8">
        <v>185.5072596</v>
      </c>
      <c r="H4522" s="8">
        <v>199.69800000000001</v>
      </c>
      <c r="I4522" s="8">
        <v>14.19074043</v>
      </c>
      <c r="J4522" s="8">
        <v>13.63269247</v>
      </c>
      <c r="K4522" s="8">
        <v>-159.66343449999999</v>
      </c>
      <c r="L4522" s="8">
        <v>210.6359751</v>
      </c>
      <c r="M4522" s="9" t="str">
        <f>IF(A4522="",M4523,A4522)</f>
        <v>Vanuatu</v>
      </c>
      <c r="N4522" s="3" t="str">
        <f t="shared" si="141"/>
        <v>Sep-2020</v>
      </c>
    </row>
    <row r="4523" spans="1:14" x14ac:dyDescent="0.3">
      <c r="A4523" s="3" t="s">
        <v>384</v>
      </c>
      <c r="B4523" s="3" t="s">
        <v>385</v>
      </c>
      <c r="C4523" s="8">
        <v>2020</v>
      </c>
      <c r="D4523" s="8">
        <v>10</v>
      </c>
      <c r="E4523" s="3" t="str">
        <f t="shared" si="140"/>
        <v>October</v>
      </c>
      <c r="F4523" s="3" t="s">
        <v>8</v>
      </c>
      <c r="G4523" s="8">
        <v>184.10020979999999</v>
      </c>
      <c r="H4523" s="8">
        <v>195.66900000000001</v>
      </c>
      <c r="I4523" s="8">
        <v>11.56879024</v>
      </c>
      <c r="J4523" s="8">
        <v>25.201482710000001</v>
      </c>
      <c r="K4523" s="8">
        <v>-165.60221200000001</v>
      </c>
      <c r="L4523" s="8">
        <v>227.31216259999999</v>
      </c>
      <c r="M4523" s="9" t="str">
        <f>IF(A4523="",M4524,A4523)</f>
        <v>Vanuatu</v>
      </c>
      <c r="N4523" s="3" t="str">
        <f t="shared" si="141"/>
        <v>Oct-2020</v>
      </c>
    </row>
    <row r="4524" spans="1:14" x14ac:dyDescent="0.3">
      <c r="A4524" s="3" t="s">
        <v>384</v>
      </c>
      <c r="B4524" s="3" t="s">
        <v>385</v>
      </c>
      <c r="C4524" s="8">
        <v>2020</v>
      </c>
      <c r="D4524" s="8">
        <v>11</v>
      </c>
      <c r="E4524" s="3" t="str">
        <f t="shared" si="140"/>
        <v>November</v>
      </c>
      <c r="F4524" s="3" t="s">
        <v>8</v>
      </c>
      <c r="G4524" s="8">
        <v>183.4183362</v>
      </c>
      <c r="H4524" s="8">
        <v>193.44800000000001</v>
      </c>
      <c r="I4524" s="8">
        <v>10.02966376</v>
      </c>
      <c r="J4524" s="8">
        <v>35.231146469999999</v>
      </c>
      <c r="K4524" s="8">
        <v>-163.7752266</v>
      </c>
      <c r="L4524" s="8">
        <v>250.02576790000001</v>
      </c>
      <c r="M4524" s="9" t="str">
        <f>IF(A4524="",M4525,A4524)</f>
        <v>Vanuatu</v>
      </c>
      <c r="N4524" s="3" t="str">
        <f t="shared" si="141"/>
        <v>Nov-2020</v>
      </c>
    </row>
    <row r="4525" spans="1:14" x14ac:dyDescent="0.3">
      <c r="A4525" s="3" t="s">
        <v>384</v>
      </c>
      <c r="B4525" s="3" t="s">
        <v>385</v>
      </c>
      <c r="C4525" s="8">
        <v>2020</v>
      </c>
      <c r="D4525" s="8">
        <v>12</v>
      </c>
      <c r="E4525" s="3" t="str">
        <f t="shared" si="140"/>
        <v>December</v>
      </c>
      <c r="F4525" s="3" t="s">
        <v>8</v>
      </c>
      <c r="G4525" s="8">
        <v>182.86399069999999</v>
      </c>
      <c r="H4525" s="8">
        <v>190.06200000000001</v>
      </c>
      <c r="I4525" s="8">
        <v>7.1980092630000003</v>
      </c>
      <c r="J4525" s="8">
        <v>42.429155729999998</v>
      </c>
      <c r="K4525" s="8">
        <v>-160.30624599999999</v>
      </c>
      <c r="L4525" s="8">
        <v>266.07751500000001</v>
      </c>
      <c r="M4525" s="9" t="str">
        <f>IF(A4525="",M4526,A4525)</f>
        <v>Vanuatu</v>
      </c>
      <c r="N4525" s="3" t="str">
        <f t="shared" si="141"/>
        <v>Dec-2020</v>
      </c>
    </row>
    <row r="4526" spans="1:14" x14ac:dyDescent="0.3">
      <c r="A4526" s="3" t="s">
        <v>384</v>
      </c>
      <c r="B4526" s="3" t="s">
        <v>385</v>
      </c>
      <c r="C4526" s="8">
        <v>2021</v>
      </c>
      <c r="D4526" s="8">
        <v>1</v>
      </c>
      <c r="E4526" s="3" t="str">
        <f t="shared" si="140"/>
        <v>January</v>
      </c>
      <c r="F4526" s="3" t="s">
        <v>8</v>
      </c>
      <c r="G4526" s="8">
        <v>187.15825620000001</v>
      </c>
      <c r="H4526" s="8">
        <v>194.30099999999999</v>
      </c>
      <c r="I4526" s="8">
        <v>7.1427438150000002</v>
      </c>
      <c r="J4526" s="8">
        <v>49.571899539999997</v>
      </c>
      <c r="K4526" s="8">
        <v>-160.09096410000001</v>
      </c>
      <c r="L4526" s="8">
        <v>275.72668119999997</v>
      </c>
      <c r="M4526" s="9" t="str">
        <f>IF(A4526="",M4527,A4526)</f>
        <v>Vanuatu</v>
      </c>
      <c r="N4526" s="3" t="str">
        <f t="shared" si="141"/>
        <v>Jan-2021</v>
      </c>
    </row>
    <row r="4527" spans="1:14" x14ac:dyDescent="0.3">
      <c r="A4527" s="3" t="s">
        <v>384</v>
      </c>
      <c r="B4527" s="3" t="s">
        <v>385</v>
      </c>
      <c r="C4527" s="8">
        <v>2021</v>
      </c>
      <c r="D4527" s="8">
        <v>2</v>
      </c>
      <c r="E4527" s="3" t="str">
        <f t="shared" si="140"/>
        <v>February</v>
      </c>
      <c r="F4527" s="3" t="s">
        <v>8</v>
      </c>
      <c r="G4527" s="8">
        <v>185.9190165</v>
      </c>
      <c r="H4527" s="8">
        <v>195.62200000000001</v>
      </c>
      <c r="I4527" s="8">
        <v>9.7029835280000007</v>
      </c>
      <c r="J4527" s="8">
        <v>59.274883070000001</v>
      </c>
      <c r="K4527" s="8">
        <v>-161.82834980000001</v>
      </c>
      <c r="L4527" s="8">
        <v>286.2599184</v>
      </c>
      <c r="M4527" s="9" t="str">
        <f>IF(A4527="",M4528,A4527)</f>
        <v>Vanuatu</v>
      </c>
      <c r="N4527" s="3" t="str">
        <f t="shared" si="141"/>
        <v>Feb-2021</v>
      </c>
    </row>
    <row r="4528" spans="1:14" x14ac:dyDescent="0.3">
      <c r="A4528" s="3" t="s">
        <v>384</v>
      </c>
      <c r="B4528" s="3" t="s">
        <v>385</v>
      </c>
      <c r="C4528" s="8">
        <v>2021</v>
      </c>
      <c r="D4528" s="8">
        <v>3</v>
      </c>
      <c r="E4528" s="3" t="str">
        <f t="shared" si="140"/>
        <v>March</v>
      </c>
      <c r="F4528" s="3" t="s">
        <v>8</v>
      </c>
      <c r="G4528" s="8">
        <v>186.5866173</v>
      </c>
      <c r="H4528" s="8">
        <v>193.286</v>
      </c>
      <c r="I4528" s="8">
        <v>6.6993827330000002</v>
      </c>
      <c r="J4528" s="8">
        <v>65.974265810000006</v>
      </c>
      <c r="K4528" s="8">
        <v>-163.80051230000001</v>
      </c>
      <c r="L4528" s="8">
        <v>304.40956740000001</v>
      </c>
      <c r="M4528" s="9" t="str">
        <f>IF(A4528="",M4529,A4528)</f>
        <v>Vanuatu</v>
      </c>
      <c r="N4528" s="3" t="str">
        <f t="shared" si="141"/>
        <v>Mar-2021</v>
      </c>
    </row>
    <row r="4529" spans="1:14" x14ac:dyDescent="0.3">
      <c r="A4529" s="3" t="s">
        <v>384</v>
      </c>
      <c r="B4529" s="3" t="s">
        <v>385</v>
      </c>
      <c r="C4529" s="8">
        <v>2021</v>
      </c>
      <c r="D4529" s="8">
        <v>4</v>
      </c>
      <c r="E4529" s="3" t="str">
        <f t="shared" si="140"/>
        <v>April</v>
      </c>
      <c r="F4529" s="3" t="s">
        <v>8</v>
      </c>
      <c r="G4529" s="8">
        <v>187.46388999999999</v>
      </c>
      <c r="H4529" s="8">
        <v>195.97300000000001</v>
      </c>
      <c r="I4529" s="8">
        <v>8.5091099729999993</v>
      </c>
      <c r="J4529" s="8">
        <v>74.483375780000003</v>
      </c>
      <c r="K4529" s="8">
        <v>-175.29174950000001</v>
      </c>
      <c r="L4529" s="8">
        <v>332.8457689</v>
      </c>
      <c r="M4529" s="9" t="str">
        <f>IF(A4529="",M4530,A4529)</f>
        <v>Vanuatu</v>
      </c>
      <c r="N4529" s="3" t="str">
        <f t="shared" si="141"/>
        <v>Apr-2021</v>
      </c>
    </row>
    <row r="4530" spans="1:14" x14ac:dyDescent="0.3">
      <c r="A4530" s="3" t="s">
        <v>384</v>
      </c>
      <c r="B4530" s="3" t="s">
        <v>385</v>
      </c>
      <c r="C4530" s="8">
        <v>2021</v>
      </c>
      <c r="D4530" s="8">
        <v>5</v>
      </c>
      <c r="E4530" s="3" t="str">
        <f t="shared" si="140"/>
        <v>May</v>
      </c>
      <c r="F4530" s="3" t="s">
        <v>8</v>
      </c>
      <c r="G4530" s="8">
        <v>189.15574190000001</v>
      </c>
      <c r="H4530" s="8">
        <v>202.67599999999999</v>
      </c>
      <c r="I4530" s="8">
        <v>13.52025806</v>
      </c>
      <c r="J4530" s="8">
        <v>88.003633840000006</v>
      </c>
      <c r="K4530" s="8">
        <v>-160.85748129999999</v>
      </c>
      <c r="L4530" s="8">
        <v>356.61736300000001</v>
      </c>
      <c r="M4530" s="9" t="str">
        <f>IF(A4530="",M4531,A4530)</f>
        <v>Vanuatu</v>
      </c>
      <c r="N4530" s="3" t="str">
        <f t="shared" si="141"/>
        <v>May-2021</v>
      </c>
    </row>
    <row r="4531" spans="1:14" x14ac:dyDescent="0.3">
      <c r="A4531" s="3" t="s">
        <v>384</v>
      </c>
      <c r="B4531" s="3" t="s">
        <v>385</v>
      </c>
      <c r="C4531" s="8">
        <v>2021</v>
      </c>
      <c r="D4531" s="8">
        <v>6</v>
      </c>
      <c r="E4531" s="3" t="str">
        <f t="shared" si="140"/>
        <v>June</v>
      </c>
      <c r="F4531" s="3" t="s">
        <v>8</v>
      </c>
      <c r="G4531" s="8">
        <v>189.69898749999999</v>
      </c>
      <c r="H4531" s="8">
        <v>204.649</v>
      </c>
      <c r="I4531" s="8">
        <v>14.95001246</v>
      </c>
      <c r="J4531" s="8">
        <v>102.9536463</v>
      </c>
      <c r="K4531" s="8">
        <v>-154.1036019</v>
      </c>
      <c r="L4531" s="8">
        <v>377.04788180000003</v>
      </c>
      <c r="M4531" s="9" t="str">
        <f>IF(A4531="",M4532,A4531)</f>
        <v>Vanuatu</v>
      </c>
      <c r="N4531" s="3" t="str">
        <f t="shared" si="141"/>
        <v>Jun-2021</v>
      </c>
    </row>
    <row r="4532" spans="1:14" x14ac:dyDescent="0.3">
      <c r="A4532" s="3" t="s">
        <v>384</v>
      </c>
      <c r="B4532" s="3" t="s">
        <v>385</v>
      </c>
      <c r="C4532" s="8">
        <v>2021</v>
      </c>
      <c r="D4532" s="8">
        <v>7</v>
      </c>
      <c r="E4532" s="3" t="str">
        <f t="shared" si="140"/>
        <v>July</v>
      </c>
      <c r="F4532" s="3" t="s">
        <v>8</v>
      </c>
      <c r="G4532" s="8">
        <v>189.73023839999999</v>
      </c>
      <c r="H4532" s="8">
        <v>206.75700000000001</v>
      </c>
      <c r="I4532" s="8">
        <v>17.0267616</v>
      </c>
      <c r="J4532" s="8">
        <v>119.9804079</v>
      </c>
      <c r="K4532" s="8">
        <v>-140.24524959999999</v>
      </c>
      <c r="L4532" s="8">
        <v>414.92014110000002</v>
      </c>
      <c r="M4532" s="9" t="str">
        <f>IF(A4532="",M4533,A4532)</f>
        <v>Vanuatu</v>
      </c>
      <c r="N4532" s="3" t="str">
        <f t="shared" si="141"/>
        <v>Jul-2021</v>
      </c>
    </row>
    <row r="4533" spans="1:14" x14ac:dyDescent="0.3">
      <c r="A4533" s="3" t="s">
        <v>384</v>
      </c>
      <c r="B4533" s="3" t="s">
        <v>385</v>
      </c>
      <c r="C4533" s="8">
        <v>2021</v>
      </c>
      <c r="D4533" s="8">
        <v>8</v>
      </c>
      <c r="E4533" s="3" t="str">
        <f t="shared" si="140"/>
        <v>August</v>
      </c>
      <c r="F4533" s="3" t="s">
        <v>8</v>
      </c>
      <c r="G4533" s="8">
        <v>189.9221282</v>
      </c>
      <c r="H4533" s="8">
        <v>205.44300000000001</v>
      </c>
      <c r="I4533" s="8">
        <v>15.520871809999999</v>
      </c>
      <c r="J4533" s="8">
        <v>135.5012797</v>
      </c>
      <c r="K4533" s="8">
        <v>-135.86209310000001</v>
      </c>
      <c r="L4533" s="8">
        <v>425.12191840000003</v>
      </c>
      <c r="M4533" s="9" t="str">
        <f>IF(A4533="",M4534,A4533)</f>
        <v>Vanuatu</v>
      </c>
      <c r="N4533" s="3" t="str">
        <f t="shared" si="141"/>
        <v>Aug-2021</v>
      </c>
    </row>
    <row r="4534" spans="1:14" x14ac:dyDescent="0.3">
      <c r="A4534" s="3" t="s">
        <v>384</v>
      </c>
      <c r="B4534" s="3" t="s">
        <v>385</v>
      </c>
      <c r="C4534" s="8">
        <v>2021</v>
      </c>
      <c r="D4534" s="8">
        <v>9</v>
      </c>
      <c r="E4534" s="3" t="str">
        <f t="shared" si="140"/>
        <v>September</v>
      </c>
      <c r="F4534" s="3" t="s">
        <v>8</v>
      </c>
      <c r="G4534" s="8">
        <v>189.54462409999999</v>
      </c>
      <c r="H4534" s="8">
        <v>208.26</v>
      </c>
      <c r="I4534" s="8">
        <v>18.715375909999999</v>
      </c>
      <c r="J4534" s="8">
        <v>154.2166556</v>
      </c>
      <c r="K4534" s="8">
        <v>-114.568506</v>
      </c>
      <c r="L4534" s="8">
        <v>451.33533820000002</v>
      </c>
      <c r="M4534" s="9" t="str">
        <f>IF(A4534="",M4535,A4534)</f>
        <v>Vanuatu</v>
      </c>
      <c r="N4534" s="3" t="str">
        <f t="shared" si="141"/>
        <v>Sep-2021</v>
      </c>
    </row>
    <row r="4535" spans="1:14" x14ac:dyDescent="0.3">
      <c r="A4535" s="3" t="s">
        <v>384</v>
      </c>
      <c r="B4535" s="3" t="s">
        <v>385</v>
      </c>
      <c r="C4535" s="8">
        <v>2021</v>
      </c>
      <c r="D4535" s="8">
        <v>10</v>
      </c>
      <c r="E4535" s="3" t="str">
        <f t="shared" si="140"/>
        <v>October</v>
      </c>
      <c r="F4535" s="3" t="s">
        <v>8</v>
      </c>
      <c r="G4535" s="8">
        <v>188.11490380000001</v>
      </c>
      <c r="H4535" s="8">
        <v>203.70400000000001</v>
      </c>
      <c r="I4535" s="8">
        <v>15.58909622</v>
      </c>
      <c r="J4535" s="8">
        <v>169.8057518</v>
      </c>
      <c r="K4535" s="8">
        <v>-113.9390542</v>
      </c>
      <c r="L4535" s="8">
        <v>469.4007221</v>
      </c>
      <c r="M4535" s="9" t="str">
        <f>IF(A4535="",M4536,A4535)</f>
        <v>Vanuatu</v>
      </c>
      <c r="N4535" s="3" t="str">
        <f t="shared" si="141"/>
        <v>Oct-2021</v>
      </c>
    </row>
    <row r="4536" spans="1:14" x14ac:dyDescent="0.3">
      <c r="A4536" s="3" t="s">
        <v>384</v>
      </c>
      <c r="B4536" s="3" t="s">
        <v>385</v>
      </c>
      <c r="C4536" s="8">
        <v>2021</v>
      </c>
      <c r="D4536" s="8">
        <v>11</v>
      </c>
      <c r="E4536" s="3" t="str">
        <f t="shared" si="140"/>
        <v>November</v>
      </c>
      <c r="F4536" s="3" t="s">
        <v>8</v>
      </c>
      <c r="G4536" s="8">
        <v>187.35225199999999</v>
      </c>
      <c r="H4536" s="8">
        <v>204.65299999999999</v>
      </c>
      <c r="I4536" s="8">
        <v>17.300748030000001</v>
      </c>
      <c r="J4536" s="8">
        <v>187.10649989999999</v>
      </c>
      <c r="K4536" s="8">
        <v>-99.426541</v>
      </c>
      <c r="L4536" s="8">
        <v>495.2780411</v>
      </c>
      <c r="M4536" s="9" t="str">
        <f>IF(A4536="",M4537,A4536)</f>
        <v>Vanuatu</v>
      </c>
      <c r="N4536" s="3" t="str">
        <f t="shared" si="141"/>
        <v>Nov-2021</v>
      </c>
    </row>
    <row r="4537" spans="1:14" x14ac:dyDescent="0.3">
      <c r="A4537" s="3" t="s">
        <v>384</v>
      </c>
      <c r="B4537" s="3" t="s">
        <v>385</v>
      </c>
      <c r="C4537" s="8">
        <v>2021</v>
      </c>
      <c r="D4537" s="8">
        <v>12</v>
      </c>
      <c r="E4537" s="3" t="str">
        <f t="shared" si="140"/>
        <v>December</v>
      </c>
      <c r="F4537" s="3" t="s">
        <v>8</v>
      </c>
      <c r="G4537" s="8">
        <v>187.28518879999999</v>
      </c>
      <c r="H4537" s="8">
        <v>204.14599999999999</v>
      </c>
      <c r="I4537" s="8">
        <v>16.860811179999999</v>
      </c>
      <c r="J4537" s="8">
        <v>203.96731109999999</v>
      </c>
      <c r="K4537" s="8">
        <v>-92.718321380000006</v>
      </c>
      <c r="L4537" s="8">
        <v>512.64690819999998</v>
      </c>
      <c r="M4537" s="9" t="str">
        <f>IF(A4537="",M4538,A4537)</f>
        <v>Vanuatu</v>
      </c>
      <c r="N4537" s="3" t="str">
        <f t="shared" si="141"/>
        <v>Dec-2021</v>
      </c>
    </row>
    <row r="4538" spans="1:14" x14ac:dyDescent="0.3">
      <c r="A4538" s="3" t="s">
        <v>386</v>
      </c>
      <c r="B4538" s="3" t="s">
        <v>387</v>
      </c>
      <c r="C4538" s="8">
        <v>2020</v>
      </c>
      <c r="D4538" s="8">
        <v>1</v>
      </c>
      <c r="E4538" s="3" t="str">
        <f t="shared" si="140"/>
        <v>January</v>
      </c>
      <c r="F4538" s="3" t="s">
        <v>8</v>
      </c>
      <c r="G4538" s="8">
        <v>100.101675</v>
      </c>
      <c r="H4538" s="8">
        <v>101.077</v>
      </c>
      <c r="I4538" s="8">
        <v>0.97532496700000004</v>
      </c>
      <c r="J4538" s="8">
        <v>0.97532496700000004</v>
      </c>
      <c r="K4538" s="8">
        <v>-30.89128474</v>
      </c>
      <c r="L4538" s="8">
        <v>37.676370439999999</v>
      </c>
      <c r="M4538" s="9" t="str">
        <f>IF(A4538="",M4539,A4538)</f>
        <v>Samoa</v>
      </c>
      <c r="N4538" s="3" t="str">
        <f t="shared" si="141"/>
        <v>Jan-2020</v>
      </c>
    </row>
    <row r="4539" spans="1:14" x14ac:dyDescent="0.3">
      <c r="A4539" s="3" t="s">
        <v>386</v>
      </c>
      <c r="B4539" s="3" t="s">
        <v>387</v>
      </c>
      <c r="C4539" s="8">
        <v>2020</v>
      </c>
      <c r="D4539" s="8">
        <v>2</v>
      </c>
      <c r="E4539" s="3" t="str">
        <f t="shared" si="140"/>
        <v>February</v>
      </c>
      <c r="F4539" s="3" t="s">
        <v>8</v>
      </c>
      <c r="G4539" s="8">
        <v>100.24119090000001</v>
      </c>
      <c r="H4539" s="8">
        <v>99.831000000000003</v>
      </c>
      <c r="I4539" s="8">
        <v>-0.41019087100000001</v>
      </c>
      <c r="J4539" s="8">
        <v>0.56513409599999997</v>
      </c>
      <c r="K4539" s="8">
        <v>-43.000084989999998</v>
      </c>
      <c r="L4539" s="8">
        <v>51.864351900000003</v>
      </c>
      <c r="M4539" s="9" t="str">
        <f>IF(A4539="",M4540,A4539)</f>
        <v>Samoa</v>
      </c>
      <c r="N4539" s="3" t="str">
        <f t="shared" si="141"/>
        <v>Feb-2020</v>
      </c>
    </row>
    <row r="4540" spans="1:14" x14ac:dyDescent="0.3">
      <c r="A4540" s="3" t="s">
        <v>386</v>
      </c>
      <c r="B4540" s="3" t="s">
        <v>387</v>
      </c>
      <c r="C4540" s="8">
        <v>2020</v>
      </c>
      <c r="D4540" s="8">
        <v>3</v>
      </c>
      <c r="E4540" s="3" t="str">
        <f t="shared" si="140"/>
        <v>March</v>
      </c>
      <c r="F4540" s="3" t="s">
        <v>8</v>
      </c>
      <c r="G4540" s="8">
        <v>99.724437870000003</v>
      </c>
      <c r="H4540" s="8">
        <v>101.274</v>
      </c>
      <c r="I4540" s="8">
        <v>1.549562135</v>
      </c>
      <c r="J4540" s="8">
        <v>2.1146962309999999</v>
      </c>
      <c r="K4540" s="8">
        <v>-52.17273041</v>
      </c>
      <c r="L4540" s="8">
        <v>69.330053579999998</v>
      </c>
      <c r="M4540" s="9" t="str">
        <f>IF(A4540="",M4541,A4540)</f>
        <v>Samoa</v>
      </c>
      <c r="N4540" s="3" t="str">
        <f t="shared" si="141"/>
        <v>Mar-2020</v>
      </c>
    </row>
    <row r="4541" spans="1:14" x14ac:dyDescent="0.3">
      <c r="A4541" s="3" t="s">
        <v>386</v>
      </c>
      <c r="B4541" s="3" t="s">
        <v>387</v>
      </c>
      <c r="C4541" s="8">
        <v>2020</v>
      </c>
      <c r="D4541" s="8">
        <v>4</v>
      </c>
      <c r="E4541" s="3" t="str">
        <f t="shared" si="140"/>
        <v>April</v>
      </c>
      <c r="F4541" s="3" t="s">
        <v>8</v>
      </c>
      <c r="G4541" s="8">
        <v>99.690197449999999</v>
      </c>
      <c r="H4541" s="8">
        <v>103.038</v>
      </c>
      <c r="I4541" s="8">
        <v>3.3478025530000002</v>
      </c>
      <c r="J4541" s="8">
        <v>5.4624987840000001</v>
      </c>
      <c r="K4541" s="8">
        <v>-58.808255520000003</v>
      </c>
      <c r="L4541" s="8">
        <v>75.003185939999995</v>
      </c>
      <c r="M4541" s="9" t="str">
        <f>IF(A4541="",M4542,A4541)</f>
        <v>Samoa</v>
      </c>
      <c r="N4541" s="3" t="str">
        <f t="shared" si="141"/>
        <v>Apr-2020</v>
      </c>
    </row>
    <row r="4542" spans="1:14" x14ac:dyDescent="0.3">
      <c r="A4542" s="3" t="s">
        <v>386</v>
      </c>
      <c r="B4542" s="3" t="s">
        <v>387</v>
      </c>
      <c r="C4542" s="8">
        <v>2020</v>
      </c>
      <c r="D4542" s="8">
        <v>5</v>
      </c>
      <c r="E4542" s="3" t="str">
        <f t="shared" si="140"/>
        <v>May</v>
      </c>
      <c r="F4542" s="3" t="s">
        <v>8</v>
      </c>
      <c r="G4542" s="8">
        <v>99.608579910000003</v>
      </c>
      <c r="H4542" s="8">
        <v>104.711</v>
      </c>
      <c r="I4542" s="8">
        <v>5.1024200860000004</v>
      </c>
      <c r="J4542" s="8">
        <v>10.56491887</v>
      </c>
      <c r="K4542" s="8">
        <v>-66.340630390000001</v>
      </c>
      <c r="L4542" s="8">
        <v>91.158325610000006</v>
      </c>
      <c r="M4542" s="9" t="str">
        <f>IF(A4542="",M4543,A4542)</f>
        <v>Samoa</v>
      </c>
      <c r="N4542" s="3" t="str">
        <f t="shared" si="141"/>
        <v>May-2020</v>
      </c>
    </row>
    <row r="4543" spans="1:14" x14ac:dyDescent="0.3">
      <c r="A4543" s="3" t="s">
        <v>386</v>
      </c>
      <c r="B4543" s="3" t="s">
        <v>387</v>
      </c>
      <c r="C4543" s="8">
        <v>2020</v>
      </c>
      <c r="D4543" s="8">
        <v>6</v>
      </c>
      <c r="E4543" s="3" t="str">
        <f t="shared" si="140"/>
        <v>June</v>
      </c>
      <c r="F4543" s="3" t="s">
        <v>8</v>
      </c>
      <c r="G4543" s="8">
        <v>100.4562511</v>
      </c>
      <c r="H4543" s="8">
        <v>105.79600000000001</v>
      </c>
      <c r="I4543" s="8">
        <v>5.339748921</v>
      </c>
      <c r="J4543" s="8">
        <v>15.90466779</v>
      </c>
      <c r="K4543" s="8">
        <v>-70.089183969999993</v>
      </c>
      <c r="L4543" s="8">
        <v>103.0305958</v>
      </c>
      <c r="M4543" s="9" t="str">
        <f>IF(A4543="",M4544,A4543)</f>
        <v>Samoa</v>
      </c>
      <c r="N4543" s="3" t="str">
        <f t="shared" si="141"/>
        <v>Jun-2020</v>
      </c>
    </row>
    <row r="4544" spans="1:14" x14ac:dyDescent="0.3">
      <c r="A4544" s="3" t="s">
        <v>386</v>
      </c>
      <c r="B4544" s="3" t="s">
        <v>387</v>
      </c>
      <c r="C4544" s="8">
        <v>2020</v>
      </c>
      <c r="D4544" s="8">
        <v>7</v>
      </c>
      <c r="E4544" s="3" t="str">
        <f t="shared" si="140"/>
        <v>July</v>
      </c>
      <c r="F4544" s="3" t="s">
        <v>8</v>
      </c>
      <c r="G4544" s="8">
        <v>100.3574612</v>
      </c>
      <c r="H4544" s="8">
        <v>102.87</v>
      </c>
      <c r="I4544" s="8">
        <v>2.5125388059999998</v>
      </c>
      <c r="J4544" s="8">
        <v>18.4172066</v>
      </c>
      <c r="K4544" s="8">
        <v>-72.283978349999998</v>
      </c>
      <c r="L4544" s="8">
        <v>117.5432084</v>
      </c>
      <c r="M4544" s="9" t="str">
        <f>IF(A4544="",M4545,A4544)</f>
        <v>Samoa</v>
      </c>
      <c r="N4544" s="3" t="str">
        <f t="shared" si="141"/>
        <v>Jul-2020</v>
      </c>
    </row>
    <row r="4545" spans="1:14" x14ac:dyDescent="0.3">
      <c r="A4545" s="3" t="s">
        <v>386</v>
      </c>
      <c r="B4545" s="3" t="s">
        <v>387</v>
      </c>
      <c r="C4545" s="8">
        <v>2020</v>
      </c>
      <c r="D4545" s="8">
        <v>8</v>
      </c>
      <c r="E4545" s="3" t="str">
        <f t="shared" si="140"/>
        <v>August</v>
      </c>
      <c r="F4545" s="3" t="s">
        <v>8</v>
      </c>
      <c r="G4545" s="8">
        <v>100.2648207</v>
      </c>
      <c r="H4545" s="8">
        <v>102.102</v>
      </c>
      <c r="I4545" s="8">
        <v>1.8371792600000001</v>
      </c>
      <c r="J4545" s="8">
        <v>20.254385859999999</v>
      </c>
      <c r="K4545" s="8">
        <v>-75.077577390000002</v>
      </c>
      <c r="L4545" s="8">
        <v>133.609072</v>
      </c>
      <c r="M4545" s="9" t="str">
        <f>IF(A4545="",M4546,A4545)</f>
        <v>Samoa</v>
      </c>
      <c r="N4545" s="3" t="str">
        <f t="shared" si="141"/>
        <v>Aug-2020</v>
      </c>
    </row>
    <row r="4546" spans="1:14" x14ac:dyDescent="0.3">
      <c r="A4546" s="3" t="s">
        <v>386</v>
      </c>
      <c r="B4546" s="3" t="s">
        <v>387</v>
      </c>
      <c r="C4546" s="8">
        <v>2020</v>
      </c>
      <c r="D4546" s="8">
        <v>9</v>
      </c>
      <c r="E4546" s="3" t="str">
        <f t="shared" ref="E4546:E4609" si="142">TEXT(DATE(C4546,D4546,1),"MMMM")</f>
        <v>September</v>
      </c>
      <c r="F4546" s="3" t="s">
        <v>8</v>
      </c>
      <c r="G4546" s="8">
        <v>100.5436783</v>
      </c>
      <c r="H4546" s="8">
        <v>102.148</v>
      </c>
      <c r="I4546" s="8">
        <v>1.6043216840000001</v>
      </c>
      <c r="J4546" s="8">
        <v>21.858707540000001</v>
      </c>
      <c r="K4546" s="8">
        <v>-85.386396669999996</v>
      </c>
      <c r="L4546" s="8">
        <v>137.49006130000001</v>
      </c>
      <c r="M4546" s="9" t="str">
        <f>IF(A4546="",M4547,A4546)</f>
        <v>Samoa</v>
      </c>
      <c r="N4546" s="3" t="str">
        <f t="shared" ref="N4546:N4609" si="143">TEXT(DATE(C4546,D4546,1),"MMM-YYYY")</f>
        <v>Sep-2020</v>
      </c>
    </row>
    <row r="4547" spans="1:14" x14ac:dyDescent="0.3">
      <c r="A4547" s="3" t="s">
        <v>386</v>
      </c>
      <c r="B4547" s="3" t="s">
        <v>387</v>
      </c>
      <c r="C4547" s="8">
        <v>2020</v>
      </c>
      <c r="D4547" s="8">
        <v>10</v>
      </c>
      <c r="E4547" s="3" t="str">
        <f t="shared" si="142"/>
        <v>October</v>
      </c>
      <c r="F4547" s="3" t="s">
        <v>8</v>
      </c>
      <c r="G4547" s="8">
        <v>100.49822399999999</v>
      </c>
      <c r="H4547" s="8">
        <v>99.813999999999993</v>
      </c>
      <c r="I4547" s="8">
        <v>-0.68422400100000003</v>
      </c>
      <c r="J4547" s="8">
        <v>21.174483540000001</v>
      </c>
      <c r="K4547" s="8">
        <v>-90.391274289999998</v>
      </c>
      <c r="L4547" s="8">
        <v>135.52288580000001</v>
      </c>
      <c r="M4547" s="9" t="str">
        <f>IF(A4547="",M4548,A4547)</f>
        <v>Samoa</v>
      </c>
      <c r="N4547" s="3" t="str">
        <f t="shared" si="143"/>
        <v>Oct-2020</v>
      </c>
    </row>
    <row r="4548" spans="1:14" x14ac:dyDescent="0.3">
      <c r="A4548" s="3" t="s">
        <v>386</v>
      </c>
      <c r="B4548" s="3" t="s">
        <v>387</v>
      </c>
      <c r="C4548" s="8">
        <v>2020</v>
      </c>
      <c r="D4548" s="8">
        <v>11</v>
      </c>
      <c r="E4548" s="3" t="str">
        <f t="shared" si="142"/>
        <v>November</v>
      </c>
      <c r="F4548" s="3" t="s">
        <v>8</v>
      </c>
      <c r="G4548" s="8">
        <v>100.16418830000001</v>
      </c>
      <c r="H4548" s="8">
        <v>100.59699999999999</v>
      </c>
      <c r="I4548" s="8">
        <v>0.43281173699999997</v>
      </c>
      <c r="J4548" s="8">
        <v>21.607295279999999</v>
      </c>
      <c r="K4548" s="8">
        <v>-95.290034649999996</v>
      </c>
      <c r="L4548" s="8">
        <v>148.49738070000001</v>
      </c>
      <c r="M4548" s="9" t="str">
        <f>IF(A4548="",M4549,A4548)</f>
        <v>Samoa</v>
      </c>
      <c r="N4548" s="3" t="str">
        <f t="shared" si="143"/>
        <v>Nov-2020</v>
      </c>
    </row>
    <row r="4549" spans="1:14" x14ac:dyDescent="0.3">
      <c r="A4549" s="3" t="s">
        <v>386</v>
      </c>
      <c r="B4549" s="3" t="s">
        <v>387</v>
      </c>
      <c r="C4549" s="8">
        <v>2020</v>
      </c>
      <c r="D4549" s="8">
        <v>12</v>
      </c>
      <c r="E4549" s="3" t="str">
        <f t="shared" si="142"/>
        <v>December</v>
      </c>
      <c r="F4549" s="3" t="s">
        <v>8</v>
      </c>
      <c r="G4549" s="8">
        <v>100.1907025</v>
      </c>
      <c r="H4549" s="8">
        <v>101.72</v>
      </c>
      <c r="I4549" s="8">
        <v>1.5292974939999999</v>
      </c>
      <c r="J4549" s="8">
        <v>23.13659277</v>
      </c>
      <c r="K4549" s="8">
        <v>-97.206622760000002</v>
      </c>
      <c r="L4549" s="8">
        <v>150.3556691</v>
      </c>
      <c r="M4549" s="9" t="str">
        <f>IF(A4549="",M4550,A4549)</f>
        <v>Samoa</v>
      </c>
      <c r="N4549" s="3" t="str">
        <f t="shared" si="143"/>
        <v>Dec-2020</v>
      </c>
    </row>
    <row r="4550" spans="1:14" x14ac:dyDescent="0.3">
      <c r="A4550" s="3" t="s">
        <v>386</v>
      </c>
      <c r="B4550" s="3" t="s">
        <v>387</v>
      </c>
      <c r="C4550" s="8">
        <v>2021</v>
      </c>
      <c r="D4550" s="8">
        <v>1</v>
      </c>
      <c r="E4550" s="3" t="str">
        <f t="shared" si="142"/>
        <v>January</v>
      </c>
      <c r="F4550" s="3" t="s">
        <v>8</v>
      </c>
      <c r="G4550" s="8">
        <v>99.974036560000002</v>
      </c>
      <c r="H4550" s="8">
        <v>99.903999999999996</v>
      </c>
      <c r="I4550" s="8">
        <v>-7.0036561999999997E-2</v>
      </c>
      <c r="J4550" s="8">
        <v>23.066556210000002</v>
      </c>
      <c r="K4550" s="8">
        <v>-104.9572184</v>
      </c>
      <c r="L4550" s="8">
        <v>153.51635949999999</v>
      </c>
      <c r="M4550" s="9" t="str">
        <f>IF(A4550="",M4551,A4550)</f>
        <v>Samoa</v>
      </c>
      <c r="N4550" s="3" t="str">
        <f t="shared" si="143"/>
        <v>Jan-2021</v>
      </c>
    </row>
    <row r="4551" spans="1:14" x14ac:dyDescent="0.3">
      <c r="A4551" s="3" t="s">
        <v>386</v>
      </c>
      <c r="B4551" s="3" t="s">
        <v>387</v>
      </c>
      <c r="C4551" s="8">
        <v>2021</v>
      </c>
      <c r="D4551" s="8">
        <v>2</v>
      </c>
      <c r="E4551" s="3" t="str">
        <f t="shared" si="142"/>
        <v>February</v>
      </c>
      <c r="F4551" s="3" t="s">
        <v>8</v>
      </c>
      <c r="G4551" s="8">
        <v>100.1023958</v>
      </c>
      <c r="H4551" s="8">
        <v>101.773</v>
      </c>
      <c r="I4551" s="8">
        <v>1.6706041810000001</v>
      </c>
      <c r="J4551" s="8">
        <v>24.73716039</v>
      </c>
      <c r="K4551" s="8">
        <v>-106.9945378</v>
      </c>
      <c r="L4551" s="8">
        <v>159.51793190000001</v>
      </c>
      <c r="M4551" s="9" t="str">
        <f>IF(A4551="",M4552,A4551)</f>
        <v>Samoa</v>
      </c>
      <c r="N4551" s="3" t="str">
        <f t="shared" si="143"/>
        <v>Feb-2021</v>
      </c>
    </row>
    <row r="4552" spans="1:14" x14ac:dyDescent="0.3">
      <c r="A4552" s="3" t="s">
        <v>386</v>
      </c>
      <c r="B4552" s="3" t="s">
        <v>387</v>
      </c>
      <c r="C4552" s="8">
        <v>2021</v>
      </c>
      <c r="D4552" s="8">
        <v>3</v>
      </c>
      <c r="E4552" s="3" t="str">
        <f t="shared" si="142"/>
        <v>March</v>
      </c>
      <c r="F4552" s="3" t="s">
        <v>8</v>
      </c>
      <c r="G4552" s="8">
        <v>99.701146399999999</v>
      </c>
      <c r="H4552" s="8">
        <v>99.347999999999999</v>
      </c>
      <c r="I4552" s="8">
        <v>-0.35314639599999997</v>
      </c>
      <c r="J4552" s="8">
        <v>24.38401399</v>
      </c>
      <c r="K4552" s="8">
        <v>-112.2375818</v>
      </c>
      <c r="L4552" s="8">
        <v>163.30890640000001</v>
      </c>
      <c r="M4552" s="9" t="str">
        <f>IF(A4552="",M4553,A4552)</f>
        <v>Samoa</v>
      </c>
      <c r="N4552" s="3" t="str">
        <f t="shared" si="143"/>
        <v>Mar-2021</v>
      </c>
    </row>
    <row r="4553" spans="1:14" x14ac:dyDescent="0.3">
      <c r="A4553" s="3" t="s">
        <v>386</v>
      </c>
      <c r="B4553" s="3" t="s">
        <v>387</v>
      </c>
      <c r="C4553" s="8">
        <v>2021</v>
      </c>
      <c r="D4553" s="8">
        <v>4</v>
      </c>
      <c r="E4553" s="3" t="str">
        <f t="shared" si="142"/>
        <v>April</v>
      </c>
      <c r="F4553" s="3" t="s">
        <v>8</v>
      </c>
      <c r="G4553" s="8">
        <v>99.682814440000001</v>
      </c>
      <c r="H4553" s="8">
        <v>99.204999999999998</v>
      </c>
      <c r="I4553" s="8">
        <v>-0.47781444499999998</v>
      </c>
      <c r="J4553" s="8">
        <v>23.90619955</v>
      </c>
      <c r="K4553" s="8">
        <v>-118.0909199</v>
      </c>
      <c r="L4553" s="8">
        <v>174.44709900000001</v>
      </c>
      <c r="M4553" s="9" t="str">
        <f>IF(A4553="",M4554,A4553)</f>
        <v>Samoa</v>
      </c>
      <c r="N4553" s="3" t="str">
        <f t="shared" si="143"/>
        <v>Apr-2021</v>
      </c>
    </row>
    <row r="4554" spans="1:14" x14ac:dyDescent="0.3">
      <c r="A4554" s="3" t="s">
        <v>386</v>
      </c>
      <c r="B4554" s="3" t="s">
        <v>387</v>
      </c>
      <c r="C4554" s="8">
        <v>2021</v>
      </c>
      <c r="D4554" s="8">
        <v>5</v>
      </c>
      <c r="E4554" s="3" t="str">
        <f t="shared" si="142"/>
        <v>May</v>
      </c>
      <c r="F4554" s="3" t="s">
        <v>8</v>
      </c>
      <c r="G4554" s="8">
        <v>99.773787010000007</v>
      </c>
      <c r="H4554" s="8">
        <v>99.771000000000001</v>
      </c>
      <c r="I4554" s="8">
        <v>-2.787009E-3</v>
      </c>
      <c r="J4554" s="8">
        <v>23.903412540000001</v>
      </c>
      <c r="K4554" s="8">
        <v>-119.07496380000001</v>
      </c>
      <c r="L4554" s="8">
        <v>179.15130880000001</v>
      </c>
      <c r="M4554" s="9" t="str">
        <f>IF(A4554="",M4555,A4554)</f>
        <v>Samoa</v>
      </c>
      <c r="N4554" s="3" t="str">
        <f t="shared" si="143"/>
        <v>May-2021</v>
      </c>
    </row>
    <row r="4555" spans="1:14" x14ac:dyDescent="0.3">
      <c r="A4555" s="3" t="s">
        <v>386</v>
      </c>
      <c r="B4555" s="3" t="s">
        <v>387</v>
      </c>
      <c r="C4555" s="8">
        <v>2021</v>
      </c>
      <c r="D4555" s="8">
        <v>6</v>
      </c>
      <c r="E4555" s="3" t="str">
        <f t="shared" si="142"/>
        <v>June</v>
      </c>
      <c r="F4555" s="3" t="s">
        <v>8</v>
      </c>
      <c r="G4555" s="8">
        <v>100.5492528</v>
      </c>
      <c r="H4555" s="8">
        <v>100.965</v>
      </c>
      <c r="I4555" s="8">
        <v>0.41574724200000002</v>
      </c>
      <c r="J4555" s="8">
        <v>24.31915978</v>
      </c>
      <c r="K4555" s="8">
        <v>-122.1023814</v>
      </c>
      <c r="L4555" s="8">
        <v>171.58380510000001</v>
      </c>
      <c r="M4555" s="9" t="str">
        <f>IF(A4555="",M4556,A4555)</f>
        <v>Samoa</v>
      </c>
      <c r="N4555" s="3" t="str">
        <f t="shared" si="143"/>
        <v>Jun-2021</v>
      </c>
    </row>
    <row r="4556" spans="1:14" x14ac:dyDescent="0.3">
      <c r="A4556" s="3" t="s">
        <v>386</v>
      </c>
      <c r="B4556" s="3" t="s">
        <v>387</v>
      </c>
      <c r="C4556" s="8">
        <v>2021</v>
      </c>
      <c r="D4556" s="8">
        <v>7</v>
      </c>
      <c r="E4556" s="3" t="str">
        <f t="shared" si="142"/>
        <v>July</v>
      </c>
      <c r="F4556" s="3" t="s">
        <v>8</v>
      </c>
      <c r="G4556" s="8">
        <v>100.8368203</v>
      </c>
      <c r="H4556" s="8">
        <v>102.211</v>
      </c>
      <c r="I4556" s="8">
        <v>1.3741796829999999</v>
      </c>
      <c r="J4556" s="8">
        <v>25.693339470000002</v>
      </c>
      <c r="K4556" s="8">
        <v>-127.1928272</v>
      </c>
      <c r="L4556" s="8">
        <v>179.6019187</v>
      </c>
      <c r="M4556" s="9" t="str">
        <f>IF(A4556="",M4557,A4556)</f>
        <v>Samoa</v>
      </c>
      <c r="N4556" s="3" t="str">
        <f t="shared" si="143"/>
        <v>Jul-2021</v>
      </c>
    </row>
    <row r="4557" spans="1:14" x14ac:dyDescent="0.3">
      <c r="A4557" s="3" t="s">
        <v>386</v>
      </c>
      <c r="B4557" s="3" t="s">
        <v>387</v>
      </c>
      <c r="C4557" s="8">
        <v>2021</v>
      </c>
      <c r="D4557" s="8">
        <v>8</v>
      </c>
      <c r="E4557" s="3" t="str">
        <f t="shared" si="142"/>
        <v>August</v>
      </c>
      <c r="F4557" s="3" t="s">
        <v>8</v>
      </c>
      <c r="G4557" s="8">
        <v>100.3234138</v>
      </c>
      <c r="H4557" s="8">
        <v>101.14</v>
      </c>
      <c r="I4557" s="8">
        <v>0.81658620299999995</v>
      </c>
      <c r="J4557" s="8">
        <v>26.509925670000001</v>
      </c>
      <c r="K4557" s="8">
        <v>-135.4123956</v>
      </c>
      <c r="L4557" s="8">
        <v>187.3575764</v>
      </c>
      <c r="M4557" s="9" t="str">
        <f>IF(A4557="",M4558,A4557)</f>
        <v>Samoa</v>
      </c>
      <c r="N4557" s="3" t="str">
        <f t="shared" si="143"/>
        <v>Aug-2021</v>
      </c>
    </row>
    <row r="4558" spans="1:14" x14ac:dyDescent="0.3">
      <c r="A4558" s="3" t="s">
        <v>386</v>
      </c>
      <c r="B4558" s="3" t="s">
        <v>387</v>
      </c>
      <c r="C4558" s="8">
        <v>2021</v>
      </c>
      <c r="D4558" s="8">
        <v>9</v>
      </c>
      <c r="E4558" s="3" t="str">
        <f t="shared" si="142"/>
        <v>September</v>
      </c>
      <c r="F4558" s="3" t="s">
        <v>8</v>
      </c>
      <c r="G4558" s="8">
        <v>100.8349649</v>
      </c>
      <c r="H4558" s="8">
        <v>103.164</v>
      </c>
      <c r="I4558" s="8">
        <v>2.3290351020000002</v>
      </c>
      <c r="J4558" s="8">
        <v>28.83896077</v>
      </c>
      <c r="K4558" s="8">
        <v>-135.93368749999999</v>
      </c>
      <c r="L4558" s="8">
        <v>189.98958060000001</v>
      </c>
      <c r="M4558" s="9" t="str">
        <f>IF(A4558="",M4559,A4558)</f>
        <v>Samoa</v>
      </c>
      <c r="N4558" s="3" t="str">
        <f t="shared" si="143"/>
        <v>Sep-2021</v>
      </c>
    </row>
    <row r="4559" spans="1:14" x14ac:dyDescent="0.3">
      <c r="A4559" s="3" t="s">
        <v>386</v>
      </c>
      <c r="B4559" s="3" t="s">
        <v>387</v>
      </c>
      <c r="C4559" s="8">
        <v>2021</v>
      </c>
      <c r="D4559" s="8">
        <v>10</v>
      </c>
      <c r="E4559" s="3" t="str">
        <f t="shared" si="142"/>
        <v>October</v>
      </c>
      <c r="F4559" s="3" t="s">
        <v>8</v>
      </c>
      <c r="G4559" s="8">
        <v>100.3823455</v>
      </c>
      <c r="H4559" s="8">
        <v>102.004</v>
      </c>
      <c r="I4559" s="8">
        <v>1.621654546</v>
      </c>
      <c r="J4559" s="8">
        <v>30.460615319999999</v>
      </c>
      <c r="K4559" s="8">
        <v>-133.30121990000001</v>
      </c>
      <c r="L4559" s="8">
        <v>193.03332789999999</v>
      </c>
      <c r="M4559" s="9" t="str">
        <f>IF(A4559="",M4560,A4559)</f>
        <v>Samoa</v>
      </c>
      <c r="N4559" s="3" t="str">
        <f t="shared" si="143"/>
        <v>Oct-2021</v>
      </c>
    </row>
    <row r="4560" spans="1:14" x14ac:dyDescent="0.3">
      <c r="A4560" s="3" t="s">
        <v>386</v>
      </c>
      <c r="B4560" s="3" t="s">
        <v>387</v>
      </c>
      <c r="C4560" s="8">
        <v>2021</v>
      </c>
      <c r="D4560" s="8">
        <v>11</v>
      </c>
      <c r="E4560" s="3" t="str">
        <f t="shared" si="142"/>
        <v>November</v>
      </c>
      <c r="F4560" s="3" t="s">
        <v>8</v>
      </c>
      <c r="G4560" s="8">
        <v>100.3490553</v>
      </c>
      <c r="H4560" s="8">
        <v>105.22799999999999</v>
      </c>
      <c r="I4560" s="8">
        <v>4.8789446989999998</v>
      </c>
      <c r="J4560" s="8">
        <v>35.33956002</v>
      </c>
      <c r="K4560" s="8">
        <v>-140.9763585</v>
      </c>
      <c r="L4560" s="8">
        <v>202.61150749999999</v>
      </c>
      <c r="M4560" s="9" t="str">
        <f>IF(A4560="",M4561,A4560)</f>
        <v>Samoa</v>
      </c>
      <c r="N4560" s="3" t="str">
        <f t="shared" si="143"/>
        <v>Nov-2021</v>
      </c>
    </row>
    <row r="4561" spans="1:14" x14ac:dyDescent="0.3">
      <c r="A4561" s="3" t="s">
        <v>386</v>
      </c>
      <c r="B4561" s="3" t="s">
        <v>387</v>
      </c>
      <c r="C4561" s="8">
        <v>2021</v>
      </c>
      <c r="D4561" s="8">
        <v>12</v>
      </c>
      <c r="E4561" s="3" t="str">
        <f t="shared" si="142"/>
        <v>December</v>
      </c>
      <c r="F4561" s="3" t="s">
        <v>8</v>
      </c>
      <c r="G4561" s="8">
        <v>100.41733600000001</v>
      </c>
      <c r="H4561" s="8">
        <v>107.515</v>
      </c>
      <c r="I4561" s="8">
        <v>7.0976639690000001</v>
      </c>
      <c r="J4561" s="8">
        <v>42.437223979999999</v>
      </c>
      <c r="K4561" s="8">
        <v>-145.2367912</v>
      </c>
      <c r="L4561" s="8">
        <v>220.49467780000001</v>
      </c>
      <c r="M4561" s="9" t="str">
        <f>IF(A4561="",M4562,A4561)</f>
        <v>Samoa</v>
      </c>
      <c r="N4561" s="3" t="str">
        <f t="shared" si="143"/>
        <v>Dec-2021</v>
      </c>
    </row>
    <row r="4562" spans="1:14" x14ac:dyDescent="0.3">
      <c r="A4562" s="3" t="s">
        <v>388</v>
      </c>
      <c r="B4562" s="3" t="s">
        <v>389</v>
      </c>
      <c r="C4562" s="8">
        <v>2020</v>
      </c>
      <c r="D4562" s="8">
        <v>1</v>
      </c>
      <c r="E4562" s="3" t="str">
        <f t="shared" si="142"/>
        <v>January</v>
      </c>
      <c r="F4562" s="3" t="s">
        <v>8</v>
      </c>
      <c r="G4562" s="8">
        <v>15368.236709999999</v>
      </c>
      <c r="H4562" s="8">
        <v>15586.47</v>
      </c>
      <c r="I4562" s="8">
        <v>218.23329319999999</v>
      </c>
      <c r="J4562" s="8">
        <v>218.23329319999999</v>
      </c>
      <c r="K4562" s="8">
        <v>-3607.1589319999998</v>
      </c>
      <c r="L4562" s="8">
        <v>5089.0469030000004</v>
      </c>
      <c r="M4562" s="9" t="str">
        <f>IF(A4562="",M4563,A4562)</f>
        <v>Yemen</v>
      </c>
      <c r="N4562" s="3" t="str">
        <f t="shared" si="143"/>
        <v>Jan-2020</v>
      </c>
    </row>
    <row r="4563" spans="1:14" x14ac:dyDescent="0.3">
      <c r="A4563" s="3" t="s">
        <v>388</v>
      </c>
      <c r="B4563" s="3" t="s">
        <v>389</v>
      </c>
      <c r="C4563" s="8">
        <v>2020</v>
      </c>
      <c r="D4563" s="8">
        <v>2</v>
      </c>
      <c r="E4563" s="3" t="str">
        <f t="shared" si="142"/>
        <v>February</v>
      </c>
      <c r="F4563" s="3" t="s">
        <v>8</v>
      </c>
      <c r="G4563" s="8">
        <v>15274.246230000001</v>
      </c>
      <c r="H4563" s="8">
        <v>15292.334999999999</v>
      </c>
      <c r="I4563" s="8">
        <v>18.08877326</v>
      </c>
      <c r="J4563" s="8">
        <v>236.32206640000001</v>
      </c>
      <c r="K4563" s="8">
        <v>-5740.3975499999997</v>
      </c>
      <c r="L4563" s="8">
        <v>6534.0926659999996</v>
      </c>
      <c r="M4563" s="9" t="str">
        <f>IF(A4563="",M4564,A4563)</f>
        <v>Yemen</v>
      </c>
      <c r="N4563" s="3" t="str">
        <f t="shared" si="143"/>
        <v>Feb-2020</v>
      </c>
    </row>
    <row r="4564" spans="1:14" x14ac:dyDescent="0.3">
      <c r="A4564" s="3" t="s">
        <v>388</v>
      </c>
      <c r="B4564" s="3" t="s">
        <v>389</v>
      </c>
      <c r="C4564" s="8">
        <v>2020</v>
      </c>
      <c r="D4564" s="8">
        <v>3</v>
      </c>
      <c r="E4564" s="3" t="str">
        <f t="shared" si="142"/>
        <v>March</v>
      </c>
      <c r="F4564" s="3" t="s">
        <v>8</v>
      </c>
      <c r="G4564" s="8">
        <v>15153.69353</v>
      </c>
      <c r="H4564" s="8">
        <v>14409.723</v>
      </c>
      <c r="I4564" s="8">
        <v>-743.97053330000006</v>
      </c>
      <c r="J4564" s="8">
        <v>-507.64846679999999</v>
      </c>
      <c r="K4564" s="8">
        <v>-7149.7555080000002</v>
      </c>
      <c r="L4564" s="8">
        <v>7649.7162539999999</v>
      </c>
      <c r="M4564" s="9" t="str">
        <f>IF(A4564="",M4565,A4564)</f>
        <v>Yemen</v>
      </c>
      <c r="N4564" s="3" t="str">
        <f t="shared" si="143"/>
        <v>Mar-2020</v>
      </c>
    </row>
    <row r="4565" spans="1:14" x14ac:dyDescent="0.3">
      <c r="A4565" s="3" t="s">
        <v>388</v>
      </c>
      <c r="B4565" s="3" t="s">
        <v>389</v>
      </c>
      <c r="C4565" s="8">
        <v>2020</v>
      </c>
      <c r="D4565" s="8">
        <v>4</v>
      </c>
      <c r="E4565" s="3" t="str">
        <f t="shared" si="142"/>
        <v>April</v>
      </c>
      <c r="F4565" s="3" t="s">
        <v>8</v>
      </c>
      <c r="G4565" s="8">
        <v>14853.747300000001</v>
      </c>
      <c r="H4565" s="8">
        <v>14460.880999999999</v>
      </c>
      <c r="I4565" s="8">
        <v>-392.8662976</v>
      </c>
      <c r="J4565" s="8">
        <v>-900.51476439999999</v>
      </c>
      <c r="K4565" s="8">
        <v>-9718.5589130000008</v>
      </c>
      <c r="L4565" s="8">
        <v>8220.0276919999997</v>
      </c>
      <c r="M4565" s="9" t="str">
        <f>IF(A4565="",M4566,A4565)</f>
        <v>Yemen</v>
      </c>
      <c r="N4565" s="3" t="str">
        <f t="shared" si="143"/>
        <v>Apr-2020</v>
      </c>
    </row>
    <row r="4566" spans="1:14" x14ac:dyDescent="0.3">
      <c r="A4566" s="3" t="s">
        <v>388</v>
      </c>
      <c r="B4566" s="3" t="s">
        <v>389</v>
      </c>
      <c r="C4566" s="8">
        <v>2020</v>
      </c>
      <c r="D4566" s="8">
        <v>5</v>
      </c>
      <c r="E4566" s="3" t="str">
        <f t="shared" si="142"/>
        <v>May</v>
      </c>
      <c r="F4566" s="3" t="s">
        <v>8</v>
      </c>
      <c r="G4566" s="8">
        <v>14640.757540000001</v>
      </c>
      <c r="H4566" s="8">
        <v>15738.593999999999</v>
      </c>
      <c r="I4566" s="8">
        <v>1097.836464</v>
      </c>
      <c r="J4566" s="8">
        <v>197.3216994</v>
      </c>
      <c r="K4566" s="8">
        <v>-9334.9866459999994</v>
      </c>
      <c r="L4566" s="8">
        <v>10233.366609999999</v>
      </c>
      <c r="M4566" s="9" t="str">
        <f>IF(A4566="",M4567,A4566)</f>
        <v>Yemen</v>
      </c>
      <c r="N4566" s="3" t="str">
        <f t="shared" si="143"/>
        <v>May-2020</v>
      </c>
    </row>
    <row r="4567" spans="1:14" x14ac:dyDescent="0.3">
      <c r="A4567" s="3" t="s">
        <v>388</v>
      </c>
      <c r="B4567" s="3" t="s">
        <v>389</v>
      </c>
      <c r="C4567" s="8">
        <v>2020</v>
      </c>
      <c r="D4567" s="8">
        <v>6</v>
      </c>
      <c r="E4567" s="3" t="str">
        <f t="shared" si="142"/>
        <v>June</v>
      </c>
      <c r="F4567" s="3" t="s">
        <v>8</v>
      </c>
      <c r="G4567" s="8">
        <v>14473.640729999999</v>
      </c>
      <c r="H4567" s="8">
        <v>17130.128000000001</v>
      </c>
      <c r="I4567" s="8">
        <v>2656.4872690000002</v>
      </c>
      <c r="J4567" s="8">
        <v>2853.8089679999998</v>
      </c>
      <c r="K4567" s="8">
        <v>-7802.8669110000001</v>
      </c>
      <c r="L4567" s="8">
        <v>14478.453670000001</v>
      </c>
      <c r="M4567" s="9" t="str">
        <f>IF(A4567="",M4568,A4567)</f>
        <v>Yemen</v>
      </c>
      <c r="N4567" s="3" t="str">
        <f t="shared" si="143"/>
        <v>Jun-2020</v>
      </c>
    </row>
    <row r="4568" spans="1:14" x14ac:dyDescent="0.3">
      <c r="A4568" s="3" t="s">
        <v>388</v>
      </c>
      <c r="B4568" s="3" t="s">
        <v>389</v>
      </c>
      <c r="C4568" s="8">
        <v>2020</v>
      </c>
      <c r="D4568" s="8">
        <v>7</v>
      </c>
      <c r="E4568" s="3" t="str">
        <f t="shared" si="142"/>
        <v>July</v>
      </c>
      <c r="F4568" s="3" t="s">
        <v>8</v>
      </c>
      <c r="G4568" s="8">
        <v>14570.529420000001</v>
      </c>
      <c r="H4568" s="8">
        <v>17057.956999999999</v>
      </c>
      <c r="I4568" s="8">
        <v>2487.4275750000002</v>
      </c>
      <c r="J4568" s="8">
        <v>5341.236543</v>
      </c>
      <c r="K4568" s="8">
        <v>-5557.1119849999995</v>
      </c>
      <c r="L4568" s="8">
        <v>18214.267489999998</v>
      </c>
      <c r="M4568" s="9" t="str">
        <f>IF(A4568="",M4569,A4568)</f>
        <v>Yemen</v>
      </c>
      <c r="N4568" s="3" t="str">
        <f t="shared" si="143"/>
        <v>Jul-2020</v>
      </c>
    </row>
    <row r="4569" spans="1:14" x14ac:dyDescent="0.3">
      <c r="A4569" s="3" t="s">
        <v>388</v>
      </c>
      <c r="B4569" s="3" t="s">
        <v>389</v>
      </c>
      <c r="C4569" s="8">
        <v>2020</v>
      </c>
      <c r="D4569" s="8">
        <v>8</v>
      </c>
      <c r="E4569" s="3" t="str">
        <f t="shared" si="142"/>
        <v>August</v>
      </c>
      <c r="F4569" s="3" t="s">
        <v>8</v>
      </c>
      <c r="G4569" s="8">
        <v>14572.514359999999</v>
      </c>
      <c r="H4569" s="8">
        <v>16339.093999999999</v>
      </c>
      <c r="I4569" s="8">
        <v>1766.5796399999999</v>
      </c>
      <c r="J4569" s="8">
        <v>7107.8161829999999</v>
      </c>
      <c r="K4569" s="8">
        <v>-5041.1955390000003</v>
      </c>
      <c r="L4569" s="8">
        <v>20237.274979999998</v>
      </c>
      <c r="M4569" s="9" t="str">
        <f>IF(A4569="",M4570,A4569)</f>
        <v>Yemen</v>
      </c>
      <c r="N4569" s="3" t="str">
        <f t="shared" si="143"/>
        <v>Aug-2020</v>
      </c>
    </row>
    <row r="4570" spans="1:14" x14ac:dyDescent="0.3">
      <c r="A4570" s="3" t="s">
        <v>388</v>
      </c>
      <c r="B4570" s="3" t="s">
        <v>389</v>
      </c>
      <c r="C4570" s="8">
        <v>2020</v>
      </c>
      <c r="D4570" s="8">
        <v>9</v>
      </c>
      <c r="E4570" s="3" t="str">
        <f t="shared" si="142"/>
        <v>September</v>
      </c>
      <c r="F4570" s="3" t="s">
        <v>8</v>
      </c>
      <c r="G4570" s="8">
        <v>14657.86643</v>
      </c>
      <c r="H4570" s="8">
        <v>15915.526</v>
      </c>
      <c r="I4570" s="8">
        <v>1257.65957</v>
      </c>
      <c r="J4570" s="8">
        <v>8365.4757530000006</v>
      </c>
      <c r="K4570" s="8">
        <v>-4854.6258969999999</v>
      </c>
      <c r="L4570" s="8">
        <v>22490.647420000001</v>
      </c>
      <c r="M4570" s="9" t="str">
        <f>IF(A4570="",M4571,A4570)</f>
        <v>Yemen</v>
      </c>
      <c r="N4570" s="3" t="str">
        <f t="shared" si="143"/>
        <v>Sep-2020</v>
      </c>
    </row>
    <row r="4571" spans="1:14" x14ac:dyDescent="0.3">
      <c r="A4571" s="3" t="s">
        <v>388</v>
      </c>
      <c r="B4571" s="3" t="s">
        <v>389</v>
      </c>
      <c r="C4571" s="8">
        <v>2020</v>
      </c>
      <c r="D4571" s="8">
        <v>10</v>
      </c>
      <c r="E4571" s="3" t="str">
        <f t="shared" si="142"/>
        <v>October</v>
      </c>
      <c r="F4571" s="3" t="s">
        <v>8</v>
      </c>
      <c r="G4571" s="8">
        <v>14917.692880000001</v>
      </c>
      <c r="H4571" s="8">
        <v>15888.106</v>
      </c>
      <c r="I4571" s="8">
        <v>970.41312430000005</v>
      </c>
      <c r="J4571" s="8">
        <v>9335.8888769999994</v>
      </c>
      <c r="K4571" s="8">
        <v>-4117.2458200000001</v>
      </c>
      <c r="L4571" s="8">
        <v>23679.805469999999</v>
      </c>
      <c r="M4571" s="9" t="str">
        <f>IF(A4571="",M4572,A4571)</f>
        <v>Yemen</v>
      </c>
      <c r="N4571" s="3" t="str">
        <f t="shared" si="143"/>
        <v>Oct-2020</v>
      </c>
    </row>
    <row r="4572" spans="1:14" x14ac:dyDescent="0.3">
      <c r="A4572" s="3" t="s">
        <v>388</v>
      </c>
      <c r="B4572" s="3" t="s">
        <v>389</v>
      </c>
      <c r="C4572" s="8">
        <v>2020</v>
      </c>
      <c r="D4572" s="8">
        <v>11</v>
      </c>
      <c r="E4572" s="3" t="str">
        <f t="shared" si="142"/>
        <v>November</v>
      </c>
      <c r="F4572" s="3" t="s">
        <v>8</v>
      </c>
      <c r="G4572" s="8">
        <v>15173.561760000001</v>
      </c>
      <c r="H4572" s="8">
        <v>16143.056</v>
      </c>
      <c r="I4572" s="8">
        <v>969.49424239999996</v>
      </c>
      <c r="J4572" s="8">
        <v>10305.38312</v>
      </c>
      <c r="K4572" s="8">
        <v>-4325.4500989999997</v>
      </c>
      <c r="L4572" s="8">
        <v>25465.334180000002</v>
      </c>
      <c r="M4572" s="9" t="str">
        <f>IF(A4572="",M4573,A4572)</f>
        <v>Yemen</v>
      </c>
      <c r="N4572" s="3" t="str">
        <f t="shared" si="143"/>
        <v>Nov-2020</v>
      </c>
    </row>
    <row r="4573" spans="1:14" x14ac:dyDescent="0.3">
      <c r="A4573" s="3" t="s">
        <v>388</v>
      </c>
      <c r="B4573" s="3" t="s">
        <v>389</v>
      </c>
      <c r="C4573" s="8">
        <v>2020</v>
      </c>
      <c r="D4573" s="8">
        <v>12</v>
      </c>
      <c r="E4573" s="3" t="str">
        <f t="shared" si="142"/>
        <v>December</v>
      </c>
      <c r="F4573" s="3" t="s">
        <v>8</v>
      </c>
      <c r="G4573" s="8">
        <v>15239.2994</v>
      </c>
      <c r="H4573" s="8">
        <v>15994.078</v>
      </c>
      <c r="I4573" s="8">
        <v>754.77860420000002</v>
      </c>
      <c r="J4573" s="8">
        <v>11060.16172</v>
      </c>
      <c r="K4573" s="8">
        <v>-3936.7806230000001</v>
      </c>
      <c r="L4573" s="8">
        <v>27620.172200000001</v>
      </c>
      <c r="M4573" s="9" t="str">
        <f>IF(A4573="",M4574,A4573)</f>
        <v>Yemen</v>
      </c>
      <c r="N4573" s="3" t="str">
        <f t="shared" si="143"/>
        <v>Dec-2020</v>
      </c>
    </row>
    <row r="4574" spans="1:14" x14ac:dyDescent="0.3">
      <c r="A4574" s="3" t="s">
        <v>388</v>
      </c>
      <c r="B4574" s="3" t="s">
        <v>389</v>
      </c>
      <c r="C4574" s="8">
        <v>2021</v>
      </c>
      <c r="D4574" s="8">
        <v>1</v>
      </c>
      <c r="E4574" s="3" t="str">
        <f t="shared" si="142"/>
        <v>January</v>
      </c>
      <c r="F4574" s="3" t="s">
        <v>8</v>
      </c>
      <c r="G4574" s="8">
        <v>15766.7713</v>
      </c>
      <c r="H4574" s="8">
        <v>16504.742999999999</v>
      </c>
      <c r="I4574" s="8">
        <v>737.9716985</v>
      </c>
      <c r="J4574" s="8">
        <v>11798.13342</v>
      </c>
      <c r="K4574" s="8">
        <v>-3447.2174100000002</v>
      </c>
      <c r="L4574" s="8">
        <v>29643.504560000001</v>
      </c>
      <c r="M4574" s="9" t="str">
        <f>IF(A4574="",M4575,A4574)</f>
        <v>Yemen</v>
      </c>
      <c r="N4574" s="3" t="str">
        <f t="shared" si="143"/>
        <v>Jan-2021</v>
      </c>
    </row>
    <row r="4575" spans="1:14" x14ac:dyDescent="0.3">
      <c r="A4575" s="3" t="s">
        <v>388</v>
      </c>
      <c r="B4575" s="3" t="s">
        <v>389</v>
      </c>
      <c r="C4575" s="8">
        <v>2021</v>
      </c>
      <c r="D4575" s="8">
        <v>2</v>
      </c>
      <c r="E4575" s="3" t="str">
        <f t="shared" si="142"/>
        <v>February</v>
      </c>
      <c r="F4575" s="3" t="s">
        <v>8</v>
      </c>
      <c r="G4575" s="8">
        <v>15664.19881</v>
      </c>
      <c r="H4575" s="8">
        <v>16699.653999999999</v>
      </c>
      <c r="I4575" s="8">
        <v>1035.455191</v>
      </c>
      <c r="J4575" s="8">
        <v>12833.588610000001</v>
      </c>
      <c r="K4575" s="8">
        <v>-3445.9124270000002</v>
      </c>
      <c r="L4575" s="8">
        <v>30240.42742</v>
      </c>
      <c r="M4575" s="9" t="str">
        <f>IF(A4575="",M4576,A4575)</f>
        <v>Yemen</v>
      </c>
      <c r="N4575" s="3" t="str">
        <f t="shared" si="143"/>
        <v>Feb-2021</v>
      </c>
    </row>
    <row r="4576" spans="1:14" x14ac:dyDescent="0.3">
      <c r="A4576" s="3" t="s">
        <v>388</v>
      </c>
      <c r="B4576" s="3" t="s">
        <v>389</v>
      </c>
      <c r="C4576" s="8">
        <v>2021</v>
      </c>
      <c r="D4576" s="8">
        <v>3</v>
      </c>
      <c r="E4576" s="3" t="str">
        <f t="shared" si="142"/>
        <v>March</v>
      </c>
      <c r="F4576" s="3" t="s">
        <v>8</v>
      </c>
      <c r="G4576" s="8">
        <v>15532.25836</v>
      </c>
      <c r="H4576" s="8">
        <v>18123.748</v>
      </c>
      <c r="I4576" s="8">
        <v>2591.4896410000001</v>
      </c>
      <c r="J4576" s="8">
        <v>15425.07825</v>
      </c>
      <c r="K4576" s="8">
        <v>-1163.2792870000001</v>
      </c>
      <c r="L4576" s="8">
        <v>34088.577619999996</v>
      </c>
      <c r="M4576" s="9" t="str">
        <f>IF(A4576="",M4577,A4576)</f>
        <v>Yemen</v>
      </c>
      <c r="N4576" s="3" t="str">
        <f t="shared" si="143"/>
        <v>Mar-2021</v>
      </c>
    </row>
    <row r="4577" spans="1:14" x14ac:dyDescent="0.3">
      <c r="A4577" s="3" t="s">
        <v>388</v>
      </c>
      <c r="B4577" s="3" t="s">
        <v>389</v>
      </c>
      <c r="C4577" s="8">
        <v>2021</v>
      </c>
      <c r="D4577" s="8">
        <v>4</v>
      </c>
      <c r="E4577" s="3" t="str">
        <f t="shared" si="142"/>
        <v>April</v>
      </c>
      <c r="F4577" s="3" t="s">
        <v>8</v>
      </c>
      <c r="G4577" s="8">
        <v>15249.36522</v>
      </c>
      <c r="H4577" s="8">
        <v>18012.858</v>
      </c>
      <c r="I4577" s="8">
        <v>2763.492776</v>
      </c>
      <c r="J4577" s="8">
        <v>18188.571029999999</v>
      </c>
      <c r="K4577" s="8">
        <v>144.6114699</v>
      </c>
      <c r="L4577" s="8">
        <v>37005.670510000004</v>
      </c>
      <c r="M4577" s="9" t="str">
        <f>IF(A4577="",M4578,A4577)</f>
        <v>Yemen</v>
      </c>
      <c r="N4577" s="3" t="str">
        <f t="shared" si="143"/>
        <v>Apr-2021</v>
      </c>
    </row>
    <row r="4578" spans="1:14" x14ac:dyDescent="0.3">
      <c r="A4578" s="3" t="s">
        <v>388</v>
      </c>
      <c r="B4578" s="3" t="s">
        <v>389</v>
      </c>
      <c r="C4578" s="8">
        <v>2021</v>
      </c>
      <c r="D4578" s="8">
        <v>5</v>
      </c>
      <c r="E4578" s="3" t="str">
        <f t="shared" si="142"/>
        <v>May</v>
      </c>
      <c r="F4578" s="3" t="s">
        <v>8</v>
      </c>
      <c r="G4578" s="8">
        <v>15042.519109999999</v>
      </c>
      <c r="H4578" s="8">
        <v>16849.490000000002</v>
      </c>
      <c r="I4578" s="8">
        <v>1806.9708929999999</v>
      </c>
      <c r="J4578" s="8">
        <v>19995.54192</v>
      </c>
      <c r="K4578" s="8">
        <v>369.68304289999998</v>
      </c>
      <c r="L4578" s="8">
        <v>39918.912049999999</v>
      </c>
      <c r="M4578" s="9" t="str">
        <f>IF(A4578="",M4579,A4578)</f>
        <v>Yemen</v>
      </c>
      <c r="N4578" s="3" t="str">
        <f t="shared" si="143"/>
        <v>May-2021</v>
      </c>
    </row>
    <row r="4579" spans="1:14" x14ac:dyDescent="0.3">
      <c r="A4579" s="3" t="s">
        <v>388</v>
      </c>
      <c r="B4579" s="3" t="s">
        <v>389</v>
      </c>
      <c r="C4579" s="8">
        <v>2021</v>
      </c>
      <c r="D4579" s="8">
        <v>6</v>
      </c>
      <c r="E4579" s="3" t="str">
        <f t="shared" si="142"/>
        <v>June</v>
      </c>
      <c r="F4579" s="3" t="s">
        <v>8</v>
      </c>
      <c r="G4579" s="8">
        <v>14843.73121</v>
      </c>
      <c r="H4579" s="8">
        <v>16497.995999999999</v>
      </c>
      <c r="I4579" s="8">
        <v>1654.2647870000001</v>
      </c>
      <c r="J4579" s="8">
        <v>21649.806710000001</v>
      </c>
      <c r="K4579" s="8">
        <v>558.44917969999995</v>
      </c>
      <c r="L4579" s="8">
        <v>41987.462440000003</v>
      </c>
      <c r="M4579" s="9" t="str">
        <f>IF(A4579="",M4580,A4579)</f>
        <v>Yemen</v>
      </c>
      <c r="N4579" s="3" t="str">
        <f t="shared" si="143"/>
        <v>Jun-2021</v>
      </c>
    </row>
    <row r="4580" spans="1:14" x14ac:dyDescent="0.3">
      <c r="A4580" s="3" t="s">
        <v>388</v>
      </c>
      <c r="B4580" s="3" t="s">
        <v>389</v>
      </c>
      <c r="C4580" s="8">
        <v>2021</v>
      </c>
      <c r="D4580" s="8">
        <v>7</v>
      </c>
      <c r="E4580" s="3" t="str">
        <f t="shared" si="142"/>
        <v>July</v>
      </c>
      <c r="F4580" s="3" t="s">
        <v>8</v>
      </c>
      <c r="G4580" s="8">
        <v>14968.62839</v>
      </c>
      <c r="H4580" s="8">
        <v>16277.745999999999</v>
      </c>
      <c r="I4580" s="8">
        <v>1309.1176129999999</v>
      </c>
      <c r="J4580" s="8">
        <v>22958.924319999998</v>
      </c>
      <c r="K4580" s="8">
        <v>1198.9861410000001</v>
      </c>
      <c r="L4580" s="8">
        <v>43473.43795</v>
      </c>
      <c r="M4580" s="9" t="str">
        <f>IF(A4580="",M4581,A4580)</f>
        <v>Yemen</v>
      </c>
      <c r="N4580" s="3" t="str">
        <f t="shared" si="143"/>
        <v>Jul-2021</v>
      </c>
    </row>
    <row r="4581" spans="1:14" x14ac:dyDescent="0.3">
      <c r="A4581" s="3" t="s">
        <v>388</v>
      </c>
      <c r="B4581" s="3" t="s">
        <v>389</v>
      </c>
      <c r="C4581" s="8">
        <v>2021</v>
      </c>
      <c r="D4581" s="8">
        <v>8</v>
      </c>
      <c r="E4581" s="3" t="str">
        <f t="shared" si="142"/>
        <v>August</v>
      </c>
      <c r="F4581" s="3" t="s">
        <v>8</v>
      </c>
      <c r="G4581" s="8">
        <v>14932.10025</v>
      </c>
      <c r="H4581" s="8">
        <v>16947.817999999999</v>
      </c>
      <c r="I4581" s="8">
        <v>2015.717746</v>
      </c>
      <c r="J4581" s="8">
        <v>24974.642070000002</v>
      </c>
      <c r="K4581" s="8">
        <v>2375.3942050000001</v>
      </c>
      <c r="L4581" s="8">
        <v>46284.327469999997</v>
      </c>
      <c r="M4581" s="9" t="str">
        <f>IF(A4581="",M4582,A4581)</f>
        <v>Yemen</v>
      </c>
      <c r="N4581" s="3" t="str">
        <f t="shared" si="143"/>
        <v>Aug-2021</v>
      </c>
    </row>
    <row r="4582" spans="1:14" x14ac:dyDescent="0.3">
      <c r="A4582" s="3" t="s">
        <v>388</v>
      </c>
      <c r="B4582" s="3" t="s">
        <v>389</v>
      </c>
      <c r="C4582" s="8">
        <v>2021</v>
      </c>
      <c r="D4582" s="8">
        <v>9</v>
      </c>
      <c r="E4582" s="3" t="str">
        <f t="shared" si="142"/>
        <v>September</v>
      </c>
      <c r="F4582" s="3" t="s">
        <v>8</v>
      </c>
      <c r="G4582" s="8">
        <v>15045.44981</v>
      </c>
      <c r="H4582" s="8">
        <v>17224.055</v>
      </c>
      <c r="I4582" s="8">
        <v>2178.6051950000001</v>
      </c>
      <c r="J4582" s="8">
        <v>27153.24726</v>
      </c>
      <c r="K4582" s="8">
        <v>4396.8709490000001</v>
      </c>
      <c r="L4582" s="8">
        <v>49218.009839999999</v>
      </c>
      <c r="M4582" s="9" t="str">
        <f>IF(A4582="",M4583,A4582)</f>
        <v>Yemen</v>
      </c>
      <c r="N4582" s="3" t="str">
        <f t="shared" si="143"/>
        <v>Sep-2021</v>
      </c>
    </row>
    <row r="4583" spans="1:14" x14ac:dyDescent="0.3">
      <c r="A4583" s="3" t="s">
        <v>388</v>
      </c>
      <c r="B4583" s="3" t="s">
        <v>389</v>
      </c>
      <c r="C4583" s="8">
        <v>2021</v>
      </c>
      <c r="D4583" s="8">
        <v>10</v>
      </c>
      <c r="E4583" s="3" t="str">
        <f t="shared" si="142"/>
        <v>October</v>
      </c>
      <c r="F4583" s="3" t="s">
        <v>8</v>
      </c>
      <c r="G4583" s="8">
        <v>15283.99739</v>
      </c>
      <c r="H4583" s="8">
        <v>16915.685000000001</v>
      </c>
      <c r="I4583" s="8">
        <v>1631.6876110000001</v>
      </c>
      <c r="J4583" s="8">
        <v>28784.934880000001</v>
      </c>
      <c r="K4583" s="8">
        <v>4902.9002620000001</v>
      </c>
      <c r="L4583" s="8">
        <v>51205.816749999998</v>
      </c>
      <c r="M4583" s="9" t="str">
        <f>IF(A4583="",M4584,A4583)</f>
        <v>Yemen</v>
      </c>
      <c r="N4583" s="3" t="str">
        <f t="shared" si="143"/>
        <v>Oct-2021</v>
      </c>
    </row>
    <row r="4584" spans="1:14" x14ac:dyDescent="0.3">
      <c r="A4584" s="3" t="s">
        <v>388</v>
      </c>
      <c r="B4584" s="3" t="s">
        <v>389</v>
      </c>
      <c r="C4584" s="8">
        <v>2021</v>
      </c>
      <c r="D4584" s="8">
        <v>11</v>
      </c>
      <c r="E4584" s="3" t="str">
        <f t="shared" si="142"/>
        <v>November</v>
      </c>
      <c r="F4584" s="3" t="s">
        <v>8</v>
      </c>
      <c r="G4584" s="8">
        <v>15575.98439</v>
      </c>
      <c r="H4584" s="8">
        <v>16761.237000000001</v>
      </c>
      <c r="I4584" s="8">
        <v>1185.252614</v>
      </c>
      <c r="J4584" s="8">
        <v>29970.18749</v>
      </c>
      <c r="K4584" s="8">
        <v>6153.881762</v>
      </c>
      <c r="L4584" s="8">
        <v>52970.925309999999</v>
      </c>
      <c r="M4584" s="9" t="str">
        <f>IF(A4584="",M4585,A4584)</f>
        <v>Yemen</v>
      </c>
      <c r="N4584" s="3" t="str">
        <f t="shared" si="143"/>
        <v>Nov-2021</v>
      </c>
    </row>
    <row r="4585" spans="1:14" x14ac:dyDescent="0.3">
      <c r="A4585" s="3" t="s">
        <v>388</v>
      </c>
      <c r="B4585" s="3" t="s">
        <v>389</v>
      </c>
      <c r="C4585" s="8">
        <v>2021</v>
      </c>
      <c r="D4585" s="8">
        <v>12</v>
      </c>
      <c r="E4585" s="3" t="str">
        <f t="shared" si="142"/>
        <v>December</v>
      </c>
      <c r="F4585" s="3" t="s">
        <v>8</v>
      </c>
      <c r="G4585" s="8">
        <v>15671.60773</v>
      </c>
      <c r="H4585" s="8">
        <v>16692.123</v>
      </c>
      <c r="I4585" s="8">
        <v>1020.515266</v>
      </c>
      <c r="J4585" s="8">
        <v>30990.70275</v>
      </c>
      <c r="K4585" s="8">
        <v>5846.2803130000002</v>
      </c>
      <c r="L4585" s="8">
        <v>54695.667690000002</v>
      </c>
      <c r="M4585" s="9" t="str">
        <f>IF(A4585="",M4586,A4585)</f>
        <v>Yemen</v>
      </c>
      <c r="N4585" s="3" t="str">
        <f t="shared" si="143"/>
        <v>Dec-2021</v>
      </c>
    </row>
    <row r="4586" spans="1:14" x14ac:dyDescent="0.3">
      <c r="A4586" s="3" t="s">
        <v>390</v>
      </c>
      <c r="B4586" s="3" t="s">
        <v>391</v>
      </c>
      <c r="C4586" s="8">
        <v>2020</v>
      </c>
      <c r="D4586" s="8">
        <v>1</v>
      </c>
      <c r="E4586" s="3" t="str">
        <f t="shared" si="142"/>
        <v>January</v>
      </c>
      <c r="F4586" s="3" t="s">
        <v>13</v>
      </c>
      <c r="G4586" s="8">
        <v>44628.161010000003</v>
      </c>
      <c r="H4586" s="8">
        <v>44248</v>
      </c>
      <c r="I4586" s="8">
        <v>-398.61711229999997</v>
      </c>
      <c r="J4586" s="8">
        <v>-398.61711229999997</v>
      </c>
      <c r="K4586" s="8">
        <v>-1579.3889630000001</v>
      </c>
      <c r="L4586" s="8">
        <v>684.71555790000002</v>
      </c>
      <c r="M4586" s="9" t="str">
        <f>IF(A4586="",M4587,A4586)</f>
        <v>South Africa</v>
      </c>
      <c r="N4586" s="3" t="str">
        <f t="shared" si="143"/>
        <v>Jan-2020</v>
      </c>
    </row>
    <row r="4587" spans="1:14" x14ac:dyDescent="0.3">
      <c r="A4587" s="3" t="s">
        <v>390</v>
      </c>
      <c r="B4587" s="3" t="s">
        <v>391</v>
      </c>
      <c r="C4587" s="8">
        <v>2020</v>
      </c>
      <c r="D4587" s="8">
        <v>2</v>
      </c>
      <c r="E4587" s="3" t="str">
        <f t="shared" si="142"/>
        <v>February</v>
      </c>
      <c r="F4587" s="3" t="s">
        <v>13</v>
      </c>
      <c r="G4587" s="8">
        <v>40554.470679999999</v>
      </c>
      <c r="H4587" s="8">
        <v>41450</v>
      </c>
      <c r="I4587" s="8">
        <v>877.07321830000001</v>
      </c>
      <c r="J4587" s="8">
        <v>478.45610599999998</v>
      </c>
      <c r="K4587" s="8">
        <v>-1308.6809940000001</v>
      </c>
      <c r="L4587" s="8">
        <v>2292.2379179999998</v>
      </c>
      <c r="M4587" s="9" t="str">
        <f>IF(A4587="",M4588,A4587)</f>
        <v>South Africa</v>
      </c>
      <c r="N4587" s="3" t="str">
        <f t="shared" si="143"/>
        <v>Feb-2020</v>
      </c>
    </row>
    <row r="4588" spans="1:14" x14ac:dyDescent="0.3">
      <c r="A4588" s="3" t="s">
        <v>390</v>
      </c>
      <c r="B4588" s="3" t="s">
        <v>391</v>
      </c>
      <c r="C4588" s="8">
        <v>2020</v>
      </c>
      <c r="D4588" s="8">
        <v>3</v>
      </c>
      <c r="E4588" s="3" t="str">
        <f t="shared" si="142"/>
        <v>March</v>
      </c>
      <c r="F4588" s="3" t="s">
        <v>13</v>
      </c>
      <c r="G4588" s="8">
        <v>43376.875090000001</v>
      </c>
      <c r="H4588" s="8">
        <v>43658</v>
      </c>
      <c r="I4588" s="8">
        <v>262.66880850000001</v>
      </c>
      <c r="J4588" s="8">
        <v>741.12491450000005</v>
      </c>
      <c r="K4588" s="8">
        <v>-1553.4793110000001</v>
      </c>
      <c r="L4588" s="8">
        <v>3005.8719850000002</v>
      </c>
      <c r="M4588" s="9" t="str">
        <f>IF(A4588="",M4589,A4588)</f>
        <v>South Africa</v>
      </c>
      <c r="N4588" s="3" t="str">
        <f t="shared" si="143"/>
        <v>Mar-2020</v>
      </c>
    </row>
    <row r="4589" spans="1:14" x14ac:dyDescent="0.3">
      <c r="A4589" s="3" t="s">
        <v>390</v>
      </c>
      <c r="B4589" s="3" t="s">
        <v>391</v>
      </c>
      <c r="C4589" s="8">
        <v>2020</v>
      </c>
      <c r="D4589" s="8">
        <v>4</v>
      </c>
      <c r="E4589" s="3" t="str">
        <f t="shared" si="142"/>
        <v>April</v>
      </c>
      <c r="F4589" s="3" t="s">
        <v>13</v>
      </c>
      <c r="G4589" s="8">
        <v>44566.9571</v>
      </c>
      <c r="H4589" s="8">
        <v>40797</v>
      </c>
      <c r="I4589" s="8">
        <v>-3788.413196</v>
      </c>
      <c r="J4589" s="8">
        <v>-3047.288282</v>
      </c>
      <c r="K4589" s="8">
        <v>-5763.8501509999996</v>
      </c>
      <c r="L4589" s="8">
        <v>-95.01392199</v>
      </c>
      <c r="M4589" s="9" t="str">
        <f>IF(A4589="",M4590,A4589)</f>
        <v>South Africa</v>
      </c>
      <c r="N4589" s="3" t="str">
        <f t="shared" si="143"/>
        <v>Apr-2020</v>
      </c>
    </row>
    <row r="4590" spans="1:14" x14ac:dyDescent="0.3">
      <c r="A4590" s="3" t="s">
        <v>390</v>
      </c>
      <c r="B4590" s="3" t="s">
        <v>391</v>
      </c>
      <c r="C4590" s="8">
        <v>2020</v>
      </c>
      <c r="D4590" s="8">
        <v>5</v>
      </c>
      <c r="E4590" s="3" t="str">
        <f t="shared" si="142"/>
        <v>May</v>
      </c>
      <c r="F4590" s="3" t="s">
        <v>13</v>
      </c>
      <c r="G4590" s="8">
        <v>48849.03385</v>
      </c>
      <c r="H4590" s="8">
        <v>45337</v>
      </c>
      <c r="I4590" s="8">
        <v>-3530.4899460000001</v>
      </c>
      <c r="J4590" s="8">
        <v>-6577.7782280000001</v>
      </c>
      <c r="K4590" s="8">
        <v>-9740.1887839999999</v>
      </c>
      <c r="L4590" s="8">
        <v>-3294.3369299999999</v>
      </c>
      <c r="M4590" s="9" t="str">
        <f>IF(A4590="",M4591,A4590)</f>
        <v>South Africa</v>
      </c>
      <c r="N4590" s="3" t="str">
        <f t="shared" si="143"/>
        <v>May-2020</v>
      </c>
    </row>
    <row r="4591" spans="1:14" x14ac:dyDescent="0.3">
      <c r="A4591" s="3" t="s">
        <v>390</v>
      </c>
      <c r="B4591" s="3" t="s">
        <v>391</v>
      </c>
      <c r="C4591" s="8">
        <v>2020</v>
      </c>
      <c r="D4591" s="8">
        <v>6</v>
      </c>
      <c r="E4591" s="3" t="str">
        <f t="shared" si="142"/>
        <v>June</v>
      </c>
      <c r="F4591" s="3" t="s">
        <v>13</v>
      </c>
      <c r="G4591" s="8">
        <v>52278.399819999999</v>
      </c>
      <c r="H4591" s="8">
        <v>53931</v>
      </c>
      <c r="I4591" s="8">
        <v>1634.144084</v>
      </c>
      <c r="J4591" s="8">
        <v>-4943.6341430000002</v>
      </c>
      <c r="K4591" s="8">
        <v>-8459.2039370000002</v>
      </c>
      <c r="L4591" s="8">
        <v>-1130.21759</v>
      </c>
      <c r="M4591" s="9" t="str">
        <f>IF(A4591="",M4592,A4591)</f>
        <v>South Africa</v>
      </c>
      <c r="N4591" s="3" t="str">
        <f t="shared" si="143"/>
        <v>Jun-2020</v>
      </c>
    </row>
    <row r="4592" spans="1:14" x14ac:dyDescent="0.3">
      <c r="A4592" s="3" t="s">
        <v>390</v>
      </c>
      <c r="B4592" s="3" t="s">
        <v>391</v>
      </c>
      <c r="C4592" s="8">
        <v>2020</v>
      </c>
      <c r="D4592" s="8">
        <v>7</v>
      </c>
      <c r="E4592" s="3" t="str">
        <f t="shared" si="142"/>
        <v>July</v>
      </c>
      <c r="F4592" s="3" t="s">
        <v>13</v>
      </c>
      <c r="G4592" s="8">
        <v>52657.923410000003</v>
      </c>
      <c r="H4592" s="8">
        <v>73814</v>
      </c>
      <c r="I4592" s="8">
        <v>21137.620500000001</v>
      </c>
      <c r="J4592" s="8">
        <v>16193.986349999999</v>
      </c>
      <c r="K4592" s="8">
        <v>12192.786400000001</v>
      </c>
      <c r="L4592" s="8">
        <v>20297.181960000002</v>
      </c>
      <c r="M4592" s="9" t="str">
        <f>IF(A4592="",M4593,A4592)</f>
        <v>South Africa</v>
      </c>
      <c r="N4592" s="3" t="str">
        <f t="shared" si="143"/>
        <v>Jul-2020</v>
      </c>
    </row>
    <row r="4593" spans="1:14" x14ac:dyDescent="0.3">
      <c r="A4593" s="3" t="s">
        <v>390</v>
      </c>
      <c r="B4593" s="3" t="s">
        <v>391</v>
      </c>
      <c r="C4593" s="8">
        <v>2020</v>
      </c>
      <c r="D4593" s="8">
        <v>8</v>
      </c>
      <c r="E4593" s="3" t="str">
        <f t="shared" si="142"/>
        <v>August</v>
      </c>
      <c r="F4593" s="3" t="s">
        <v>13</v>
      </c>
      <c r="G4593" s="8">
        <v>50720.304680000001</v>
      </c>
      <c r="H4593" s="8">
        <v>60365</v>
      </c>
      <c r="I4593" s="8">
        <v>9626.2392230000005</v>
      </c>
      <c r="J4593" s="8">
        <v>25820.225579999998</v>
      </c>
      <c r="K4593" s="8">
        <v>21535.082910000001</v>
      </c>
      <c r="L4593" s="8">
        <v>29950.577359999999</v>
      </c>
      <c r="M4593" s="9" t="str">
        <f>IF(A4593="",M4594,A4593)</f>
        <v>South Africa</v>
      </c>
      <c r="N4593" s="3" t="str">
        <f t="shared" si="143"/>
        <v>Aug-2020</v>
      </c>
    </row>
    <row r="4594" spans="1:14" x14ac:dyDescent="0.3">
      <c r="A4594" s="3" t="s">
        <v>390</v>
      </c>
      <c r="B4594" s="3" t="s">
        <v>391</v>
      </c>
      <c r="C4594" s="8">
        <v>2020</v>
      </c>
      <c r="D4594" s="8">
        <v>9</v>
      </c>
      <c r="E4594" s="3" t="str">
        <f t="shared" si="142"/>
        <v>September</v>
      </c>
      <c r="F4594" s="3" t="s">
        <v>13</v>
      </c>
      <c r="G4594" s="8">
        <v>47656.456729999998</v>
      </c>
      <c r="H4594" s="8">
        <v>47446</v>
      </c>
      <c r="I4594" s="8">
        <v>-228.91282709999999</v>
      </c>
      <c r="J4594" s="8">
        <v>25591.312750000001</v>
      </c>
      <c r="K4594" s="8">
        <v>21104.133669999999</v>
      </c>
      <c r="L4594" s="8">
        <v>30024.040010000001</v>
      </c>
      <c r="M4594" s="9" t="str">
        <f>IF(A4594="",M4595,A4594)</f>
        <v>South Africa</v>
      </c>
      <c r="N4594" s="3" t="str">
        <f t="shared" si="143"/>
        <v>Sep-2020</v>
      </c>
    </row>
    <row r="4595" spans="1:14" x14ac:dyDescent="0.3">
      <c r="A4595" s="3" t="s">
        <v>390</v>
      </c>
      <c r="B4595" s="3" t="s">
        <v>391</v>
      </c>
      <c r="C4595" s="8">
        <v>2020</v>
      </c>
      <c r="D4595" s="8">
        <v>10</v>
      </c>
      <c r="E4595" s="3" t="str">
        <f t="shared" si="142"/>
        <v>October</v>
      </c>
      <c r="F4595" s="3" t="s">
        <v>13</v>
      </c>
      <c r="G4595" s="8">
        <v>46566.977489999997</v>
      </c>
      <c r="H4595" s="8">
        <v>48804</v>
      </c>
      <c r="I4595" s="8">
        <v>2218.5664120000001</v>
      </c>
      <c r="J4595" s="8">
        <v>27809.87916</v>
      </c>
      <c r="K4595" s="8">
        <v>22646.602449999998</v>
      </c>
      <c r="L4595" s="8">
        <v>32551.694329999998</v>
      </c>
      <c r="M4595" s="9" t="str">
        <f>IF(A4595="",M4596,A4595)</f>
        <v>South Africa</v>
      </c>
      <c r="N4595" s="3" t="str">
        <f t="shared" si="143"/>
        <v>Oct-2020</v>
      </c>
    </row>
    <row r="4596" spans="1:14" x14ac:dyDescent="0.3">
      <c r="A4596" s="3" t="s">
        <v>390</v>
      </c>
      <c r="B4596" s="3" t="s">
        <v>391</v>
      </c>
      <c r="C4596" s="8">
        <v>2020</v>
      </c>
      <c r="D4596" s="8">
        <v>11</v>
      </c>
      <c r="E4596" s="3" t="str">
        <f t="shared" si="142"/>
        <v>November</v>
      </c>
      <c r="F4596" s="3" t="s">
        <v>13</v>
      </c>
      <c r="G4596" s="8">
        <v>44969.941630000001</v>
      </c>
      <c r="H4596" s="8">
        <v>48583</v>
      </c>
      <c r="I4596" s="8">
        <v>3594.6022710000002</v>
      </c>
      <c r="J4596" s="8">
        <v>31404.48143</v>
      </c>
      <c r="K4596" s="8">
        <v>26080.276040000001</v>
      </c>
      <c r="L4596" s="8">
        <v>36345.370990000003</v>
      </c>
      <c r="M4596" s="9" t="str">
        <f>IF(A4596="",M4597,A4596)</f>
        <v>South Africa</v>
      </c>
      <c r="N4596" s="3" t="str">
        <f t="shared" si="143"/>
        <v>Nov-2020</v>
      </c>
    </row>
    <row r="4597" spans="1:14" x14ac:dyDescent="0.3">
      <c r="A4597" s="3" t="s">
        <v>390</v>
      </c>
      <c r="B4597" s="3" t="s">
        <v>391</v>
      </c>
      <c r="C4597" s="8">
        <v>2020</v>
      </c>
      <c r="D4597" s="8">
        <v>12</v>
      </c>
      <c r="E4597" s="3" t="str">
        <f t="shared" si="142"/>
        <v>December</v>
      </c>
      <c r="F4597" s="3" t="s">
        <v>13</v>
      </c>
      <c r="G4597" s="8">
        <v>44785.392440000003</v>
      </c>
      <c r="H4597" s="8">
        <v>70367</v>
      </c>
      <c r="I4597" s="8">
        <v>25563.151460000001</v>
      </c>
      <c r="J4597" s="8">
        <v>56967.632890000001</v>
      </c>
      <c r="K4597" s="8">
        <v>51381.191509999997</v>
      </c>
      <c r="L4597" s="8">
        <v>62139.417439999997</v>
      </c>
      <c r="M4597" s="9" t="str">
        <f>IF(A4597="",M4598,A4597)</f>
        <v>South Africa</v>
      </c>
      <c r="N4597" s="3" t="str">
        <f t="shared" si="143"/>
        <v>Dec-2020</v>
      </c>
    </row>
    <row r="4598" spans="1:14" x14ac:dyDescent="0.3">
      <c r="A4598" s="3" t="s">
        <v>390</v>
      </c>
      <c r="B4598" s="3" t="s">
        <v>391</v>
      </c>
      <c r="C4598" s="8">
        <v>2021</v>
      </c>
      <c r="D4598" s="8">
        <v>1</v>
      </c>
      <c r="E4598" s="3" t="str">
        <f t="shared" si="142"/>
        <v>January</v>
      </c>
      <c r="F4598" s="3" t="s">
        <v>13</v>
      </c>
      <c r="G4598" s="8">
        <v>44840.395199999999</v>
      </c>
      <c r="H4598" s="8">
        <v>100422</v>
      </c>
      <c r="I4598" s="8">
        <v>55550.344230000002</v>
      </c>
      <c r="J4598" s="8">
        <v>112517.9771</v>
      </c>
      <c r="K4598" s="8">
        <v>106933.90700000001</v>
      </c>
      <c r="L4598" s="8">
        <v>117819.0439</v>
      </c>
      <c r="M4598" s="9" t="str">
        <f>IF(A4598="",M4599,A4598)</f>
        <v>South Africa</v>
      </c>
      <c r="N4598" s="3" t="str">
        <f t="shared" si="143"/>
        <v>Jan-2021</v>
      </c>
    </row>
    <row r="4599" spans="1:14" x14ac:dyDescent="0.3">
      <c r="A4599" s="3" t="s">
        <v>390</v>
      </c>
      <c r="B4599" s="3" t="s">
        <v>391</v>
      </c>
      <c r="C4599" s="8">
        <v>2021</v>
      </c>
      <c r="D4599" s="8">
        <v>2</v>
      </c>
      <c r="E4599" s="3" t="str">
        <f t="shared" si="142"/>
        <v>February</v>
      </c>
      <c r="F4599" s="3" t="s">
        <v>13</v>
      </c>
      <c r="G4599" s="8">
        <v>40735.47896</v>
      </c>
      <c r="H4599" s="8">
        <v>51053</v>
      </c>
      <c r="I4599" s="8">
        <v>10286.260469999999</v>
      </c>
      <c r="J4599" s="8">
        <v>122804.23759999999</v>
      </c>
      <c r="K4599" s="8">
        <v>116875.94469999999</v>
      </c>
      <c r="L4599" s="8">
        <v>128250.0931</v>
      </c>
      <c r="M4599" s="9" t="str">
        <f>IF(A4599="",M4600,A4599)</f>
        <v>South Africa</v>
      </c>
      <c r="N4599" s="3" t="str">
        <f t="shared" si="143"/>
        <v>Feb-2021</v>
      </c>
    </row>
    <row r="4600" spans="1:14" x14ac:dyDescent="0.3">
      <c r="A4600" s="3" t="s">
        <v>390</v>
      </c>
      <c r="B4600" s="3" t="s">
        <v>391</v>
      </c>
      <c r="C4600" s="8">
        <v>2021</v>
      </c>
      <c r="D4600" s="8">
        <v>3</v>
      </c>
      <c r="E4600" s="3" t="str">
        <f t="shared" si="142"/>
        <v>March</v>
      </c>
      <c r="F4600" s="3" t="s">
        <v>13</v>
      </c>
      <c r="G4600" s="8">
        <v>43539.95289</v>
      </c>
      <c r="H4600" s="8">
        <v>49575</v>
      </c>
      <c r="I4600" s="8">
        <v>6003.7865460000003</v>
      </c>
      <c r="J4600" s="8">
        <v>128808.0241</v>
      </c>
      <c r="K4600" s="8">
        <v>122563.8505</v>
      </c>
      <c r="L4600" s="8">
        <v>134527.9393</v>
      </c>
      <c r="M4600" s="9" t="str">
        <f>IF(A4600="",M4601,A4600)</f>
        <v>South Africa</v>
      </c>
      <c r="N4600" s="3" t="str">
        <f t="shared" si="143"/>
        <v>Mar-2021</v>
      </c>
    </row>
    <row r="4601" spans="1:14" x14ac:dyDescent="0.3">
      <c r="A4601" s="3" t="s">
        <v>390</v>
      </c>
      <c r="B4601" s="3" t="s">
        <v>391</v>
      </c>
      <c r="C4601" s="8">
        <v>2021</v>
      </c>
      <c r="D4601" s="8">
        <v>4</v>
      </c>
      <c r="E4601" s="3" t="str">
        <f t="shared" si="142"/>
        <v>April</v>
      </c>
      <c r="F4601" s="3" t="s">
        <v>13</v>
      </c>
      <c r="G4601" s="8">
        <v>44759.071830000001</v>
      </c>
      <c r="H4601" s="8">
        <v>48929</v>
      </c>
      <c r="I4601" s="8">
        <v>4138.6675990000003</v>
      </c>
      <c r="J4601" s="8">
        <v>132946.6917</v>
      </c>
      <c r="K4601" s="8">
        <v>126104.2525</v>
      </c>
      <c r="L4601" s="8">
        <v>138921.04440000001</v>
      </c>
      <c r="M4601" s="9" t="str">
        <f>IF(A4601="",M4602,A4601)</f>
        <v>South Africa</v>
      </c>
      <c r="N4601" s="3" t="str">
        <f t="shared" si="143"/>
        <v>Apr-2021</v>
      </c>
    </row>
    <row r="4602" spans="1:14" x14ac:dyDescent="0.3">
      <c r="A4602" s="3" t="s">
        <v>390</v>
      </c>
      <c r="B4602" s="3" t="s">
        <v>391</v>
      </c>
      <c r="C4602" s="8">
        <v>2021</v>
      </c>
      <c r="D4602" s="8">
        <v>5</v>
      </c>
      <c r="E4602" s="3" t="str">
        <f t="shared" si="142"/>
        <v>May</v>
      </c>
      <c r="F4602" s="3" t="s">
        <v>13</v>
      </c>
      <c r="G4602" s="8">
        <v>49062.74596</v>
      </c>
      <c r="H4602" s="8">
        <v>55455</v>
      </c>
      <c r="I4602" s="8">
        <v>6360.9934720000001</v>
      </c>
      <c r="J4602" s="8">
        <v>139307.68520000001</v>
      </c>
      <c r="K4602" s="8">
        <v>132369.2409</v>
      </c>
      <c r="L4602" s="8">
        <v>145606.93340000001</v>
      </c>
      <c r="M4602" s="9" t="str">
        <f>IF(A4602="",M4603,A4602)</f>
        <v>South Africa</v>
      </c>
      <c r="N4602" s="3" t="str">
        <f t="shared" si="143"/>
        <v>May-2021</v>
      </c>
    </row>
    <row r="4603" spans="1:14" x14ac:dyDescent="0.3">
      <c r="A4603" s="3" t="s">
        <v>390</v>
      </c>
      <c r="B4603" s="3" t="s">
        <v>391</v>
      </c>
      <c r="C4603" s="8">
        <v>2021</v>
      </c>
      <c r="D4603" s="8">
        <v>6</v>
      </c>
      <c r="E4603" s="3" t="str">
        <f t="shared" si="142"/>
        <v>June</v>
      </c>
      <c r="F4603" s="3" t="s">
        <v>13</v>
      </c>
      <c r="G4603" s="8">
        <v>52478.531490000001</v>
      </c>
      <c r="H4603" s="8">
        <v>66856</v>
      </c>
      <c r="I4603" s="8">
        <v>14346.20794</v>
      </c>
      <c r="J4603" s="8">
        <v>153653.89319999999</v>
      </c>
      <c r="K4603" s="8">
        <v>146090.86989999999</v>
      </c>
      <c r="L4603" s="8">
        <v>160211.2622</v>
      </c>
      <c r="M4603" s="9" t="str">
        <f>IF(A4603="",M4604,A4603)</f>
        <v>South Africa</v>
      </c>
      <c r="N4603" s="3" t="str">
        <f t="shared" si="143"/>
        <v>Jun-2021</v>
      </c>
    </row>
    <row r="4604" spans="1:14" x14ac:dyDescent="0.3">
      <c r="A4604" s="3" t="s">
        <v>390</v>
      </c>
      <c r="B4604" s="3" t="s">
        <v>391</v>
      </c>
      <c r="C4604" s="8">
        <v>2021</v>
      </c>
      <c r="D4604" s="8">
        <v>7</v>
      </c>
      <c r="E4604" s="3" t="str">
        <f t="shared" si="142"/>
        <v>July</v>
      </c>
      <c r="F4604" s="3" t="s">
        <v>13</v>
      </c>
      <c r="G4604" s="8">
        <v>52781.384590000001</v>
      </c>
      <c r="H4604" s="8">
        <v>92120</v>
      </c>
      <c r="I4604" s="8">
        <v>39307.35484</v>
      </c>
      <c r="J4604" s="8">
        <v>192961.24799999999</v>
      </c>
      <c r="K4604" s="8">
        <v>185372.14249999999</v>
      </c>
      <c r="L4604" s="8">
        <v>199738.69469999999</v>
      </c>
      <c r="M4604" s="9" t="str">
        <f>IF(A4604="",M4605,A4604)</f>
        <v>South Africa</v>
      </c>
      <c r="N4604" s="3" t="str">
        <f t="shared" si="143"/>
        <v>Jul-2021</v>
      </c>
    </row>
    <row r="4605" spans="1:14" x14ac:dyDescent="0.3">
      <c r="A4605" s="3" t="s">
        <v>390</v>
      </c>
      <c r="B4605" s="3" t="s">
        <v>391</v>
      </c>
      <c r="C4605" s="8">
        <v>2021</v>
      </c>
      <c r="D4605" s="8">
        <v>8</v>
      </c>
      <c r="E4605" s="3" t="str">
        <f t="shared" si="142"/>
        <v>August</v>
      </c>
      <c r="F4605" s="3" t="s">
        <v>13</v>
      </c>
      <c r="G4605" s="8">
        <v>50857.138650000001</v>
      </c>
      <c r="H4605" s="8">
        <v>74921</v>
      </c>
      <c r="I4605" s="8">
        <v>24032.600780000001</v>
      </c>
      <c r="J4605" s="8">
        <v>216993.84880000001</v>
      </c>
      <c r="K4605" s="8">
        <v>208996.4313</v>
      </c>
      <c r="L4605" s="8">
        <v>224374.3726</v>
      </c>
      <c r="M4605" s="9" t="str">
        <f>IF(A4605="",M4606,A4605)</f>
        <v>South Africa</v>
      </c>
      <c r="N4605" s="3" t="str">
        <f t="shared" si="143"/>
        <v>Aug-2021</v>
      </c>
    </row>
    <row r="4606" spans="1:14" x14ac:dyDescent="0.3">
      <c r="A4606" s="3" t="s">
        <v>390</v>
      </c>
      <c r="B4606" s="3" t="s">
        <v>391</v>
      </c>
      <c r="C4606" s="8">
        <v>2021</v>
      </c>
      <c r="D4606" s="8">
        <v>9</v>
      </c>
      <c r="E4606" s="3" t="str">
        <f t="shared" si="142"/>
        <v>September</v>
      </c>
      <c r="F4606" s="3" t="s">
        <v>13</v>
      </c>
      <c r="G4606" s="8">
        <v>47809.370369999997</v>
      </c>
      <c r="H4606" s="8">
        <v>57810</v>
      </c>
      <c r="I4606" s="8">
        <v>9969.3690590000006</v>
      </c>
      <c r="J4606" s="8">
        <v>226963.21780000001</v>
      </c>
      <c r="K4606" s="8">
        <v>218918.10930000001</v>
      </c>
      <c r="L4606" s="8">
        <v>234136.48439999999</v>
      </c>
      <c r="M4606" s="9" t="str">
        <f>IF(A4606="",M4607,A4606)</f>
        <v>South Africa</v>
      </c>
      <c r="N4606" s="3" t="str">
        <f t="shared" si="143"/>
        <v>Sep-2021</v>
      </c>
    </row>
    <row r="4607" spans="1:14" x14ac:dyDescent="0.3">
      <c r="A4607" s="3" t="s">
        <v>390</v>
      </c>
      <c r="B4607" s="3" t="s">
        <v>391</v>
      </c>
      <c r="C4607" s="8">
        <v>2021</v>
      </c>
      <c r="D4607" s="8">
        <v>10</v>
      </c>
      <c r="E4607" s="3" t="str">
        <f t="shared" si="142"/>
        <v>October</v>
      </c>
      <c r="F4607" s="3" t="s">
        <v>13</v>
      </c>
      <c r="G4607" s="8">
        <v>46797.435120000002</v>
      </c>
      <c r="H4607" s="8">
        <v>50325</v>
      </c>
      <c r="I4607" s="8">
        <v>3496.3043090000001</v>
      </c>
      <c r="J4607" s="8">
        <v>230459.5221</v>
      </c>
      <c r="K4607" s="8">
        <v>222226.7359</v>
      </c>
      <c r="L4607" s="8">
        <v>237982.62349999999</v>
      </c>
      <c r="M4607" s="9" t="str">
        <f>IF(A4607="",M4608,A4607)</f>
        <v>South Africa</v>
      </c>
      <c r="N4607" s="3" t="str">
        <f t="shared" si="143"/>
        <v>Oct-2021</v>
      </c>
    </row>
    <row r="4608" spans="1:14" x14ac:dyDescent="0.3">
      <c r="A4608" s="3" t="s">
        <v>390</v>
      </c>
      <c r="B4608" s="3" t="s">
        <v>391</v>
      </c>
      <c r="C4608" s="8">
        <v>2021</v>
      </c>
      <c r="D4608" s="8">
        <v>11</v>
      </c>
      <c r="E4608" s="3" t="str">
        <f t="shared" si="142"/>
        <v>November</v>
      </c>
      <c r="F4608" s="3" t="s">
        <v>13</v>
      </c>
      <c r="G4608" s="8">
        <v>45155.49538</v>
      </c>
      <c r="H4608" s="8">
        <v>48699</v>
      </c>
      <c r="I4608" s="8">
        <v>3512.2440550000001</v>
      </c>
      <c r="J4608" s="8">
        <v>233971.76620000001</v>
      </c>
      <c r="K4608" s="8">
        <v>225703.24460000001</v>
      </c>
      <c r="L4608" s="8">
        <v>241717.4656</v>
      </c>
      <c r="M4608" s="9" t="str">
        <f>IF(A4608="",M4609,A4608)</f>
        <v>South Africa</v>
      </c>
      <c r="N4608" s="3" t="str">
        <f t="shared" si="143"/>
        <v>Nov-2021</v>
      </c>
    </row>
    <row r="4609" spans="1:14" x14ac:dyDescent="0.3">
      <c r="A4609" s="3" t="s">
        <v>390</v>
      </c>
      <c r="B4609" s="3" t="s">
        <v>391</v>
      </c>
      <c r="C4609" s="8">
        <v>2021</v>
      </c>
      <c r="D4609" s="8">
        <v>12</v>
      </c>
      <c r="E4609" s="3" t="str">
        <f t="shared" si="142"/>
        <v>December</v>
      </c>
      <c r="F4609" s="3" t="s">
        <v>13</v>
      </c>
      <c r="G4609" s="8">
        <v>44990.613810000003</v>
      </c>
      <c r="H4609" s="8">
        <v>57852</v>
      </c>
      <c r="I4609" s="8">
        <v>12830.125620000001</v>
      </c>
      <c r="J4609" s="8">
        <v>246801.89180000001</v>
      </c>
      <c r="K4609" s="8">
        <v>238343.2751</v>
      </c>
      <c r="L4609" s="8">
        <v>254532.20860000001</v>
      </c>
      <c r="M4609" s="9" t="str">
        <f>IF(A4609="",M4610,A4609)</f>
        <v>South Africa</v>
      </c>
      <c r="N4609" s="3" t="str">
        <f t="shared" si="143"/>
        <v>Dec-2021</v>
      </c>
    </row>
    <row r="4610" spans="1:14" x14ac:dyDescent="0.3">
      <c r="A4610" s="3" t="s">
        <v>392</v>
      </c>
      <c r="B4610" s="3" t="s">
        <v>393</v>
      </c>
      <c r="C4610" s="8">
        <v>2020</v>
      </c>
      <c r="D4610" s="8">
        <v>1</v>
      </c>
      <c r="E4610" s="3" t="str">
        <f t="shared" ref="E4610:E4657" si="144">TEXT(DATE(C4610,D4610,1),"MMMM")</f>
        <v>January</v>
      </c>
      <c r="F4610" s="3" t="s">
        <v>8</v>
      </c>
      <c r="G4610" s="8">
        <v>10046.55406</v>
      </c>
      <c r="H4610" s="8">
        <v>10514.553</v>
      </c>
      <c r="I4610" s="8">
        <v>467.99894039999998</v>
      </c>
      <c r="J4610" s="8">
        <v>467.99894039999998</v>
      </c>
      <c r="K4610" s="8">
        <v>-2090.3185790000002</v>
      </c>
      <c r="L4610" s="8">
        <v>3367.919328</v>
      </c>
      <c r="M4610" s="9" t="str">
        <f>IF(A4610="",M4611,A4610)</f>
        <v>Zambia</v>
      </c>
      <c r="N4610" s="3" t="str">
        <f t="shared" ref="N4610:N4657" si="145">TEXT(DATE(C4610,D4610,1),"MMM-YYYY")</f>
        <v>Jan-2020</v>
      </c>
    </row>
    <row r="4611" spans="1:14" x14ac:dyDescent="0.3">
      <c r="A4611" s="3" t="s">
        <v>392</v>
      </c>
      <c r="B4611" s="3" t="s">
        <v>393</v>
      </c>
      <c r="C4611" s="8">
        <v>2020</v>
      </c>
      <c r="D4611" s="8">
        <v>2</v>
      </c>
      <c r="E4611" s="3" t="str">
        <f t="shared" si="144"/>
        <v>February</v>
      </c>
      <c r="F4611" s="3" t="s">
        <v>8</v>
      </c>
      <c r="G4611" s="8">
        <v>10009.12587</v>
      </c>
      <c r="H4611" s="8">
        <v>10133.537</v>
      </c>
      <c r="I4611" s="8">
        <v>124.4111326</v>
      </c>
      <c r="J4611" s="8">
        <v>592.41007300000001</v>
      </c>
      <c r="K4611" s="8">
        <v>-3088.2152449999999</v>
      </c>
      <c r="L4611" s="8">
        <v>4859.2759120000001</v>
      </c>
      <c r="M4611" s="9" t="str">
        <f>IF(A4611="",M4612,A4611)</f>
        <v>Zambia</v>
      </c>
      <c r="N4611" s="3" t="str">
        <f t="shared" si="145"/>
        <v>Feb-2020</v>
      </c>
    </row>
    <row r="4612" spans="1:14" x14ac:dyDescent="0.3">
      <c r="A4612" s="3" t="s">
        <v>392</v>
      </c>
      <c r="B4612" s="3" t="s">
        <v>393</v>
      </c>
      <c r="C4612" s="8">
        <v>2020</v>
      </c>
      <c r="D4612" s="8">
        <v>3</v>
      </c>
      <c r="E4612" s="3" t="str">
        <f t="shared" si="144"/>
        <v>March</v>
      </c>
      <c r="F4612" s="3" t="s">
        <v>8</v>
      </c>
      <c r="G4612" s="8">
        <v>10040.310359999999</v>
      </c>
      <c r="H4612" s="8">
        <v>10059.092000000001</v>
      </c>
      <c r="I4612" s="8">
        <v>18.781639030000001</v>
      </c>
      <c r="J4612" s="8">
        <v>611.19171210000002</v>
      </c>
      <c r="K4612" s="8">
        <v>-3932.2879549999998</v>
      </c>
      <c r="L4612" s="8">
        <v>5868.8587369999996</v>
      </c>
      <c r="M4612" s="9" t="str">
        <f>IF(A4612="",M4613,A4612)</f>
        <v>Zambia</v>
      </c>
      <c r="N4612" s="3" t="str">
        <f t="shared" si="145"/>
        <v>Mar-2020</v>
      </c>
    </row>
    <row r="4613" spans="1:14" x14ac:dyDescent="0.3">
      <c r="A4613" s="3" t="s">
        <v>392</v>
      </c>
      <c r="B4613" s="3" t="s">
        <v>393</v>
      </c>
      <c r="C4613" s="8">
        <v>2020</v>
      </c>
      <c r="D4613" s="8">
        <v>4</v>
      </c>
      <c r="E4613" s="3" t="str">
        <f t="shared" si="144"/>
        <v>April</v>
      </c>
      <c r="F4613" s="3" t="s">
        <v>8</v>
      </c>
      <c r="G4613" s="8">
        <v>10086.24056</v>
      </c>
      <c r="H4613" s="8">
        <v>9449.7729999999992</v>
      </c>
      <c r="I4613" s="8">
        <v>-636.46755629999996</v>
      </c>
      <c r="J4613" s="8">
        <v>-25.27584426</v>
      </c>
      <c r="K4613" s="8">
        <v>-5260.8676020000003</v>
      </c>
      <c r="L4613" s="8">
        <v>5816.1947309999996</v>
      </c>
      <c r="M4613" s="9" t="str">
        <f>IF(A4613="",M4614,A4613)</f>
        <v>Zambia</v>
      </c>
      <c r="N4613" s="3" t="str">
        <f t="shared" si="145"/>
        <v>Apr-2020</v>
      </c>
    </row>
    <row r="4614" spans="1:14" x14ac:dyDescent="0.3">
      <c r="A4614" s="3" t="s">
        <v>392</v>
      </c>
      <c r="B4614" s="3" t="s">
        <v>393</v>
      </c>
      <c r="C4614" s="8">
        <v>2020</v>
      </c>
      <c r="D4614" s="8">
        <v>5</v>
      </c>
      <c r="E4614" s="3" t="str">
        <f t="shared" si="144"/>
        <v>May</v>
      </c>
      <c r="F4614" s="3" t="s">
        <v>8</v>
      </c>
      <c r="G4614" s="8">
        <v>10232.602989999999</v>
      </c>
      <c r="H4614" s="8">
        <v>9809.6759999999995</v>
      </c>
      <c r="I4614" s="8">
        <v>-422.92699019999998</v>
      </c>
      <c r="J4614" s="8">
        <v>-448.20283439999997</v>
      </c>
      <c r="K4614" s="8">
        <v>-6159.440791</v>
      </c>
      <c r="L4614" s="8">
        <v>5606.775901</v>
      </c>
      <c r="M4614" s="9" t="str">
        <f>IF(A4614="",M4615,A4614)</f>
        <v>Zambia</v>
      </c>
      <c r="N4614" s="3" t="str">
        <f t="shared" si="145"/>
        <v>May-2020</v>
      </c>
    </row>
    <row r="4615" spans="1:14" x14ac:dyDescent="0.3">
      <c r="A4615" s="3" t="s">
        <v>392</v>
      </c>
      <c r="B4615" s="3" t="s">
        <v>393</v>
      </c>
      <c r="C4615" s="8">
        <v>2020</v>
      </c>
      <c r="D4615" s="8">
        <v>6</v>
      </c>
      <c r="E4615" s="3" t="str">
        <f t="shared" si="144"/>
        <v>June</v>
      </c>
      <c r="F4615" s="3" t="s">
        <v>8</v>
      </c>
      <c r="G4615" s="8">
        <v>10367.427890000001</v>
      </c>
      <c r="H4615" s="8">
        <v>10126.263999999999</v>
      </c>
      <c r="I4615" s="8">
        <v>-241.1638944</v>
      </c>
      <c r="J4615" s="8">
        <v>-689.36672880000003</v>
      </c>
      <c r="K4615" s="8">
        <v>-7068.1074529999996</v>
      </c>
      <c r="L4615" s="8">
        <v>5712.050776</v>
      </c>
      <c r="M4615" s="9" t="str">
        <f>IF(A4615="",M4616,A4615)</f>
        <v>Zambia</v>
      </c>
      <c r="N4615" s="3" t="str">
        <f t="shared" si="145"/>
        <v>Jun-2020</v>
      </c>
    </row>
    <row r="4616" spans="1:14" x14ac:dyDescent="0.3">
      <c r="A4616" s="3" t="s">
        <v>392</v>
      </c>
      <c r="B4616" s="3" t="s">
        <v>393</v>
      </c>
      <c r="C4616" s="8">
        <v>2020</v>
      </c>
      <c r="D4616" s="8">
        <v>7</v>
      </c>
      <c r="E4616" s="3" t="str">
        <f t="shared" si="144"/>
        <v>July</v>
      </c>
      <c r="F4616" s="3" t="s">
        <v>8</v>
      </c>
      <c r="G4616" s="8">
        <v>10401.84794</v>
      </c>
      <c r="H4616" s="8">
        <v>10880.933000000001</v>
      </c>
      <c r="I4616" s="8">
        <v>479.08505760000003</v>
      </c>
      <c r="J4616" s="8">
        <v>-210.28167120000001</v>
      </c>
      <c r="K4616" s="8">
        <v>-6927.9900150000003</v>
      </c>
      <c r="L4616" s="8">
        <v>7076.6486349999996</v>
      </c>
      <c r="M4616" s="9" t="str">
        <f>IF(A4616="",M4617,A4616)</f>
        <v>Zambia</v>
      </c>
      <c r="N4616" s="3" t="str">
        <f t="shared" si="145"/>
        <v>Jul-2020</v>
      </c>
    </row>
    <row r="4617" spans="1:14" x14ac:dyDescent="0.3">
      <c r="A4617" s="3" t="s">
        <v>392</v>
      </c>
      <c r="B4617" s="3" t="s">
        <v>393</v>
      </c>
      <c r="C4617" s="8">
        <v>2020</v>
      </c>
      <c r="D4617" s="8">
        <v>8</v>
      </c>
      <c r="E4617" s="3" t="str">
        <f t="shared" si="144"/>
        <v>August</v>
      </c>
      <c r="F4617" s="3" t="s">
        <v>8</v>
      </c>
      <c r="G4617" s="8">
        <v>10227.01262</v>
      </c>
      <c r="H4617" s="8">
        <v>11501.272999999999</v>
      </c>
      <c r="I4617" s="8">
        <v>1274.2603770000001</v>
      </c>
      <c r="J4617" s="8">
        <v>1063.9787060000001</v>
      </c>
      <c r="K4617" s="8">
        <v>-6315.0689659999998</v>
      </c>
      <c r="L4617" s="8">
        <v>9038.8464899999999</v>
      </c>
      <c r="M4617" s="9" t="str">
        <f>IF(A4617="",M4618,A4617)</f>
        <v>Zambia</v>
      </c>
      <c r="N4617" s="3" t="str">
        <f t="shared" si="145"/>
        <v>Aug-2020</v>
      </c>
    </row>
    <row r="4618" spans="1:14" x14ac:dyDescent="0.3">
      <c r="A4618" s="3" t="s">
        <v>392</v>
      </c>
      <c r="B4618" s="3" t="s">
        <v>393</v>
      </c>
      <c r="C4618" s="8">
        <v>2020</v>
      </c>
      <c r="D4618" s="8">
        <v>9</v>
      </c>
      <c r="E4618" s="3" t="str">
        <f t="shared" si="144"/>
        <v>September</v>
      </c>
      <c r="F4618" s="3" t="s">
        <v>8</v>
      </c>
      <c r="G4618" s="8">
        <v>10039.07784</v>
      </c>
      <c r="H4618" s="8">
        <v>10708.725</v>
      </c>
      <c r="I4618" s="8">
        <v>669.64716199999998</v>
      </c>
      <c r="J4618" s="8">
        <v>1733.6258680000001</v>
      </c>
      <c r="K4618" s="8">
        <v>-6518.4775049999998</v>
      </c>
      <c r="L4618" s="8">
        <v>11191.76561</v>
      </c>
      <c r="M4618" s="9" t="str">
        <f>IF(A4618="",M4619,A4618)</f>
        <v>Zambia</v>
      </c>
      <c r="N4618" s="3" t="str">
        <f t="shared" si="145"/>
        <v>Sep-2020</v>
      </c>
    </row>
    <row r="4619" spans="1:14" x14ac:dyDescent="0.3">
      <c r="A4619" s="3" t="s">
        <v>392</v>
      </c>
      <c r="B4619" s="3" t="s">
        <v>393</v>
      </c>
      <c r="C4619" s="8">
        <v>2020</v>
      </c>
      <c r="D4619" s="8">
        <v>10</v>
      </c>
      <c r="E4619" s="3" t="str">
        <f t="shared" si="144"/>
        <v>October</v>
      </c>
      <c r="F4619" s="3" t="s">
        <v>8</v>
      </c>
      <c r="G4619" s="8">
        <v>9922.7076410000009</v>
      </c>
      <c r="H4619" s="8">
        <v>10038.246999999999</v>
      </c>
      <c r="I4619" s="8">
        <v>115.5393586</v>
      </c>
      <c r="J4619" s="8">
        <v>1849.1652260000001</v>
      </c>
      <c r="K4619" s="8">
        <v>-6943.0823300000002</v>
      </c>
      <c r="L4619" s="8">
        <v>10764.88487</v>
      </c>
      <c r="M4619" s="9" t="str">
        <f>IF(A4619="",M4620,A4619)</f>
        <v>Zambia</v>
      </c>
      <c r="N4619" s="3" t="str">
        <f t="shared" si="145"/>
        <v>Oct-2020</v>
      </c>
    </row>
    <row r="4620" spans="1:14" x14ac:dyDescent="0.3">
      <c r="A4620" s="3" t="s">
        <v>392</v>
      </c>
      <c r="B4620" s="3" t="s">
        <v>393</v>
      </c>
      <c r="C4620" s="8">
        <v>2020</v>
      </c>
      <c r="D4620" s="8">
        <v>11</v>
      </c>
      <c r="E4620" s="3" t="str">
        <f t="shared" si="144"/>
        <v>November</v>
      </c>
      <c r="F4620" s="3" t="s">
        <v>8</v>
      </c>
      <c r="G4620" s="8">
        <v>9915.3770399999994</v>
      </c>
      <c r="H4620" s="8">
        <v>9912.4779999999992</v>
      </c>
      <c r="I4620" s="8">
        <v>-2.8990402620000002</v>
      </c>
      <c r="J4620" s="8">
        <v>1846.2661860000001</v>
      </c>
      <c r="K4620" s="8">
        <v>-7361.3185000000003</v>
      </c>
      <c r="L4620" s="8">
        <v>11437.26669</v>
      </c>
      <c r="M4620" s="9" t="str">
        <f>IF(A4620="",M4621,A4620)</f>
        <v>Zambia</v>
      </c>
      <c r="N4620" s="3" t="str">
        <f t="shared" si="145"/>
        <v>Nov-2020</v>
      </c>
    </row>
    <row r="4621" spans="1:14" x14ac:dyDescent="0.3">
      <c r="A4621" s="3" t="s">
        <v>392</v>
      </c>
      <c r="B4621" s="3" t="s">
        <v>393</v>
      </c>
      <c r="C4621" s="8">
        <v>2020</v>
      </c>
      <c r="D4621" s="8">
        <v>12</v>
      </c>
      <c r="E4621" s="3" t="str">
        <f t="shared" si="144"/>
        <v>December</v>
      </c>
      <c r="F4621" s="3" t="s">
        <v>8</v>
      </c>
      <c r="G4621" s="8">
        <v>10039.138080000001</v>
      </c>
      <c r="H4621" s="8">
        <v>10210.464</v>
      </c>
      <c r="I4621" s="8">
        <v>171.32592059999999</v>
      </c>
      <c r="J4621" s="8">
        <v>2017.5921060000001</v>
      </c>
      <c r="K4621" s="8">
        <v>-7641.0560409999998</v>
      </c>
      <c r="L4621" s="8">
        <v>11969.33174</v>
      </c>
      <c r="M4621" s="9" t="str">
        <f>IF(A4621="",M4622,A4621)</f>
        <v>Zambia</v>
      </c>
      <c r="N4621" s="3" t="str">
        <f t="shared" si="145"/>
        <v>Dec-2020</v>
      </c>
    </row>
    <row r="4622" spans="1:14" x14ac:dyDescent="0.3">
      <c r="A4622" s="3" t="s">
        <v>392</v>
      </c>
      <c r="B4622" s="3" t="s">
        <v>393</v>
      </c>
      <c r="C4622" s="8">
        <v>2021</v>
      </c>
      <c r="D4622" s="8">
        <v>1</v>
      </c>
      <c r="E4622" s="3" t="str">
        <f t="shared" si="144"/>
        <v>January</v>
      </c>
      <c r="F4622" s="3" t="s">
        <v>8</v>
      </c>
      <c r="G4622" s="8">
        <v>10061.79391</v>
      </c>
      <c r="H4622" s="8">
        <v>11556.564</v>
      </c>
      <c r="I4622" s="8">
        <v>1494.770086</v>
      </c>
      <c r="J4622" s="8">
        <v>3512.3621929999999</v>
      </c>
      <c r="K4622" s="8">
        <v>-6435.214567</v>
      </c>
      <c r="L4622" s="8">
        <v>14175.644340000001</v>
      </c>
      <c r="M4622" s="9" t="str">
        <f>IF(A4622="",M4623,A4622)</f>
        <v>Zambia</v>
      </c>
      <c r="N4622" s="3" t="str">
        <f t="shared" si="145"/>
        <v>Jan-2021</v>
      </c>
    </row>
    <row r="4623" spans="1:14" x14ac:dyDescent="0.3">
      <c r="A4623" s="3" t="s">
        <v>392</v>
      </c>
      <c r="B4623" s="3" t="s">
        <v>393</v>
      </c>
      <c r="C4623" s="8">
        <v>2021</v>
      </c>
      <c r="D4623" s="8">
        <v>2</v>
      </c>
      <c r="E4623" s="3" t="str">
        <f t="shared" si="144"/>
        <v>February</v>
      </c>
      <c r="F4623" s="3" t="s">
        <v>8</v>
      </c>
      <c r="G4623" s="8">
        <v>10021.22983</v>
      </c>
      <c r="H4623" s="8">
        <v>11943.239</v>
      </c>
      <c r="I4623" s="8">
        <v>1922.0091729999999</v>
      </c>
      <c r="J4623" s="8">
        <v>5434.3713660000003</v>
      </c>
      <c r="K4623" s="8">
        <v>-4632.1319540000004</v>
      </c>
      <c r="L4623" s="8">
        <v>16468.175579999999</v>
      </c>
      <c r="M4623" s="9" t="str">
        <f>IF(A4623="",M4624,A4623)</f>
        <v>Zambia</v>
      </c>
      <c r="N4623" s="3" t="str">
        <f t="shared" si="145"/>
        <v>Feb-2021</v>
      </c>
    </row>
    <row r="4624" spans="1:14" x14ac:dyDescent="0.3">
      <c r="A4624" s="3" t="s">
        <v>392</v>
      </c>
      <c r="B4624" s="3" t="s">
        <v>393</v>
      </c>
      <c r="C4624" s="8">
        <v>2021</v>
      </c>
      <c r="D4624" s="8">
        <v>3</v>
      </c>
      <c r="E4624" s="3" t="str">
        <f t="shared" si="144"/>
        <v>March</v>
      </c>
      <c r="F4624" s="3" t="s">
        <v>8</v>
      </c>
      <c r="G4624" s="8">
        <v>10052.68837</v>
      </c>
      <c r="H4624" s="8">
        <v>11149.385</v>
      </c>
      <c r="I4624" s="8">
        <v>1096.696635</v>
      </c>
      <c r="J4624" s="8">
        <v>6531.0680009999996</v>
      </c>
      <c r="K4624" s="8">
        <v>-4095.4765980000002</v>
      </c>
      <c r="L4624" s="8">
        <v>18059.996630000001</v>
      </c>
      <c r="M4624" s="9" t="str">
        <f>IF(A4624="",M4625,A4624)</f>
        <v>Zambia</v>
      </c>
      <c r="N4624" s="3" t="str">
        <f t="shared" si="145"/>
        <v>Mar-2021</v>
      </c>
    </row>
    <row r="4625" spans="1:14" x14ac:dyDescent="0.3">
      <c r="A4625" s="3" t="s">
        <v>392</v>
      </c>
      <c r="B4625" s="3" t="s">
        <v>393</v>
      </c>
      <c r="C4625" s="8">
        <v>2021</v>
      </c>
      <c r="D4625" s="8">
        <v>4</v>
      </c>
      <c r="E4625" s="3" t="str">
        <f t="shared" si="144"/>
        <v>April</v>
      </c>
      <c r="F4625" s="3" t="s">
        <v>8</v>
      </c>
      <c r="G4625" s="8">
        <v>10091.955190000001</v>
      </c>
      <c r="H4625" s="8">
        <v>10427.946</v>
      </c>
      <c r="I4625" s="8">
        <v>335.990814</v>
      </c>
      <c r="J4625" s="8">
        <v>6867.0588150000003</v>
      </c>
      <c r="K4625" s="8">
        <v>-4198.3515150000003</v>
      </c>
      <c r="L4625" s="8">
        <v>18741.353630000001</v>
      </c>
      <c r="M4625" s="9" t="str">
        <f>IF(A4625="",M4626,A4625)</f>
        <v>Zambia</v>
      </c>
      <c r="N4625" s="3" t="str">
        <f t="shared" si="145"/>
        <v>Apr-2021</v>
      </c>
    </row>
    <row r="4626" spans="1:14" x14ac:dyDescent="0.3">
      <c r="A4626" s="3" t="s">
        <v>392</v>
      </c>
      <c r="B4626" s="3" t="s">
        <v>393</v>
      </c>
      <c r="C4626" s="8">
        <v>2021</v>
      </c>
      <c r="D4626" s="8">
        <v>5</v>
      </c>
      <c r="E4626" s="3" t="str">
        <f t="shared" si="144"/>
        <v>May</v>
      </c>
      <c r="F4626" s="3" t="s">
        <v>8</v>
      </c>
      <c r="G4626" s="8">
        <v>10242.76319</v>
      </c>
      <c r="H4626" s="8">
        <v>10353.406999999999</v>
      </c>
      <c r="I4626" s="8">
        <v>110.64380509999999</v>
      </c>
      <c r="J4626" s="8">
        <v>6977.70262</v>
      </c>
      <c r="K4626" s="8">
        <v>-4329.5543399999997</v>
      </c>
      <c r="L4626" s="8">
        <v>18797.99379</v>
      </c>
      <c r="M4626" s="9" t="str">
        <f>IF(A4626="",M4627,A4626)</f>
        <v>Zambia</v>
      </c>
      <c r="N4626" s="3" t="str">
        <f t="shared" si="145"/>
        <v>May-2021</v>
      </c>
    </row>
    <row r="4627" spans="1:14" x14ac:dyDescent="0.3">
      <c r="A4627" s="3" t="s">
        <v>392</v>
      </c>
      <c r="B4627" s="3" t="s">
        <v>393</v>
      </c>
      <c r="C4627" s="8">
        <v>2021</v>
      </c>
      <c r="D4627" s="8">
        <v>6</v>
      </c>
      <c r="E4627" s="3" t="str">
        <f t="shared" si="144"/>
        <v>June</v>
      </c>
      <c r="F4627" s="3" t="s">
        <v>8</v>
      </c>
      <c r="G4627" s="8">
        <v>10379.41504</v>
      </c>
      <c r="H4627" s="8">
        <v>13310.692999999999</v>
      </c>
      <c r="I4627" s="8">
        <v>2931.2779569999998</v>
      </c>
      <c r="J4627" s="8">
        <v>9908.9805770000003</v>
      </c>
      <c r="K4627" s="8">
        <v>-1978.131439</v>
      </c>
      <c r="L4627" s="8">
        <v>22653.388999999999</v>
      </c>
      <c r="M4627" s="9" t="str">
        <f>IF(A4627="",M4628,A4627)</f>
        <v>Zambia</v>
      </c>
      <c r="N4627" s="3" t="str">
        <f t="shared" si="145"/>
        <v>Jun-2021</v>
      </c>
    </row>
    <row r="4628" spans="1:14" x14ac:dyDescent="0.3">
      <c r="A4628" s="3" t="s">
        <v>392</v>
      </c>
      <c r="B4628" s="3" t="s">
        <v>393</v>
      </c>
      <c r="C4628" s="8">
        <v>2021</v>
      </c>
      <c r="D4628" s="8">
        <v>7</v>
      </c>
      <c r="E4628" s="3" t="str">
        <f t="shared" si="144"/>
        <v>July</v>
      </c>
      <c r="F4628" s="3" t="s">
        <v>8</v>
      </c>
      <c r="G4628" s="8">
        <v>10419.395699999999</v>
      </c>
      <c r="H4628" s="8">
        <v>13516.300999999999</v>
      </c>
      <c r="I4628" s="8">
        <v>3096.9052969999998</v>
      </c>
      <c r="J4628" s="8">
        <v>13005.88587</v>
      </c>
      <c r="K4628" s="8">
        <v>29.51917461</v>
      </c>
      <c r="L4628" s="8">
        <v>25830.769759999999</v>
      </c>
      <c r="M4628" s="9" t="str">
        <f>IF(A4628="",M4629,A4628)</f>
        <v>Zambia</v>
      </c>
      <c r="N4628" s="3" t="str">
        <f t="shared" si="145"/>
        <v>Jul-2021</v>
      </c>
    </row>
    <row r="4629" spans="1:14" x14ac:dyDescent="0.3">
      <c r="A4629" s="3" t="s">
        <v>392</v>
      </c>
      <c r="B4629" s="3" t="s">
        <v>393</v>
      </c>
      <c r="C4629" s="8">
        <v>2021</v>
      </c>
      <c r="D4629" s="8">
        <v>8</v>
      </c>
      <c r="E4629" s="3" t="str">
        <f t="shared" si="144"/>
        <v>August</v>
      </c>
      <c r="F4629" s="3" t="s">
        <v>8</v>
      </c>
      <c r="G4629" s="8">
        <v>10243.18427</v>
      </c>
      <c r="H4629" s="8">
        <v>10970.669</v>
      </c>
      <c r="I4629" s="8">
        <v>727.48472630000003</v>
      </c>
      <c r="J4629" s="8">
        <v>13733.3706</v>
      </c>
      <c r="K4629" s="8">
        <v>246.80993649999999</v>
      </c>
      <c r="L4629" s="8">
        <v>26511.389169999999</v>
      </c>
      <c r="M4629" s="9" t="str">
        <f>IF(A4629="",M4630,A4629)</f>
        <v>Zambia</v>
      </c>
      <c r="N4629" s="3" t="str">
        <f t="shared" si="145"/>
        <v>Aug-2021</v>
      </c>
    </row>
    <row r="4630" spans="1:14" x14ac:dyDescent="0.3">
      <c r="A4630" s="3" t="s">
        <v>392</v>
      </c>
      <c r="B4630" s="3" t="s">
        <v>393</v>
      </c>
      <c r="C4630" s="8">
        <v>2021</v>
      </c>
      <c r="D4630" s="8">
        <v>9</v>
      </c>
      <c r="E4630" s="3" t="str">
        <f t="shared" si="144"/>
        <v>September</v>
      </c>
      <c r="F4630" s="3" t="s">
        <v>8</v>
      </c>
      <c r="G4630" s="8">
        <v>10049.086939999999</v>
      </c>
      <c r="H4630" s="8">
        <v>10144.861999999999</v>
      </c>
      <c r="I4630" s="8">
        <v>95.775057129999993</v>
      </c>
      <c r="J4630" s="8">
        <v>13829.14566</v>
      </c>
      <c r="K4630" s="8">
        <v>554.27580379999995</v>
      </c>
      <c r="L4630" s="8">
        <v>27435.99209</v>
      </c>
      <c r="M4630" s="9" t="str">
        <f>IF(A4630="",M4631,A4630)</f>
        <v>Zambia</v>
      </c>
      <c r="N4630" s="3" t="str">
        <f t="shared" si="145"/>
        <v>Sep-2021</v>
      </c>
    </row>
    <row r="4631" spans="1:14" x14ac:dyDescent="0.3">
      <c r="A4631" s="3" t="s">
        <v>392</v>
      </c>
      <c r="B4631" s="3" t="s">
        <v>393</v>
      </c>
      <c r="C4631" s="8">
        <v>2021</v>
      </c>
      <c r="D4631" s="8">
        <v>10</v>
      </c>
      <c r="E4631" s="3" t="str">
        <f t="shared" si="144"/>
        <v>October</v>
      </c>
      <c r="F4631" s="3" t="s">
        <v>8</v>
      </c>
      <c r="G4631" s="8">
        <v>9934.4631449999997</v>
      </c>
      <c r="H4631" s="8">
        <v>9809.2330000000002</v>
      </c>
      <c r="I4631" s="8">
        <v>-125.23014499999999</v>
      </c>
      <c r="J4631" s="8">
        <v>13703.915510000001</v>
      </c>
      <c r="K4631" s="8">
        <v>-19.501968040000001</v>
      </c>
      <c r="L4631" s="8">
        <v>27771.568889999999</v>
      </c>
      <c r="M4631" s="9" t="str">
        <f>IF(A4631="",M4632,A4631)</f>
        <v>Zambia</v>
      </c>
      <c r="N4631" s="3" t="str">
        <f t="shared" si="145"/>
        <v>Oct-2021</v>
      </c>
    </row>
    <row r="4632" spans="1:14" x14ac:dyDescent="0.3">
      <c r="A4632" s="3" t="s">
        <v>392</v>
      </c>
      <c r="B4632" s="3" t="s">
        <v>393</v>
      </c>
      <c r="C4632" s="8">
        <v>2021</v>
      </c>
      <c r="D4632" s="8">
        <v>11</v>
      </c>
      <c r="E4632" s="3" t="str">
        <f t="shared" si="144"/>
        <v>November</v>
      </c>
      <c r="F4632" s="3" t="s">
        <v>8</v>
      </c>
      <c r="G4632" s="8">
        <v>9931.0923029999994</v>
      </c>
      <c r="H4632" s="8">
        <v>9904.4539999999997</v>
      </c>
      <c r="I4632" s="8">
        <v>-26.63830312</v>
      </c>
      <c r="J4632" s="8">
        <v>13677.27721</v>
      </c>
      <c r="K4632" s="8">
        <v>-170.99457509999999</v>
      </c>
      <c r="L4632" s="8">
        <v>27287.145850000001</v>
      </c>
      <c r="M4632" s="9" t="str">
        <f>IF(A4632="",M4633,A4632)</f>
        <v>Zambia</v>
      </c>
      <c r="N4632" s="3" t="str">
        <f t="shared" si="145"/>
        <v>Nov-2021</v>
      </c>
    </row>
    <row r="4633" spans="1:14" x14ac:dyDescent="0.3">
      <c r="A4633" s="3" t="s">
        <v>392</v>
      </c>
      <c r="B4633" s="3" t="s">
        <v>393</v>
      </c>
      <c r="C4633" s="8">
        <v>2021</v>
      </c>
      <c r="D4633" s="8">
        <v>12</v>
      </c>
      <c r="E4633" s="3" t="str">
        <f t="shared" si="144"/>
        <v>December</v>
      </c>
      <c r="F4633" s="3" t="s">
        <v>8</v>
      </c>
      <c r="G4633" s="8">
        <v>10051.12862</v>
      </c>
      <c r="H4633" s="8">
        <v>10655.583000000001</v>
      </c>
      <c r="I4633" s="8">
        <v>604.45438439999998</v>
      </c>
      <c r="J4633" s="8">
        <v>14281.731589999999</v>
      </c>
      <c r="K4633" s="8">
        <v>471.33419090000001</v>
      </c>
      <c r="L4633" s="8">
        <v>28334.874769999999</v>
      </c>
      <c r="M4633" s="9" t="str">
        <f>IF(A4633="",M4634,A4633)</f>
        <v>Zambia</v>
      </c>
      <c r="N4633" s="3" t="str">
        <f t="shared" si="145"/>
        <v>Dec-2021</v>
      </c>
    </row>
    <row r="4634" spans="1:14" x14ac:dyDescent="0.3">
      <c r="A4634" s="3" t="s">
        <v>394</v>
      </c>
      <c r="B4634" s="3" t="s">
        <v>395</v>
      </c>
      <c r="C4634" s="8">
        <v>2020</v>
      </c>
      <c r="D4634" s="8">
        <v>1</v>
      </c>
      <c r="E4634" s="3" t="str">
        <f t="shared" si="144"/>
        <v>January</v>
      </c>
      <c r="F4634" s="3" t="s">
        <v>8</v>
      </c>
      <c r="G4634" s="8">
        <v>9497.6872500000009</v>
      </c>
      <c r="H4634" s="8">
        <v>9738.7350000000006</v>
      </c>
      <c r="I4634" s="8">
        <v>241.0477497</v>
      </c>
      <c r="J4634" s="8">
        <v>241.0477497</v>
      </c>
      <c r="K4634" s="8">
        <v>-2107.871999</v>
      </c>
      <c r="L4634" s="8">
        <v>3031.9625769999998</v>
      </c>
      <c r="M4634" s="9" t="str">
        <f>IF(A4634="",M4635,A4634)</f>
        <v>Zimbabwe</v>
      </c>
      <c r="N4634" s="3" t="str">
        <f t="shared" si="145"/>
        <v>Jan-2020</v>
      </c>
    </row>
    <row r="4635" spans="1:14" x14ac:dyDescent="0.3">
      <c r="A4635" s="3" t="s">
        <v>394</v>
      </c>
      <c r="B4635" s="3" t="s">
        <v>395</v>
      </c>
      <c r="C4635" s="8">
        <v>2020</v>
      </c>
      <c r="D4635" s="8">
        <v>2</v>
      </c>
      <c r="E4635" s="3" t="str">
        <f t="shared" si="144"/>
        <v>February</v>
      </c>
      <c r="F4635" s="3" t="s">
        <v>8</v>
      </c>
      <c r="G4635" s="8">
        <v>9499.6807939999999</v>
      </c>
      <c r="H4635" s="8">
        <v>9483.8019999999997</v>
      </c>
      <c r="I4635" s="8">
        <v>-15.878794170000001</v>
      </c>
      <c r="J4635" s="8">
        <v>225.16895550000001</v>
      </c>
      <c r="K4635" s="8">
        <v>-3236.890073</v>
      </c>
      <c r="L4635" s="8">
        <v>4232.8323730000002</v>
      </c>
      <c r="M4635" s="9" t="str">
        <f>IF(A4635="",M4636,A4635)</f>
        <v>Zimbabwe</v>
      </c>
      <c r="N4635" s="3" t="str">
        <f t="shared" si="145"/>
        <v>Feb-2020</v>
      </c>
    </row>
    <row r="4636" spans="1:14" x14ac:dyDescent="0.3">
      <c r="A4636" s="3" t="s">
        <v>394</v>
      </c>
      <c r="B4636" s="3" t="s">
        <v>395</v>
      </c>
      <c r="C4636" s="8">
        <v>2020</v>
      </c>
      <c r="D4636" s="8">
        <v>3</v>
      </c>
      <c r="E4636" s="3" t="str">
        <f t="shared" si="144"/>
        <v>March</v>
      </c>
      <c r="F4636" s="3" t="s">
        <v>8</v>
      </c>
      <c r="G4636" s="8">
        <v>9559.4235009999993</v>
      </c>
      <c r="H4636" s="8">
        <v>9948.7909999999993</v>
      </c>
      <c r="I4636" s="8">
        <v>389.3674987</v>
      </c>
      <c r="J4636" s="8">
        <v>614.53645429999995</v>
      </c>
      <c r="K4636" s="8">
        <v>-3640.8581490000001</v>
      </c>
      <c r="L4636" s="8">
        <v>5262.4311459999999</v>
      </c>
      <c r="M4636" s="9" t="str">
        <f>IF(A4636="",M4637,A4636)</f>
        <v>Zimbabwe</v>
      </c>
      <c r="N4636" s="3" t="str">
        <f t="shared" si="145"/>
        <v>Mar-2020</v>
      </c>
    </row>
    <row r="4637" spans="1:14" x14ac:dyDescent="0.3">
      <c r="A4637" s="3" t="s">
        <v>394</v>
      </c>
      <c r="B4637" s="3" t="s">
        <v>395</v>
      </c>
      <c r="C4637" s="8">
        <v>2020</v>
      </c>
      <c r="D4637" s="8">
        <v>4</v>
      </c>
      <c r="E4637" s="3" t="str">
        <f t="shared" si="144"/>
        <v>April</v>
      </c>
      <c r="F4637" s="3" t="s">
        <v>8</v>
      </c>
      <c r="G4637" s="8">
        <v>9637.2347040000004</v>
      </c>
      <c r="H4637" s="8">
        <v>8727.3719999999994</v>
      </c>
      <c r="I4637" s="8">
        <v>-909.86270439999998</v>
      </c>
      <c r="J4637" s="8">
        <v>-295.32625009999998</v>
      </c>
      <c r="K4637" s="8">
        <v>-5131.7192359999999</v>
      </c>
      <c r="L4637" s="8">
        <v>5023.0077890000002</v>
      </c>
      <c r="M4637" s="9" t="str">
        <f>IF(A4637="",M4638,A4637)</f>
        <v>Zimbabwe</v>
      </c>
      <c r="N4637" s="3" t="str">
        <f t="shared" si="145"/>
        <v>Apr-2020</v>
      </c>
    </row>
    <row r="4638" spans="1:14" x14ac:dyDescent="0.3">
      <c r="A4638" s="3" t="s">
        <v>394</v>
      </c>
      <c r="B4638" s="3" t="s">
        <v>395</v>
      </c>
      <c r="C4638" s="8">
        <v>2020</v>
      </c>
      <c r="D4638" s="8">
        <v>5</v>
      </c>
      <c r="E4638" s="3" t="str">
        <f t="shared" si="144"/>
        <v>May</v>
      </c>
      <c r="F4638" s="3" t="s">
        <v>8</v>
      </c>
      <c r="G4638" s="8">
        <v>9820.4074199999995</v>
      </c>
      <c r="H4638" s="8">
        <v>8902.4120000000003</v>
      </c>
      <c r="I4638" s="8">
        <v>-917.99542010000005</v>
      </c>
      <c r="J4638" s="8">
        <v>-1213.32167</v>
      </c>
      <c r="K4638" s="8">
        <v>-6390.2261330000001</v>
      </c>
      <c r="L4638" s="8">
        <v>4520.9411870000004</v>
      </c>
      <c r="M4638" s="9" t="str">
        <f>IF(A4638="",M4639,A4638)</f>
        <v>Zimbabwe</v>
      </c>
      <c r="N4638" s="3" t="str">
        <f t="shared" si="145"/>
        <v>May-2020</v>
      </c>
    </row>
    <row r="4639" spans="1:14" x14ac:dyDescent="0.3">
      <c r="A4639" s="3" t="s">
        <v>394</v>
      </c>
      <c r="B4639" s="3" t="s">
        <v>395</v>
      </c>
      <c r="C4639" s="8">
        <v>2020</v>
      </c>
      <c r="D4639" s="8">
        <v>6</v>
      </c>
      <c r="E4639" s="3" t="str">
        <f t="shared" si="144"/>
        <v>June</v>
      </c>
      <c r="F4639" s="3" t="s">
        <v>8</v>
      </c>
      <c r="G4639" s="8">
        <v>9970.4327310000008</v>
      </c>
      <c r="H4639" s="8">
        <v>9573.0949999999993</v>
      </c>
      <c r="I4639" s="8">
        <v>-397.3377309</v>
      </c>
      <c r="J4639" s="8">
        <v>-1610.6594009999999</v>
      </c>
      <c r="K4639" s="8">
        <v>-7487.8355760000004</v>
      </c>
      <c r="L4639" s="8">
        <v>5123.8446979999999</v>
      </c>
      <c r="M4639" s="9" t="str">
        <f>IF(A4639="",M4640,A4639)</f>
        <v>Zimbabwe</v>
      </c>
      <c r="N4639" s="3" t="str">
        <f t="shared" si="145"/>
        <v>Jun-2020</v>
      </c>
    </row>
    <row r="4640" spans="1:14" x14ac:dyDescent="0.3">
      <c r="A4640" s="3" t="s">
        <v>394</v>
      </c>
      <c r="B4640" s="3" t="s">
        <v>395</v>
      </c>
      <c r="C4640" s="8">
        <v>2020</v>
      </c>
      <c r="D4640" s="8">
        <v>7</v>
      </c>
      <c r="E4640" s="3" t="str">
        <f t="shared" si="144"/>
        <v>July</v>
      </c>
      <c r="F4640" s="3" t="s">
        <v>8</v>
      </c>
      <c r="G4640" s="8">
        <v>10018.95471</v>
      </c>
      <c r="H4640" s="8">
        <v>10428.583000000001</v>
      </c>
      <c r="I4640" s="8">
        <v>409.62828940000003</v>
      </c>
      <c r="J4640" s="8">
        <v>-1201.0311119999999</v>
      </c>
      <c r="K4640" s="8">
        <v>-7653.0297330000003</v>
      </c>
      <c r="L4640" s="8">
        <v>5723.6131329999998</v>
      </c>
      <c r="M4640" s="9" t="str">
        <f>IF(A4640="",M4641,A4640)</f>
        <v>Zimbabwe</v>
      </c>
      <c r="N4640" s="3" t="str">
        <f t="shared" si="145"/>
        <v>Jul-2020</v>
      </c>
    </row>
    <row r="4641" spans="1:14" x14ac:dyDescent="0.3">
      <c r="A4641" s="3" t="s">
        <v>394</v>
      </c>
      <c r="B4641" s="3" t="s">
        <v>395</v>
      </c>
      <c r="C4641" s="8">
        <v>2020</v>
      </c>
      <c r="D4641" s="8">
        <v>8</v>
      </c>
      <c r="E4641" s="3" t="str">
        <f t="shared" si="144"/>
        <v>August</v>
      </c>
      <c r="F4641" s="3" t="s">
        <v>8</v>
      </c>
      <c r="G4641" s="8">
        <v>9846.59771</v>
      </c>
      <c r="H4641" s="8">
        <v>11045.819</v>
      </c>
      <c r="I4641" s="8">
        <v>1199.22129</v>
      </c>
      <c r="J4641" s="8">
        <v>-1.8098222500000001</v>
      </c>
      <c r="K4641" s="8">
        <v>-7280.3711990000002</v>
      </c>
      <c r="L4641" s="8">
        <v>7701.901554</v>
      </c>
      <c r="M4641" s="9" t="str">
        <f>IF(A4641="",M4642,A4641)</f>
        <v>Zimbabwe</v>
      </c>
      <c r="N4641" s="3" t="str">
        <f t="shared" si="145"/>
        <v>Aug-2020</v>
      </c>
    </row>
    <row r="4642" spans="1:14" x14ac:dyDescent="0.3">
      <c r="A4642" s="3" t="s">
        <v>394</v>
      </c>
      <c r="B4642" s="3" t="s">
        <v>395</v>
      </c>
      <c r="C4642" s="8">
        <v>2020</v>
      </c>
      <c r="D4642" s="8">
        <v>9</v>
      </c>
      <c r="E4642" s="3" t="str">
        <f t="shared" si="144"/>
        <v>September</v>
      </c>
      <c r="F4642" s="3" t="s">
        <v>8</v>
      </c>
      <c r="G4642" s="8">
        <v>9648.1542430000009</v>
      </c>
      <c r="H4642" s="8">
        <v>10346.786</v>
      </c>
      <c r="I4642" s="8">
        <v>698.63175690000003</v>
      </c>
      <c r="J4642" s="8">
        <v>696.82193470000004</v>
      </c>
      <c r="K4642" s="8">
        <v>-6686.9664240000002</v>
      </c>
      <c r="L4642" s="8">
        <v>8917.9463410000008</v>
      </c>
      <c r="M4642" s="9" t="str">
        <f>IF(A4642="",M4643,A4642)</f>
        <v>Zimbabwe</v>
      </c>
      <c r="N4642" s="3" t="str">
        <f t="shared" si="145"/>
        <v>Sep-2020</v>
      </c>
    </row>
    <row r="4643" spans="1:14" x14ac:dyDescent="0.3">
      <c r="A4643" s="3" t="s">
        <v>394</v>
      </c>
      <c r="B4643" s="3" t="s">
        <v>395</v>
      </c>
      <c r="C4643" s="8">
        <v>2020</v>
      </c>
      <c r="D4643" s="8">
        <v>10</v>
      </c>
      <c r="E4643" s="3" t="str">
        <f t="shared" si="144"/>
        <v>October</v>
      </c>
      <c r="F4643" s="3" t="s">
        <v>8</v>
      </c>
      <c r="G4643" s="8">
        <v>9512.5236590000004</v>
      </c>
      <c r="H4643" s="8">
        <v>9798.2039999999997</v>
      </c>
      <c r="I4643" s="8">
        <v>285.680341</v>
      </c>
      <c r="J4643" s="8">
        <v>982.50227570000004</v>
      </c>
      <c r="K4643" s="8">
        <v>-7048.1333830000003</v>
      </c>
      <c r="L4643" s="8">
        <v>9346.3215789999995</v>
      </c>
      <c r="M4643" s="9" t="str">
        <f>IF(A4643="",M4644,A4643)</f>
        <v>Zimbabwe</v>
      </c>
      <c r="N4643" s="3" t="str">
        <f t="shared" si="145"/>
        <v>Oct-2020</v>
      </c>
    </row>
    <row r="4644" spans="1:14" x14ac:dyDescent="0.3">
      <c r="A4644" s="3" t="s">
        <v>394</v>
      </c>
      <c r="B4644" s="3" t="s">
        <v>395</v>
      </c>
      <c r="C4644" s="8">
        <v>2020</v>
      </c>
      <c r="D4644" s="8">
        <v>11</v>
      </c>
      <c r="E4644" s="3" t="str">
        <f t="shared" si="144"/>
        <v>November</v>
      </c>
      <c r="F4644" s="3" t="s">
        <v>8</v>
      </c>
      <c r="G4644" s="8">
        <v>9404.9881989999994</v>
      </c>
      <c r="H4644" s="8">
        <v>9830.9840000000004</v>
      </c>
      <c r="I4644" s="8">
        <v>425.9958014</v>
      </c>
      <c r="J4644" s="8">
        <v>1408.498077</v>
      </c>
      <c r="K4644" s="8">
        <v>-7263.0950220000004</v>
      </c>
      <c r="L4644" s="8">
        <v>10162.12326</v>
      </c>
      <c r="M4644" s="9" t="str">
        <f>IF(A4644="",M4645,A4644)</f>
        <v>Zimbabwe</v>
      </c>
      <c r="N4644" s="3" t="str">
        <f t="shared" si="145"/>
        <v>Nov-2020</v>
      </c>
    </row>
    <row r="4645" spans="1:14" x14ac:dyDescent="0.3">
      <c r="A4645" s="3" t="s">
        <v>394</v>
      </c>
      <c r="B4645" s="3" t="s">
        <v>395</v>
      </c>
      <c r="C4645" s="8">
        <v>2020</v>
      </c>
      <c r="D4645" s="8">
        <v>12</v>
      </c>
      <c r="E4645" s="3" t="str">
        <f t="shared" si="144"/>
        <v>December</v>
      </c>
      <c r="F4645" s="3" t="s">
        <v>8</v>
      </c>
      <c r="G4645" s="8">
        <v>9494.8399310000004</v>
      </c>
      <c r="H4645" s="8">
        <v>10246.895</v>
      </c>
      <c r="I4645" s="8">
        <v>752.05506879999996</v>
      </c>
      <c r="J4645" s="8">
        <v>2160.5531460000002</v>
      </c>
      <c r="K4645" s="8">
        <v>-7037.822287</v>
      </c>
      <c r="L4645" s="8">
        <v>11488.244919999999</v>
      </c>
      <c r="M4645" s="9" t="str">
        <f>IF(A4645="",M4646,A4645)</f>
        <v>Zimbabwe</v>
      </c>
      <c r="N4645" s="3" t="str">
        <f t="shared" si="145"/>
        <v>Dec-2020</v>
      </c>
    </row>
    <row r="4646" spans="1:14" x14ac:dyDescent="0.3">
      <c r="A4646" s="3" t="s">
        <v>394</v>
      </c>
      <c r="B4646" s="3" t="s">
        <v>395</v>
      </c>
      <c r="C4646" s="8">
        <v>2021</v>
      </c>
      <c r="D4646" s="8">
        <v>1</v>
      </c>
      <c r="E4646" s="3" t="str">
        <f t="shared" si="144"/>
        <v>January</v>
      </c>
      <c r="F4646" s="3" t="s">
        <v>8</v>
      </c>
      <c r="G4646" s="8">
        <v>9367.3005219999995</v>
      </c>
      <c r="H4646" s="8">
        <v>12007.066000000001</v>
      </c>
      <c r="I4646" s="8">
        <v>2639.7654779999998</v>
      </c>
      <c r="J4646" s="8">
        <v>4800.3186240000005</v>
      </c>
      <c r="K4646" s="8">
        <v>-4875.4089999999997</v>
      </c>
      <c r="L4646" s="8">
        <v>15122.574500000001</v>
      </c>
      <c r="M4646" s="9" t="str">
        <f>IF(A4646="",M4647,A4646)</f>
        <v>Zimbabwe</v>
      </c>
      <c r="N4646" s="3" t="str">
        <f t="shared" si="145"/>
        <v>Jan-2021</v>
      </c>
    </row>
    <row r="4647" spans="1:14" x14ac:dyDescent="0.3">
      <c r="A4647" s="3" t="s">
        <v>394</v>
      </c>
      <c r="B4647" s="3" t="s">
        <v>395</v>
      </c>
      <c r="C4647" s="8">
        <v>2021</v>
      </c>
      <c r="D4647" s="8">
        <v>2</v>
      </c>
      <c r="E4647" s="3" t="str">
        <f t="shared" si="144"/>
        <v>February</v>
      </c>
      <c r="F4647" s="3" t="s">
        <v>8</v>
      </c>
      <c r="G4647" s="8">
        <v>9379.7021970000005</v>
      </c>
      <c r="H4647" s="8">
        <v>10400.844999999999</v>
      </c>
      <c r="I4647" s="8">
        <v>1021.142803</v>
      </c>
      <c r="J4647" s="8">
        <v>5821.4614259999998</v>
      </c>
      <c r="K4647" s="8">
        <v>-4190.8452360000001</v>
      </c>
      <c r="L4647" s="8">
        <v>16921.361199999999</v>
      </c>
      <c r="M4647" s="9" t="str">
        <f>IF(A4647="",M4648,A4647)</f>
        <v>Zimbabwe</v>
      </c>
      <c r="N4647" s="3" t="str">
        <f t="shared" si="145"/>
        <v>Feb-2021</v>
      </c>
    </row>
    <row r="4648" spans="1:14" x14ac:dyDescent="0.3">
      <c r="A4648" s="3" t="s">
        <v>394</v>
      </c>
      <c r="B4648" s="3" t="s">
        <v>395</v>
      </c>
      <c r="C4648" s="8">
        <v>2021</v>
      </c>
      <c r="D4648" s="8">
        <v>3</v>
      </c>
      <c r="E4648" s="3" t="str">
        <f t="shared" si="144"/>
        <v>March</v>
      </c>
      <c r="F4648" s="3" t="s">
        <v>8</v>
      </c>
      <c r="G4648" s="8">
        <v>9430.3922230000007</v>
      </c>
      <c r="H4648" s="8">
        <v>9775.4179999999997</v>
      </c>
      <c r="I4648" s="8">
        <v>345.02577689999998</v>
      </c>
      <c r="J4648" s="8">
        <v>6166.4872029999997</v>
      </c>
      <c r="K4648" s="8">
        <v>-3695.1609199999998</v>
      </c>
      <c r="L4648" s="8">
        <v>17174.09562</v>
      </c>
      <c r="M4648" s="9" t="str">
        <f>IF(A4648="",M4649,A4648)</f>
        <v>Zimbabwe</v>
      </c>
      <c r="N4648" s="3" t="str">
        <f t="shared" si="145"/>
        <v>Mar-2021</v>
      </c>
    </row>
    <row r="4649" spans="1:14" x14ac:dyDescent="0.3">
      <c r="A4649" s="3" t="s">
        <v>394</v>
      </c>
      <c r="B4649" s="3" t="s">
        <v>395</v>
      </c>
      <c r="C4649" s="8">
        <v>2021</v>
      </c>
      <c r="D4649" s="8">
        <v>4</v>
      </c>
      <c r="E4649" s="3" t="str">
        <f t="shared" si="144"/>
        <v>April</v>
      </c>
      <c r="F4649" s="3" t="s">
        <v>8</v>
      </c>
      <c r="G4649" s="8">
        <v>9510.2305670000005</v>
      </c>
      <c r="H4649" s="8">
        <v>9741.7739999999994</v>
      </c>
      <c r="I4649" s="8">
        <v>231.54343259999999</v>
      </c>
      <c r="J4649" s="8">
        <v>6398.0306360000004</v>
      </c>
      <c r="K4649" s="8">
        <v>-3596.1170189999998</v>
      </c>
      <c r="L4649" s="8">
        <v>17807.509969999999</v>
      </c>
      <c r="M4649" s="9" t="str">
        <f>IF(A4649="",M4650,A4649)</f>
        <v>Zimbabwe</v>
      </c>
      <c r="N4649" s="3" t="str">
        <f t="shared" si="145"/>
        <v>Apr-2021</v>
      </c>
    </row>
    <row r="4650" spans="1:14" x14ac:dyDescent="0.3">
      <c r="A4650" s="3" t="s">
        <v>394</v>
      </c>
      <c r="B4650" s="3" t="s">
        <v>395</v>
      </c>
      <c r="C4650" s="8">
        <v>2021</v>
      </c>
      <c r="D4650" s="8">
        <v>5</v>
      </c>
      <c r="E4650" s="3" t="str">
        <f t="shared" si="144"/>
        <v>May</v>
      </c>
      <c r="F4650" s="3" t="s">
        <v>8</v>
      </c>
      <c r="G4650" s="8">
        <v>9695.7293109999991</v>
      </c>
      <c r="H4650" s="8">
        <v>9640.7009999999991</v>
      </c>
      <c r="I4650" s="8">
        <v>-55.028311219999999</v>
      </c>
      <c r="J4650" s="8">
        <v>6343.0023250000004</v>
      </c>
      <c r="K4650" s="8">
        <v>-4216.8225179999999</v>
      </c>
      <c r="L4650" s="8">
        <v>17758.916239999999</v>
      </c>
      <c r="M4650" s="9" t="str">
        <f>IF(A4650="",M4651,A4650)</f>
        <v>Zimbabwe</v>
      </c>
      <c r="N4650" s="3" t="str">
        <f t="shared" si="145"/>
        <v>May-2021</v>
      </c>
    </row>
    <row r="4651" spans="1:14" x14ac:dyDescent="0.3">
      <c r="A4651" s="3" t="s">
        <v>394</v>
      </c>
      <c r="B4651" s="3" t="s">
        <v>395</v>
      </c>
      <c r="C4651" s="8">
        <v>2021</v>
      </c>
      <c r="D4651" s="8">
        <v>6</v>
      </c>
      <c r="E4651" s="3" t="str">
        <f t="shared" si="144"/>
        <v>June</v>
      </c>
      <c r="F4651" s="3" t="s">
        <v>8</v>
      </c>
      <c r="G4651" s="8">
        <v>9840.9136670000007</v>
      </c>
      <c r="H4651" s="8">
        <v>10476.593999999999</v>
      </c>
      <c r="I4651" s="8">
        <v>635.68033249999996</v>
      </c>
      <c r="J4651" s="8">
        <v>6978.6826570000003</v>
      </c>
      <c r="K4651" s="8">
        <v>-3902.055867</v>
      </c>
      <c r="L4651" s="8">
        <v>18710.770779999999</v>
      </c>
      <c r="M4651" s="9" t="str">
        <f>IF(A4651="",M4652,A4651)</f>
        <v>Zimbabwe</v>
      </c>
      <c r="N4651" s="3" t="str">
        <f t="shared" si="145"/>
        <v>Jun-2021</v>
      </c>
    </row>
    <row r="4652" spans="1:14" x14ac:dyDescent="0.3">
      <c r="A4652" s="3" t="s">
        <v>394</v>
      </c>
      <c r="B4652" s="3" t="s">
        <v>395</v>
      </c>
      <c r="C4652" s="8">
        <v>2021</v>
      </c>
      <c r="D4652" s="8">
        <v>7</v>
      </c>
      <c r="E4652" s="3" t="str">
        <f t="shared" si="144"/>
        <v>July</v>
      </c>
      <c r="F4652" s="3" t="s">
        <v>8</v>
      </c>
      <c r="G4652" s="8">
        <v>9890.2462460000006</v>
      </c>
      <c r="H4652" s="8">
        <v>13777.886</v>
      </c>
      <c r="I4652" s="8">
        <v>3887.6397539999998</v>
      </c>
      <c r="J4652" s="8">
        <v>10866.322410000001</v>
      </c>
      <c r="K4652" s="8">
        <v>-846.38362189999998</v>
      </c>
      <c r="L4652" s="8">
        <v>23612.556240000002</v>
      </c>
      <c r="M4652" s="9" t="str">
        <f>IF(A4652="",M4653,A4652)</f>
        <v>Zimbabwe</v>
      </c>
      <c r="N4652" s="3" t="str">
        <f t="shared" si="145"/>
        <v>Jul-2021</v>
      </c>
    </row>
    <row r="4653" spans="1:14" x14ac:dyDescent="0.3">
      <c r="A4653" s="3" t="s">
        <v>394</v>
      </c>
      <c r="B4653" s="3" t="s">
        <v>395</v>
      </c>
      <c r="C4653" s="8">
        <v>2021</v>
      </c>
      <c r="D4653" s="8">
        <v>8</v>
      </c>
      <c r="E4653" s="3" t="str">
        <f t="shared" si="144"/>
        <v>August</v>
      </c>
      <c r="F4653" s="3" t="s">
        <v>8</v>
      </c>
      <c r="G4653" s="8">
        <v>9716.4083250000003</v>
      </c>
      <c r="H4653" s="8">
        <v>11970.517</v>
      </c>
      <c r="I4653" s="8">
        <v>2254.1086749999999</v>
      </c>
      <c r="J4653" s="8">
        <v>13120.43109</v>
      </c>
      <c r="K4653" s="8">
        <v>709.31521410000005</v>
      </c>
      <c r="L4653" s="8">
        <v>26102.79495</v>
      </c>
      <c r="M4653" s="9" t="str">
        <f>IF(A4653="",M4654,A4653)</f>
        <v>Zimbabwe</v>
      </c>
      <c r="N4653" s="3" t="str">
        <f t="shared" si="145"/>
        <v>Aug-2021</v>
      </c>
    </row>
    <row r="4654" spans="1:14" x14ac:dyDescent="0.3">
      <c r="A4654" s="3" t="s">
        <v>394</v>
      </c>
      <c r="B4654" s="3" t="s">
        <v>395</v>
      </c>
      <c r="C4654" s="8">
        <v>2021</v>
      </c>
      <c r="D4654" s="8">
        <v>9</v>
      </c>
      <c r="E4654" s="3" t="str">
        <f t="shared" si="144"/>
        <v>September</v>
      </c>
      <c r="F4654" s="3" t="s">
        <v>8</v>
      </c>
      <c r="G4654" s="8">
        <v>9517.6476399999992</v>
      </c>
      <c r="H4654" s="8">
        <v>10291.538</v>
      </c>
      <c r="I4654" s="8">
        <v>773.8903603</v>
      </c>
      <c r="J4654" s="8">
        <v>13894.321449999999</v>
      </c>
      <c r="K4654" s="8">
        <v>839.88806150000005</v>
      </c>
      <c r="L4654" s="8">
        <v>27202.009849999999</v>
      </c>
      <c r="M4654" s="9" t="str">
        <f>IF(A4654="",M4655,A4654)</f>
        <v>Zimbabwe</v>
      </c>
      <c r="N4654" s="3" t="str">
        <f t="shared" si="145"/>
        <v>Sep-2021</v>
      </c>
    </row>
    <row r="4655" spans="1:14" x14ac:dyDescent="0.3">
      <c r="A4655" s="3" t="s">
        <v>394</v>
      </c>
      <c r="B4655" s="3" t="s">
        <v>395</v>
      </c>
      <c r="C4655" s="8">
        <v>2021</v>
      </c>
      <c r="D4655" s="8">
        <v>10</v>
      </c>
      <c r="E4655" s="3" t="str">
        <f t="shared" si="144"/>
        <v>October</v>
      </c>
      <c r="F4655" s="3" t="s">
        <v>8</v>
      </c>
      <c r="G4655" s="8">
        <v>9385.1014429999996</v>
      </c>
      <c r="H4655" s="8">
        <v>9678.08</v>
      </c>
      <c r="I4655" s="8">
        <v>292.9785569</v>
      </c>
      <c r="J4655" s="8">
        <v>14187.3</v>
      </c>
      <c r="K4655" s="8">
        <v>165.93061800000001</v>
      </c>
      <c r="L4655" s="8">
        <v>27729.879809999999</v>
      </c>
      <c r="M4655" s="9" t="str">
        <f>IF(A4655="",M4656,A4655)</f>
        <v>Zimbabwe</v>
      </c>
      <c r="N4655" s="3" t="str">
        <f t="shared" si="145"/>
        <v>Oct-2021</v>
      </c>
    </row>
    <row r="4656" spans="1:14" x14ac:dyDescent="0.3">
      <c r="A4656" s="3" t="s">
        <v>394</v>
      </c>
      <c r="B4656" s="3" t="s">
        <v>395</v>
      </c>
      <c r="C4656" s="8">
        <v>2021</v>
      </c>
      <c r="D4656" s="8">
        <v>11</v>
      </c>
      <c r="E4656" s="3" t="str">
        <f t="shared" si="144"/>
        <v>November</v>
      </c>
      <c r="F4656" s="3" t="s">
        <v>8</v>
      </c>
      <c r="G4656" s="8">
        <v>9272.4623539999993</v>
      </c>
      <c r="H4656" s="8">
        <v>9583.7099999999991</v>
      </c>
      <c r="I4656" s="8">
        <v>311.2476456</v>
      </c>
      <c r="J4656" s="8">
        <v>14498.54765</v>
      </c>
      <c r="K4656" s="8">
        <v>651.65318720000005</v>
      </c>
      <c r="L4656" s="8">
        <v>27870.811389999999</v>
      </c>
      <c r="M4656" s="9" t="str">
        <f>IF(A4656="",M4657,A4656)</f>
        <v>Zimbabwe</v>
      </c>
      <c r="N4656" s="3" t="str">
        <f t="shared" si="145"/>
        <v>Nov-2021</v>
      </c>
    </row>
    <row r="4657" spans="1:14" x14ac:dyDescent="0.3">
      <c r="A4657" s="3" t="s">
        <v>394</v>
      </c>
      <c r="B4657" s="3" t="s">
        <v>395</v>
      </c>
      <c r="C4657" s="8">
        <v>2021</v>
      </c>
      <c r="D4657" s="8">
        <v>12</v>
      </c>
      <c r="E4657" s="3" t="str">
        <f t="shared" si="144"/>
        <v>December</v>
      </c>
      <c r="F4657" s="3" t="s">
        <v>8</v>
      </c>
      <c r="G4657" s="8">
        <v>9363.1613280000001</v>
      </c>
      <c r="H4657" s="8">
        <v>11417.541999999999</v>
      </c>
      <c r="I4657" s="8">
        <v>2054.3806719999998</v>
      </c>
      <c r="J4657" s="8">
        <v>16552.928319999999</v>
      </c>
      <c r="K4657" s="8">
        <v>1835.3908469999999</v>
      </c>
      <c r="L4657" s="8">
        <v>30982.195090000001</v>
      </c>
      <c r="M4657" s="9" t="str">
        <f>IF(A4657="",#REF!,A4657)</f>
        <v>Zimbabwe</v>
      </c>
      <c r="N4657" s="3" t="str">
        <f t="shared" si="145"/>
        <v>Dec-2021</v>
      </c>
    </row>
  </sheetData>
  <autoFilter ref="A1:L465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AC2F-9E15-4F91-A9A4-0B1F2880C22F}">
  <dimension ref="A3:B47"/>
  <sheetViews>
    <sheetView topLeftCell="A3" workbookViewId="0">
      <selection activeCell="R33" sqref="R33"/>
    </sheetView>
  </sheetViews>
  <sheetFormatPr defaultRowHeight="14.4" x14ac:dyDescent="0.3"/>
  <cols>
    <col min="1" max="1" width="12.5546875" bestFit="1" customWidth="1"/>
    <col min="2" max="2" width="16.44140625" bestFit="1" customWidth="1"/>
  </cols>
  <sheetData>
    <row r="3" spans="1:2" x14ac:dyDescent="0.3">
      <c r="A3" s="4" t="s">
        <v>403</v>
      </c>
      <c r="B3" t="s">
        <v>405</v>
      </c>
    </row>
    <row r="4" spans="1:2" x14ac:dyDescent="0.3">
      <c r="A4" s="12">
        <v>2020</v>
      </c>
      <c r="B4">
        <v>60153077.57699994</v>
      </c>
    </row>
    <row r="5" spans="1:2" x14ac:dyDescent="0.3">
      <c r="A5" s="12">
        <v>2021</v>
      </c>
      <c r="B5">
        <v>66511492.262099952</v>
      </c>
    </row>
    <row r="6" spans="1:2" x14ac:dyDescent="0.3">
      <c r="A6" s="12" t="s">
        <v>404</v>
      </c>
      <c r="B6">
        <v>126664569.83909988</v>
      </c>
    </row>
    <row r="10" spans="1:2" x14ac:dyDescent="0.3">
      <c r="A10" s="4" t="s">
        <v>403</v>
      </c>
      <c r="B10" t="s">
        <v>405</v>
      </c>
    </row>
    <row r="11" spans="1:2" x14ac:dyDescent="0.3">
      <c r="A11" s="12" t="s">
        <v>406</v>
      </c>
      <c r="B11">
        <v>11120406.010699997</v>
      </c>
    </row>
    <row r="12" spans="1:2" x14ac:dyDescent="0.3">
      <c r="A12" s="12" t="s">
        <v>407</v>
      </c>
      <c r="B12">
        <v>9890542.7057000045</v>
      </c>
    </row>
    <row r="13" spans="1:2" x14ac:dyDescent="0.3">
      <c r="A13" s="12" t="s">
        <v>408</v>
      </c>
      <c r="B13">
        <v>9805507.7097000033</v>
      </c>
    </row>
    <row r="14" spans="1:2" x14ac:dyDescent="0.3">
      <c r="A14" s="12" t="s">
        <v>409</v>
      </c>
      <c r="B14">
        <v>9823119.0686999932</v>
      </c>
    </row>
    <row r="15" spans="1:2" x14ac:dyDescent="0.3">
      <c r="A15" s="12" t="s">
        <v>410</v>
      </c>
      <c r="B15">
        <v>10843799.357700005</v>
      </c>
    </row>
    <row r="16" spans="1:2" x14ac:dyDescent="0.3">
      <c r="A16" s="12" t="s">
        <v>411</v>
      </c>
      <c r="B16">
        <v>10886881.202699997</v>
      </c>
    </row>
    <row r="17" spans="1:2" x14ac:dyDescent="0.3">
      <c r="A17" s="12" t="s">
        <v>412</v>
      </c>
      <c r="B17">
        <v>10694978.1577</v>
      </c>
    </row>
    <row r="18" spans="1:2" x14ac:dyDescent="0.3">
      <c r="A18" s="12" t="s">
        <v>413</v>
      </c>
      <c r="B18">
        <v>10533059.098700002</v>
      </c>
    </row>
    <row r="19" spans="1:2" x14ac:dyDescent="0.3">
      <c r="A19" s="12" t="s">
        <v>414</v>
      </c>
      <c r="B19">
        <v>10235450.817700002</v>
      </c>
    </row>
    <row r="20" spans="1:2" x14ac:dyDescent="0.3">
      <c r="A20" s="12" t="s">
        <v>415</v>
      </c>
      <c r="B20">
        <v>10539024.060199998</v>
      </c>
    </row>
    <row r="21" spans="1:2" x14ac:dyDescent="0.3">
      <c r="A21" s="12" t="s">
        <v>416</v>
      </c>
      <c r="B21">
        <v>10888979.976799995</v>
      </c>
    </row>
    <row r="22" spans="1:2" x14ac:dyDescent="0.3">
      <c r="A22" s="12" t="s">
        <v>417</v>
      </c>
      <c r="B22">
        <v>11402821.672799997</v>
      </c>
    </row>
    <row r="23" spans="1:2" x14ac:dyDescent="0.3">
      <c r="A23" s="12" t="s">
        <v>404</v>
      </c>
      <c r="B23">
        <v>126664569.8391</v>
      </c>
    </row>
    <row r="27" spans="1:2" x14ac:dyDescent="0.3">
      <c r="A27" s="4" t="s">
        <v>403</v>
      </c>
      <c r="B27" t="s">
        <v>405</v>
      </c>
    </row>
    <row r="28" spans="1:2" x14ac:dyDescent="0.3">
      <c r="A28" s="12" t="s">
        <v>72</v>
      </c>
      <c r="B28">
        <v>20126156.000399992</v>
      </c>
    </row>
    <row r="29" spans="1:2" x14ac:dyDescent="0.3">
      <c r="A29" s="12" t="s">
        <v>164</v>
      </c>
      <c r="B29">
        <v>23253902.666699998</v>
      </c>
    </row>
    <row r="30" spans="1:2" x14ac:dyDescent="0.3">
      <c r="A30" s="12" t="s">
        <v>162</v>
      </c>
      <c r="B30">
        <v>4801542.1339999987</v>
      </c>
    </row>
    <row r="31" spans="1:2" x14ac:dyDescent="0.3">
      <c r="A31" s="12" t="s">
        <v>302</v>
      </c>
      <c r="B31">
        <v>4580180</v>
      </c>
    </row>
    <row r="32" spans="1:2" x14ac:dyDescent="0.3">
      <c r="A32" s="12" t="s">
        <v>374</v>
      </c>
      <c r="B32">
        <v>6861924</v>
      </c>
    </row>
    <row r="33" spans="1:2" x14ac:dyDescent="0.3">
      <c r="A33" s="12" t="s">
        <v>404</v>
      </c>
      <c r="B33">
        <v>59623704.801099986</v>
      </c>
    </row>
    <row r="36" spans="1:2" x14ac:dyDescent="0.3">
      <c r="A36" s="4" t="s">
        <v>403</v>
      </c>
      <c r="B36" t="s">
        <v>405</v>
      </c>
    </row>
    <row r="37" spans="1:2" x14ac:dyDescent="0.3">
      <c r="A37" s="12" t="s">
        <v>54</v>
      </c>
      <c r="B37">
        <v>3412446</v>
      </c>
    </row>
    <row r="38" spans="1:2" x14ac:dyDescent="0.3">
      <c r="A38" s="12" t="s">
        <v>72</v>
      </c>
      <c r="B38">
        <v>20126156.000399992</v>
      </c>
    </row>
    <row r="39" spans="1:2" x14ac:dyDescent="0.3">
      <c r="A39" s="12" t="s">
        <v>164</v>
      </c>
      <c r="B39">
        <v>23253902.666699998</v>
      </c>
    </row>
    <row r="40" spans="1:2" x14ac:dyDescent="0.3">
      <c r="A40" s="12" t="s">
        <v>162</v>
      </c>
      <c r="B40">
        <v>4801542.1339999987</v>
      </c>
    </row>
    <row r="41" spans="1:2" x14ac:dyDescent="0.3">
      <c r="A41" s="12" t="s">
        <v>182</v>
      </c>
      <c r="B41">
        <v>2836833</v>
      </c>
    </row>
    <row r="42" spans="1:2" x14ac:dyDescent="0.3">
      <c r="A42" s="12" t="s">
        <v>230</v>
      </c>
      <c r="B42">
        <v>2173366</v>
      </c>
    </row>
    <row r="43" spans="1:2" x14ac:dyDescent="0.3">
      <c r="A43" s="12" t="s">
        <v>260</v>
      </c>
      <c r="B43">
        <v>3350447.4539999999</v>
      </c>
    </row>
    <row r="44" spans="1:2" x14ac:dyDescent="0.3">
      <c r="A44" s="12" t="s">
        <v>278</v>
      </c>
      <c r="B44">
        <v>3614918.3679999998</v>
      </c>
    </row>
    <row r="45" spans="1:2" x14ac:dyDescent="0.3">
      <c r="A45" s="12" t="s">
        <v>302</v>
      </c>
      <c r="B45">
        <v>4580180</v>
      </c>
    </row>
    <row r="46" spans="1:2" x14ac:dyDescent="0.3">
      <c r="A46" s="12" t="s">
        <v>374</v>
      </c>
      <c r="B46">
        <v>6861924</v>
      </c>
    </row>
    <row r="47" spans="1:2" x14ac:dyDescent="0.3">
      <c r="A47" s="12" t="s">
        <v>404</v>
      </c>
      <c r="B47">
        <v>75011715.623099983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Deaths by year and month</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Athira JP</cp:lastModifiedBy>
  <dcterms:created xsi:type="dcterms:W3CDTF">2015-06-05T18:17:20Z</dcterms:created>
  <dcterms:modified xsi:type="dcterms:W3CDTF">2026-06-28T16:43:48Z</dcterms:modified>
</cp:coreProperties>
</file>